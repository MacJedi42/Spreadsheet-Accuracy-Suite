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90" windowWidth="28635" windowHeight="14055"/>
  </bookViews>
  <sheets>
    <sheet name="Metadata" sheetId="3" r:id="rId1"/>
    <sheet name="Roots" sheetId="1" r:id="rId2"/>
    <sheet name="Sites(Do NOT Edit)" sheetId="4" r:id="rId3"/>
  </sheets>
  <definedNames>
    <definedName name="_xlnm._FilterDatabase" localSheetId="2" hidden="1">'Sites(Do NOT Edit)'!$A$2:$N$637</definedName>
    <definedName name="_Order1" hidden="1">255</definedName>
    <definedName name="_Order2" hidden="1">255</definedName>
    <definedName name="ABSTRACT" localSheetId="0">Metadata!$A$6</definedName>
    <definedName name="ABSTRACT" localSheetId="2">Metadata!$A$6</definedName>
    <definedName name="ABSTRACT">#REF!</definedName>
    <definedName name="Address_line_2" localSheetId="0">Metadata!$A$22</definedName>
    <definedName name="Address_line_2" localSheetId="2">Metadata!$A$22</definedName>
    <definedName name="Address_line_2">#REF!</definedName>
    <definedName name="Address_line_3" localSheetId="0">Metadata!$A$23</definedName>
    <definedName name="Address_line_3" localSheetId="2">Metadata!$A$23</definedName>
    <definedName name="Address_line_3">#REF!</definedName>
    <definedName name="Availability_Status" localSheetId="0">Metadata!$A$37</definedName>
    <definedName name="Availability_Status" localSheetId="2">Metadata!$A$37</definedName>
    <definedName name="Availability_Status">#REF!</definedName>
    <definedName name="Beginning_Date" localSheetId="0">Metadata!$A$33</definedName>
    <definedName name="Beginning_Date" localSheetId="2">Metadata!$A$33</definedName>
    <definedName name="Beginning_Date">#REF!</definedName>
    <definedName name="City" localSheetId="0">Metadata!$A$24</definedName>
    <definedName name="City" localSheetId="2">Metadata!$A$24</definedName>
    <definedName name="City">#REF!</definedName>
    <definedName name="Code_Information" localSheetId="0">Metadata!$F$121</definedName>
    <definedName name="Code_Information" localSheetId="2">Metadata!$F$121</definedName>
    <definedName name="Code_Information">#REF!</definedName>
    <definedName name="Country" localSheetId="0">Metadata!$A$27</definedName>
    <definedName name="Country" localSheetId="2">Metadata!$A$27</definedName>
    <definedName name="Country">#REF!</definedName>
    <definedName name="DATA_FILE_INFORMATION" localSheetId="0">Metadata!$A$30</definedName>
    <definedName name="DATA_FILE_INFORMATION" localSheetId="2">Metadata!$A$30</definedName>
    <definedName name="DATA_FILE_INFORMATION">#REF!</definedName>
    <definedName name="Data_File_Name" localSheetId="0">Metadata!$A$32</definedName>
    <definedName name="Data_File_Name" localSheetId="2">Metadata!$A$32</definedName>
    <definedName name="Data_File_Name">#REF!</definedName>
    <definedName name="Data_File_URL" localSheetId="0">Metadata!$A$31</definedName>
    <definedName name="Data_File_URL" localSheetId="2">Metadata!$A$31</definedName>
    <definedName name="Data_File_URL">#REF!</definedName>
    <definedName name="Data_Type" localSheetId="0">Metadata!$C$121</definedName>
    <definedName name="Data_Type" localSheetId="2">Metadata!$C$121</definedName>
    <definedName name="Data_Type">#REF!</definedName>
    <definedName name="DATASET_ID" localSheetId="0">Metadata!$A$14</definedName>
    <definedName name="DATASET_ID" localSheetId="2">Metadata!$A$14</definedName>
    <definedName name="DATASET_ID">#REF!</definedName>
    <definedName name="DATASET_TITLE" localSheetId="0">Metadata!$A$5</definedName>
    <definedName name="DATASET_TITLE" localSheetId="2">Metadata!$A$5</definedName>
    <definedName name="DATASET_TITLE">#REF!</definedName>
    <definedName name="DateTime_Format" localSheetId="0">Metadata!$E$121</definedName>
    <definedName name="DateTime_Format" localSheetId="2">Metadata!$E$121</definedName>
    <definedName name="DateTime_Format">#REF!</definedName>
    <definedName name="Distribution_URL_for_file" localSheetId="0">Metadata!$A$4</definedName>
    <definedName name="Distribution_URL_for_file" localSheetId="2">Metadata!$A$4</definedName>
    <definedName name="Distribution_URL_for_file">#REF!</definedName>
    <definedName name="East_Bounding_Coordinate" localSheetId="0">Metadata!$A$50</definedName>
    <definedName name="East_Bounding_Coordinate" localSheetId="2">Metadata!$A$50</definedName>
    <definedName name="East_Bounding_Coordinate">#REF!</definedName>
    <definedName name="Elevation" localSheetId="0">Metadata!$A$56</definedName>
    <definedName name="Elevation" localSheetId="2">Metadata!$A$56</definedName>
    <definedName name="Elevation">#REF!</definedName>
    <definedName name="Email" localSheetId="0">Metadata!$A$18</definedName>
    <definedName name="Email" localSheetId="2">Metadata!$A$18</definedName>
    <definedName name="Email">#REF!</definedName>
    <definedName name="End_Date" localSheetId="0">Metadata!$A$34</definedName>
    <definedName name="End_Date" localSheetId="2">Metadata!$A$34</definedName>
    <definedName name="End_Date">#REF!</definedName>
    <definedName name="First_Name" localSheetId="0">Metadata!$A$19</definedName>
    <definedName name="First_Name" localSheetId="2">Metadata!$A$19</definedName>
    <definedName name="First_Name">#REF!</definedName>
    <definedName name="Geographic_Description" localSheetId="0">Metadata!$A$47</definedName>
    <definedName name="Geographic_Description" localSheetId="2">Metadata!$A$47</definedName>
    <definedName name="Geographic_Description">#REF!</definedName>
    <definedName name="INVESTIGATOR_INFORMATION" localSheetId="0">Metadata!$A$16</definedName>
    <definedName name="INVESTIGATOR_INFORMATION" localSheetId="2">Metadata!$A$16</definedName>
    <definedName name="INVESTIGATOR_INFORMATION">#REF!</definedName>
    <definedName name="KEYWORD_INFORMATION" localSheetId="0">Metadata!$A$62</definedName>
    <definedName name="KEYWORD_INFORMATION" localSheetId="2">Metadata!$A$62</definedName>
    <definedName name="KEYWORD_INFORMATION">#REF!</definedName>
    <definedName name="KEYWORDS" localSheetId="0">Metadata!$A$63</definedName>
    <definedName name="KEYWORDS" localSheetId="2">Metadata!$A$63</definedName>
    <definedName name="KEYWORDS">#REF!</definedName>
    <definedName name="Last_Name" localSheetId="0">Metadata!$A$20</definedName>
    <definedName name="Last_Name" localSheetId="2">Metadata!$A$20</definedName>
    <definedName name="Last_Name">#REF!</definedName>
    <definedName name="Latitude" localSheetId="0">Metadata!$A$54</definedName>
    <definedName name="Latitude" localSheetId="2">Metadata!$A$54</definedName>
    <definedName name="Latitude">#REF!</definedName>
    <definedName name="Link_to_Google_Map">Metadata!$A$57</definedName>
    <definedName name="Location_Bounding_Box" localSheetId="0">Metadata!$A$48</definedName>
    <definedName name="Location_Bounding_Box" localSheetId="2">Metadata!$A$48</definedName>
    <definedName name="Location_Bounding_Box">#REF!</definedName>
    <definedName name="Location_Name">Metadata!$A$46</definedName>
    <definedName name="Log_of_Changes" localSheetId="0">Metadata!$A$40</definedName>
    <definedName name="Log_of_Changes" localSheetId="2">Metadata!$A$40</definedName>
    <definedName name="Log_of_Changes">#REF!</definedName>
    <definedName name="Longitude" localSheetId="0">Metadata!$A$55</definedName>
    <definedName name="Longitude" localSheetId="2">Metadata!$A$55</definedName>
    <definedName name="Longitude">#REF!</definedName>
    <definedName name="LTER_Sites_number">'Sites(Do NOT Edit)'!$A$2:$A$637</definedName>
    <definedName name="Maintenance_Description" localSheetId="0">Metadata!$A$39</definedName>
    <definedName name="Maintenance_Description" localSheetId="2">Metadata!$A$39</definedName>
    <definedName name="Maintenance_Description">#REF!</definedName>
    <definedName name="Metacat_Package_ID" localSheetId="0">Metadata!$A$2</definedName>
    <definedName name="Metacat_Package_ID" localSheetId="2">Metadata!$A$2</definedName>
    <definedName name="Metacat_Package_ID">#REF!</definedName>
    <definedName name="METHODS" localSheetId="0">Metadata!$A$66</definedName>
    <definedName name="METHODS" localSheetId="2">Metadata!$A$66</definedName>
    <definedName name="METHODS">#REF!</definedName>
    <definedName name="Missing_Value_Code" localSheetId="0">Metadata!$G$121</definedName>
    <definedName name="Missing_Value_Code" localSheetId="2">Metadata!$G$121</definedName>
    <definedName name="Missing_Value_Code">#REF!</definedName>
    <definedName name="North_Bounding_Coordinate" localSheetId="0">Metadata!$A$51</definedName>
    <definedName name="North_Bounding_Coordinate" localSheetId="2">Metadata!$A$51</definedName>
    <definedName name="North_Bounding_Coordinate">#REF!</definedName>
    <definedName name="Number_of_Data_Records" localSheetId="0">Metadata!$A$35</definedName>
    <definedName name="Number_of_Data_Records" localSheetId="2">Metadata!$A$35</definedName>
    <definedName name="Number_of_Data_Records">#REF!</definedName>
    <definedName name="OR" localSheetId="0">Metadata!$A$112</definedName>
    <definedName name="OR" localSheetId="2">Metadata!$A$112</definedName>
    <definedName name="OR">#REF!</definedName>
    <definedName name="OR_if_single_point_location" localSheetId="0">Metadata!$A$53</definedName>
    <definedName name="OR_if_single_point_location" localSheetId="2">Metadata!$A$53</definedName>
    <definedName name="OR_if_single_point_location">#REF!</definedName>
    <definedName name="Organisms_studied" localSheetId="0">Metadata!$A$60</definedName>
    <definedName name="Organisms_studied" localSheetId="2">Metadata!$A$60</definedName>
    <definedName name="Organisms_studied">#REF!</definedName>
    <definedName name="Organization" localSheetId="0">Metadata!$A$21</definedName>
    <definedName name="Organization" localSheetId="2">Metadata!$A$21</definedName>
    <definedName name="Organization">#REF!</definedName>
    <definedName name="Other_Files_to_Reference" localSheetId="0">Metadata!$A$36</definedName>
    <definedName name="Other_Files_to_Reference" localSheetId="2">Metadata!$A$36</definedName>
    <definedName name="Other_Files_to_Reference">#REF!</definedName>
    <definedName name="Protocol_Document" localSheetId="0">Metadata!$A$113</definedName>
    <definedName name="Protocol_Document" localSheetId="2">Metadata!$A$113</definedName>
    <definedName name="Protocol_Document">#REF!</definedName>
    <definedName name="Protocol_Title" localSheetId="0">Metadata!$A$110</definedName>
    <definedName name="Protocol_Title" localSheetId="2">Metadata!$A$110</definedName>
    <definedName name="Protocol_Title">#REF!</definedName>
    <definedName name="Quality_Control_Information" localSheetId="0">Metadata!$A$38</definedName>
    <definedName name="Quality_Control_Information" localSheetId="2">Metadata!$A$38</definedName>
    <definedName name="Quality_Control_Information">#REF!</definedName>
    <definedName name="RESEARCH_LOCATION" localSheetId="0">Metadata!$A$45</definedName>
    <definedName name="RESEARCH_LOCATION" localSheetId="2">Metadata!$A$45</definedName>
    <definedName name="RESEARCH_LOCATION">#REF!</definedName>
    <definedName name="Role" localSheetId="0">Metadata!$A$17</definedName>
    <definedName name="Role" localSheetId="2">Metadata!$A$17</definedName>
    <definedName name="Role">#REF!</definedName>
    <definedName name="Sampling_and_or_Lab_Protocols" localSheetId="0">Metadata!$A$109</definedName>
    <definedName name="Sampling_and_or_Lab_Protocols" localSheetId="2">Metadata!$A$109</definedName>
    <definedName name="Sampling_and_or_Lab_Protocols">#REF!</definedName>
    <definedName name="Site_name">'Sites(Do NOT Edit)'!$B$3:$B$637</definedName>
    <definedName name="Site_name_list">'Sites(Do NOT Edit)'!$B$2:$B$637</definedName>
    <definedName name="Sites">'Sites(Do NOT Edit)'!$A$3:$M$637</definedName>
    <definedName name="South_Bounding_Coordinate" localSheetId="0">Metadata!$A$52</definedName>
    <definedName name="South_Bounding_Coordinate" localSheetId="2">Metadata!$A$52</definedName>
    <definedName name="South_Bounding_Coordinate">#REF!</definedName>
    <definedName name="State" localSheetId="0">Metadata!$A$25</definedName>
    <definedName name="State" localSheetId="2">Metadata!$A$25</definedName>
    <definedName name="State">#REF!</definedName>
    <definedName name="TAXONOMIC_COVERAGE" localSheetId="0">Metadata!$A$59</definedName>
    <definedName name="TAXONOMIC_COVERAGE" localSheetId="2">Metadata!$A$59</definedName>
    <definedName name="TAXONOMIC_COVERAGE">#REF!</definedName>
    <definedName name="Units" localSheetId="0">Metadata!$D$121</definedName>
    <definedName name="Units" localSheetId="2">Metadata!$D$121</definedName>
    <definedName name="Units">#REF!</definedName>
    <definedName name="URL_of_online_Protocol" localSheetId="0">Metadata!$A$111</definedName>
    <definedName name="URL_of_online_Protocol" localSheetId="2">Metadata!$A$111</definedName>
    <definedName name="URL_of_online_Protocol">#REF!</definedName>
    <definedName name="Variable_Description" localSheetId="0">Metadata!$B$121</definedName>
    <definedName name="Variable_Description" localSheetId="2">Metadata!$B$121</definedName>
    <definedName name="Variable_Description">#REF!</definedName>
    <definedName name="VARIABLE_DESCRIPTIONS" localSheetId="0">Metadata!$A$120</definedName>
    <definedName name="VARIABLE_DESCRIPTIONS" localSheetId="2">Metadata!$A$120</definedName>
    <definedName name="VARIABLE_DESCRIPTIONS">#REF!</definedName>
    <definedName name="Variable_Name" localSheetId="0">Metadata!$A$121</definedName>
    <definedName name="Variable_Name" localSheetId="2">Metadata!$A$121</definedName>
    <definedName name="Variable_Name">#REF!</definedName>
    <definedName name="West_Bounding_Coordinate" localSheetId="0">Metadata!$A$49</definedName>
    <definedName name="West_Bounding_Coordinate" localSheetId="2">Metadata!$A$49</definedName>
    <definedName name="West_Bounding_Coordinate">#REF!</definedName>
    <definedName name="Year_Released_to_Public" localSheetId="0">Metadata!$A$3</definedName>
    <definedName name="Year_Released_to_Public" localSheetId="2">Metadata!$A$3</definedName>
    <definedName name="Year_Released_to_Public">#REF!</definedName>
    <definedName name="Zip_Code" localSheetId="0">Metadata!$A$26</definedName>
    <definedName name="Zip_Code" localSheetId="2">Metadata!$A$26</definedName>
    <definedName name="Zip_Code">#REF!</definedName>
  </definedNames>
  <calcPr calcId="145621"/>
</workbook>
</file>

<file path=xl/calcChain.xml><?xml version="1.0" encoding="utf-8"?>
<calcChain xmlns="http://schemas.openxmlformats.org/spreadsheetml/2006/main">
  <c r="B54" i="3" l="1"/>
  <c r="C54" i="3"/>
  <c r="D54" i="3"/>
  <c r="B55" i="3"/>
  <c r="C55" i="3"/>
  <c r="D55" i="3"/>
  <c r="D57" i="3" s="1"/>
  <c r="B56" i="3"/>
  <c r="C56" i="3"/>
  <c r="D56" i="3"/>
  <c r="B47" i="3"/>
  <c r="C47" i="3"/>
  <c r="D47" i="3"/>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N434" i="4"/>
  <c r="M434" i="4"/>
  <c r="N433" i="4"/>
  <c r="M433" i="4"/>
  <c r="N432" i="4"/>
  <c r="M432" i="4"/>
  <c r="N431" i="4"/>
  <c r="M431" i="4"/>
  <c r="N430" i="4"/>
  <c r="M430" i="4"/>
  <c r="N429" i="4"/>
  <c r="M429" i="4"/>
  <c r="N428" i="4"/>
  <c r="M428" i="4"/>
  <c r="N427" i="4"/>
  <c r="M427" i="4"/>
  <c r="N426" i="4"/>
  <c r="M426" i="4"/>
  <c r="N425" i="4"/>
  <c r="M425" i="4"/>
  <c r="N424" i="4"/>
  <c r="M424" i="4"/>
  <c r="N423" i="4"/>
  <c r="M423" i="4"/>
  <c r="N422" i="4"/>
  <c r="M422" i="4"/>
  <c r="N421" i="4"/>
  <c r="M421" i="4"/>
  <c r="N420" i="4"/>
  <c r="M420" i="4"/>
  <c r="N419" i="4"/>
  <c r="M419" i="4"/>
  <c r="N418" i="4"/>
  <c r="M418" i="4"/>
  <c r="N417" i="4"/>
  <c r="M417" i="4"/>
  <c r="N416" i="4"/>
  <c r="M416" i="4"/>
  <c r="N415" i="4"/>
  <c r="M415" i="4"/>
  <c r="N414" i="4"/>
  <c r="M414" i="4"/>
  <c r="N413" i="4"/>
  <c r="M413" i="4"/>
  <c r="N412" i="4"/>
  <c r="M412" i="4"/>
  <c r="N411" i="4"/>
  <c r="M411" i="4"/>
  <c r="N410" i="4"/>
  <c r="M410" i="4"/>
  <c r="N409" i="4"/>
  <c r="M409" i="4"/>
  <c r="N408" i="4"/>
  <c r="M408" i="4"/>
  <c r="N407" i="4"/>
  <c r="M407" i="4"/>
  <c r="N406" i="4"/>
  <c r="M406" i="4"/>
  <c r="N405" i="4"/>
  <c r="M405" i="4"/>
  <c r="N404" i="4"/>
  <c r="M404" i="4"/>
  <c r="N403" i="4"/>
  <c r="M403" i="4"/>
  <c r="N402" i="4"/>
  <c r="M402" i="4"/>
  <c r="N401" i="4"/>
  <c r="M401" i="4"/>
  <c r="N400" i="4"/>
  <c r="M400" i="4"/>
  <c r="N399" i="4"/>
  <c r="M399" i="4"/>
  <c r="N398" i="4"/>
  <c r="M398" i="4"/>
  <c r="N397" i="4"/>
  <c r="M397" i="4"/>
  <c r="N396" i="4"/>
  <c r="M396" i="4"/>
  <c r="N395" i="4"/>
  <c r="M395" i="4"/>
  <c r="N394" i="4"/>
  <c r="M394" i="4"/>
  <c r="N393" i="4"/>
  <c r="M393" i="4"/>
  <c r="N392" i="4"/>
  <c r="M392" i="4"/>
  <c r="N391" i="4"/>
  <c r="M391" i="4"/>
  <c r="N390" i="4"/>
  <c r="M390" i="4"/>
  <c r="N389" i="4"/>
  <c r="M389" i="4"/>
  <c r="N388" i="4"/>
  <c r="M388" i="4"/>
  <c r="N387" i="4"/>
  <c r="M387" i="4"/>
  <c r="N386" i="4"/>
  <c r="M386" i="4"/>
  <c r="N385" i="4"/>
  <c r="M385" i="4"/>
  <c r="N384" i="4"/>
  <c r="M384" i="4"/>
  <c r="N383" i="4"/>
  <c r="M383" i="4"/>
  <c r="N382" i="4"/>
  <c r="M382" i="4"/>
  <c r="N381" i="4"/>
  <c r="M381" i="4"/>
  <c r="N380" i="4"/>
  <c r="M380" i="4"/>
  <c r="N379" i="4"/>
  <c r="M379" i="4"/>
  <c r="N378" i="4"/>
  <c r="M378" i="4"/>
  <c r="N377" i="4"/>
  <c r="M377" i="4"/>
  <c r="N376" i="4"/>
  <c r="M376" i="4"/>
  <c r="N375" i="4"/>
  <c r="M375" i="4"/>
  <c r="N374" i="4"/>
  <c r="M374" i="4"/>
  <c r="N373" i="4"/>
  <c r="M373" i="4"/>
  <c r="N372" i="4"/>
  <c r="M372" i="4"/>
  <c r="N371" i="4"/>
  <c r="M371" i="4"/>
  <c r="N370" i="4"/>
  <c r="M370" i="4"/>
  <c r="N369" i="4"/>
  <c r="M369" i="4"/>
  <c r="N368" i="4"/>
  <c r="M368" i="4"/>
  <c r="N367" i="4"/>
  <c r="M367" i="4"/>
  <c r="N366" i="4"/>
  <c r="M366" i="4"/>
  <c r="N365" i="4"/>
  <c r="M365" i="4"/>
  <c r="N364" i="4"/>
  <c r="M364" i="4"/>
  <c r="N363" i="4"/>
  <c r="M363" i="4"/>
  <c r="N362" i="4"/>
  <c r="M362" i="4"/>
  <c r="N361" i="4"/>
  <c r="M361" i="4"/>
  <c r="N360" i="4"/>
  <c r="M360" i="4"/>
  <c r="N359" i="4"/>
  <c r="M359" i="4"/>
  <c r="N358" i="4"/>
  <c r="M358" i="4"/>
  <c r="N357" i="4"/>
  <c r="M357" i="4"/>
  <c r="N356"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N199" i="4"/>
  <c r="M199" i="4"/>
  <c r="N198" i="4"/>
  <c r="M198" i="4"/>
  <c r="N197" i="4"/>
  <c r="M197" i="4"/>
  <c r="N196" i="4"/>
  <c r="M196" i="4"/>
  <c r="N195" i="4"/>
  <c r="M195" i="4"/>
  <c r="N194" i="4"/>
  <c r="M194" i="4"/>
  <c r="N193" i="4"/>
  <c r="M193" i="4"/>
  <c r="N192" i="4"/>
  <c r="M192" i="4"/>
  <c r="N191" i="4"/>
  <c r="M191" i="4"/>
  <c r="N190" i="4"/>
  <c r="M190" i="4"/>
  <c r="N189" i="4"/>
  <c r="M189" i="4"/>
  <c r="N188" i="4"/>
  <c r="M188" i="4"/>
  <c r="N187" i="4"/>
  <c r="M187" i="4"/>
  <c r="N186" i="4"/>
  <c r="M186" i="4"/>
  <c r="N185" i="4"/>
  <c r="M185" i="4"/>
  <c r="N184" i="4"/>
  <c r="M184" i="4"/>
  <c r="N183" i="4"/>
  <c r="M183" i="4"/>
  <c r="N182" i="4"/>
  <c r="M182" i="4"/>
  <c r="N181" i="4"/>
  <c r="M181" i="4"/>
  <c r="N180" i="4"/>
  <c r="M180" i="4"/>
  <c r="N179" i="4"/>
  <c r="M179" i="4"/>
  <c r="N178" i="4"/>
  <c r="M178" i="4"/>
  <c r="N177" i="4"/>
  <c r="M177" i="4"/>
  <c r="N176" i="4"/>
  <c r="M176" i="4"/>
  <c r="N175" i="4"/>
  <c r="M175" i="4"/>
  <c r="N174" i="4"/>
  <c r="M174" i="4"/>
  <c r="N173" i="4"/>
  <c r="M173" i="4"/>
  <c r="N172" i="4"/>
  <c r="M172" i="4"/>
  <c r="N171" i="4"/>
  <c r="M171" i="4"/>
  <c r="N170" i="4"/>
  <c r="M170" i="4"/>
  <c r="N169" i="4"/>
  <c r="M169" i="4"/>
  <c r="N168" i="4"/>
  <c r="M168" i="4"/>
  <c r="N167"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E47" i="3"/>
  <c r="F47" i="3"/>
  <c r="G47" i="3"/>
  <c r="H47" i="3"/>
  <c r="I47" i="3"/>
  <c r="E54" i="3"/>
  <c r="E57" i="3" s="1"/>
  <c r="F54" i="3"/>
  <c r="F57" i="3" s="1"/>
  <c r="G54" i="3"/>
  <c r="G57" i="3" s="1"/>
  <c r="H54" i="3"/>
  <c r="H57" i="3" s="1"/>
  <c r="I54" i="3"/>
  <c r="E55" i="3"/>
  <c r="F55" i="3"/>
  <c r="G55" i="3"/>
  <c r="H55" i="3"/>
  <c r="I55" i="3"/>
  <c r="E56" i="3"/>
  <c r="F56" i="3"/>
  <c r="G56" i="3"/>
  <c r="H56" i="3"/>
  <c r="I56" i="3"/>
  <c r="B57" i="3"/>
  <c r="I57" i="3"/>
  <c r="C57" i="3" l="1"/>
  <c r="AC3" i="1"/>
  <c r="AD3" i="1"/>
  <c r="AE3" i="1"/>
  <c r="AC4" i="1"/>
  <c r="AD4" i="1"/>
  <c r="AE4" i="1"/>
  <c r="AC5" i="1"/>
  <c r="AD5" i="1"/>
  <c r="AE5" i="1"/>
  <c r="AC6" i="1"/>
  <c r="AD6" i="1"/>
  <c r="AE6" i="1"/>
  <c r="AC7" i="1"/>
  <c r="AD7" i="1"/>
  <c r="AE7" i="1"/>
  <c r="AC8" i="1"/>
  <c r="AD8" i="1"/>
  <c r="AE8" i="1"/>
  <c r="AC9" i="1"/>
  <c r="AD9" i="1"/>
  <c r="AE9" i="1"/>
  <c r="AC10" i="1"/>
  <c r="AD10" i="1"/>
  <c r="AE10" i="1"/>
  <c r="AC11" i="1"/>
  <c r="AD11" i="1"/>
  <c r="AE11" i="1"/>
  <c r="AC12" i="1"/>
  <c r="AD12" i="1"/>
  <c r="AE12" i="1"/>
  <c r="AC13" i="1"/>
  <c r="AD13" i="1"/>
  <c r="AE13" i="1"/>
  <c r="AC14" i="1"/>
  <c r="AD14" i="1"/>
  <c r="AE14" i="1"/>
  <c r="AC15" i="1"/>
  <c r="AD15" i="1"/>
  <c r="AE15" i="1"/>
  <c r="AC16" i="1"/>
  <c r="AD16" i="1"/>
  <c r="AE16" i="1"/>
  <c r="AC17" i="1"/>
  <c r="AD17" i="1"/>
  <c r="AE17" i="1"/>
  <c r="AC18" i="1"/>
  <c r="AD18" i="1"/>
  <c r="AE18" i="1"/>
  <c r="AC19" i="1"/>
  <c r="AD19" i="1"/>
  <c r="AE19" i="1"/>
  <c r="AC20" i="1"/>
  <c r="AD20" i="1"/>
  <c r="AE20" i="1"/>
  <c r="AC21" i="1"/>
  <c r="AD21" i="1"/>
  <c r="AE21" i="1"/>
  <c r="AC22" i="1"/>
  <c r="AD22" i="1"/>
  <c r="AE22" i="1"/>
  <c r="AC23" i="1"/>
  <c r="AD23" i="1"/>
  <c r="AE23" i="1"/>
  <c r="AC24" i="1"/>
  <c r="AD24" i="1"/>
  <c r="AE24" i="1"/>
  <c r="AC25" i="1"/>
  <c r="AD25" i="1"/>
  <c r="AE25" i="1"/>
  <c r="AC26" i="1"/>
  <c r="AD26" i="1"/>
  <c r="AE26" i="1"/>
  <c r="AC27" i="1"/>
  <c r="AD27" i="1"/>
  <c r="AE27" i="1"/>
  <c r="AC28" i="1"/>
  <c r="AD28" i="1"/>
  <c r="AE28" i="1"/>
  <c r="AC29" i="1"/>
  <c r="AD29" i="1"/>
  <c r="AE29" i="1"/>
  <c r="AC30" i="1"/>
  <c r="AD30" i="1"/>
  <c r="AE30" i="1"/>
  <c r="AC31" i="1"/>
  <c r="AD31" i="1"/>
  <c r="AE31" i="1"/>
  <c r="AC32" i="1"/>
  <c r="AD32" i="1"/>
  <c r="AE32" i="1"/>
  <c r="AC33" i="1"/>
  <c r="AD33" i="1"/>
  <c r="AE33" i="1"/>
  <c r="AC34" i="1"/>
  <c r="AD34" i="1"/>
  <c r="AE34" i="1"/>
  <c r="AC35" i="1"/>
  <c r="AD35" i="1"/>
  <c r="AE35" i="1"/>
  <c r="AC36" i="1"/>
  <c r="AD36" i="1"/>
  <c r="AE36" i="1"/>
  <c r="AC37" i="1"/>
  <c r="AD37" i="1"/>
  <c r="AE37" i="1"/>
  <c r="AC38" i="1"/>
  <c r="AD38" i="1"/>
  <c r="AE38" i="1"/>
  <c r="AC39" i="1"/>
  <c r="AD39" i="1"/>
  <c r="AE39" i="1"/>
  <c r="AC40" i="1"/>
  <c r="AD40" i="1"/>
  <c r="AE40" i="1"/>
  <c r="AC41" i="1"/>
  <c r="AD41" i="1"/>
  <c r="AE41" i="1"/>
  <c r="AC42" i="1"/>
  <c r="AD42" i="1"/>
  <c r="AE42" i="1"/>
  <c r="AC43" i="1"/>
  <c r="AD43" i="1"/>
  <c r="AE43" i="1"/>
  <c r="AC44" i="1"/>
  <c r="AD44" i="1"/>
  <c r="AE44" i="1"/>
  <c r="AC45" i="1"/>
  <c r="AD45" i="1"/>
  <c r="AE45" i="1"/>
  <c r="AC46" i="1"/>
  <c r="AD46" i="1"/>
  <c r="AE46" i="1"/>
  <c r="AC47" i="1"/>
  <c r="AD47" i="1"/>
  <c r="AE47" i="1"/>
  <c r="AC48" i="1"/>
  <c r="AD48" i="1"/>
  <c r="AE48" i="1"/>
  <c r="AC49" i="1"/>
  <c r="AD49" i="1"/>
  <c r="AE49" i="1"/>
  <c r="AC50" i="1"/>
  <c r="AD50" i="1"/>
  <c r="AE50" i="1"/>
  <c r="AC51" i="1"/>
  <c r="AD51" i="1"/>
  <c r="AE51" i="1"/>
  <c r="AC52" i="1"/>
  <c r="AD52" i="1"/>
  <c r="AE52" i="1"/>
  <c r="AC53" i="1"/>
  <c r="AD53" i="1"/>
  <c r="AE53" i="1"/>
  <c r="AC54" i="1"/>
  <c r="AD54" i="1"/>
  <c r="AE54" i="1"/>
  <c r="AC55" i="1"/>
  <c r="AD55" i="1"/>
  <c r="AE55" i="1"/>
  <c r="AC56" i="1"/>
  <c r="AD56" i="1"/>
  <c r="AE56" i="1"/>
  <c r="AC57" i="1"/>
  <c r="AD57" i="1"/>
  <c r="AE57" i="1"/>
  <c r="AC58" i="1"/>
  <c r="AD58" i="1"/>
  <c r="AE58" i="1"/>
  <c r="AC59" i="1"/>
  <c r="AD59" i="1"/>
  <c r="AE59" i="1"/>
  <c r="AC60" i="1"/>
  <c r="AD60" i="1"/>
  <c r="AE60" i="1"/>
  <c r="AC61" i="1"/>
  <c r="AD61" i="1"/>
  <c r="AE61" i="1"/>
  <c r="AC62" i="1"/>
  <c r="AD62" i="1"/>
  <c r="AE62" i="1"/>
  <c r="AC63" i="1"/>
  <c r="AD63" i="1"/>
  <c r="AE63" i="1"/>
  <c r="AC64" i="1"/>
  <c r="AD64" i="1"/>
  <c r="AE64" i="1"/>
  <c r="AC65" i="1"/>
  <c r="AD65" i="1"/>
  <c r="AE65" i="1"/>
  <c r="AC66" i="1"/>
  <c r="AD66" i="1"/>
  <c r="AE66" i="1"/>
  <c r="AC67" i="1"/>
  <c r="AD67" i="1"/>
  <c r="AE67" i="1"/>
  <c r="AC68" i="1"/>
  <c r="AD68" i="1"/>
  <c r="AE68" i="1"/>
  <c r="AC69" i="1"/>
  <c r="AD69" i="1"/>
  <c r="AE69" i="1"/>
  <c r="AC70" i="1"/>
  <c r="AD70" i="1"/>
  <c r="AE70" i="1"/>
  <c r="AC71" i="1"/>
  <c r="AD71" i="1"/>
  <c r="AE71" i="1"/>
  <c r="AC72" i="1"/>
  <c r="AD72" i="1"/>
  <c r="AE72" i="1"/>
  <c r="AC73" i="1"/>
  <c r="AD73" i="1"/>
  <c r="AE73" i="1"/>
  <c r="AC74" i="1"/>
  <c r="AD74" i="1"/>
  <c r="AE74" i="1"/>
  <c r="AC75" i="1"/>
  <c r="AD75" i="1"/>
  <c r="AE75" i="1"/>
  <c r="AC76" i="1"/>
  <c r="AD76" i="1"/>
  <c r="AE76" i="1"/>
  <c r="AC77" i="1"/>
  <c r="AD77" i="1"/>
  <c r="AE77" i="1"/>
  <c r="AC78" i="1"/>
  <c r="AD78" i="1"/>
  <c r="AE78" i="1"/>
  <c r="AC79" i="1"/>
  <c r="AD79" i="1"/>
  <c r="AE79" i="1"/>
  <c r="AC80" i="1"/>
  <c r="AD80" i="1"/>
  <c r="AE80" i="1"/>
  <c r="AC81" i="1"/>
  <c r="AD81" i="1"/>
  <c r="AE81" i="1"/>
  <c r="AC82" i="1"/>
  <c r="AD82" i="1"/>
  <c r="AE82" i="1"/>
  <c r="AC83" i="1"/>
  <c r="AD83" i="1"/>
  <c r="AE83" i="1"/>
  <c r="AC84" i="1"/>
  <c r="AD84" i="1"/>
  <c r="AE84" i="1"/>
  <c r="AC85" i="1"/>
  <c r="AD85" i="1"/>
  <c r="AE85" i="1"/>
  <c r="AC86" i="1"/>
  <c r="AD86" i="1"/>
  <c r="AE86" i="1"/>
  <c r="AC87" i="1"/>
  <c r="AD87" i="1"/>
  <c r="AE87" i="1"/>
  <c r="AC88" i="1"/>
  <c r="AD88" i="1"/>
  <c r="AE88" i="1"/>
  <c r="AC89" i="1"/>
  <c r="AD89" i="1"/>
  <c r="AE89" i="1"/>
  <c r="AC90" i="1"/>
  <c r="AD90" i="1"/>
  <c r="AE90" i="1"/>
  <c r="AC91" i="1"/>
  <c r="AD91" i="1"/>
  <c r="AE91" i="1"/>
  <c r="AC92" i="1"/>
  <c r="AD92" i="1"/>
  <c r="AE92" i="1"/>
  <c r="AC93" i="1"/>
  <c r="AD93" i="1"/>
  <c r="AE93" i="1"/>
  <c r="AC94" i="1"/>
  <c r="AD94" i="1"/>
  <c r="AE94" i="1"/>
  <c r="AC95" i="1"/>
  <c r="AD95" i="1"/>
  <c r="AE95" i="1"/>
  <c r="AC96" i="1"/>
  <c r="AD96" i="1"/>
  <c r="AE96" i="1"/>
  <c r="AC97" i="1"/>
  <c r="AD97" i="1"/>
  <c r="AE97" i="1"/>
  <c r="AC98" i="1"/>
  <c r="AD98" i="1"/>
  <c r="AE98" i="1"/>
  <c r="AC99" i="1"/>
  <c r="AD99" i="1"/>
  <c r="AE99" i="1"/>
  <c r="AC100" i="1"/>
  <c r="AD100" i="1"/>
  <c r="AE100" i="1"/>
  <c r="AC101" i="1"/>
  <c r="AD101" i="1"/>
  <c r="AE101" i="1"/>
  <c r="AC102" i="1"/>
  <c r="AD102" i="1"/>
  <c r="AE102" i="1"/>
  <c r="AC103" i="1"/>
  <c r="AD103" i="1"/>
  <c r="AE103" i="1"/>
  <c r="AC104" i="1"/>
  <c r="AD104" i="1"/>
  <c r="AE104" i="1"/>
  <c r="AC105" i="1"/>
  <c r="AD105" i="1"/>
  <c r="AE105" i="1"/>
  <c r="AC106" i="1"/>
  <c r="AD106" i="1"/>
  <c r="AE106" i="1"/>
  <c r="AC107" i="1"/>
  <c r="AD107" i="1"/>
  <c r="AE107" i="1"/>
  <c r="AC108" i="1"/>
  <c r="AD108" i="1"/>
  <c r="AE108" i="1"/>
  <c r="AC109" i="1"/>
  <c r="AD109" i="1"/>
  <c r="AE109" i="1"/>
  <c r="AC110" i="1"/>
  <c r="AD110" i="1"/>
  <c r="AE110" i="1"/>
  <c r="AC111" i="1"/>
  <c r="AD111" i="1"/>
  <c r="AE111" i="1"/>
  <c r="AC112" i="1"/>
  <c r="AD112" i="1"/>
  <c r="AE112" i="1"/>
  <c r="AC113" i="1"/>
  <c r="AD113" i="1"/>
  <c r="AE113" i="1"/>
  <c r="AC114" i="1"/>
  <c r="AD114" i="1"/>
  <c r="AE114" i="1"/>
  <c r="AC115" i="1"/>
  <c r="AD115" i="1"/>
  <c r="AE115" i="1"/>
  <c r="AC116" i="1"/>
  <c r="AD116" i="1"/>
  <c r="AE116" i="1"/>
  <c r="AC117" i="1"/>
  <c r="AD117" i="1"/>
  <c r="AE117" i="1"/>
  <c r="AC118" i="1"/>
  <c r="AD118" i="1"/>
  <c r="AE118" i="1"/>
  <c r="AC119" i="1"/>
  <c r="AD119" i="1"/>
  <c r="AE119" i="1"/>
  <c r="AC120" i="1"/>
  <c r="AD120" i="1"/>
  <c r="AE120" i="1"/>
  <c r="AC121" i="1"/>
  <c r="AD121" i="1"/>
  <c r="AE121" i="1"/>
  <c r="AC122" i="1"/>
  <c r="AD122" i="1"/>
  <c r="AE122" i="1"/>
  <c r="AC123" i="1"/>
  <c r="AD123" i="1"/>
  <c r="AE123" i="1"/>
  <c r="AC124" i="1"/>
  <c r="AD124" i="1"/>
  <c r="AE124" i="1"/>
  <c r="AC125" i="1"/>
  <c r="AD125" i="1"/>
  <c r="AE125" i="1"/>
  <c r="AC126" i="1"/>
  <c r="AD126" i="1"/>
  <c r="AE126" i="1"/>
  <c r="AC127" i="1"/>
  <c r="AD127" i="1"/>
  <c r="AE127" i="1"/>
  <c r="AC128" i="1"/>
  <c r="AD128" i="1"/>
  <c r="AE128" i="1"/>
  <c r="AC129" i="1"/>
  <c r="AD129" i="1"/>
  <c r="AE129" i="1"/>
  <c r="AC130" i="1"/>
  <c r="AD130" i="1"/>
  <c r="AE130" i="1"/>
  <c r="AC131" i="1"/>
  <c r="AD131" i="1"/>
  <c r="AE131" i="1"/>
  <c r="AC132" i="1"/>
  <c r="AD132" i="1"/>
  <c r="AE132" i="1"/>
  <c r="AC133" i="1"/>
  <c r="AD133" i="1"/>
  <c r="AE133" i="1"/>
  <c r="AC134" i="1"/>
  <c r="AD134" i="1"/>
  <c r="AE134" i="1"/>
  <c r="AC135" i="1"/>
  <c r="AD135" i="1"/>
  <c r="AE135" i="1"/>
  <c r="AC136" i="1"/>
  <c r="AD136" i="1"/>
  <c r="AE136" i="1"/>
  <c r="AC137" i="1"/>
  <c r="AD137" i="1"/>
  <c r="AE137" i="1"/>
  <c r="AC138" i="1"/>
  <c r="AD138" i="1"/>
  <c r="AE138" i="1"/>
  <c r="AC139" i="1"/>
  <c r="AD139" i="1"/>
  <c r="AE139" i="1"/>
  <c r="AC140" i="1"/>
  <c r="AD140" i="1"/>
  <c r="AE140" i="1"/>
  <c r="AC141" i="1"/>
  <c r="AD141" i="1"/>
  <c r="AE141" i="1"/>
  <c r="AC142" i="1"/>
  <c r="AD142" i="1"/>
  <c r="AE142" i="1"/>
  <c r="AC143" i="1"/>
  <c r="AD143" i="1"/>
  <c r="AE143" i="1"/>
  <c r="AC144" i="1"/>
  <c r="AD144" i="1"/>
  <c r="AE144" i="1"/>
  <c r="AC145" i="1"/>
  <c r="AD145" i="1"/>
  <c r="AE145" i="1"/>
  <c r="AC146" i="1"/>
  <c r="AD146" i="1"/>
  <c r="AE146" i="1"/>
  <c r="AC147" i="1"/>
  <c r="AD147" i="1"/>
  <c r="AE147" i="1"/>
  <c r="AC148" i="1"/>
  <c r="AD148" i="1"/>
  <c r="AE148" i="1"/>
  <c r="AC149" i="1"/>
  <c r="AD149" i="1"/>
  <c r="AE149" i="1"/>
  <c r="AC150" i="1"/>
  <c r="AD150" i="1"/>
  <c r="AE150" i="1"/>
  <c r="AC151" i="1"/>
  <c r="AD151" i="1"/>
  <c r="AE151" i="1"/>
  <c r="AC152" i="1"/>
  <c r="AD152" i="1"/>
  <c r="AE152" i="1"/>
  <c r="AD2" i="1"/>
  <c r="AE2" i="1"/>
  <c r="AC2" i="1"/>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 e.g. blanks or -99999</t>
        </r>
      </text>
    </comment>
    <comment ref="A122"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<sst xmlns="http://schemas.openxmlformats.org/spreadsheetml/2006/main" count="6468" uniqueCount="1712">
  <si>
    <t>Transect</t>
  </si>
  <si>
    <t>Plot</t>
  </si>
  <si>
    <t>Tussock</t>
  </si>
  <si>
    <t>Layer</t>
  </si>
  <si>
    <t>Ice</t>
  </si>
  <si>
    <t>Depth bin (cm)</t>
  </si>
  <si>
    <t>Depth (cm)</t>
  </si>
  <si>
    <t>Erivag roots %C</t>
  </si>
  <si>
    <t>Erivag roots %N</t>
  </si>
  <si>
    <t>Coarse roots %C</t>
  </si>
  <si>
    <t>Coarse roots %N</t>
  </si>
  <si>
    <t>0-5</t>
  </si>
  <si>
    <t>5-15</t>
  </si>
  <si>
    <t>15+</t>
  </si>
  <si>
    <t>Unburned</t>
  </si>
  <si>
    <t>15-28</t>
  </si>
  <si>
    <t>15-25</t>
  </si>
  <si>
    <t>15-26</t>
  </si>
  <si>
    <t>15-38</t>
  </si>
  <si>
    <t>0-6</t>
  </si>
  <si>
    <t>6-15</t>
  </si>
  <si>
    <t>15-37</t>
  </si>
  <si>
    <t>5-13</t>
  </si>
  <si>
    <t>15-30</t>
  </si>
  <si>
    <t>15-39</t>
  </si>
  <si>
    <t>15-24</t>
  </si>
  <si>
    <t>15-31</t>
  </si>
  <si>
    <t>15-21</t>
  </si>
  <si>
    <t>15-36</t>
  </si>
  <si>
    <t>13-28</t>
  </si>
  <si>
    <t>15-33</t>
  </si>
  <si>
    <t>15-27</t>
  </si>
  <si>
    <t>15-35</t>
  </si>
  <si>
    <t>15-22</t>
  </si>
  <si>
    <t>5-9.5</t>
  </si>
  <si>
    <t>Organic</t>
  </si>
  <si>
    <t>Mineral</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</si>
  <si>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</si>
  <si>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</si>
  <si>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</si>
  <si>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</si>
  <si>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</si>
  <si>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</si>
  <si>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</si>
  <si>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</si>
  <si>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</si>
  <si>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</si>
  <si>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</si>
  <si>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</si>
  <si>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</si>
  <si>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</si>
  <si>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</si>
  <si>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</si>
  <si>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</si>
  <si>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</si>
  <si>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Data Manager </t>
  </si>
  <si>
    <t>Email</t>
  </si>
  <si>
    <t>msbretharte@alaska.edu</t>
  </si>
  <si>
    <t>mcmack@ufl.edu</t>
  </si>
  <si>
    <t>gshaver@mbl.edu</t>
  </si>
  <si>
    <t>jiml@mbl.edu</t>
  </si>
  <si>
    <t xml:space="preserve">First Name  </t>
  </si>
  <si>
    <t>M. Syndonia</t>
  </si>
  <si>
    <t>Mack</t>
  </si>
  <si>
    <t>Gaius</t>
  </si>
  <si>
    <t>James</t>
  </si>
  <si>
    <t xml:space="preserve">Last Name  </t>
  </si>
  <si>
    <t>Bret-Harte</t>
  </si>
  <si>
    <t>Michelle</t>
  </si>
  <si>
    <t>Shaver</t>
  </si>
  <si>
    <t>Laundre</t>
  </si>
  <si>
    <t>Organization</t>
  </si>
  <si>
    <t>Institute of Arctic Biology</t>
  </si>
  <si>
    <t>Department of Biology</t>
  </si>
  <si>
    <t xml:space="preserve">The Ecosystem Center </t>
  </si>
  <si>
    <t>The Ecosystem Center</t>
  </si>
  <si>
    <t>Address line 2</t>
  </si>
  <si>
    <t>University of Alaska Fairbanks</t>
  </si>
  <si>
    <t>University of Florida</t>
  </si>
  <si>
    <t>Marine Biological Laboratory</t>
  </si>
  <si>
    <t>Address line 3</t>
  </si>
  <si>
    <t>Bartram-Carr Hall</t>
  </si>
  <si>
    <t xml:space="preserve">7 MBL St. </t>
  </si>
  <si>
    <t>7 MBL St.</t>
  </si>
  <si>
    <t xml:space="preserve"> City  </t>
  </si>
  <si>
    <t>Fairbanks</t>
  </si>
  <si>
    <t>Gainesville</t>
  </si>
  <si>
    <t>Woods Hole</t>
  </si>
  <si>
    <t xml:space="preserve">State  </t>
  </si>
  <si>
    <t>AK</t>
  </si>
  <si>
    <t>FL</t>
  </si>
  <si>
    <t>MA</t>
  </si>
  <si>
    <t xml:space="preserve">Zip Code  </t>
  </si>
  <si>
    <t>99775-7000</t>
  </si>
  <si>
    <t>32611</t>
  </si>
  <si>
    <t>02543</t>
  </si>
  <si>
    <t>Country</t>
  </si>
  <si>
    <t>USA</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</si>
  <si>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</si>
  <si>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</si>
  <si>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</si>
  <si>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</si>
  <si>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</si>
  <si>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</si>
  <si>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</si>
  <si>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</si>
  <si>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</si>
  <si>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</si>
  <si>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</si>
  <si>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</si>
  <si>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</si>
  <si>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</si>
  <si>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</si>
  <si>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</si>
  <si>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</si>
  <si>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</si>
  <si>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</si>
  <si>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</si>
  <si>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</si>
  <si>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</si>
  <si>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</si>
  <si>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</si>
  <si>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</si>
  <si>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Eriophorum vaginatum </t>
  </si>
  <si>
    <t xml:space="preserve">Example:  Eriophorum; Betula nana; Carex aquatilis var. aquatilis; Carex atlantica ssp. atlantica </t>
  </si>
  <si>
    <t>KEYWORD INFORMATION</t>
  </si>
  <si>
    <t xml:space="preserve">KEYWORDS: </t>
  </si>
  <si>
    <t>Alaska, biomass, productivity, tundra, primary production, disturbance, organic matter, populations, burn, recovery</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</si>
  <si>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</si>
  <si>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</si>
  <si>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</si>
  <si>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</si>
  <si>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</si>
  <si>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</si>
  <si>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</si>
  <si>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</si>
  <si>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</si>
  <si>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</si>
  <si>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</si>
  <si>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</si>
  <si>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</si>
  <si>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</si>
  <si>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</si>
  <si>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</si>
  <si>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</si>
  <si>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</si>
  <si>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Year</t>
  </si>
  <si>
    <t>Year of root harvest</t>
  </si>
  <si>
    <t>datetime</t>
  </si>
  <si>
    <t>YYYY</t>
  </si>
  <si>
    <t xml:space="preserve"> </t>
  </si>
  <si>
    <t>Harvest</t>
  </si>
  <si>
    <t>Site of harvest</t>
  </si>
  <si>
    <t>text</t>
  </si>
  <si>
    <t>ampere</t>
  </si>
  <si>
    <t>Fire disturbance</t>
  </si>
  <si>
    <t>Degree of fire disturbance</t>
  </si>
  <si>
    <t xml:space="preserve">Associated Researcher </t>
  </si>
  <si>
    <t>interval</t>
  </si>
  <si>
    <t>number</t>
  </si>
  <si>
    <t>amperePerMeter</t>
  </si>
  <si>
    <t xml:space="preserve">Transect, where 108 &amp; 109 are from the unburned control site, 101 &amp; 114 are from the severely burned site and 103 &amp; 104 are from the moderately burned site </t>
  </si>
  <si>
    <t>nominal</t>
  </si>
  <si>
    <t>amperePerMeterSquared</t>
  </si>
  <si>
    <t xml:space="preserve">Field Crew </t>
  </si>
  <si>
    <t>ordinal</t>
  </si>
  <si>
    <t>angstrom</t>
  </si>
  <si>
    <t>mineral or organic soil layer</t>
  </si>
  <si>
    <t xml:space="preserve">Lab Crew </t>
  </si>
  <si>
    <t>ratio</t>
  </si>
  <si>
    <t>atmosphere</t>
  </si>
  <si>
    <t>depth to the base of the layer</t>
  </si>
  <si>
    <t>centimeter</t>
  </si>
  <si>
    <t>bar</t>
  </si>
  <si>
    <t>gramPerMeterSquared</t>
  </si>
  <si>
    <t>becquerel</t>
  </si>
  <si>
    <t>becquerelPerGram</t>
  </si>
  <si>
    <t>grams of nitrogen from Eriophorum vaginatum fine roots</t>
  </si>
  <si>
    <t>becquerelPerMilligram</t>
  </si>
  <si>
    <t>Mass of fine roots other than Eriophorum vaginatum</t>
  </si>
  <si>
    <t>becquerelPerMilliliter</t>
  </si>
  <si>
    <t>Grams of carbon from fine roots other than Eriophorum vaginatum</t>
  </si>
  <si>
    <t>calorie</t>
  </si>
  <si>
    <t>Grams of nitrogen from fine roots other than Eriophorum vaginatum</t>
  </si>
  <si>
    <t>candela</t>
  </si>
  <si>
    <t>Mass of coarse roots</t>
  </si>
  <si>
    <t>candelaPerMeterSquared</t>
  </si>
  <si>
    <t>Grams of carbon from coarse roots</t>
  </si>
  <si>
    <t>celsius</t>
  </si>
  <si>
    <t>Grams of nitrogen from coarse roots</t>
  </si>
  <si>
    <t>centigram</t>
  </si>
  <si>
    <t>Total mass of other fine roots and Eriophorum vaginatum</t>
  </si>
  <si>
    <t>Total grams of carbon from fine roots</t>
  </si>
  <si>
    <t>centimeterCubedPerCentimeterCubed</t>
  </si>
  <si>
    <t>Total grams of nitrogen from fine roots</t>
  </si>
  <si>
    <t>centimeterPerSecond</t>
  </si>
  <si>
    <t>Total root biomass including fine and coarse roots</t>
  </si>
  <si>
    <t>centimeterPerYear</t>
  </si>
  <si>
    <t>Total grams of carbon from all roots</t>
  </si>
  <si>
    <t>centimeterSquared</t>
  </si>
  <si>
    <t>centimeterSquaredPerFourHundredthMeterSquared</t>
  </si>
  <si>
    <t>centimeterSquaredPerGram</t>
  </si>
  <si>
    <t>centimolePerKilogram</t>
  </si>
  <si>
    <t>centisecond</t>
  </si>
  <si>
    <t>coulomb</t>
  </si>
  <si>
    <t>decibar</t>
  </si>
  <si>
    <t>decigram</t>
  </si>
  <si>
    <t>decimeter</t>
  </si>
  <si>
    <t>decisecond</t>
  </si>
  <si>
    <t>dimensionless</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</si>
  <si>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</si>
  <si>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</si>
  <si>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</si>
  <si>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</si>
  <si>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</si>
  <si>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</si>
  <si>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</si>
  <si>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</si>
  <si>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</si>
  <si>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</si>
  <si>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</si>
  <si>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</si>
  <si>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</si>
  <si>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</si>
  <si>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</si>
  <si>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</si>
  <si>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</si>
  <si>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</si>
  <si>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</si>
  <si>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</si>
  <si>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</si>
  <si>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</si>
  <si>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</si>
  <si>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</si>
  <si>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</si>
  <si>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</si>
  <si>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</si>
  <si>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</si>
  <si>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</si>
  <si>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</si>
  <si>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</si>
  <si>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</si>
  <si>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</si>
  <si>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</si>
  <si>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</si>
  <si>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</si>
  <si>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</si>
  <si>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</si>
  <si>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</si>
  <si>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</si>
  <si>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</si>
  <si>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</si>
  <si>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</si>
  <si>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</si>
  <si>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</si>
  <si>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</si>
  <si>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</si>
  <si>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</si>
  <si>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</si>
  <si>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</si>
  <si>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</si>
  <si>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</si>
  <si>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</si>
  <si>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</si>
  <si>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</si>
  <si>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</si>
  <si>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</si>
  <si>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</si>
  <si>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</si>
  <si>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</si>
  <si>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</si>
  <si>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</si>
  <si>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</si>
  <si>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</si>
  <si>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</si>
  <si>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</si>
  <si>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</si>
  <si>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</si>
  <si>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</si>
  <si>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</si>
  <si>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</si>
  <si>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</si>
  <si>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</si>
  <si>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</si>
  <si>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</si>
  <si>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</si>
  <si>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</si>
  <si>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</si>
  <si>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</si>
  <si>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</si>
  <si>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</si>
  <si>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</si>
  <si>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</si>
  <si>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</si>
  <si>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</si>
  <si>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</si>
  <si>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</si>
  <si>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</si>
  <si>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</si>
  <si>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</si>
  <si>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</si>
  <si>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</si>
  <si>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</si>
  <si>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</si>
  <si>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</si>
  <si>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</si>
  <si>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</si>
  <si>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</si>
  <si>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</si>
  <si>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</si>
  <si>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</si>
  <si>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</si>
  <si>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</si>
  <si>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</si>
  <si>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</si>
  <si>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</si>
  <si>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</si>
  <si>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</si>
  <si>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</si>
  <si>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</si>
  <si>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</si>
  <si>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</si>
  <si>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</si>
  <si>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</si>
  <si>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</si>
  <si>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</si>
  <si>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</si>
  <si>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</si>
  <si>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</si>
  <si>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</si>
  <si>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</si>
  <si>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</si>
  <si>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</si>
  <si>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</si>
  <si>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</si>
  <si>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</si>
  <si>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</si>
  <si>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</si>
  <si>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</si>
  <si>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</si>
  <si>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</si>
  <si>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</si>
  <si>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</si>
  <si>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</si>
  <si>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</si>
  <si>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</si>
  <si>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</si>
  <si>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</si>
  <si>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</si>
  <si>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</si>
  <si>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</si>
  <si>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</si>
  <si>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</si>
  <si>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</si>
  <si>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</si>
  <si>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</si>
  <si>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</si>
  <si>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</si>
  <si>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</si>
  <si>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</si>
  <si>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</si>
  <si>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</si>
  <si>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</si>
  <si>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</si>
  <si>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</si>
  <si>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</si>
  <si>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</si>
  <si>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</si>
  <si>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</si>
  <si>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</si>
  <si>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</si>
  <si>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</si>
  <si>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</si>
  <si>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</si>
  <si>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</si>
  <si>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</si>
  <si>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</si>
  <si>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</si>
  <si>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</si>
  <si>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</si>
  <si>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ARF</t>
  </si>
  <si>
    <t>Moderate</t>
  </si>
  <si>
    <t>Severe</t>
  </si>
  <si>
    <t>Plot 1-10 for each transect</t>
  </si>
  <si>
    <t>0=no ice in core, 1= ice hit in core and stopped coring progress</t>
  </si>
  <si>
    <t>Incremental depth category</t>
  </si>
  <si>
    <t>Actual measured depth of the bottom of the increment</t>
  </si>
  <si>
    <t>Concentration of carbon in Eriophorum (fine) roots</t>
  </si>
  <si>
    <t>Mass of Eriophorum (fine) roots</t>
  </si>
  <si>
    <t>grams of carbon from Eriophorum vaginatum (fine) roots</t>
  </si>
  <si>
    <t>Concentration of nitrogen in Eriophorum (fine) roots</t>
  </si>
  <si>
    <t>Other fine roots %C</t>
  </si>
  <si>
    <t>Other fine roots %N</t>
  </si>
  <si>
    <t>Concentration carbon in other fine roots</t>
  </si>
  <si>
    <t>Concentration of nitrogen in other fine roots</t>
  </si>
  <si>
    <t>Below ground root biomass, carbon and nitrogen concentrations by depth increments from the Anaktuvuk River Fire site in 2011</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</si>
  <si>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</si>
  <si>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</si>
  <si>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</si>
  <si>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</si>
  <si>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</si>
  <si>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</si>
  <si>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</si>
  <si>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</si>
  <si>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</si>
  <si>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</si>
  <si>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</si>
  <si>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</si>
  <si>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</si>
  <si>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</si>
  <si>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</si>
  <si>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</si>
  <si>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</si>
  <si>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</si>
  <si>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gram</t>
  </si>
  <si>
    <t>disintegrationPerMinute</t>
  </si>
  <si>
    <t>degree</t>
  </si>
  <si>
    <t>Total nitrogen from all roots (g/m2)</t>
  </si>
  <si>
    <t>Total carbon from all roots (g/m2)</t>
  </si>
  <si>
    <t>Total root biomass (g/m2)</t>
  </si>
  <si>
    <t>Total fine root C (gC/m2)</t>
  </si>
  <si>
    <t>Total fine roots (g/m2)</t>
  </si>
  <si>
    <t>Coarse root N (dry gN/m2)</t>
  </si>
  <si>
    <t>Coarse root C (dry gC/m2)</t>
  </si>
  <si>
    <t>Coarse root mass (dry g/m2)</t>
  </si>
  <si>
    <t>Other fine root N (dry gN/m2)</t>
  </si>
  <si>
    <t>Other fine root C (dry gC/m2)</t>
  </si>
  <si>
    <t>Other fine root mass (dry g/m2)</t>
  </si>
  <si>
    <t>Erivag root N (dry gN/m2)</t>
  </si>
  <si>
    <t>Erivag root C (dry gC/m2)</t>
  </si>
  <si>
    <t>Erivag root mass (dry g/m2)</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</si>
  <si>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</si>
  <si>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</si>
  <si>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</si>
  <si>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</si>
  <si>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</si>
  <si>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</si>
  <si>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</si>
  <si>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</si>
  <si>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</si>
  <si>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</si>
  <si>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</si>
  <si>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</si>
  <si>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</si>
  <si>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</si>
  <si>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</si>
  <si>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</si>
  <si>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</si>
  <si>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</si>
  <si>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</si>
  <si>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</si>
  <si>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</si>
  <si>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</si>
  <si>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</si>
  <si>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</si>
  <si>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</si>
  <si>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</si>
  <si>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</si>
  <si>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</si>
  <si>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</si>
  <si>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</si>
  <si>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</si>
  <si>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</si>
  <si>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</si>
  <si>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</si>
  <si>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</si>
  <si>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</si>
  <si>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</si>
  <si>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</si>
  <si>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</si>
  <si>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</si>
  <si>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</si>
  <si>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</si>
  <si>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</si>
  <si>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</si>
  <si>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</si>
  <si>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</si>
  <si>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</si>
  <si>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</si>
  <si>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</si>
  <si>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</si>
  <si>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</si>
  <si>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</si>
  <si>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</si>
  <si>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</si>
  <si>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</si>
  <si>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</si>
  <si>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</si>
  <si>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</si>
  <si>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</si>
  <si>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</si>
  <si>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</si>
  <si>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</si>
  <si>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</si>
  <si>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</si>
  <si>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</si>
  <si>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</si>
  <si>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</si>
  <si>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</si>
  <si>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</si>
  <si>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</si>
  <si>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</si>
  <si>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</si>
  <si>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</si>
  <si>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</si>
  <si>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</si>
  <si>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</si>
  <si>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</si>
  <si>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</si>
  <si>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</si>
  <si>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</si>
  <si>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</si>
  <si>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</si>
  <si>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</si>
  <si>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</si>
  <si>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</si>
  <si>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</si>
  <si>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</si>
  <si>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</si>
  <si>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</si>
  <si>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</si>
  <si>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</si>
  <si>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</si>
  <si>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</si>
  <si>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</si>
  <si>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</si>
  <si>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</si>
  <si>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</si>
  <si>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</si>
  <si>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</si>
  <si>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</si>
  <si>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</si>
  <si>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</si>
  <si>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</si>
  <si>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</si>
  <si>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</si>
  <si>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</si>
  <si>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</si>
  <si>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</si>
  <si>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</si>
  <si>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</si>
  <si>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</si>
  <si>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</si>
  <si>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</si>
  <si>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</si>
  <si>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</si>
  <si>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</si>
  <si>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</si>
  <si>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</si>
  <si>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</si>
  <si>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</si>
  <si>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</si>
  <si>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</si>
  <si>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</si>
  <si>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</si>
  <si>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</si>
  <si>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</si>
  <si>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</si>
  <si>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</si>
  <si>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</si>
  <si>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</si>
  <si>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</si>
  <si>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</si>
  <si>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</si>
  <si>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</si>
  <si>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</si>
  <si>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</si>
  <si>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</si>
  <si>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</si>
  <si>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</si>
  <si>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</si>
  <si>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</si>
  <si>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</si>
  <si>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</si>
  <si>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</si>
  <si>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</si>
  <si>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</si>
  <si>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</si>
  <si>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</si>
  <si>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</si>
  <si>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</si>
  <si>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</si>
  <si>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</si>
  <si>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</si>
  <si>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</si>
  <si>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</si>
  <si>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</si>
  <si>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</si>
  <si>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</si>
  <si>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</si>
  <si>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</si>
  <si>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</si>
  <si>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</si>
  <si>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</si>
  <si>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</si>
  <si>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</si>
  <si>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</si>
  <si>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</si>
  <si>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</si>
  <si>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</si>
  <si>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</si>
  <si>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</si>
  <si>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</si>
  <si>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</si>
  <si>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</si>
  <si>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</si>
  <si>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</si>
  <si>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</si>
  <si>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</si>
  <si>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</si>
  <si>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</si>
  <si>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</si>
  <si>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</si>
  <si>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</si>
  <si>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</si>
  <si>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</si>
  <si>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</si>
  <si>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</si>
  <si>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</si>
  <si>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</si>
  <si>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</si>
  <si>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</si>
  <si>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</si>
  <si>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</si>
  <si>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</si>
  <si>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</si>
  <si>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</si>
  <si>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</si>
  <si>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</si>
  <si>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</si>
  <si>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</si>
  <si>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</si>
  <si>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</si>
  <si>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</si>
  <si>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</si>
  <si>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</si>
  <si>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</si>
  <si>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</si>
  <si>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</si>
  <si>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</si>
  <si>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</si>
  <si>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</si>
  <si>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</si>
  <si>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</si>
  <si>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</si>
  <si>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</si>
  <si>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</si>
  <si>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</si>
  <si>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</si>
  <si>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</si>
  <si>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</si>
  <si>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</si>
  <si>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</si>
  <si>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</si>
  <si>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</si>
  <si>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</si>
  <si>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</si>
  <si>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</si>
  <si>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</si>
  <si>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</si>
  <si>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</si>
  <si>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</si>
  <si>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</si>
  <si>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</si>
  <si>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</si>
  <si>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</si>
  <si>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</si>
  <si>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</si>
  <si>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</si>
  <si>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</si>
  <si>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</si>
  <si>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</si>
  <si>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</si>
  <si>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</si>
  <si>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</si>
  <si>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</si>
  <si>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</si>
  <si>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</si>
  <si>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</si>
  <si>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</si>
  <si>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</si>
  <si>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</si>
  <si>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</si>
  <si>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</si>
  <si>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</si>
  <si>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</si>
  <si>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</si>
  <si>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</si>
  <si>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</si>
  <si>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</si>
  <si>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</si>
  <si>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</si>
  <si>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</si>
  <si>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</si>
  <si>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</si>
  <si>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</si>
  <si>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</si>
  <si>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</si>
  <si>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</si>
  <si>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</si>
  <si>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</si>
  <si>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</si>
  <si>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</si>
  <si>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</si>
  <si>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</si>
  <si>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</si>
  <si>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</si>
  <si>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</si>
  <si>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</si>
  <si>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</si>
  <si>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</si>
  <si>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</si>
  <si>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</si>
  <si>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</si>
  <si>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</si>
  <si>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</si>
  <si>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</si>
  <si>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</si>
  <si>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</si>
  <si>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</si>
  <si>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</si>
  <si>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</si>
  <si>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</si>
  <si>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</si>
  <si>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</si>
  <si>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</si>
  <si>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</si>
  <si>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</si>
  <si>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</si>
  <si>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</si>
  <si>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</si>
  <si>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</si>
  <si>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</si>
  <si>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</si>
  <si>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</si>
  <si>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</si>
  <si>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</si>
  <si>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</si>
  <si>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</si>
  <si>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</si>
  <si>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</si>
  <si>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</si>
  <si>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</si>
  <si>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</si>
  <si>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</si>
  <si>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</si>
  <si>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</si>
  <si>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</si>
  <si>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</si>
  <si>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</si>
  <si>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</si>
  <si>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</si>
  <si>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</si>
  <si>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</si>
  <si>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</si>
  <si>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</si>
  <si>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</si>
  <si>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</si>
  <si>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</si>
  <si>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</si>
  <si>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</si>
  <si>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</si>
  <si>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</si>
  <si>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</si>
  <si>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</si>
  <si>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</si>
  <si>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</si>
  <si>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</si>
  <si>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</si>
  <si>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</si>
  <si>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</si>
  <si>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</si>
  <si>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</si>
  <si>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</si>
  <si>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</si>
  <si>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</si>
  <si>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</si>
  <si>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</si>
  <si>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</si>
  <si>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</si>
  <si>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</si>
  <si>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</si>
  <si>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</si>
  <si>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</si>
  <si>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</si>
  <si>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</si>
  <si>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</si>
  <si>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</si>
  <si>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</si>
  <si>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</si>
  <si>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</si>
  <si>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</si>
  <si>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</si>
  <si>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</si>
  <si>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</si>
  <si>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</si>
  <si>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</si>
  <si>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</si>
  <si>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</si>
  <si>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</si>
  <si>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</si>
  <si>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</si>
  <si>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</si>
  <si>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</si>
  <si>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</si>
  <si>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</si>
  <si>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</si>
  <si>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</si>
  <si>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</si>
  <si>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</si>
  <si>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</si>
  <si>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</si>
  <si>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</si>
  <si>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</si>
  <si>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</si>
  <si>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</si>
  <si>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</si>
  <si>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</si>
  <si>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</si>
  <si>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</si>
  <si>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</si>
  <si>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</si>
  <si>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</si>
  <si>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</si>
  <si>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</si>
  <si>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</si>
  <si>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</si>
  <si>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</si>
  <si>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</si>
  <si>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</si>
  <si>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</si>
  <si>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</si>
  <si>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</si>
  <si>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</si>
  <si>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</si>
  <si>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</si>
  <si>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</si>
  <si>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</si>
  <si>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</si>
  <si>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</si>
  <si>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</si>
  <si>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</si>
  <si>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</si>
  <si>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</si>
  <si>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</si>
  <si>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</si>
  <si>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</si>
  <si>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</si>
  <si>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</si>
  <si>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</si>
  <si>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</si>
  <si>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</si>
  <si>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</si>
  <si>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</si>
  <si>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</si>
  <si>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</si>
  <si>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</si>
  <si>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</si>
  <si>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</si>
  <si>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</si>
  <si>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</si>
  <si>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</si>
  <si>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</si>
  <si>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</si>
  <si>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</si>
  <si>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</si>
  <si>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</si>
  <si>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</si>
  <si>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</si>
  <si>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</si>
  <si>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</si>
  <si>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</si>
  <si>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</si>
  <si>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</si>
  <si>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</si>
  <si>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</si>
  <si>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</si>
  <si>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</si>
  <si>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</si>
  <si>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</si>
  <si>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</si>
  <si>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</si>
  <si>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</si>
  <si>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</si>
  <si>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</si>
  <si>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</si>
  <si>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</si>
  <si>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</si>
  <si>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</si>
  <si>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</si>
  <si>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</si>
  <si>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</si>
  <si>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</si>
  <si>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</si>
  <si>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</si>
  <si>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</si>
  <si>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</si>
  <si>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</si>
  <si>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</si>
  <si>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</si>
  <si>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</si>
  <si>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</si>
  <si>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</si>
  <si>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</si>
  <si>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</si>
  <si>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</si>
  <si>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</si>
  <si>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</si>
  <si>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</si>
  <si>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</si>
  <si>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</si>
  <si>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</si>
  <si>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</si>
  <si>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</si>
  <si>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</si>
  <si>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</si>
  <si>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</si>
  <si>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</si>
  <si>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</si>
  <si>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</si>
  <si>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</si>
  <si>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</si>
  <si>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</si>
  <si>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</si>
  <si>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</si>
  <si>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</si>
  <si>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</si>
  <si>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</si>
  <si>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</si>
  <si>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</si>
  <si>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</si>
  <si>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</si>
  <si>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</si>
  <si>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</si>
  <si>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</si>
  <si>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</si>
  <si>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</si>
  <si>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</si>
  <si>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</si>
  <si>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</si>
  <si>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</si>
  <si>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</si>
  <si>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</si>
  <si>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</si>
  <si>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</si>
  <si>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</si>
  <si>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</si>
  <si>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</si>
  <si>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</si>
  <si>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</si>
  <si>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</si>
  <si>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</si>
  <si>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</si>
  <si>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</si>
  <si>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</si>
  <si>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</si>
  <si>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</si>
  <si>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</si>
  <si>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</si>
  <si>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</si>
  <si>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</si>
  <si>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</si>
  <si>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</si>
  <si>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</si>
  <si>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</si>
  <si>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</si>
  <si>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</si>
  <si>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</si>
  <si>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</si>
  <si>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</si>
  <si>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</si>
  <si>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</si>
  <si>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</si>
  <si>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</si>
  <si>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</si>
  <si>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</si>
  <si>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</si>
  <si>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</si>
  <si>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</si>
  <si>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</si>
  <si>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</si>
  <si>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</si>
  <si>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</si>
  <si>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</si>
  <si>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</si>
  <si>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</si>
  <si>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</si>
  <si>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</si>
  <si>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</si>
  <si>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</si>
  <si>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</si>
  <si>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</si>
  <si>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</si>
  <si>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</si>
  <si>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</si>
  <si>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</si>
  <si>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</si>
  <si>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</si>
  <si>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</si>
  <si>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</si>
  <si>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</si>
  <si>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</si>
  <si>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</si>
  <si>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</si>
  <si>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</si>
  <si>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</si>
  <si>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</si>
  <si>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</si>
  <si>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</si>
  <si>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</si>
  <si>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</si>
  <si>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</si>
  <si>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</si>
  <si>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</si>
  <si>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</si>
  <si>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</si>
  <si>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</si>
  <si>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</si>
  <si>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</si>
  <si>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</si>
  <si>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</si>
  <si>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</si>
  <si>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</si>
  <si>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</si>
  <si>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</si>
  <si>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</si>
  <si>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</si>
  <si>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</si>
  <si>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</si>
  <si>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</si>
  <si>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</si>
  <si>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</si>
  <si>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</si>
  <si>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</si>
  <si>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</si>
  <si>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</si>
  <si>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</si>
  <si>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</si>
  <si>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</si>
  <si>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</si>
  <si>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</si>
  <si>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</si>
  <si>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</si>
  <si>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</si>
  <si>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</si>
  <si>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</si>
  <si>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</si>
  <si>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</si>
  <si>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</si>
  <si>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</si>
  <si>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</si>
  <si>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</si>
  <si>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</si>
  <si>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</si>
  <si>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</si>
  <si>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</si>
  <si>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</si>
  <si>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</si>
  <si>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</si>
  <si>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</si>
  <si>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</si>
  <si>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</si>
  <si>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</si>
  <si>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</si>
  <si>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</si>
  <si>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</si>
  <si>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</si>
  <si>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</si>
  <si>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</si>
  <si>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</si>
  <si>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</si>
  <si>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</si>
  <si>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</si>
  <si>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</si>
  <si>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</si>
  <si>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</si>
  <si>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</si>
  <si>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</si>
  <si>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</si>
  <si>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</si>
  <si>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</si>
  <si>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</si>
  <si>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</si>
  <si>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</si>
  <si>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</si>
  <si>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</si>
  <si>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</si>
  <si>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</si>
  <si>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</si>
  <si>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</si>
  <si>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</si>
  <si>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</si>
  <si>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</si>
  <si>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</si>
  <si>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</si>
  <si>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</si>
  <si>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</si>
  <si>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</si>
  <si>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</si>
  <si>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</si>
  <si>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</si>
  <si>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</si>
  <si>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</si>
  <si>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</si>
  <si>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</si>
  <si>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</si>
  <si>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</si>
  <si>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</si>
  <si>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</si>
  <si>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</si>
  <si>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</si>
  <si>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</si>
  <si>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</si>
  <si>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</si>
  <si>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</si>
  <si>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</si>
  <si>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</si>
  <si>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</si>
  <si>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</si>
  <si>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</si>
  <si>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</si>
  <si>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</si>
  <si>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</si>
  <si>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</si>
  <si>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</si>
  <si>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</si>
  <si>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</si>
  <si>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</si>
  <si>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</si>
  <si>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</si>
  <si>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</si>
  <si>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</si>
  <si>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</si>
  <si>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</si>
  <si>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</si>
  <si>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</si>
  <si>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</si>
  <si>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</si>
  <si>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</si>
  <si>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</si>
  <si>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</si>
  <si>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</si>
  <si>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</si>
  <si>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</si>
  <si>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</si>
  <si>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</si>
  <si>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</si>
  <si>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</si>
  <si>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</si>
  <si>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</si>
  <si>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</si>
  <si>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</si>
  <si>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</si>
  <si>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</si>
  <si>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</si>
  <si>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</si>
  <si>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</si>
  <si>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</si>
  <si>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</si>
  <si>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</si>
  <si>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</si>
  <si>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</si>
  <si>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</si>
  <si>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</si>
  <si>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</si>
  <si>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</si>
  <si>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</si>
  <si>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</si>
  <si>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</si>
  <si>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</si>
  <si>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</si>
  <si>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</si>
  <si>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</si>
  <si>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</si>
  <si>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</si>
  <si>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</si>
  <si>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</si>
  <si>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</si>
  <si>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</si>
  <si>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</si>
  <si>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</si>
  <si>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</si>
  <si>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</si>
  <si>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</si>
  <si>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</si>
  <si>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</si>
  <si>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</si>
  <si>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</si>
  <si>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</si>
  <si>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</si>
  <si>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</si>
  <si>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</si>
  <si>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</si>
  <si>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</si>
  <si>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</si>
  <si>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</si>
  <si>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</si>
  <si>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</si>
  <si>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</si>
  <si>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</si>
  <si>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</si>
  <si>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</si>
  <si>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</si>
  <si>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</si>
  <si>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</si>
  <si>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</si>
  <si>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</si>
  <si>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</si>
  <si>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</si>
  <si>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</si>
  <si>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</si>
  <si>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</si>
  <si>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</si>
  <si>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</si>
  <si>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</si>
  <si>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</si>
  <si>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</si>
  <si>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</si>
  <si>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</si>
  <si>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</si>
  <si>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</si>
  <si>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</si>
  <si>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</si>
  <si>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</si>
  <si>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</si>
  <si>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</si>
  <si>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</si>
  <si>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</si>
  <si>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</si>
  <si>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</si>
  <si>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</si>
  <si>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</si>
  <si>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</si>
  <si>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</si>
  <si>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</si>
  <si>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</si>
  <si>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</si>
  <si>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</si>
  <si>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</si>
  <si>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</si>
  <si>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</si>
  <si>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</si>
  <si>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</si>
  <si>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</si>
  <si>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</si>
  <si>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</si>
  <si>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</si>
  <si>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</si>
  <si>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</si>
  <si>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</si>
  <si>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</si>
  <si>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</si>
  <si>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</si>
  <si>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</si>
  <si>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</si>
  <si>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</si>
  <si>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</si>
  <si>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</si>
  <si>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</si>
  <si>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</si>
  <si>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</si>
  <si>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</si>
  <si>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</si>
  <si>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</si>
  <si>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</si>
  <si>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</si>
  <si>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</si>
  <si>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</si>
  <si>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</si>
  <si>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</si>
  <si>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</si>
  <si>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</si>
  <si>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</si>
  <si>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</si>
  <si>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</si>
  <si>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</si>
  <si>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</si>
  <si>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</si>
  <si>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</si>
  <si>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</si>
  <si>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</si>
  <si>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</si>
  <si>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</si>
  <si>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</si>
  <si>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</si>
  <si>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</si>
  <si>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</si>
  <si>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</si>
  <si>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</si>
  <si>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</si>
  <si>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</si>
  <si>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</si>
  <si>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</si>
  <si>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</si>
  <si>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</si>
  <si>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</si>
  <si>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</si>
  <si>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</si>
  <si>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</si>
  <si>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</si>
  <si>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</si>
  <si>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</si>
  <si>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</si>
  <si>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</si>
  <si>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</si>
  <si>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</si>
  <si>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</si>
  <si>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</si>
  <si>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</si>
  <si>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</si>
  <si>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</si>
  <si>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</si>
  <si>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</si>
  <si>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</si>
  <si>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</si>
  <si>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</si>
  <si>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</si>
  <si>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</si>
  <si>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</si>
  <si>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</si>
  <si>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</si>
  <si>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</si>
  <si>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</si>
  <si>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</si>
  <si>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</si>
  <si>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</si>
  <si>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</si>
  <si>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</si>
  <si>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</si>
  <si>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</si>
  <si>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</si>
  <si>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</si>
  <si>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</si>
  <si>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</si>
  <si>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</si>
  <si>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</si>
  <si>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</si>
  <si>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</si>
  <si>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</si>
  <si>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</si>
  <si>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</si>
  <si>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</si>
  <si>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</si>
  <si>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</si>
  <si>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</si>
  <si>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</si>
  <si>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</si>
  <si>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</si>
  <si>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</si>
  <si>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</si>
  <si>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</si>
  <si>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</si>
  <si>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</si>
  <si>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</si>
  <si>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</si>
  <si>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</si>
  <si>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</si>
  <si>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</si>
  <si>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</si>
  <si>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</si>
  <si>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</si>
  <si>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</si>
  <si>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</si>
  <si>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</si>
  <si>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</si>
  <si>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</si>
  <si>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</si>
  <si>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</si>
  <si>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</si>
  <si>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</si>
  <si>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</si>
  <si>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</si>
  <si>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</si>
  <si>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</si>
  <si>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</si>
  <si>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</si>
  <si>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</si>
  <si>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</si>
  <si>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</si>
  <si>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</si>
  <si>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</si>
  <si>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</si>
  <si>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</si>
  <si>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</si>
  <si>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</si>
  <si>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</si>
  <si>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</si>
  <si>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</si>
  <si>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</si>
  <si>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</si>
  <si>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</si>
  <si>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</si>
  <si>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</si>
  <si>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</si>
  <si>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</si>
  <si>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</si>
  <si>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</si>
  <si>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</si>
  <si>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</si>
  <si>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</si>
  <si>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</si>
  <si>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</si>
  <si>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</si>
  <si>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</si>
  <si>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</si>
  <si>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</si>
  <si>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</si>
  <si>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</si>
  <si>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</si>
  <si>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</si>
  <si>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</si>
  <si>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</si>
  <si>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</si>
  <si>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</si>
  <si>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</si>
  <si>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</si>
  <si>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</si>
  <si>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</si>
  <si>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</si>
  <si>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</si>
  <si>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</si>
  <si>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</si>
  <si>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</si>
  <si>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</si>
  <si>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</si>
  <si>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</si>
  <si>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</si>
  <si>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</si>
  <si>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</si>
  <si>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</si>
  <si>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</si>
  <si>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</si>
  <si>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</si>
  <si>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</si>
  <si>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</si>
  <si>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</si>
  <si>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</si>
  <si>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</si>
  <si>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</si>
  <si>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</si>
  <si>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</si>
  <si>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</si>
  <si>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</si>
  <si>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</si>
  <si>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</si>
  <si>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</si>
  <si>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</si>
  <si>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</si>
  <si>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</si>
  <si>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</si>
  <si>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</si>
  <si>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</si>
  <si>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</si>
  <si>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</si>
  <si>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</si>
  <si>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</si>
  <si>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</si>
  <si>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</si>
  <si>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</si>
  <si>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</si>
  <si>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</si>
  <si>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</si>
  <si>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</si>
  <si>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</si>
  <si>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</si>
  <si>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</si>
  <si>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</si>
  <si>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</si>
  <si>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</si>
  <si>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</si>
  <si>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</si>
  <si>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</si>
  <si>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</si>
  <si>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</si>
  <si>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</si>
  <si>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</si>
  <si>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</si>
  <si>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</si>
  <si>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</si>
  <si>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</si>
  <si>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</si>
  <si>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</si>
  <si>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</si>
  <si>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</si>
  <si>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</si>
  <si>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</si>
  <si>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</si>
  <si>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</si>
  <si>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</si>
  <si>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</si>
  <si>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</si>
  <si>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</si>
  <si>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</si>
  <si>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</si>
  <si>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</si>
  <si>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</si>
  <si>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</si>
  <si>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</si>
  <si>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</si>
  <si>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</si>
  <si>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</si>
  <si>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</si>
  <si>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</si>
  <si>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</si>
  <si>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</si>
  <si>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</si>
  <si>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</si>
  <si>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</si>
  <si>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</si>
  <si>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</si>
  <si>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</si>
  <si>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</si>
  <si>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</si>
  <si>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</si>
  <si>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</si>
  <si>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</si>
  <si>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</si>
  <si>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</si>
  <si>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</si>
  <si>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</si>
  <si>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</si>
  <si>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</si>
  <si>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</si>
  <si>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</si>
  <si>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</si>
  <si>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</si>
  <si>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</si>
  <si>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</si>
  <si>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</si>
  <si>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</si>
  <si>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</si>
  <si>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</si>
  <si>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</si>
  <si>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</si>
  <si>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</si>
  <si>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</si>
  <si>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</si>
  <si>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</si>
  <si>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</si>
  <si>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</si>
  <si>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</si>
  <si>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</si>
  <si>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</si>
  <si>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</si>
  <si>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</si>
  <si>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</si>
  <si>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</si>
  <si>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</si>
  <si>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</si>
  <si>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</si>
  <si>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</si>
  <si>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</si>
  <si>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</si>
  <si>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</si>
  <si>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</si>
  <si>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</si>
  <si>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</si>
  <si>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</si>
  <si>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</si>
  <si>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</si>
  <si>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</si>
  <si>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</si>
  <si>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</si>
  <si>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</si>
  <si>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</si>
  <si>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</si>
  <si>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</si>
  <si>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</si>
  <si>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</si>
  <si>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</si>
  <si>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</si>
  <si>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</si>
  <si>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</si>
  <si>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</si>
  <si>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</si>
  <si>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</si>
  <si>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</si>
  <si>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</si>
  <si>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</si>
  <si>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</si>
  <si>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</si>
  <si>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</si>
  <si>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</si>
  <si>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</si>
  <si>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</si>
  <si>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</si>
  <si>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</si>
  <si>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</si>
  <si>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</si>
  <si>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</si>
  <si>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</si>
  <si>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</si>
  <si>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</si>
  <si>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</si>
  <si>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</si>
  <si>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</si>
  <si>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</si>
  <si>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</si>
  <si>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</si>
  <si>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</si>
  <si>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</si>
  <si>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</si>
  <si>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</si>
  <si>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</si>
  <si>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</si>
  <si>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</si>
  <si>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</si>
  <si>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</si>
  <si>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</si>
  <si>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</si>
  <si>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</si>
  <si>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</si>
  <si>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</si>
  <si>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</si>
  <si>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</si>
  <si>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</si>
  <si>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</si>
  <si>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</si>
  <si>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</si>
  <si>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</si>
  <si>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</si>
  <si>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</si>
  <si>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</si>
  <si>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</si>
  <si>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</si>
  <si>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</si>
  <si>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</si>
  <si>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</si>
  <si>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</si>
  <si>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</si>
  <si>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</si>
  <si>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</si>
  <si>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</si>
  <si>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</si>
  <si>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</si>
  <si>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</si>
  <si>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</si>
  <si>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</si>
  <si>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</si>
  <si>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</si>
  <si>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</si>
  <si>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</si>
  <si>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</si>
  <si>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</si>
  <si>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</si>
  <si>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</si>
  <si>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</si>
  <si>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</si>
  <si>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</si>
  <si>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</si>
  <si>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</si>
  <si>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</si>
  <si>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</si>
  <si>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</si>
  <si>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</si>
  <si>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</si>
  <si>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</si>
  <si>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</si>
  <si>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</si>
  <si>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</si>
  <si>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</si>
  <si>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</si>
  <si>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</si>
  <si>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</si>
  <si>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</si>
  <si>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</si>
  <si>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</si>
  <si>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</si>
  <si>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</si>
  <si>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</si>
  <si>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</si>
  <si>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</si>
  <si>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</si>
  <si>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</si>
  <si>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</si>
  <si>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</si>
  <si>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</si>
  <si>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</si>
  <si>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</si>
  <si>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</si>
  <si>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</si>
  <si>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</si>
  <si>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</si>
  <si>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</si>
  <si>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</si>
  <si>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</si>
  <si>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</si>
  <si>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</si>
  <si>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</si>
  <si>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</si>
  <si>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</si>
  <si>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</si>
  <si>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</si>
  <si>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</si>
  <si>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</si>
  <si>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</si>
  <si>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</si>
  <si>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</si>
  <si>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</si>
  <si>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</si>
  <si>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</si>
  <si>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2011ARF_RootBiomassCN_ByDepth</t>
  </si>
  <si>
    <t>2011ARF_SoilCN_byDepth, 2011ARF_SoilCN_byQuad, 2011ARF_RootBiomassCN_byQuad, 2011ARF_AbvgrdBiomassCN_control, 2011ARF_AbvgrdBiomassCN_mod, 2011ARF_AbvgrdBiomassCN_severe</t>
  </si>
  <si>
    <t>Version 1: Updated metadata sheet to newer version (with sites sheet). CH March 2013</t>
  </si>
  <si>
    <t>Total fine root N (gC/m2)</t>
  </si>
  <si>
    <t>http://ecosystems.mbl.edu/ARC/meta_template.php?FileName=./burn/terrestrial/xlsfiles/2011ARF_RootBiomassCN_ByDepth.html</t>
  </si>
  <si>
    <t>http://metacat.lternet.edu/das/dataAccessServlet?docid=knb-lter-arc.10202&amp;amp;urlTail=burn/terrestrial/data/2011ARF_RootBiomassCN_ByDepth.csv</t>
  </si>
  <si>
    <t>.=Missing or Not Measured</t>
  </si>
  <si>
    <t>Version 2 Corrected eml excel .xls -&gt; .xlsx JimL</t>
  </si>
  <si>
    <t>Version 3: updated investigator information (Dec2013-JD)</t>
  </si>
  <si>
    <t>knb-lter-arc.10202.3</t>
  </si>
  <si>
    <t>2011ARF_RootBiomassCN_ByDepth.3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</si>
</sst>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m\-yyyy"/>
    <numFmt numFmtId="165" formatCode="0.000"/>
    <numFmt numFmtId="166" formatCode="0.00000"/>
  </numFmts>
  <fonts count="29" x14ac:knownFonts="1">
    <font>
      <sz val="11"/>
      <color theme="1"/>
      <name val="Calibri"/>
      <family val="2"/>
      <scheme val="minor"/>
    </font>
    <font>
      <sz val="11"/>
      <color theme="1"/>
      <name val="Calibri"/>
      <family val="2"/>
      <scheme val="minor"/>
    </font>
    <font>
      <sz val="10"/>
      <name val="Arial"/>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color indexed="8"/>
      <name val="MS Sans Serif"/>
      <family val="2"/>
    </font>
    <font>
      <sz val="10"/>
      <name val="Verdana"/>
      <family val="2"/>
    </font>
    <font>
      <b/>
      <sz val="11"/>
      <color theme="1"/>
      <name val="Calibri"/>
      <family val="2"/>
      <scheme val="minor"/>
    </font>
    <font>
      <b/>
      <sz val="9"/>
      <color indexed="81"/>
      <name val="Tahoma"/>
      <family val="2"/>
    </font>
    <font>
      <b/>
      <sz val="8"/>
      <color indexed="39"/>
      <name val="Tahoma"/>
      <family val="2"/>
    </font>
    <font>
      <b/>
      <sz val="8"/>
      <color indexed="12"/>
      <name val="Arial"/>
      <family val="2"/>
    </font>
    <font>
      <b/>
      <sz val="8"/>
      <color indexed="10"/>
      <name val="Arial"/>
      <family val="2"/>
    </font>
  </fonts>
  <fills count="10">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
      <patternFill patternType="solid">
        <fgColor indexed="1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2" fillId="0" borderId="0"/>
    <xf numFmtId="0" fontId="7" fillId="0" borderId="0" applyNumberFormat="0" applyFill="0" applyBorder="0" applyAlignment="0" applyProtection="0">
      <alignment vertical="top"/>
      <protection locked="0"/>
    </xf>
    <xf numFmtId="0" fontId="13" fillId="0" borderId="0"/>
    <xf numFmtId="0" fontId="2" fillId="0" borderId="0"/>
    <xf numFmtId="0" fontId="22" fillId="0" borderId="0"/>
    <xf numFmtId="0" fontId="2" fillId="0" borderId="0"/>
    <xf numFmtId="0" fontId="22" fillId="0" borderId="0"/>
    <xf numFmtId="0" fontId="1" fillId="0" borderId="0"/>
    <xf numFmtId="0" fontId="1" fillId="0" borderId="0"/>
    <xf numFmtId="0" fontId="23" fillId="0" borderId="0"/>
  </cellStyleXfs>
  <cellXfs count="102">
    <xf numFmtId="0" fontId="0" fillId="0" borderId="0" xfId="0"/>
    <xf numFmtId="0" fontId="3" fillId="0" borderId="0" xfId="1" applyFont="1" applyAlignment="1" applyProtection="1">
      <alignment vertical="top"/>
    </xf>
    <xf numFmtId="0" fontId="2" fillId="0" borderId="0" xfId="1" applyFont="1" applyAlignment="1" applyProtection="1">
      <alignment horizontal="left" wrapText="1"/>
      <protection locked="0"/>
    </xf>
    <xf numFmtId="0" fontId="4" fillId="0" borderId="0" xfId="1" applyFont="1" applyProtection="1">
      <protection locked="0"/>
    </xf>
    <xf numFmtId="0" fontId="5" fillId="0" borderId="0" xfId="1" applyFont="1" applyProtection="1">
      <protection locked="0"/>
    </xf>
    <xf numFmtId="0" fontId="2" fillId="0" borderId="0" xfId="1" applyFont="1"/>
    <xf numFmtId="0" fontId="6" fillId="0" borderId="1" xfId="1" applyFont="1" applyFill="1" applyBorder="1" applyAlignment="1" applyProtection="1"/>
    <xf numFmtId="0" fontId="6" fillId="0" borderId="1" xfId="1" applyFont="1" applyFill="1" applyBorder="1" applyAlignment="1" applyProtection="1">
      <alignment horizontal="left"/>
    </xf>
    <xf numFmtId="0" fontId="2" fillId="0" borderId="0" xfId="1" applyFont="1" applyProtection="1">
      <protection locked="0"/>
    </xf>
    <xf numFmtId="0" fontId="6" fillId="0" borderId="3" xfId="1" applyFont="1" applyBorder="1" applyAlignment="1" applyProtection="1"/>
    <xf numFmtId="0" fontId="5" fillId="2" borderId="1" xfId="1" applyFont="1" applyFill="1" applyBorder="1" applyAlignment="1" applyProtection="1">
      <alignment vertical="top"/>
    </xf>
    <xf numFmtId="0" fontId="2" fillId="0" borderId="0" xfId="1" applyFont="1" applyFill="1" applyBorder="1"/>
    <xf numFmtId="0" fontId="2" fillId="0" borderId="0" xfId="1" applyFont="1" applyAlignment="1" applyProtection="1">
      <alignment vertical="top"/>
    </xf>
    <xf numFmtId="0" fontId="2" fillId="0" borderId="0" xfId="1" applyFont="1" applyAlignment="1" applyProtection="1">
      <protection locked="0"/>
    </xf>
    <xf numFmtId="0" fontId="2" fillId="0" borderId="0" xfId="1" applyNumberFormat="1" applyFont="1" applyAlignment="1" applyProtection="1">
      <alignment horizontal="left"/>
      <protection locked="0"/>
    </xf>
    <xf numFmtId="0" fontId="8" fillId="0" borderId="0" xfId="1" applyFont="1" applyAlignment="1" applyProtection="1">
      <protection locked="0"/>
    </xf>
    <xf numFmtId="0" fontId="2" fillId="4" borderId="1" xfId="1" applyFont="1" applyFill="1" applyBorder="1" applyAlignment="1" applyProtection="1">
      <alignment horizontal="left" wrapText="1"/>
      <protection locked="0"/>
    </xf>
    <xf numFmtId="0" fontId="2" fillId="0" borderId="0" xfId="1" applyFont="1" applyAlignment="1" applyProtection="1">
      <alignment vertical="top" wrapText="1"/>
    </xf>
    <xf numFmtId="0" fontId="9" fillId="2" borderId="1" xfId="1" applyFont="1" applyFill="1" applyBorder="1" applyAlignment="1" applyProtection="1">
      <alignment vertical="top" wrapText="1"/>
    </xf>
    <xf numFmtId="0" fontId="5" fillId="2" borderId="1" xfId="1" applyFont="1" applyFill="1" applyBorder="1" applyAlignment="1" applyProtection="1">
      <alignment horizontal="left" wrapText="1"/>
    </xf>
    <xf numFmtId="49" fontId="5" fillId="5" borderId="0" xfId="1" applyNumberFormat="1" applyFont="1" applyFill="1" applyBorder="1" applyAlignment="1" applyProtection="1">
      <alignment horizontal="right" vertical="top"/>
    </xf>
    <xf numFmtId="49" fontId="2" fillId="6" borderId="1" xfId="1" applyNumberFormat="1" applyFont="1" applyFill="1" applyBorder="1" applyAlignment="1" applyProtection="1">
      <alignment horizontal="left" wrapText="1"/>
      <protection locked="0"/>
    </xf>
    <xf numFmtId="49" fontId="2" fillId="0" borderId="0" xfId="1" applyNumberFormat="1" applyFont="1"/>
    <xf numFmtId="0" fontId="2" fillId="0" borderId="0" xfId="1" applyFont="1" applyFill="1" applyBorder="1" applyAlignment="1" applyProtection="1">
      <alignment horizontal="right" vertical="top"/>
    </xf>
    <xf numFmtId="0" fontId="2" fillId="0" borderId="0" xfId="1" applyFont="1" applyFill="1" applyAlignment="1" applyProtection="1">
      <alignment horizontal="left" wrapText="1"/>
      <protection locked="0"/>
    </xf>
    <xf numFmtId="0" fontId="2" fillId="0" borderId="0" xfId="1" applyFont="1" applyFill="1" applyProtection="1">
      <protection locked="0"/>
    </xf>
    <xf numFmtId="0" fontId="2" fillId="0" borderId="0" xfId="1" applyFont="1" applyFill="1" applyAlignment="1" applyProtection="1">
      <alignment horizontal="right" vertical="top" wrapText="1"/>
    </xf>
    <xf numFmtId="0" fontId="5" fillId="2" borderId="1" xfId="1" applyNumberFormat="1" applyFont="1" applyFill="1" applyBorder="1" applyAlignment="1" applyProtection="1">
      <alignment vertical="top" wrapText="1"/>
    </xf>
    <xf numFmtId="0" fontId="2" fillId="0" borderId="0" xfId="1" applyFont="1" applyBorder="1" applyAlignment="1" applyProtection="1">
      <alignment horizontal="left" wrapText="1"/>
      <protection locked="0"/>
    </xf>
    <xf numFmtId="0" fontId="6" fillId="0" borderId="1" xfId="1" applyFont="1" applyFill="1" applyBorder="1" applyAlignment="1" applyProtection="1">
      <alignment horizontal="right"/>
    </xf>
    <xf numFmtId="0" fontId="6" fillId="0" borderId="3" xfId="1" applyFont="1" applyBorder="1" applyAlignment="1"/>
    <xf numFmtId="0" fontId="5" fillId="7" borderId="0" xfId="1" applyNumberFormat="1" applyFont="1" applyFill="1" applyAlignment="1" applyProtection="1">
      <alignment horizontal="right" vertical="top" wrapText="1"/>
    </xf>
    <xf numFmtId="0" fontId="5" fillId="7" borderId="0" xfId="1" applyFont="1" applyFill="1" applyAlignment="1" applyProtection="1">
      <alignment horizontal="right" vertical="top" wrapText="1"/>
    </xf>
    <xf numFmtId="164" fontId="2" fillId="3" borderId="1" xfId="1" applyNumberFormat="1" applyFont="1" applyFill="1" applyBorder="1" applyAlignment="1" applyProtection="1">
      <alignment horizontal="left" wrapText="1"/>
      <protection locked="0"/>
    </xf>
    <xf numFmtId="0" fontId="5" fillId="7" borderId="0" xfId="1" applyFont="1" applyFill="1" applyAlignment="1" applyProtection="1">
      <alignment horizontal="right" vertical="top"/>
    </xf>
    <xf numFmtId="0" fontId="5" fillId="7" borderId="0" xfId="1" applyFont="1" applyFill="1" applyBorder="1" applyAlignment="1" applyProtection="1">
      <alignment horizontal="right" vertical="top"/>
    </xf>
    <xf numFmtId="0" fontId="2" fillId="0" borderId="0" xfId="1" applyFont="1" applyAlignment="1" applyProtection="1">
      <alignment horizontal="right" vertical="top"/>
    </xf>
    <xf numFmtId="0" fontId="2" fillId="3" borderId="1" xfId="1" applyFont="1" applyFill="1" applyBorder="1" applyAlignment="1" applyProtection="1">
      <alignment horizontal="left" vertical="top" wrapText="1"/>
      <protection locked="0"/>
    </xf>
    <xf numFmtId="0" fontId="5" fillId="2" borderId="4" xfId="1" applyFont="1" applyFill="1" applyBorder="1" applyAlignment="1" applyProtection="1">
      <alignment horizontal="left" vertical="top"/>
    </xf>
    <xf numFmtId="0" fontId="5" fillId="7" borderId="0" xfId="1" applyFont="1" applyFill="1" applyBorder="1" applyAlignment="1" applyProtection="1">
      <alignment horizontal="left" vertical="top"/>
    </xf>
    <xf numFmtId="0" fontId="2" fillId="3" borderId="5" xfId="1" applyFont="1" applyFill="1" applyBorder="1" applyAlignment="1" applyProtection="1">
      <alignment horizontal="left" wrapText="1"/>
      <protection locked="0"/>
    </xf>
    <xf numFmtId="0" fontId="2" fillId="3" borderId="6" xfId="1" applyFont="1" applyFill="1" applyBorder="1" applyAlignment="1" applyProtection="1">
      <alignment horizontal="left" wrapText="1"/>
      <protection locked="0"/>
    </xf>
    <xf numFmtId="0" fontId="5" fillId="2" borderId="1" xfId="1" applyFont="1" applyFill="1" applyBorder="1" applyAlignment="1" applyProtection="1">
      <alignment horizontal="left" vertical="top"/>
    </xf>
    <xf numFmtId="0" fontId="2" fillId="0" borderId="1" xfId="1" applyFont="1" applyBorder="1" applyAlignment="1" applyProtection="1">
      <alignment horizontal="left" wrapText="1"/>
      <protection locked="0"/>
    </xf>
    <xf numFmtId="0" fontId="5" fillId="0" borderId="0" xfId="1" applyFont="1" applyFill="1" applyBorder="1" applyAlignment="1" applyProtection="1">
      <alignment horizontal="right" vertical="top"/>
    </xf>
    <xf numFmtId="0" fontId="2" fillId="0" borderId="0" xfId="1" applyFont="1" applyFill="1" applyBorder="1" applyAlignment="1" applyProtection="1">
      <alignment horizontal="left" wrapText="1"/>
      <protection locked="0"/>
    </xf>
    <xf numFmtId="0" fontId="5" fillId="2" borderId="1" xfId="1" applyFont="1" applyFill="1" applyBorder="1" applyAlignment="1" applyProtection="1">
      <alignment wrapText="1"/>
    </xf>
    <xf numFmtId="0" fontId="5" fillId="7" borderId="0" xfId="1" applyFont="1" applyFill="1" applyBorder="1" applyAlignment="1" applyProtection="1">
      <alignment horizontal="right" wrapText="1"/>
    </xf>
    <xf numFmtId="0" fontId="5" fillId="7" borderId="2" xfId="1" applyFont="1" applyFill="1" applyBorder="1" applyAlignment="1" applyProtection="1">
      <alignment horizontal="right" wrapText="1"/>
    </xf>
    <xf numFmtId="0" fontId="5" fillId="2" borderId="1" xfId="1" applyFont="1" applyFill="1" applyBorder="1" applyAlignment="1" applyProtection="1">
      <alignment vertical="top" wrapText="1"/>
    </xf>
    <xf numFmtId="0" fontId="8" fillId="0" borderId="0" xfId="1" applyFont="1"/>
    <xf numFmtId="0" fontId="2" fillId="0" borderId="0" xfId="1" applyFont="1" applyAlignment="1" applyProtection="1"/>
    <xf numFmtId="0" fontId="2" fillId="0" borderId="0" xfId="1" applyNumberFormat="1" applyFont="1" applyAlignment="1" applyProtection="1">
      <protection locked="0"/>
    </xf>
    <xf numFmtId="0" fontId="2" fillId="0" borderId="0" xfId="1" applyFont="1" applyFill="1" applyAlignment="1" applyProtection="1">
      <alignment vertical="center"/>
      <protection locked="0"/>
    </xf>
    <xf numFmtId="0" fontId="2" fillId="0" borderId="0" xfId="1" applyFont="1" applyAlignment="1" applyProtection="1">
      <alignment vertical="center"/>
      <protection locked="0"/>
    </xf>
    <xf numFmtId="0" fontId="2" fillId="0" borderId="0" xfId="1" applyFont="1" applyAlignment="1" applyProtection="1">
      <alignment horizontal="left"/>
      <protection locked="0"/>
    </xf>
    <xf numFmtId="0" fontId="5" fillId="2" borderId="7" xfId="1" applyFont="1" applyFill="1" applyBorder="1" applyAlignment="1" applyProtection="1">
      <alignment horizontal="left"/>
    </xf>
    <xf numFmtId="0" fontId="2" fillId="2" borderId="8" xfId="1" applyNumberFormat="1" applyFont="1" applyFill="1" applyBorder="1" applyAlignment="1" applyProtection="1">
      <alignment horizontal="left"/>
    </xf>
    <xf numFmtId="0" fontId="5" fillId="2" borderId="9" xfId="1" applyFont="1" applyFill="1" applyBorder="1" applyAlignment="1" applyProtection="1">
      <alignment horizontal="right" wrapText="1"/>
    </xf>
    <xf numFmtId="0" fontId="2" fillId="3" borderId="2" xfId="1" applyFont="1" applyFill="1" applyBorder="1" applyAlignment="1" applyProtection="1">
      <alignment horizontal="left"/>
      <protection locked="0"/>
    </xf>
    <xf numFmtId="0" fontId="2" fillId="6" borderId="3" xfId="1" applyFont="1" applyFill="1" applyBorder="1" applyAlignment="1" applyProtection="1">
      <protection locked="0"/>
    </xf>
    <xf numFmtId="0" fontId="5" fillId="2" borderId="2" xfId="1" applyFont="1" applyFill="1" applyBorder="1" applyAlignment="1" applyProtection="1">
      <alignment horizontal="right"/>
    </xf>
    <xf numFmtId="0" fontId="2" fillId="3" borderId="9" xfId="1" applyFont="1" applyFill="1" applyBorder="1" applyAlignment="1" applyProtection="1">
      <alignment horizontal="left"/>
      <protection locked="0"/>
    </xf>
    <xf numFmtId="0" fontId="2" fillId="6" borderId="10" xfId="1" applyFont="1" applyFill="1" applyBorder="1" applyAlignment="1" applyProtection="1">
      <protection locked="0"/>
    </xf>
    <xf numFmtId="0" fontId="5" fillId="0" borderId="0" xfId="1" applyFont="1" applyAlignment="1" applyProtection="1">
      <alignment horizontal="center" vertical="top"/>
    </xf>
    <xf numFmtId="0" fontId="5" fillId="2" borderId="1" xfId="1" applyFont="1" applyFill="1" applyBorder="1" applyAlignment="1" applyProtection="1">
      <alignment horizontal="right" vertical="top"/>
    </xf>
    <xf numFmtId="0" fontId="11" fillId="0" borderId="0" xfId="1" applyFont="1"/>
    <xf numFmtId="0" fontId="5" fillId="7" borderId="1" xfId="1" applyFont="1" applyFill="1" applyBorder="1" applyAlignment="1" applyProtection="1">
      <alignment vertical="center" wrapText="1"/>
    </xf>
    <xf numFmtId="0" fontId="5" fillId="7" borderId="1" xfId="1" applyFont="1" applyFill="1" applyBorder="1" applyAlignment="1" applyProtection="1">
      <alignment horizontal="left" vertical="center" wrapText="1"/>
    </xf>
    <xf numFmtId="0" fontId="5" fillId="0" borderId="0" xfId="1" applyFont="1" applyFill="1" applyBorder="1" applyAlignment="1" applyProtection="1">
      <alignment vertical="center" wrapText="1"/>
    </xf>
    <xf numFmtId="0" fontId="12" fillId="0" borderId="0" xfId="1" applyFont="1"/>
    <xf numFmtId="0" fontId="2" fillId="0" borderId="0" xfId="1" applyFont="1" applyAlignment="1" applyProtection="1">
      <alignment wrapText="1"/>
      <protection locked="0"/>
    </xf>
    <xf numFmtId="0" fontId="14" fillId="0" borderId="0" xfId="1" applyFont="1"/>
    <xf numFmtId="0" fontId="2" fillId="0" borderId="0" xfId="1" applyFont="1" applyAlignment="1" applyProtection="1">
      <alignment vertical="top" wrapText="1"/>
      <protection locked="0"/>
    </xf>
    <xf numFmtId="0" fontId="2" fillId="0" borderId="0" xfId="1" applyFont="1" applyAlignment="1">
      <alignment vertical="center" wrapText="1"/>
    </xf>
    <xf numFmtId="0" fontId="2" fillId="0" borderId="0" xfId="1" applyFont="1" applyAlignment="1">
      <alignment vertical="top"/>
    </xf>
    <xf numFmtId="0" fontId="0" fillId="0" borderId="0" xfId="0" applyAlignment="1">
      <alignment horizontal="right"/>
    </xf>
    <xf numFmtId="165" fontId="0" fillId="0" borderId="0" xfId="0" applyNumberFormat="1"/>
    <xf numFmtId="1" fontId="0" fillId="0" borderId="0" xfId="0" applyNumberFormat="1"/>
    <xf numFmtId="0" fontId="24" fillId="0" borderId="0" xfId="0" applyFont="1" applyAlignment="1">
      <alignment horizontal="center" wrapText="1"/>
    </xf>
    <xf numFmtId="0" fontId="5" fillId="0" borderId="0" xfId="1" applyFont="1" applyFill="1" applyBorder="1" applyAlignment="1" applyProtection="1">
      <alignment horizontal="left" wrapText="1"/>
      <protection locked="0"/>
    </xf>
    <xf numFmtId="0" fontId="2" fillId="0" borderId="0" xfId="1" applyFont="1" applyFill="1" applyBorder="1" applyAlignment="1"/>
    <xf numFmtId="0" fontId="7" fillId="3" borderId="1" xfId="2" applyFill="1" applyBorder="1" applyAlignment="1" applyProtection="1">
      <alignment horizontal="left" vertical="top" wrapText="1"/>
    </xf>
    <xf numFmtId="0" fontId="2" fillId="8" borderId="1" xfId="1" applyFont="1" applyFill="1" applyBorder="1" applyAlignment="1" applyProtection="1">
      <alignment horizontal="center" wrapText="1"/>
      <protection locked="0"/>
    </xf>
    <xf numFmtId="0" fontId="2" fillId="0" borderId="0" xfId="1"/>
    <xf numFmtId="0" fontId="27" fillId="0" borderId="0" xfId="1" applyFont="1" applyAlignment="1">
      <alignment horizontal="center" wrapText="1"/>
    </xf>
    <xf numFmtId="0" fontId="27" fillId="0" borderId="0" xfId="1" applyFont="1" applyAlignment="1">
      <alignment wrapText="1"/>
    </xf>
    <xf numFmtId="166" fontId="27" fillId="0" borderId="0" xfId="1" applyNumberFormat="1" applyFont="1" applyAlignment="1">
      <alignment wrapText="1"/>
    </xf>
    <xf numFmtId="1" fontId="27" fillId="0" borderId="0" xfId="1" applyNumberFormat="1" applyFont="1" applyAlignment="1">
      <alignment wrapText="1"/>
    </xf>
    <xf numFmtId="0" fontId="28" fillId="0" borderId="0" xfId="1" applyFont="1" applyAlignment="1">
      <alignment horizontal="center" wrapText="1"/>
    </xf>
    <xf numFmtId="0" fontId="7" fillId="0" borderId="0" xfId="2" applyAlignment="1" applyProtection="1"/>
    <xf numFmtId="0" fontId="2" fillId="0" borderId="0" xfId="1" applyAlignment="1"/>
    <xf numFmtId="1" fontId="2" fillId="0" borderId="0" xfId="1" applyNumberFormat="1"/>
    <xf numFmtId="0" fontId="2" fillId="9" borderId="0" xfId="1" applyFont="1" applyFill="1" applyAlignment="1" applyProtection="1">
      <alignment wrapText="1"/>
      <protection locked="0"/>
    </xf>
    <xf numFmtId="0" fontId="2" fillId="0" borderId="0" xfId="1" applyFont="1" applyFill="1" applyAlignment="1" applyProtection="1">
      <alignment wrapText="1"/>
      <protection locked="0"/>
    </xf>
    <xf numFmtId="0" fontId="2" fillId="0" borderId="0" xfId="1" applyFont="1" applyFill="1" applyAlignment="1" applyProtection="1">
      <alignment vertical="top" wrapText="1"/>
      <protection locked="0"/>
    </xf>
    <xf numFmtId="0" fontId="0" fillId="0" borderId="0" xfId="0" applyFill="1"/>
    <xf numFmtId="0" fontId="7" fillId="0" borderId="2" xfId="2" applyFill="1" applyBorder="1" applyAlignment="1" applyProtection="1">
      <alignment horizontal="left"/>
    </xf>
    <xf numFmtId="0" fontId="2" fillId="3" borderId="2" xfId="1" applyFont="1" applyFill="1" applyBorder="1" applyAlignment="1" applyProtection="1">
      <alignment horizontal="left" wrapText="1"/>
      <protection locked="0"/>
    </xf>
    <xf numFmtId="0" fontId="2" fillId="0" borderId="3" xfId="1" applyFont="1" applyBorder="1" applyAlignment="1"/>
    <xf numFmtId="0" fontId="5" fillId="0" borderId="0" xfId="1" applyFont="1" applyFill="1" applyBorder="1" applyAlignment="1" applyProtection="1">
      <alignment horizontal="left" wrapText="1"/>
      <protection locked="0"/>
    </xf>
    <xf numFmtId="0" fontId="2" fillId="0" borderId="0" xfId="1" applyFont="1" applyFill="1" applyBorder="1" applyAlignment="1"/>
  </cellXfs>
  <cellStyles count="11">
    <cellStyle name="Hyperlink" xfId="2" builtinId="8"/>
    <cellStyle name="Normal" xfId="0" builtinId="0"/>
    <cellStyle name="Normal 2" xfId="1"/>
    <cellStyle name="Normal 2 2" xfId="4"/>
    <cellStyle name="Normal 2 3" xfId="5"/>
    <cellStyle name="Normal 2 4" xfId="6"/>
    <cellStyle name="Normal 3" xfId="3"/>
    <cellStyle name="Normal 3 2" xfId="7"/>
    <cellStyle name="Normal 4" xfId="8"/>
    <cellStyle name="Normal 5" xfId="9"/>
    <cellStyle name="Normal 6" xfId="10"/>
  </cellStyles>
  <dxfs count="10">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Below ground root biomass was measured by depth increments at three sites at and around the Anaktuvuk River Burn: severely burned, moderately burned and unburned.  Roots were also analyzed for carbon and nitrogen concentrations.  </a:t>
          </a:r>
        </a:p>
      </xdr:txBody>
    </xdr:sp>
    <xdr:clientData fLocksWithSheet="0"/>
  </xdr:twoCellAnchor>
  <xdr:twoCellAnchor>
    <xdr:from>
      <xdr:col>1</xdr:col>
      <xdr:colOff>30480</xdr:colOff>
      <xdr:row>65</xdr:row>
      <xdr:rowOff>17145</xdr:rowOff>
    </xdr:from>
    <xdr:to>
      <xdr:col>6</xdr:col>
      <xdr:colOff>817247</xdr:colOff>
      <xdr:row>106</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 The Anaktuvuk River Fire occurred in 2007 on the North Slope of Alaska. In 2008, three eddy covariance towers were established at sites representing unburned tundra, moderately burned tundra, and severely burned tundra. The three sites (unburned, moderately burned and severely burned) were harvested  for analysis of biomass, carbon concentration and nitrogen concentration during the summer of 2011. </a:t>
          </a:r>
          <a:br>
            <a:rPr lang="en-US"/>
          </a:br>
          <a:r>
            <a:rPr lang="en-US"/>
            <a:t>
Units: Tissue mass data are expressed in g/m2 and percentages as indicated.</a:t>
          </a:r>
          <a:br>
            <a:rPr lang="en-US"/>
          </a:br>
          <a:r>
            <a:rPr lang="en-US"/>
            <a:t/>
          </a:r>
          <a:br>
            <a:rPr lang="en-US"/>
          </a:br>
          <a:r>
            <a:rPr lang="en-US"/>
            <a:t>Sampling description:
Two transects at each of three sites were harvested for  aboveground biomass where  transect 108 and 109 are from the unburned control site, 101 and 114 are from the severely burned site and 103 and 104 are from the moderately burned site . Quadrats measuring 10 x 40 cm were harvested every 5 meters over 50 meter transects for a total of 20 quadrats per site. Aboveground biomass is considered "within" the quadrat if it is associated with a meristem that is within the quadrat. Briefly, harvest method were as follows: the rhizome-containing soil layer was harvested by cutting around each quadrat boundary with a serrated bread knife.  All aboveground live vascular plant biomass, and all live rhizomes and belowground stems within the quadrat boundaries, were separated by species. Above ground biomass data and methods are further explained in 2011ARF_AbvgroundBiomassCN.
For every second quadrat in a transect, two contiguous 10 x 20 cm soil monoliths were excised from the side of the pit, extending from the surface of the green moss to the surface of the mineral soil (roughly 5-30 cm depth depending on location). In addition, two cores (2.42 cm in diameter) were taken through the mineral soil from the bottom of these monoliths to the ice surface at the bottom of the thawed layer. Monoliths and cores were wrapped in tinfoil to preserve structure, returned to the field station, and refrigerated prior to analyses. Within 24 hours of collection, one monolith and one core from each location were processed for determination of microbial biomass, bulk density, moisture, and C and N concentrations in both soluble (NH4+, NO3-, DON, and DOC) pools and solid fractions.  Soil data and further method description is available in file 2011ARF_SoilCN. 
Coarse (&gt; 2 mm) and fine roots (&lt; 2 mm) were separated by hand from the other monolith (organic soil) and core (mineral soil).  The core and monolith were sliced into 5 cm to 10 cm depth increments. Fine roots were separated into Eriophorum vaginatum roots (which are readily distinguished due to their vertical growth pattern, consistent diameter, and lack of branching) and other roots. The samples were dried at 70°C in a drying oven and after several days weighed to the nearest milligram at Toolik Field Station. 
Root samples were analyzed for C and N content on a Costech Elemental Analyzer (Costech Analytical, Los Angeles, California, USA) calibrated with the NIST peach leaves standard (SRM 1547, National Institute of Standards and Technology, Gaithersburg, MD, USA).
For further information reference: 
Bret-Harte, M.S., Mack, M.C., Shaver, G.R., Huebner, D.C., Johnston, M., Johica, C.A., Pizano, M.C., Reiskind, J.A. (2013) The response of arctic vegetation and soils following the Anaktuvuk River fire of 2007. Philosophical Transactions of the Royal Society: Biological Science, Submitted.
</a:t>
          </a:r>
          <a:br>
            <a:rPr lang="en-US"/>
          </a:br>
          <a:r>
            <a:rPr lang="en-US"/>
            <a:t>Notes:</a:t>
          </a:r>
          <a:br>
            <a:rPr lang="en-US"/>
          </a:br>
          <a:r>
            <a:rPr lang="en-US"/>
            <a:t>If no samples were present in the biomass data, zeros were used. Where calculations were not possible dots were used as place holders.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202&amp;amp;urlTail=burn/terrestrial/data/2011ARF_RootBiomassCN_ByDepth.csv" TargetMode="External"/><Relationship Id="rId1" Type="http://schemas.openxmlformats.org/officeDocument/2006/relationships/hyperlink" Target="http://ecosystems.mbl.edu/ARC/meta_template.php?FileName=./burn/terrestrial/xlsfiles/2011ARF_RootBiomassCN_ByDepth.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46"/>
  <sheetViews>
    <sheetView tabSelected="1" zoomScale="96" zoomScaleNormal="96" workbookViewId="0">
      <selection activeCell="C37" sqref="C37"/>
    </sheetView>
  </sheetViews>
  <sheetFormatPr defaultColWidth="8.85546875" defaultRowHeight="12.75" x14ac:dyDescent="0.2"/>
  <cols>
    <col min="1" max="1" width="26.140625" style="75" customWidth="1"/>
    <col min="2" max="2" width="46" style="2" bestFit="1" customWidth="1"/>
    <col min="3" max="4" width="30.7109375" style="8" customWidth="1"/>
    <col min="5" max="9" width="30.7109375" style="5" customWidth="1"/>
    <col min="10" max="16384" width="8.85546875" style="5"/>
  </cols>
  <sheetData>
    <row r="1" spans="1:9" ht="18" x14ac:dyDescent="0.25">
      <c r="A1" s="1" t="s">
        <v>37</v>
      </c>
      <c r="C1" s="3"/>
      <c r="D1" s="4"/>
    </row>
    <row r="2" spans="1:9" x14ac:dyDescent="0.2">
      <c r="A2" s="6" t="s">
        <v>38</v>
      </c>
      <c r="B2" s="7" t="s">
        <v>1710</v>
      </c>
    </row>
    <row r="3" spans="1:9" x14ac:dyDescent="0.2">
      <c r="A3" s="6" t="s">
        <v>39</v>
      </c>
      <c r="B3" s="7">
        <v>2013</v>
      </c>
    </row>
    <row r="4" spans="1:9" x14ac:dyDescent="0.2">
      <c r="A4" s="6" t="s">
        <v>40</v>
      </c>
      <c r="B4" s="97" t="s">
        <v>1705</v>
      </c>
      <c r="C4" s="9"/>
    </row>
    <row r="5" spans="1:9" ht="22.5" customHeight="1" x14ac:dyDescent="0.2">
      <c r="A5" s="10" t="s">
        <v>41</v>
      </c>
      <c r="B5" s="98" t="s">
        <v>395</v>
      </c>
      <c r="C5" s="99"/>
      <c r="D5" s="5"/>
    </row>
    <row r="6" spans="1:9" ht="12.75" customHeight="1" x14ac:dyDescent="0.2">
      <c r="A6" s="10" t="s">
        <v>42</v>
      </c>
      <c r="B6" s="5"/>
      <c r="C6" s="5"/>
      <c r="D6" s="5"/>
      <c r="E6" s="11"/>
      <c r="F6" s="11"/>
    </row>
    <row r="7" spans="1:9" s="13" customFormat="1" x14ac:dyDescent="0.2">
      <c r="A7" s="12"/>
      <c r="B7" s="100"/>
      <c r="C7" s="101"/>
      <c r="D7" s="101"/>
    </row>
    <row r="8" spans="1:9" s="13" customFormat="1" x14ac:dyDescent="0.2">
      <c r="A8" s="12"/>
      <c r="B8" s="80"/>
      <c r="C8" s="81"/>
      <c r="D8" s="81"/>
    </row>
    <row r="9" spans="1:9" s="13" customFormat="1" x14ac:dyDescent="0.2">
      <c r="A9" s="12"/>
      <c r="B9" s="14"/>
    </row>
    <row r="10" spans="1:9" s="13" customFormat="1" x14ac:dyDescent="0.2">
      <c r="A10" s="12"/>
      <c r="B10" s="14"/>
    </row>
    <row r="11" spans="1:9" s="13" customFormat="1" x14ac:dyDescent="0.2">
      <c r="A11" s="12"/>
      <c r="B11" s="14"/>
    </row>
    <row r="12" spans="1:9" s="13" customFormat="1" ht="15" x14ac:dyDescent="0.2">
      <c r="A12" s="12"/>
      <c r="B12" s="15"/>
    </row>
    <row r="13" spans="1:9" s="13" customFormat="1" ht="15" x14ac:dyDescent="0.2">
      <c r="A13" s="12"/>
      <c r="B13" s="15"/>
    </row>
    <row r="14" spans="1:9" x14ac:dyDescent="0.2">
      <c r="A14" s="10" t="s">
        <v>43</v>
      </c>
      <c r="B14" s="16" t="s">
        <v>1711</v>
      </c>
    </row>
    <row r="15" spans="1:9" x14ac:dyDescent="0.2">
      <c r="A15" s="17"/>
    </row>
    <row r="16" spans="1:9" x14ac:dyDescent="0.2">
      <c r="A16" s="18" t="s">
        <v>44</v>
      </c>
      <c r="B16" s="19" t="s">
        <v>45</v>
      </c>
      <c r="C16" s="19" t="s">
        <v>46</v>
      </c>
      <c r="D16" s="19" t="s">
        <v>47</v>
      </c>
      <c r="E16" s="19" t="s">
        <v>48</v>
      </c>
      <c r="F16" s="19" t="s">
        <v>49</v>
      </c>
      <c r="G16" s="19" t="s">
        <v>50</v>
      </c>
      <c r="H16" s="19" t="s">
        <v>51</v>
      </c>
      <c r="I16" s="19" t="s">
        <v>52</v>
      </c>
    </row>
    <row r="17" spans="1:9" x14ac:dyDescent="0.2">
      <c r="A17" s="20" t="s">
        <v>53</v>
      </c>
      <c r="B17" s="21" t="s">
        <v>54</v>
      </c>
      <c r="C17" s="21" t="s">
        <v>54</v>
      </c>
      <c r="D17" s="21" t="s">
        <v>54</v>
      </c>
      <c r="E17" s="21" t="s">
        <v>55</v>
      </c>
      <c r="F17" s="21"/>
      <c r="G17" s="21"/>
      <c r="H17" s="21"/>
      <c r="I17" s="21"/>
    </row>
    <row r="18" spans="1:9" s="22" customFormat="1" x14ac:dyDescent="0.2">
      <c r="A18" s="20" t="s">
        <v>56</v>
      </c>
      <c r="B18" s="21" t="s">
        <v>58</v>
      </c>
      <c r="C18" s="21" t="s">
        <v>57</v>
      </c>
      <c r="D18" s="21" t="s">
        <v>59</v>
      </c>
      <c r="E18" s="21" t="s">
        <v>60</v>
      </c>
      <c r="F18" s="21"/>
      <c r="G18" s="21"/>
      <c r="H18" s="21"/>
      <c r="I18" s="21"/>
    </row>
    <row r="19" spans="1:9" s="22" customFormat="1" x14ac:dyDescent="0.2">
      <c r="A19" s="20" t="s">
        <v>61</v>
      </c>
      <c r="B19" s="21" t="s">
        <v>63</v>
      </c>
      <c r="C19" s="21" t="s">
        <v>62</v>
      </c>
      <c r="D19" s="21" t="s">
        <v>64</v>
      </c>
      <c r="E19" s="21" t="s">
        <v>65</v>
      </c>
      <c r="F19" s="21"/>
      <c r="G19" s="21"/>
      <c r="H19" s="21"/>
      <c r="I19" s="21"/>
    </row>
    <row r="20" spans="1:9" s="22" customFormat="1" x14ac:dyDescent="0.2">
      <c r="A20" s="20" t="s">
        <v>66</v>
      </c>
      <c r="B20" s="21" t="s">
        <v>68</v>
      </c>
      <c r="C20" s="21" t="s">
        <v>67</v>
      </c>
      <c r="D20" s="21" t="s">
        <v>69</v>
      </c>
      <c r="E20" s="21" t="s">
        <v>70</v>
      </c>
      <c r="F20" s="21"/>
      <c r="G20" s="21"/>
      <c r="H20" s="21"/>
      <c r="I20" s="21"/>
    </row>
    <row r="21" spans="1:9" s="22" customFormat="1" x14ac:dyDescent="0.2">
      <c r="A21" s="20" t="s">
        <v>71</v>
      </c>
      <c r="B21" s="21" t="s">
        <v>73</v>
      </c>
      <c r="C21" s="21" t="s">
        <v>72</v>
      </c>
      <c r="D21" s="21" t="s">
        <v>74</v>
      </c>
      <c r="E21" s="21" t="s">
        <v>75</v>
      </c>
      <c r="F21" s="21"/>
      <c r="G21" s="21"/>
      <c r="H21" s="21"/>
      <c r="I21" s="21"/>
    </row>
    <row r="22" spans="1:9" s="22" customFormat="1" x14ac:dyDescent="0.2">
      <c r="A22" s="20" t="s">
        <v>76</v>
      </c>
      <c r="B22" s="21" t="s">
        <v>78</v>
      </c>
      <c r="C22" s="21" t="s">
        <v>77</v>
      </c>
      <c r="D22" s="21" t="s">
        <v>79</v>
      </c>
      <c r="E22" s="21" t="s">
        <v>79</v>
      </c>
      <c r="F22" s="21"/>
      <c r="G22" s="21"/>
      <c r="H22" s="21"/>
      <c r="I22" s="21"/>
    </row>
    <row r="23" spans="1:9" s="22" customFormat="1" x14ac:dyDescent="0.2">
      <c r="A23" s="20" t="s">
        <v>80</v>
      </c>
      <c r="B23" s="21" t="s">
        <v>81</v>
      </c>
      <c r="C23" s="21"/>
      <c r="D23" s="21" t="s">
        <v>82</v>
      </c>
      <c r="E23" s="21" t="s">
        <v>83</v>
      </c>
      <c r="F23" s="21"/>
      <c r="G23" s="21"/>
      <c r="H23" s="21"/>
      <c r="I23" s="21"/>
    </row>
    <row r="24" spans="1:9" s="22" customFormat="1" x14ac:dyDescent="0.2">
      <c r="A24" s="20" t="s">
        <v>84</v>
      </c>
      <c r="B24" s="21" t="s">
        <v>86</v>
      </c>
      <c r="C24" s="21" t="s">
        <v>85</v>
      </c>
      <c r="D24" s="21" t="s">
        <v>87</v>
      </c>
      <c r="E24" s="21" t="s">
        <v>87</v>
      </c>
      <c r="F24" s="21"/>
      <c r="G24" s="21"/>
      <c r="H24" s="21"/>
      <c r="I24" s="21"/>
    </row>
    <row r="25" spans="1:9" s="22" customFormat="1" x14ac:dyDescent="0.2">
      <c r="A25" s="20" t="s">
        <v>88</v>
      </c>
      <c r="B25" s="21" t="s">
        <v>90</v>
      </c>
      <c r="C25" s="21" t="s">
        <v>89</v>
      </c>
      <c r="D25" s="21" t="s">
        <v>91</v>
      </c>
      <c r="E25" s="21" t="s">
        <v>91</v>
      </c>
      <c r="F25" s="21"/>
      <c r="G25" s="21"/>
      <c r="H25" s="21"/>
      <c r="I25" s="21"/>
    </row>
    <row r="26" spans="1:9" s="22" customFormat="1" x14ac:dyDescent="0.2">
      <c r="A26" s="20" t="s">
        <v>92</v>
      </c>
      <c r="B26" s="21" t="s">
        <v>94</v>
      </c>
      <c r="C26" s="21" t="s">
        <v>93</v>
      </c>
      <c r="D26" s="21" t="s">
        <v>95</v>
      </c>
      <c r="E26" s="21" t="s">
        <v>95</v>
      </c>
      <c r="F26" s="21"/>
      <c r="G26" s="21"/>
      <c r="H26" s="21"/>
      <c r="I26" s="21"/>
    </row>
    <row r="27" spans="1:9" s="22" customFormat="1" x14ac:dyDescent="0.2">
      <c r="A27" s="20" t="s">
        <v>96</v>
      </c>
      <c r="B27" s="21" t="s">
        <v>97</v>
      </c>
      <c r="C27" s="21" t="s">
        <v>97</v>
      </c>
      <c r="D27" s="21" t="s">
        <v>97</v>
      </c>
      <c r="E27" s="21" t="s">
        <v>97</v>
      </c>
      <c r="F27" s="21"/>
      <c r="G27" s="21"/>
      <c r="H27" s="21"/>
      <c r="I27" s="21"/>
    </row>
    <row r="28" spans="1:9" x14ac:dyDescent="0.2">
      <c r="A28" s="23"/>
      <c r="B28" s="24"/>
      <c r="C28" s="25"/>
    </row>
    <row r="29" spans="1:9" x14ac:dyDescent="0.2">
      <c r="A29" s="26"/>
    </row>
    <row r="30" spans="1:9" x14ac:dyDescent="0.2">
      <c r="A30" s="27" t="s">
        <v>98</v>
      </c>
      <c r="B30" s="28"/>
    </row>
    <row r="31" spans="1:9" hidden="1" x14ac:dyDescent="0.2">
      <c r="A31" s="29" t="s">
        <v>99</v>
      </c>
      <c r="B31" s="97" t="s">
        <v>1706</v>
      </c>
      <c r="C31" s="30"/>
    </row>
    <row r="32" spans="1:9" x14ac:dyDescent="0.2">
      <c r="A32" s="31" t="s">
        <v>100</v>
      </c>
      <c r="B32" s="16" t="s">
        <v>1701</v>
      </c>
    </row>
    <row r="33" spans="1:17" x14ac:dyDescent="0.2">
      <c r="A33" s="32" t="s">
        <v>101</v>
      </c>
      <c r="B33" s="33">
        <v>40748</v>
      </c>
    </row>
    <row r="34" spans="1:17" x14ac:dyDescent="0.2">
      <c r="A34" s="32" t="s">
        <v>102</v>
      </c>
      <c r="B34" s="33">
        <v>40752</v>
      </c>
    </row>
    <row r="35" spans="1:17" x14ac:dyDescent="0.2">
      <c r="A35" s="34" t="s">
        <v>103</v>
      </c>
      <c r="B35" s="16">
        <v>151</v>
      </c>
    </row>
    <row r="36" spans="1:17" ht="76.5" x14ac:dyDescent="0.2">
      <c r="A36" s="34" t="s">
        <v>104</v>
      </c>
      <c r="B36" s="16" t="s">
        <v>1702</v>
      </c>
    </row>
    <row r="37" spans="1:17" x14ac:dyDescent="0.2">
      <c r="A37" s="34" t="s">
        <v>105</v>
      </c>
      <c r="B37" s="16">
        <v>1</v>
      </c>
    </row>
    <row r="38" spans="1:17" x14ac:dyDescent="0.2">
      <c r="A38" s="35" t="s">
        <v>106</v>
      </c>
      <c r="B38" s="16"/>
    </row>
    <row r="39" spans="1:17" x14ac:dyDescent="0.2">
      <c r="A39" s="35" t="s">
        <v>107</v>
      </c>
      <c r="B39" s="16"/>
    </row>
    <row r="40" spans="1:17" x14ac:dyDescent="0.2">
      <c r="A40" s="34" t="s">
        <v>108</v>
      </c>
      <c r="B40" s="16" t="s">
        <v>396</v>
      </c>
    </row>
    <row r="41" spans="1:17" ht="25.5" x14ac:dyDescent="0.2">
      <c r="A41" s="34"/>
      <c r="B41" s="16" t="s">
        <v>1703</v>
      </c>
    </row>
    <row r="42" spans="1:17" x14ac:dyDescent="0.2">
      <c r="A42" s="34"/>
      <c r="B42" s="16" t="s">
        <v>1708</v>
      </c>
    </row>
    <row r="43" spans="1:17" ht="25.5" x14ac:dyDescent="0.2">
      <c r="A43" s="34"/>
      <c r="B43" s="16" t="s">
        <v>1709</v>
      </c>
    </row>
    <row r="44" spans="1:17" x14ac:dyDescent="0.2">
      <c r="A44" s="36"/>
      <c r="I44" s="5" t="s">
        <v>109</v>
      </c>
    </row>
    <row r="45" spans="1:17" x14ac:dyDescent="0.2">
      <c r="A45" s="27" t="s">
        <v>110</v>
      </c>
    </row>
    <row r="46" spans="1:17" x14ac:dyDescent="0.2">
      <c r="A46" s="35" t="s">
        <v>433</v>
      </c>
      <c r="B46" s="83" t="s">
        <v>454</v>
      </c>
      <c r="C46" s="83" t="s">
        <v>452</v>
      </c>
      <c r="D46" s="83" t="s">
        <v>447</v>
      </c>
      <c r="E46" s="83" t="s">
        <v>432</v>
      </c>
      <c r="F46" s="83" t="s">
        <v>432</v>
      </c>
      <c r="G46" s="83" t="s">
        <v>432</v>
      </c>
      <c r="H46" s="83" t="s">
        <v>432</v>
      </c>
      <c r="I46" s="83" t="s">
        <v>432</v>
      </c>
      <c r="J46" s="8"/>
      <c r="K46" s="8"/>
      <c r="L46" s="8"/>
      <c r="M46" s="8"/>
      <c r="N46" s="8"/>
      <c r="O46" s="8"/>
      <c r="P46" s="8"/>
      <c r="Q46" s="8"/>
    </row>
    <row r="47" spans="1:17" ht="38.25" x14ac:dyDescent="0.2">
      <c r="A47" s="35" t="s">
        <v>111</v>
      </c>
      <c r="B47" s="37" t="str">
        <f t="shared" ref="B47:I47" si="0">IF(ISNA(INDEX(Sites,MATCH(B46,Site_name,0),3)),"Enter Description", INDEX(Sites,MATCH(B46,Site_name,0),3))</f>
        <v>Anaktuvuk River Fire - Unburned flux tower (Station 2309) North Slope, Alaska</v>
      </c>
      <c r="C47" s="37" t="str">
        <f t="shared" si="0"/>
        <v>Anaktuvuk River Fire - Moderate burn flux tower (Station 2308 ) North Slope, Alaska</v>
      </c>
      <c r="D47" s="37" t="str">
        <f t="shared" si="0"/>
        <v>Anaktuvuk River Fire - Severe burn flux tower (Station 2304 ) North Slope, Alaska</v>
      </c>
      <c r="E47" s="37" t="str">
        <f t="shared" si="0"/>
        <v>Enter Description</v>
      </c>
      <c r="F47" s="37" t="str">
        <f t="shared" si="0"/>
        <v>Enter Description</v>
      </c>
      <c r="G47" s="37" t="str">
        <f t="shared" si="0"/>
        <v>Enter Description</v>
      </c>
      <c r="H47" s="37" t="str">
        <f t="shared" si="0"/>
        <v>Enter Description</v>
      </c>
      <c r="I47" s="37" t="str">
        <f t="shared" si="0"/>
        <v>Enter Description</v>
      </c>
      <c r="J47" s="8"/>
      <c r="K47" s="8"/>
      <c r="L47" s="8"/>
      <c r="M47" s="8"/>
      <c r="N47" s="8"/>
      <c r="O47" s="8"/>
    </row>
    <row r="48" spans="1:17" x14ac:dyDescent="0.2">
      <c r="A48" s="38" t="s">
        <v>112</v>
      </c>
      <c r="C48" s="2"/>
      <c r="D48" s="2"/>
      <c r="E48" s="2"/>
      <c r="F48" s="2"/>
      <c r="G48" s="2"/>
      <c r="H48" s="2"/>
      <c r="I48" s="2"/>
    </row>
    <row r="49" spans="1:19" x14ac:dyDescent="0.2">
      <c r="A49" s="39" t="s">
        <v>113</v>
      </c>
      <c r="B49" s="16"/>
      <c r="C49" s="16"/>
      <c r="D49" s="16"/>
      <c r="E49" s="16"/>
      <c r="F49" s="16"/>
      <c r="G49" s="16"/>
      <c r="H49" s="16"/>
      <c r="I49" s="16"/>
      <c r="J49" s="8"/>
      <c r="K49" s="8"/>
      <c r="L49" s="8"/>
      <c r="M49" s="8"/>
      <c r="N49" s="8"/>
      <c r="O49" s="8"/>
      <c r="P49" s="8"/>
      <c r="Q49" s="8"/>
      <c r="R49" s="8"/>
      <c r="S49" s="8"/>
    </row>
    <row r="50" spans="1:19" x14ac:dyDescent="0.2">
      <c r="A50" s="39" t="s">
        <v>114</v>
      </c>
      <c r="B50" s="40"/>
      <c r="C50" s="40"/>
      <c r="D50" s="40"/>
      <c r="E50" s="40"/>
      <c r="F50" s="40"/>
      <c r="G50" s="40"/>
      <c r="H50" s="40"/>
      <c r="I50" s="40"/>
      <c r="J50" s="8"/>
      <c r="K50" s="8"/>
      <c r="L50" s="8"/>
      <c r="M50" s="8"/>
      <c r="N50" s="8"/>
      <c r="O50" s="8"/>
      <c r="P50" s="8"/>
      <c r="Q50" s="8"/>
      <c r="R50" s="8"/>
      <c r="S50" s="8"/>
    </row>
    <row r="51" spans="1:19" x14ac:dyDescent="0.2">
      <c r="A51" s="39" t="s">
        <v>115</v>
      </c>
      <c r="B51" s="16"/>
      <c r="C51" s="16"/>
      <c r="D51" s="16"/>
      <c r="E51" s="16"/>
      <c r="F51" s="16"/>
      <c r="G51" s="16"/>
      <c r="H51" s="16"/>
      <c r="I51" s="16"/>
      <c r="J51" s="8"/>
      <c r="K51" s="8"/>
      <c r="L51" s="8"/>
      <c r="M51" s="8"/>
      <c r="N51" s="8"/>
      <c r="O51" s="8"/>
      <c r="P51" s="8"/>
      <c r="Q51" s="8"/>
      <c r="R51" s="8"/>
      <c r="S51" s="8"/>
    </row>
    <row r="52" spans="1:19" x14ac:dyDescent="0.2">
      <c r="A52" s="39" t="s">
        <v>116</v>
      </c>
      <c r="B52" s="41"/>
      <c r="C52" s="41"/>
      <c r="D52" s="41"/>
      <c r="E52" s="41"/>
      <c r="F52" s="41"/>
      <c r="G52" s="41"/>
      <c r="H52" s="41"/>
      <c r="I52" s="41"/>
      <c r="J52" s="8"/>
      <c r="K52" s="8"/>
      <c r="L52" s="8"/>
      <c r="M52" s="8"/>
      <c r="N52" s="8"/>
      <c r="O52" s="8"/>
      <c r="P52" s="8"/>
      <c r="Q52" s="8"/>
      <c r="R52" s="8"/>
      <c r="S52" s="8"/>
    </row>
    <row r="53" spans="1:19" x14ac:dyDescent="0.2">
      <c r="A53" s="42" t="s">
        <v>117</v>
      </c>
      <c r="B53" s="43"/>
      <c r="C53" s="43"/>
      <c r="D53" s="43"/>
      <c r="E53" s="43"/>
      <c r="F53" s="43"/>
      <c r="G53" s="43"/>
      <c r="H53" s="43"/>
      <c r="I53" s="43"/>
    </row>
    <row r="54" spans="1:19" x14ac:dyDescent="0.2">
      <c r="A54" s="35" t="s">
        <v>118</v>
      </c>
      <c r="B54" s="37">
        <f t="shared" ref="B54:I54" si="1">IF(ISNA(INDEX(Sites,MATCH(B46,Site_name,0),4)),"In Decimal Degrees", INDEX(Sites,MATCH(B46,Site_name,0),4))</f>
        <v>68.934444444444452</v>
      </c>
      <c r="C54" s="37">
        <f t="shared" si="1"/>
        <v>68.952222222222218</v>
      </c>
      <c r="D54" s="37">
        <f t="shared" si="1"/>
        <v>68.99666666666667</v>
      </c>
      <c r="E54" s="37" t="str">
        <f t="shared" si="1"/>
        <v>In Decimal Degrees</v>
      </c>
      <c r="F54" s="37" t="str">
        <f t="shared" si="1"/>
        <v>In Decimal Degrees</v>
      </c>
      <c r="G54" s="37" t="str">
        <f t="shared" si="1"/>
        <v>In Decimal Degrees</v>
      </c>
      <c r="H54" s="37" t="str">
        <f t="shared" si="1"/>
        <v>In Decimal Degrees</v>
      </c>
      <c r="I54" s="37" t="str">
        <f t="shared" si="1"/>
        <v>In Decimal Degrees</v>
      </c>
      <c r="J54" s="8"/>
      <c r="K54" s="8"/>
      <c r="L54" s="8"/>
      <c r="M54" s="8"/>
      <c r="N54" s="8"/>
      <c r="O54" s="8"/>
      <c r="P54" s="8"/>
      <c r="Q54" s="8"/>
    </row>
    <row r="55" spans="1:19" x14ac:dyDescent="0.2">
      <c r="A55" s="35" t="s">
        <v>119</v>
      </c>
      <c r="B55" s="37">
        <f t="shared" ref="B55:I55" si="2">IF(ISNA(INDEX(Sites,MATCH(B46,Site_name,0),5)),"In Decimal Degrees", INDEX(Sites,MATCH(B46,Site_name,0),5))</f>
        <v>-150.2727777777778</v>
      </c>
      <c r="C55" s="37">
        <f t="shared" si="2"/>
        <v>-150.21249999999998</v>
      </c>
      <c r="D55" s="37">
        <f t="shared" si="2"/>
        <v>-150.28100000000001</v>
      </c>
      <c r="E55" s="37" t="str">
        <f t="shared" si="2"/>
        <v>In Decimal Degrees</v>
      </c>
      <c r="F55" s="37" t="str">
        <f t="shared" si="2"/>
        <v>In Decimal Degrees</v>
      </c>
      <c r="G55" s="37" t="str">
        <f t="shared" si="2"/>
        <v>In Decimal Degrees</v>
      </c>
      <c r="H55" s="37" t="str">
        <f t="shared" si="2"/>
        <v>In Decimal Degrees</v>
      </c>
      <c r="I55" s="37" t="str">
        <f t="shared" si="2"/>
        <v>In Decimal Degrees</v>
      </c>
      <c r="J55" s="8"/>
      <c r="K55" s="8"/>
      <c r="L55" s="8"/>
      <c r="M55" s="8"/>
      <c r="N55" s="8"/>
      <c r="O55" s="8"/>
      <c r="P55" s="8"/>
      <c r="Q55" s="8"/>
    </row>
    <row r="56" spans="1:19" x14ac:dyDescent="0.2">
      <c r="A56" s="35" t="s">
        <v>120</v>
      </c>
      <c r="B56" s="37" t="str">
        <f t="shared" ref="B56:I56" si="3">IF(ISNA(INDEX(Sites,MATCH(B46,Site_name,0),6)),"In Meters", INDEX(Sites,MATCH(B46,Site_name,0),6))</f>
        <v/>
      </c>
      <c r="C56" s="37" t="str">
        <f t="shared" si="3"/>
        <v/>
      </c>
      <c r="D56" s="37" t="str">
        <f t="shared" si="3"/>
        <v/>
      </c>
      <c r="E56" s="37" t="str">
        <f t="shared" si="3"/>
        <v>In Meters</v>
      </c>
      <c r="F56" s="37" t="str">
        <f t="shared" si="3"/>
        <v>In Meters</v>
      </c>
      <c r="G56" s="37" t="str">
        <f t="shared" si="3"/>
        <v>In Meters</v>
      </c>
      <c r="H56" s="37" t="str">
        <f t="shared" si="3"/>
        <v>In Meters</v>
      </c>
      <c r="I56" s="37" t="str">
        <f t="shared" si="3"/>
        <v>In Meters</v>
      </c>
      <c r="J56" s="8"/>
      <c r="K56" s="8"/>
      <c r="L56" s="8"/>
      <c r="M56" s="8"/>
      <c r="N56" s="8"/>
      <c r="O56" s="8"/>
      <c r="P56" s="8"/>
      <c r="Q56" s="8"/>
    </row>
    <row r="57" spans="1:19" x14ac:dyDescent="0.2">
      <c r="A57" s="35" t="s">
        <v>431</v>
      </c>
      <c r="B57" s="82" t="str">
        <f t="shared" ref="B57:I57" si="4">IF(ISNUMBER(B$54),HYPERLINK("http://maps.google.com/maps?q="&amp;B54&amp;","&amp;B55,"View on Google Map"),"")</f>
        <v>View on Google Map</v>
      </c>
      <c r="C57" s="82" t="str">
        <f t="shared" si="4"/>
        <v>View on Google Map</v>
      </c>
      <c r="D57" s="82" t="str">
        <f t="shared" si="4"/>
        <v>View on Google Map</v>
      </c>
      <c r="E57" s="82" t="str">
        <f t="shared" si="4"/>
        <v/>
      </c>
      <c r="F57" s="82" t="str">
        <f t="shared" si="4"/>
        <v/>
      </c>
      <c r="G57" s="82" t="str">
        <f t="shared" si="4"/>
        <v/>
      </c>
      <c r="H57" s="82" t="str">
        <f t="shared" si="4"/>
        <v/>
      </c>
      <c r="I57" s="82" t="str">
        <f t="shared" si="4"/>
        <v/>
      </c>
    </row>
    <row r="58" spans="1:19" x14ac:dyDescent="0.2">
      <c r="A58" s="44"/>
      <c r="B58" s="45"/>
      <c r="C58" s="45"/>
      <c r="D58" s="45"/>
    </row>
    <row r="59" spans="1:19" x14ac:dyDescent="0.2">
      <c r="A59" s="46" t="s">
        <v>121</v>
      </c>
      <c r="B59" s="45"/>
      <c r="C59" s="25"/>
    </row>
    <row r="60" spans="1:19" x14ac:dyDescent="0.2">
      <c r="A60" s="47" t="s">
        <v>122</v>
      </c>
      <c r="B60" s="16" t="s">
        <v>123</v>
      </c>
      <c r="C60" s="8" t="s">
        <v>124</v>
      </c>
    </row>
    <row r="61" spans="1:19" x14ac:dyDescent="0.2">
      <c r="A61" s="23"/>
    </row>
    <row r="62" spans="1:19" x14ac:dyDescent="0.2">
      <c r="A62" s="46" t="s">
        <v>125</v>
      </c>
    </row>
    <row r="63" spans="1:19" ht="38.25" x14ac:dyDescent="0.2">
      <c r="A63" s="48" t="s">
        <v>126</v>
      </c>
      <c r="B63" s="16" t="s">
        <v>127</v>
      </c>
    </row>
    <row r="64" spans="1:19" x14ac:dyDescent="0.2">
      <c r="A64" s="44"/>
      <c r="B64" s="45"/>
    </row>
    <row r="65" spans="1:2" s="13" customFormat="1" ht="15" x14ac:dyDescent="0.2">
      <c r="A65" s="12"/>
      <c r="B65" s="15"/>
    </row>
    <row r="66" spans="1:2" ht="15" x14ac:dyDescent="0.2">
      <c r="A66" s="49" t="s">
        <v>128</v>
      </c>
      <c r="B66" s="50"/>
    </row>
    <row r="67" spans="1:2" s="13" customFormat="1" x14ac:dyDescent="0.2">
      <c r="A67" s="51"/>
    </row>
    <row r="68" spans="1:2" s="13" customFormat="1" x14ac:dyDescent="0.2">
      <c r="A68" s="12"/>
      <c r="B68" s="52"/>
    </row>
    <row r="69" spans="1:2" s="13" customFormat="1" x14ac:dyDescent="0.2">
      <c r="A69" s="12"/>
    </row>
    <row r="70" spans="1:2" s="13" customFormat="1" x14ac:dyDescent="0.2">
      <c r="A70" s="12"/>
    </row>
    <row r="71" spans="1:2" s="13" customFormat="1" x14ac:dyDescent="0.2">
      <c r="A71" s="12"/>
    </row>
    <row r="72" spans="1:2" s="13" customFormat="1" x14ac:dyDescent="0.2">
      <c r="A72" s="12"/>
    </row>
    <row r="73" spans="1:2" s="13" customFormat="1" x14ac:dyDescent="0.2">
      <c r="A73" s="12"/>
    </row>
    <row r="74" spans="1:2" s="13" customFormat="1" x14ac:dyDescent="0.2">
      <c r="A74" s="12"/>
    </row>
    <row r="75" spans="1:2" s="13" customFormat="1" x14ac:dyDescent="0.2">
      <c r="A75" s="12"/>
    </row>
    <row r="76" spans="1:2" s="13" customFormat="1" x14ac:dyDescent="0.2">
      <c r="A76" s="12"/>
    </row>
    <row r="77" spans="1:2" s="13" customFormat="1" x14ac:dyDescent="0.2">
      <c r="A77" s="12"/>
    </row>
    <row r="78" spans="1:2" s="13" customFormat="1" x14ac:dyDescent="0.2">
      <c r="A78" s="12"/>
    </row>
    <row r="79" spans="1:2" s="13" customFormat="1" x14ac:dyDescent="0.2">
      <c r="A79" s="12"/>
    </row>
    <row r="80" spans="1:2" s="13" customFormat="1" x14ac:dyDescent="0.2">
      <c r="A80" s="12"/>
    </row>
    <row r="81" spans="1:10" s="13" customFormat="1" x14ac:dyDescent="0.2">
      <c r="A81" s="12"/>
    </row>
    <row r="82" spans="1:10" s="13" customFormat="1" x14ac:dyDescent="0.2">
      <c r="A82" s="12"/>
    </row>
    <row r="83" spans="1:10" s="13" customFormat="1" x14ac:dyDescent="0.2">
      <c r="A83" s="12"/>
    </row>
    <row r="84" spans="1:10" s="13" customFormat="1" x14ac:dyDescent="0.2">
      <c r="A84" s="12"/>
    </row>
    <row r="85" spans="1:10" s="13" customFormat="1" x14ac:dyDescent="0.2">
      <c r="A85" s="12"/>
    </row>
    <row r="86" spans="1:10" s="13" customFormat="1" x14ac:dyDescent="0.2">
      <c r="A86" s="12"/>
    </row>
    <row r="87" spans="1:10" s="13" customFormat="1" x14ac:dyDescent="0.2">
      <c r="A87" s="12"/>
    </row>
    <row r="88" spans="1:10" s="13" customFormat="1" x14ac:dyDescent="0.2">
      <c r="A88" s="12"/>
    </row>
    <row r="89" spans="1:10" s="13" customFormat="1" x14ac:dyDescent="0.2">
      <c r="A89" s="12"/>
    </row>
    <row r="90" spans="1:10" s="13" customFormat="1" x14ac:dyDescent="0.2">
      <c r="A90" s="12"/>
    </row>
    <row r="91" spans="1:10" s="13" customFormat="1" x14ac:dyDescent="0.2">
      <c r="A91" s="12"/>
      <c r="B91" s="14"/>
    </row>
    <row r="92" spans="1:10" s="13" customFormat="1" x14ac:dyDescent="0.2">
      <c r="A92" s="12"/>
      <c r="B92" s="14"/>
    </row>
    <row r="93" spans="1:10" s="13" customFormat="1" x14ac:dyDescent="0.2">
      <c r="A93" s="12"/>
      <c r="B93" s="14"/>
    </row>
    <row r="94" spans="1:10" s="54" customFormat="1" x14ac:dyDescent="0.2">
      <c r="A94" s="12"/>
      <c r="B94" s="14"/>
      <c r="C94" s="13"/>
      <c r="D94" s="13"/>
      <c r="E94" s="13"/>
      <c r="F94" s="13"/>
      <c r="G94" s="13"/>
      <c r="H94" s="13"/>
      <c r="I94" s="13"/>
      <c r="J94" s="53"/>
    </row>
    <row r="95" spans="1:10" s="13" customFormat="1" x14ac:dyDescent="0.2">
      <c r="A95" s="12"/>
      <c r="B95" s="14"/>
    </row>
    <row r="96" spans="1:10" s="13" customFormat="1" x14ac:dyDescent="0.2">
      <c r="A96" s="12"/>
      <c r="B96" s="14"/>
    </row>
    <row r="97" spans="1:3" s="13" customFormat="1" x14ac:dyDescent="0.2">
      <c r="A97" s="12"/>
      <c r="B97" s="14"/>
    </row>
    <row r="98" spans="1:3" s="13" customFormat="1" x14ac:dyDescent="0.2">
      <c r="A98" s="12"/>
      <c r="B98" s="14"/>
    </row>
    <row r="99" spans="1:3" s="13" customFormat="1" x14ac:dyDescent="0.2">
      <c r="A99" s="12"/>
      <c r="B99" s="14"/>
    </row>
    <row r="100" spans="1:3" s="13" customFormat="1" x14ac:dyDescent="0.2">
      <c r="A100" s="12"/>
      <c r="B100" s="14"/>
    </row>
    <row r="101" spans="1:3" s="13" customFormat="1" x14ac:dyDescent="0.2">
      <c r="A101" s="12"/>
      <c r="B101" s="14"/>
    </row>
    <row r="102" spans="1:3" s="13" customFormat="1" x14ac:dyDescent="0.2">
      <c r="A102" s="12"/>
      <c r="B102" s="14"/>
    </row>
    <row r="103" spans="1:3" s="13" customFormat="1" x14ac:dyDescent="0.2">
      <c r="A103" s="12"/>
      <c r="B103" s="14"/>
    </row>
    <row r="104" spans="1:3" s="13" customFormat="1" x14ac:dyDescent="0.2">
      <c r="A104" s="12"/>
      <c r="B104" s="14"/>
    </row>
    <row r="105" spans="1:3" s="13" customFormat="1" x14ac:dyDescent="0.2">
      <c r="A105" s="12"/>
      <c r="B105" s="14"/>
    </row>
    <row r="106" spans="1:3" s="13" customFormat="1" x14ac:dyDescent="0.2">
      <c r="A106" s="12"/>
      <c r="B106" s="14"/>
    </row>
    <row r="107" spans="1:3" s="13" customFormat="1" x14ac:dyDescent="0.2">
      <c r="A107" s="12"/>
      <c r="B107" s="55"/>
    </row>
    <row r="108" spans="1:3" s="13" customFormat="1" ht="13.5" thickBot="1" x14ac:dyDescent="0.25">
      <c r="A108" s="12"/>
      <c r="B108" s="14"/>
    </row>
    <row r="109" spans="1:3" s="13" customFormat="1" ht="13.5" thickBot="1" x14ac:dyDescent="0.25">
      <c r="A109" s="56" t="s">
        <v>129</v>
      </c>
      <c r="B109" s="57"/>
    </row>
    <row r="110" spans="1:3" s="13" customFormat="1" x14ac:dyDescent="0.2">
      <c r="A110" s="58" t="s">
        <v>130</v>
      </c>
      <c r="B110" s="59"/>
      <c r="C110" s="60"/>
    </row>
    <row r="111" spans="1:3" s="13" customFormat="1" x14ac:dyDescent="0.2">
      <c r="A111" s="61" t="s">
        <v>131</v>
      </c>
      <c r="B111" s="62"/>
      <c r="C111" s="63"/>
    </row>
    <row r="112" spans="1:3" s="13" customFormat="1" x14ac:dyDescent="0.2">
      <c r="A112" s="64" t="s">
        <v>132</v>
      </c>
      <c r="B112" s="2"/>
    </row>
    <row r="113" spans="1:14" s="13" customFormat="1" x14ac:dyDescent="0.2">
      <c r="A113" s="65" t="s">
        <v>133</v>
      </c>
      <c r="B113" s="2"/>
    </row>
    <row r="114" spans="1:14" s="13" customFormat="1" x14ac:dyDescent="0.2">
      <c r="A114" s="64"/>
      <c r="B114" s="2"/>
    </row>
    <row r="115" spans="1:14" s="13" customFormat="1" x14ac:dyDescent="0.2">
      <c r="A115" s="64"/>
      <c r="B115" s="2"/>
    </row>
    <row r="116" spans="1:14" s="13" customFormat="1" x14ac:dyDescent="0.2">
      <c r="A116" s="64"/>
      <c r="B116" s="2"/>
    </row>
    <row r="117" spans="1:14" x14ac:dyDescent="0.2">
      <c r="A117" s="12"/>
      <c r="C117" s="44"/>
      <c r="D117" s="45"/>
    </row>
    <row r="118" spans="1:14" x14ac:dyDescent="0.2">
      <c r="A118" s="12"/>
      <c r="C118" s="44"/>
      <c r="D118" s="45"/>
    </row>
    <row r="119" spans="1:14" x14ac:dyDescent="0.2">
      <c r="A119" s="12"/>
      <c r="C119" s="44"/>
      <c r="D119" s="45"/>
    </row>
    <row r="120" spans="1:14" x14ac:dyDescent="0.2">
      <c r="A120" s="49" t="s">
        <v>134</v>
      </c>
      <c r="K120" s="66" t="s">
        <v>135</v>
      </c>
    </row>
    <row r="121" spans="1:14" ht="28.15" customHeight="1" x14ac:dyDescent="0.2">
      <c r="A121" s="67" t="s">
        <v>136</v>
      </c>
      <c r="B121" s="67" t="s">
        <v>137</v>
      </c>
      <c r="C121" s="67" t="s">
        <v>138</v>
      </c>
      <c r="D121" s="68" t="s">
        <v>139</v>
      </c>
      <c r="E121" s="67" t="s">
        <v>140</v>
      </c>
      <c r="F121" s="67" t="s">
        <v>141</v>
      </c>
      <c r="G121" s="67" t="s">
        <v>142</v>
      </c>
      <c r="H121" s="69"/>
      <c r="I121" s="69"/>
      <c r="K121" s="70" t="s">
        <v>53</v>
      </c>
      <c r="L121" s="70" t="s">
        <v>143</v>
      </c>
      <c r="M121" s="70" t="s">
        <v>144</v>
      </c>
      <c r="N121" s="70" t="s">
        <v>145</v>
      </c>
    </row>
    <row r="122" spans="1:14" x14ac:dyDescent="0.2">
      <c r="A122" s="73" t="s">
        <v>146</v>
      </c>
      <c r="B122" s="71" t="s">
        <v>147</v>
      </c>
      <c r="C122" s="71" t="s">
        <v>148</v>
      </c>
      <c r="D122" s="71"/>
      <c r="E122" s="71" t="s">
        <v>149</v>
      </c>
      <c r="F122" s="71"/>
      <c r="G122" s="71"/>
      <c r="H122" s="71"/>
      <c r="I122" s="71"/>
      <c r="L122" s="5" t="s">
        <v>150</v>
      </c>
      <c r="M122" s="72"/>
    </row>
    <row r="123" spans="1:14" x14ac:dyDescent="0.2">
      <c r="A123" s="73" t="s">
        <v>151</v>
      </c>
      <c r="B123" s="71" t="s">
        <v>152</v>
      </c>
      <c r="C123" s="93" t="s">
        <v>153</v>
      </c>
      <c r="D123" s="71"/>
      <c r="E123" s="71"/>
      <c r="F123" s="71"/>
      <c r="G123" s="71"/>
      <c r="H123" s="71"/>
      <c r="I123" s="71"/>
      <c r="K123" s="5" t="s">
        <v>54</v>
      </c>
      <c r="L123" s="5" t="s">
        <v>148</v>
      </c>
      <c r="M123" s="5" t="s">
        <v>153</v>
      </c>
      <c r="N123" s="5" t="s">
        <v>154</v>
      </c>
    </row>
    <row r="124" spans="1:14" x14ac:dyDescent="0.2">
      <c r="A124" s="73" t="s">
        <v>155</v>
      </c>
      <c r="B124" s="71" t="s">
        <v>156</v>
      </c>
      <c r="C124" s="93" t="s">
        <v>153</v>
      </c>
      <c r="D124" s="71"/>
      <c r="E124" s="71"/>
      <c r="F124" s="71"/>
      <c r="G124" s="71"/>
      <c r="H124" s="71"/>
      <c r="I124" s="71"/>
      <c r="K124" s="5" t="s">
        <v>157</v>
      </c>
      <c r="L124" s="5" t="s">
        <v>158</v>
      </c>
      <c r="M124" s="5" t="s">
        <v>159</v>
      </c>
      <c r="N124" s="5" t="s">
        <v>160</v>
      </c>
    </row>
    <row r="125" spans="1:14" ht="51" x14ac:dyDescent="0.2">
      <c r="A125" s="73" t="s">
        <v>0</v>
      </c>
      <c r="B125" s="71" t="s">
        <v>161</v>
      </c>
      <c r="C125" s="93" t="s">
        <v>159</v>
      </c>
      <c r="D125" s="71" t="s">
        <v>159</v>
      </c>
      <c r="E125" s="71"/>
      <c r="F125" s="71"/>
      <c r="G125" s="71" t="s">
        <v>1707</v>
      </c>
      <c r="H125" s="71"/>
      <c r="I125" s="71"/>
      <c r="K125" s="5" t="s">
        <v>55</v>
      </c>
      <c r="L125" s="5" t="s">
        <v>162</v>
      </c>
      <c r="M125" s="5" t="s">
        <v>148</v>
      </c>
      <c r="N125" s="5" t="s">
        <v>163</v>
      </c>
    </row>
    <row r="126" spans="1:14" x14ac:dyDescent="0.2">
      <c r="A126" s="73" t="s">
        <v>1</v>
      </c>
      <c r="B126" s="71" t="s">
        <v>383</v>
      </c>
      <c r="C126" s="93" t="s">
        <v>159</v>
      </c>
      <c r="D126" s="71" t="s">
        <v>159</v>
      </c>
      <c r="E126" s="71"/>
      <c r="F126" s="71"/>
      <c r="G126" s="71" t="s">
        <v>1707</v>
      </c>
      <c r="H126" s="71"/>
      <c r="I126" s="71"/>
      <c r="K126" s="5" t="s">
        <v>164</v>
      </c>
      <c r="L126" s="5" t="s">
        <v>165</v>
      </c>
      <c r="N126" s="5" t="s">
        <v>166</v>
      </c>
    </row>
    <row r="127" spans="1:14" x14ac:dyDescent="0.2">
      <c r="A127" s="73" t="s">
        <v>3</v>
      </c>
      <c r="B127" s="71" t="s">
        <v>167</v>
      </c>
      <c r="C127" s="93" t="s">
        <v>153</v>
      </c>
      <c r="D127" s="71"/>
      <c r="E127" s="71"/>
      <c r="F127" s="71"/>
      <c r="G127" s="71"/>
      <c r="H127" s="71"/>
      <c r="I127" s="71"/>
      <c r="K127" s="5" t="s">
        <v>168</v>
      </c>
      <c r="L127" s="5" t="s">
        <v>169</v>
      </c>
      <c r="N127" s="5" t="s">
        <v>170</v>
      </c>
    </row>
    <row r="128" spans="1:14" x14ac:dyDescent="0.2">
      <c r="A128" s="73" t="s">
        <v>2</v>
      </c>
      <c r="B128" s="71" t="s">
        <v>171</v>
      </c>
      <c r="C128" s="93" t="s">
        <v>159</v>
      </c>
      <c r="D128" s="71" t="s">
        <v>172</v>
      </c>
      <c r="E128" s="71"/>
      <c r="F128" s="71"/>
      <c r="G128" s="71" t="s">
        <v>1707</v>
      </c>
      <c r="H128" s="71"/>
      <c r="I128" s="71"/>
      <c r="N128" s="5" t="s">
        <v>173</v>
      </c>
    </row>
    <row r="129" spans="1:14" ht="25.5" x14ac:dyDescent="0.2">
      <c r="A129" s="73" t="s">
        <v>4</v>
      </c>
      <c r="B129" s="71" t="s">
        <v>384</v>
      </c>
      <c r="C129" s="93" t="s">
        <v>159</v>
      </c>
      <c r="D129" s="71" t="s">
        <v>174</v>
      </c>
      <c r="E129" s="71"/>
      <c r="F129" s="71"/>
      <c r="G129" s="71" t="s">
        <v>1707</v>
      </c>
      <c r="H129" s="71"/>
      <c r="I129" s="71"/>
      <c r="N129" s="5" t="s">
        <v>175</v>
      </c>
    </row>
    <row r="130" spans="1:14" x14ac:dyDescent="0.2">
      <c r="A130" s="73" t="s">
        <v>5</v>
      </c>
      <c r="B130" s="71" t="s">
        <v>385</v>
      </c>
      <c r="C130" s="93" t="s">
        <v>153</v>
      </c>
      <c r="D130" s="71"/>
      <c r="E130" s="71"/>
      <c r="F130" s="71"/>
      <c r="G130" s="71" t="s">
        <v>1707</v>
      </c>
      <c r="H130" s="71"/>
      <c r="I130" s="71"/>
      <c r="N130" s="5" t="s">
        <v>176</v>
      </c>
    </row>
    <row r="131" spans="1:14" ht="25.5" x14ac:dyDescent="0.2">
      <c r="A131" s="73" t="s">
        <v>6</v>
      </c>
      <c r="B131" s="71" t="s">
        <v>386</v>
      </c>
      <c r="C131" s="93" t="s">
        <v>159</v>
      </c>
      <c r="D131" s="71" t="s">
        <v>174</v>
      </c>
      <c r="E131" s="71"/>
      <c r="F131" s="71"/>
      <c r="G131" s="71" t="s">
        <v>1707</v>
      </c>
      <c r="H131" s="71"/>
      <c r="I131" s="71"/>
      <c r="N131" s="5" t="s">
        <v>178</v>
      </c>
    </row>
    <row r="132" spans="1:14" x14ac:dyDescent="0.2">
      <c r="A132" s="73" t="s">
        <v>430</v>
      </c>
      <c r="B132" s="71" t="s">
        <v>388</v>
      </c>
      <c r="C132" s="93" t="s">
        <v>159</v>
      </c>
      <c r="D132" s="71" t="s">
        <v>174</v>
      </c>
      <c r="E132" s="71"/>
      <c r="F132" s="71"/>
      <c r="G132" s="71" t="s">
        <v>1707</v>
      </c>
      <c r="H132" s="71"/>
      <c r="I132" s="71"/>
      <c r="N132" s="5" t="s">
        <v>180</v>
      </c>
    </row>
    <row r="133" spans="1:14" x14ac:dyDescent="0.2">
      <c r="A133" s="73" t="s">
        <v>7</v>
      </c>
      <c r="B133" s="71" t="s">
        <v>387</v>
      </c>
      <c r="C133" s="93" t="s">
        <v>159</v>
      </c>
      <c r="D133" s="71" t="s">
        <v>364</v>
      </c>
      <c r="E133" s="71"/>
      <c r="F133" s="71"/>
      <c r="G133" s="71" t="s">
        <v>1707</v>
      </c>
      <c r="H133" s="71"/>
      <c r="I133" s="71"/>
      <c r="N133" s="5" t="s">
        <v>182</v>
      </c>
    </row>
    <row r="134" spans="1:14" ht="25.5" x14ac:dyDescent="0.2">
      <c r="A134" s="73" t="s">
        <v>429</v>
      </c>
      <c r="B134" s="71" t="s">
        <v>389</v>
      </c>
      <c r="C134" s="93" t="s">
        <v>159</v>
      </c>
      <c r="D134" s="71" t="s">
        <v>174</v>
      </c>
      <c r="E134" s="71"/>
      <c r="F134" s="71"/>
      <c r="G134" s="71" t="s">
        <v>1707</v>
      </c>
      <c r="H134" s="71"/>
      <c r="I134" s="71"/>
      <c r="N134" s="5" t="s">
        <v>184</v>
      </c>
    </row>
    <row r="135" spans="1:14" x14ac:dyDescent="0.2">
      <c r="A135" s="73" t="s">
        <v>8</v>
      </c>
      <c r="B135" s="71" t="s">
        <v>390</v>
      </c>
      <c r="C135" s="93" t="s">
        <v>159</v>
      </c>
      <c r="D135" s="71" t="s">
        <v>364</v>
      </c>
      <c r="E135" s="71"/>
      <c r="F135" s="71"/>
      <c r="G135" s="71" t="s">
        <v>1707</v>
      </c>
      <c r="H135" s="71"/>
      <c r="I135" s="71"/>
      <c r="N135" s="5" t="s">
        <v>186</v>
      </c>
    </row>
    <row r="136" spans="1:14" ht="25.5" x14ac:dyDescent="0.2">
      <c r="A136" s="73" t="s">
        <v>428</v>
      </c>
      <c r="B136" s="71" t="s">
        <v>177</v>
      </c>
      <c r="C136" s="93" t="s">
        <v>159</v>
      </c>
      <c r="D136" s="71" t="s">
        <v>174</v>
      </c>
      <c r="E136" s="71"/>
      <c r="F136" s="71"/>
      <c r="G136" s="71" t="s">
        <v>1707</v>
      </c>
      <c r="H136" s="71"/>
      <c r="I136" s="71"/>
      <c r="N136" s="5" t="s">
        <v>188</v>
      </c>
    </row>
    <row r="137" spans="1:14" ht="25.5" x14ac:dyDescent="0.2">
      <c r="A137" s="73" t="s">
        <v>427</v>
      </c>
      <c r="B137" s="71" t="s">
        <v>179</v>
      </c>
      <c r="C137" s="93" t="s">
        <v>159</v>
      </c>
      <c r="D137" s="71" t="s">
        <v>174</v>
      </c>
      <c r="E137" s="71"/>
      <c r="F137" s="71"/>
      <c r="G137" s="71" t="s">
        <v>1707</v>
      </c>
      <c r="H137" s="71"/>
      <c r="I137" s="71"/>
      <c r="N137" s="5" t="s">
        <v>190</v>
      </c>
    </row>
    <row r="138" spans="1:14" x14ac:dyDescent="0.2">
      <c r="A138" s="73" t="s">
        <v>391</v>
      </c>
      <c r="B138" s="71" t="s">
        <v>393</v>
      </c>
      <c r="C138" s="93" t="s">
        <v>159</v>
      </c>
      <c r="D138" s="71" t="s">
        <v>364</v>
      </c>
      <c r="E138" s="71"/>
      <c r="F138" s="71"/>
      <c r="G138" s="71" t="s">
        <v>1707</v>
      </c>
      <c r="H138" s="71"/>
      <c r="I138" s="71"/>
      <c r="N138" s="5" t="s">
        <v>172</v>
      </c>
    </row>
    <row r="139" spans="1:14" ht="25.5" x14ac:dyDescent="0.2">
      <c r="A139" s="73" t="s">
        <v>426</v>
      </c>
      <c r="B139" s="71" t="s">
        <v>181</v>
      </c>
      <c r="C139" s="93" t="s">
        <v>159</v>
      </c>
      <c r="D139" s="71" t="s">
        <v>174</v>
      </c>
      <c r="E139" s="71"/>
      <c r="F139" s="71"/>
      <c r="G139" s="71" t="s">
        <v>1707</v>
      </c>
      <c r="H139" s="71"/>
      <c r="I139" s="71"/>
      <c r="N139" s="5" t="s">
        <v>193</v>
      </c>
    </row>
    <row r="140" spans="1:14" x14ac:dyDescent="0.2">
      <c r="A140" s="73" t="s">
        <v>392</v>
      </c>
      <c r="B140" s="71" t="s">
        <v>394</v>
      </c>
      <c r="C140" s="93" t="s">
        <v>159</v>
      </c>
      <c r="D140" s="71" t="s">
        <v>364</v>
      </c>
      <c r="E140" s="71"/>
      <c r="F140" s="71"/>
      <c r="G140" s="71" t="s">
        <v>1707</v>
      </c>
      <c r="H140" s="71"/>
      <c r="I140" s="71"/>
      <c r="N140" s="5" t="s">
        <v>195</v>
      </c>
    </row>
    <row r="141" spans="1:14" ht="25.5" x14ac:dyDescent="0.2">
      <c r="A141" s="73" t="s">
        <v>425</v>
      </c>
      <c r="B141" s="71" t="s">
        <v>183</v>
      </c>
      <c r="C141" s="93" t="s">
        <v>159</v>
      </c>
      <c r="D141" s="71" t="s">
        <v>174</v>
      </c>
      <c r="E141" s="71"/>
      <c r="F141" s="71"/>
      <c r="G141" s="71" t="s">
        <v>1707</v>
      </c>
      <c r="H141" s="71"/>
      <c r="I141" s="71"/>
      <c r="N141" s="5" t="s">
        <v>197</v>
      </c>
    </row>
    <row r="142" spans="1:14" x14ac:dyDescent="0.2">
      <c r="A142" s="73" t="s">
        <v>424</v>
      </c>
      <c r="B142" s="71" t="s">
        <v>185</v>
      </c>
      <c r="C142" s="93" t="s">
        <v>159</v>
      </c>
      <c r="D142" s="71" t="s">
        <v>174</v>
      </c>
      <c r="E142" s="71"/>
      <c r="F142" s="71"/>
      <c r="G142" s="71" t="s">
        <v>1707</v>
      </c>
      <c r="H142" s="71"/>
      <c r="I142" s="71"/>
      <c r="N142" s="5" t="s">
        <v>199</v>
      </c>
    </row>
    <row r="143" spans="1:14" x14ac:dyDescent="0.2">
      <c r="A143" s="73" t="s">
        <v>9</v>
      </c>
      <c r="B143" s="94" t="s">
        <v>9</v>
      </c>
      <c r="C143" s="93" t="s">
        <v>159</v>
      </c>
      <c r="D143" s="71" t="s">
        <v>364</v>
      </c>
      <c r="E143" s="71"/>
      <c r="F143" s="71"/>
      <c r="G143" s="71" t="s">
        <v>1707</v>
      </c>
      <c r="H143" s="71"/>
      <c r="I143" s="71"/>
      <c r="N143" s="5" t="s">
        <v>200</v>
      </c>
    </row>
    <row r="144" spans="1:14" x14ac:dyDescent="0.2">
      <c r="A144" s="73" t="s">
        <v>423</v>
      </c>
      <c r="B144" s="71" t="s">
        <v>187</v>
      </c>
      <c r="C144" s="93" t="s">
        <v>159</v>
      </c>
      <c r="D144" s="71" t="s">
        <v>159</v>
      </c>
      <c r="E144" s="71"/>
      <c r="F144" s="71"/>
      <c r="G144" s="71" t="s">
        <v>1707</v>
      </c>
      <c r="H144" s="71"/>
      <c r="I144" s="71"/>
      <c r="N144" s="5" t="s">
        <v>201</v>
      </c>
    </row>
    <row r="145" spans="1:14" x14ac:dyDescent="0.2">
      <c r="A145" s="73" t="s">
        <v>10</v>
      </c>
      <c r="B145" s="94" t="s">
        <v>10</v>
      </c>
      <c r="C145" s="93" t="s">
        <v>159</v>
      </c>
      <c r="D145" s="71" t="s">
        <v>364</v>
      </c>
      <c r="E145" s="71"/>
      <c r="F145" s="71"/>
      <c r="G145" s="71" t="s">
        <v>1707</v>
      </c>
      <c r="H145" s="71"/>
      <c r="I145" s="71"/>
      <c r="N145" s="5" t="s">
        <v>202</v>
      </c>
    </row>
    <row r="146" spans="1:14" x14ac:dyDescent="0.2">
      <c r="A146" s="73" t="s">
        <v>422</v>
      </c>
      <c r="B146" s="71" t="s">
        <v>189</v>
      </c>
      <c r="C146" s="93" t="s">
        <v>159</v>
      </c>
      <c r="D146" s="71" t="s">
        <v>174</v>
      </c>
      <c r="E146" s="71"/>
      <c r="F146" s="71"/>
      <c r="G146" s="71" t="s">
        <v>1707</v>
      </c>
      <c r="H146" s="71"/>
      <c r="I146" s="71"/>
      <c r="N146" s="5" t="s">
        <v>203</v>
      </c>
    </row>
    <row r="147" spans="1:14" ht="25.5" x14ac:dyDescent="0.2">
      <c r="A147" s="73" t="s">
        <v>421</v>
      </c>
      <c r="B147" s="71" t="s">
        <v>191</v>
      </c>
      <c r="C147" s="93" t="s">
        <v>159</v>
      </c>
      <c r="D147" s="71" t="s">
        <v>174</v>
      </c>
      <c r="E147" s="71"/>
      <c r="F147" s="71"/>
      <c r="G147" s="71" t="s">
        <v>1707</v>
      </c>
      <c r="H147" s="71"/>
      <c r="I147" s="71"/>
      <c r="N147" s="5" t="s">
        <v>204</v>
      </c>
    </row>
    <row r="148" spans="1:14" x14ac:dyDescent="0.2">
      <c r="A148" s="73" t="s">
        <v>420</v>
      </c>
      <c r="B148" s="71" t="s">
        <v>192</v>
      </c>
      <c r="C148" s="93" t="s">
        <v>159</v>
      </c>
      <c r="D148" s="71" t="s">
        <v>174</v>
      </c>
      <c r="E148" s="71"/>
      <c r="F148" s="71"/>
      <c r="G148" s="71" t="s">
        <v>1707</v>
      </c>
      <c r="H148" s="71"/>
      <c r="I148" s="71"/>
      <c r="N148" s="5" t="s">
        <v>205</v>
      </c>
    </row>
    <row r="149" spans="1:14" x14ac:dyDescent="0.2">
      <c r="A149" s="73" t="s">
        <v>1704</v>
      </c>
      <c r="B149" s="71" t="s">
        <v>194</v>
      </c>
      <c r="C149" s="93" t="s">
        <v>159</v>
      </c>
      <c r="D149" s="71" t="s">
        <v>174</v>
      </c>
      <c r="E149" s="71"/>
      <c r="F149" s="71"/>
      <c r="G149" s="71"/>
      <c r="H149" s="71"/>
      <c r="I149" s="71"/>
    </row>
    <row r="150" spans="1:14" x14ac:dyDescent="0.2">
      <c r="A150" s="73" t="s">
        <v>419</v>
      </c>
      <c r="B150" s="71" t="s">
        <v>196</v>
      </c>
      <c r="C150" s="93" t="s">
        <v>159</v>
      </c>
      <c r="D150" s="71" t="s">
        <v>174</v>
      </c>
      <c r="E150" s="71"/>
      <c r="F150" s="71"/>
      <c r="G150" s="71" t="s">
        <v>1707</v>
      </c>
      <c r="H150" s="71"/>
      <c r="I150" s="71"/>
      <c r="N150" s="5" t="s">
        <v>206</v>
      </c>
    </row>
    <row r="151" spans="1:14" ht="25.5" x14ac:dyDescent="0.2">
      <c r="A151" s="73" t="s">
        <v>418</v>
      </c>
      <c r="B151" s="71" t="s">
        <v>198</v>
      </c>
      <c r="C151" s="93" t="s">
        <v>159</v>
      </c>
      <c r="D151" s="71" t="s">
        <v>174</v>
      </c>
      <c r="E151" s="71"/>
      <c r="F151" s="71"/>
      <c r="G151" s="71" t="s">
        <v>1707</v>
      </c>
      <c r="H151" s="71"/>
      <c r="I151" s="71"/>
      <c r="N151" s="5" t="s">
        <v>207</v>
      </c>
    </row>
    <row r="152" spans="1:14" ht="25.5" x14ac:dyDescent="0.2">
      <c r="A152" s="73" t="s">
        <v>417</v>
      </c>
      <c r="B152" s="71" t="s">
        <v>194</v>
      </c>
      <c r="C152" s="93" t="s">
        <v>159</v>
      </c>
      <c r="D152" s="71" t="s">
        <v>174</v>
      </c>
      <c r="E152" s="71"/>
      <c r="F152" s="71"/>
      <c r="G152" s="71" t="s">
        <v>1707</v>
      </c>
      <c r="H152" s="71"/>
      <c r="I152" s="71"/>
      <c r="N152" s="5" t="s">
        <v>208</v>
      </c>
    </row>
    <row r="153" spans="1:14" x14ac:dyDescent="0.2">
      <c r="A153" s="73"/>
      <c r="B153" s="71"/>
      <c r="C153" s="71"/>
      <c r="D153" s="71"/>
      <c r="E153" s="71"/>
      <c r="F153" s="71"/>
      <c r="G153" s="71"/>
      <c r="H153" s="71"/>
      <c r="I153" s="71"/>
      <c r="N153" s="5" t="s">
        <v>416</v>
      </c>
    </row>
    <row r="154" spans="1:14" x14ac:dyDescent="0.2">
      <c r="A154" s="73"/>
      <c r="B154" s="71"/>
      <c r="C154" s="71"/>
      <c r="D154" s="71"/>
      <c r="E154" s="71"/>
      <c r="F154" s="71"/>
      <c r="G154" s="71"/>
      <c r="H154" s="71"/>
      <c r="I154" s="71"/>
      <c r="N154" s="5" t="s">
        <v>209</v>
      </c>
    </row>
    <row r="155" spans="1:14" x14ac:dyDescent="0.2">
      <c r="A155" s="73"/>
      <c r="B155" s="71"/>
      <c r="C155" s="71"/>
      <c r="D155" s="71"/>
      <c r="E155" s="71"/>
      <c r="F155" s="71"/>
      <c r="G155" s="71"/>
      <c r="H155" s="71"/>
      <c r="I155" s="71"/>
      <c r="N155" s="5" t="s">
        <v>415</v>
      </c>
    </row>
    <row r="156" spans="1:14" x14ac:dyDescent="0.2">
      <c r="A156" s="73"/>
      <c r="B156" s="71"/>
      <c r="C156" s="71"/>
      <c r="D156" s="71"/>
      <c r="E156" s="71"/>
      <c r="F156" s="71"/>
      <c r="G156" s="71"/>
      <c r="H156" s="71"/>
      <c r="I156" s="71"/>
      <c r="N156" s="5" t="s">
        <v>414</v>
      </c>
    </row>
    <row r="157" spans="1:14" x14ac:dyDescent="0.2">
      <c r="A157" s="73"/>
      <c r="B157" s="71"/>
      <c r="C157" s="71"/>
      <c r="D157" s="71"/>
      <c r="E157" s="71"/>
      <c r="F157" s="71"/>
      <c r="G157" s="71"/>
      <c r="H157" s="71"/>
      <c r="I157" s="71"/>
      <c r="N157" s="5" t="s">
        <v>413</v>
      </c>
    </row>
    <row r="158" spans="1:14" x14ac:dyDescent="0.2">
      <c r="A158" s="73"/>
      <c r="B158" s="71"/>
      <c r="C158" s="71"/>
      <c r="D158" s="71"/>
      <c r="E158" s="71"/>
      <c r="F158" s="71"/>
      <c r="G158" s="71"/>
      <c r="H158" s="71"/>
      <c r="I158" s="71"/>
      <c r="N158" s="5" t="s">
        <v>210</v>
      </c>
    </row>
    <row r="159" spans="1:14" x14ac:dyDescent="0.2">
      <c r="A159" s="73"/>
      <c r="B159" s="71"/>
      <c r="C159" s="71"/>
      <c r="D159" s="71"/>
      <c r="E159" s="71"/>
      <c r="F159" s="71"/>
      <c r="G159" s="71"/>
      <c r="H159" s="71"/>
      <c r="I159" s="71"/>
      <c r="N159" s="5" t="s">
        <v>211</v>
      </c>
    </row>
    <row r="160" spans="1:14" x14ac:dyDescent="0.2">
      <c r="A160" s="73"/>
      <c r="B160" s="71"/>
      <c r="C160" s="71"/>
      <c r="D160" s="71"/>
      <c r="E160" s="71"/>
      <c r="F160" s="71"/>
      <c r="G160" s="71"/>
      <c r="H160" s="71"/>
      <c r="I160" s="71"/>
      <c r="N160" s="5" t="s">
        <v>212</v>
      </c>
    </row>
    <row r="161" spans="1:14" x14ac:dyDescent="0.2">
      <c r="A161" s="73"/>
      <c r="B161" s="71"/>
      <c r="C161" s="71"/>
      <c r="D161" s="71"/>
      <c r="E161" s="71"/>
      <c r="F161" s="71"/>
      <c r="G161" s="71"/>
      <c r="H161" s="71"/>
      <c r="I161" s="71"/>
      <c r="N161" s="5" t="s">
        <v>213</v>
      </c>
    </row>
    <row r="162" spans="1:14" x14ac:dyDescent="0.2">
      <c r="A162" s="73"/>
      <c r="B162" s="71"/>
      <c r="C162" s="71"/>
      <c r="D162" s="71"/>
      <c r="E162" s="71"/>
      <c r="F162" s="71"/>
      <c r="G162" s="71"/>
      <c r="H162" s="71"/>
      <c r="I162" s="71"/>
      <c r="N162" s="5" t="s">
        <v>214</v>
      </c>
    </row>
    <row r="163" spans="1:14" x14ac:dyDescent="0.2">
      <c r="A163" s="73"/>
      <c r="B163" s="71"/>
      <c r="C163" s="71"/>
      <c r="D163" s="71"/>
      <c r="E163" s="71"/>
      <c r="F163" s="71"/>
      <c r="G163" s="71"/>
      <c r="H163" s="71"/>
      <c r="I163" s="71"/>
      <c r="N163" s="5" t="s">
        <v>215</v>
      </c>
    </row>
    <row r="164" spans="1:14" x14ac:dyDescent="0.2">
      <c r="A164" s="73"/>
      <c r="B164" s="71"/>
      <c r="C164" s="71"/>
      <c r="D164" s="71"/>
      <c r="E164" s="71"/>
      <c r="F164" s="71"/>
      <c r="G164" s="71"/>
      <c r="H164" s="71"/>
      <c r="I164" s="71"/>
      <c r="N164" s="5" t="s">
        <v>216</v>
      </c>
    </row>
    <row r="165" spans="1:14" x14ac:dyDescent="0.2">
      <c r="A165" s="73"/>
      <c r="B165" s="71"/>
      <c r="C165" s="71"/>
      <c r="D165" s="71"/>
      <c r="E165" s="71"/>
      <c r="F165" s="71"/>
      <c r="G165" s="71"/>
      <c r="H165" s="71"/>
      <c r="I165" s="71"/>
      <c r="N165" s="5" t="s">
        <v>217</v>
      </c>
    </row>
    <row r="166" spans="1:14" x14ac:dyDescent="0.2">
      <c r="A166" s="73"/>
      <c r="B166" s="71"/>
      <c r="C166" s="71"/>
      <c r="D166" s="71"/>
      <c r="E166" s="71"/>
      <c r="F166" s="71"/>
      <c r="G166" s="71"/>
      <c r="H166" s="71"/>
      <c r="I166" s="71"/>
      <c r="N166" s="5" t="s">
        <v>218</v>
      </c>
    </row>
    <row r="167" spans="1:14" x14ac:dyDescent="0.2">
      <c r="A167" s="73"/>
      <c r="B167" s="71"/>
      <c r="C167" s="71"/>
      <c r="D167" s="71"/>
      <c r="E167" s="71"/>
      <c r="F167" s="71"/>
      <c r="G167" s="71"/>
      <c r="H167" s="71"/>
      <c r="I167" s="71"/>
      <c r="N167" s="5" t="s">
        <v>174</v>
      </c>
    </row>
    <row r="168" spans="1:14" x14ac:dyDescent="0.2">
      <c r="A168" s="73"/>
      <c r="B168" s="71"/>
      <c r="C168" s="71"/>
      <c r="D168" s="71"/>
      <c r="E168" s="71"/>
      <c r="F168" s="71"/>
      <c r="G168" s="71"/>
      <c r="H168" s="71"/>
      <c r="I168" s="71"/>
      <c r="N168" s="5" t="s">
        <v>219</v>
      </c>
    </row>
    <row r="169" spans="1:14" x14ac:dyDescent="0.2">
      <c r="A169" s="73"/>
      <c r="B169" s="71"/>
      <c r="C169" s="71"/>
      <c r="D169" s="71"/>
      <c r="E169" s="71"/>
      <c r="F169" s="71"/>
      <c r="G169" s="71"/>
      <c r="H169" s="71"/>
      <c r="I169" s="71"/>
      <c r="N169" s="5" t="s">
        <v>220</v>
      </c>
    </row>
    <row r="170" spans="1:14" x14ac:dyDescent="0.2">
      <c r="A170" s="73"/>
      <c r="B170" s="71"/>
      <c r="C170" s="71"/>
      <c r="D170" s="71"/>
      <c r="E170" s="71"/>
      <c r="F170" s="71"/>
      <c r="G170" s="71"/>
      <c r="H170" s="71"/>
      <c r="I170" s="71"/>
      <c r="N170" s="5" t="s">
        <v>221</v>
      </c>
    </row>
    <row r="171" spans="1:14" x14ac:dyDescent="0.2">
      <c r="A171" s="73"/>
      <c r="B171" s="71"/>
      <c r="C171" s="71"/>
      <c r="D171" s="71"/>
      <c r="E171" s="71"/>
      <c r="F171" s="71"/>
      <c r="G171" s="71"/>
      <c r="H171" s="71"/>
      <c r="I171" s="71"/>
      <c r="N171" s="5" t="s">
        <v>222</v>
      </c>
    </row>
    <row r="172" spans="1:14" x14ac:dyDescent="0.2">
      <c r="A172" s="73"/>
      <c r="B172" s="71"/>
      <c r="C172" s="71"/>
      <c r="D172" s="71"/>
      <c r="E172" s="71"/>
      <c r="F172" s="71"/>
      <c r="G172" s="71"/>
      <c r="H172" s="71"/>
      <c r="I172" s="71"/>
      <c r="N172" s="5" t="s">
        <v>223</v>
      </c>
    </row>
    <row r="173" spans="1:14" x14ac:dyDescent="0.2">
      <c r="A173" s="73"/>
      <c r="B173" s="71"/>
      <c r="C173" s="71"/>
      <c r="D173" s="71"/>
      <c r="E173" s="71"/>
      <c r="F173" s="71"/>
      <c r="G173" s="71"/>
      <c r="H173" s="71"/>
      <c r="I173" s="71"/>
      <c r="N173" s="5" t="s">
        <v>224</v>
      </c>
    </row>
    <row r="174" spans="1:14" x14ac:dyDescent="0.2">
      <c r="A174" s="73"/>
      <c r="B174" s="71"/>
      <c r="C174" s="71"/>
      <c r="D174" s="71"/>
      <c r="E174" s="71"/>
      <c r="F174" s="71"/>
      <c r="G174" s="71"/>
      <c r="H174" s="71"/>
      <c r="I174" s="71"/>
      <c r="N174" s="5" t="s">
        <v>225</v>
      </c>
    </row>
    <row r="175" spans="1:14" x14ac:dyDescent="0.2">
      <c r="A175" s="73"/>
      <c r="B175" s="71"/>
      <c r="C175" s="71"/>
      <c r="D175" s="71"/>
      <c r="E175" s="71"/>
      <c r="F175" s="71"/>
      <c r="G175" s="71"/>
      <c r="H175" s="71"/>
      <c r="I175" s="71"/>
      <c r="N175" s="5" t="s">
        <v>226</v>
      </c>
    </row>
    <row r="176" spans="1:14" x14ac:dyDescent="0.2">
      <c r="A176" s="73"/>
      <c r="B176" s="71"/>
      <c r="C176" s="71"/>
      <c r="D176" s="71"/>
      <c r="E176" s="71"/>
      <c r="F176" s="71"/>
      <c r="G176" s="71"/>
      <c r="H176" s="71"/>
      <c r="I176" s="71"/>
      <c r="N176" s="5" t="s">
        <v>227</v>
      </c>
    </row>
    <row r="177" spans="1:14" x14ac:dyDescent="0.2">
      <c r="A177" s="73"/>
      <c r="B177" s="71"/>
      <c r="C177" s="71"/>
      <c r="D177" s="71"/>
      <c r="E177" s="71"/>
      <c r="F177" s="71"/>
      <c r="G177" s="71"/>
      <c r="H177" s="71"/>
      <c r="I177" s="71"/>
      <c r="N177" s="5" t="s">
        <v>228</v>
      </c>
    </row>
    <row r="178" spans="1:14" x14ac:dyDescent="0.2">
      <c r="A178" s="73"/>
      <c r="B178" s="71"/>
      <c r="C178" s="71"/>
      <c r="D178" s="71"/>
      <c r="E178" s="71"/>
      <c r="F178" s="71"/>
      <c r="G178" s="71"/>
      <c r="H178" s="71"/>
      <c r="I178" s="71"/>
      <c r="N178" s="5" t="s">
        <v>229</v>
      </c>
    </row>
    <row r="179" spans="1:14" x14ac:dyDescent="0.2">
      <c r="A179" s="73"/>
      <c r="B179" s="71"/>
      <c r="C179" s="71"/>
      <c r="D179" s="71"/>
      <c r="E179" s="71"/>
      <c r="F179" s="71"/>
      <c r="G179" s="71"/>
      <c r="H179" s="71"/>
      <c r="I179" s="71"/>
      <c r="N179" s="5" t="s">
        <v>230</v>
      </c>
    </row>
    <row r="180" spans="1:14" x14ac:dyDescent="0.2">
      <c r="A180" s="73"/>
      <c r="B180" s="71"/>
      <c r="C180" s="71"/>
      <c r="D180" s="71"/>
      <c r="E180" s="71"/>
      <c r="F180" s="71"/>
      <c r="G180" s="71"/>
      <c r="H180" s="71"/>
      <c r="I180" s="71"/>
      <c r="N180" s="5" t="s">
        <v>231</v>
      </c>
    </row>
    <row r="181" spans="1:14" x14ac:dyDescent="0.2">
      <c r="A181" s="73"/>
      <c r="B181" s="71"/>
      <c r="C181" s="71"/>
      <c r="D181" s="71"/>
      <c r="E181" s="71"/>
      <c r="F181" s="71"/>
      <c r="G181" s="71"/>
      <c r="H181" s="71"/>
      <c r="I181" s="71"/>
      <c r="N181" s="5" t="s">
        <v>232</v>
      </c>
    </row>
    <row r="182" spans="1:14" x14ac:dyDescent="0.2">
      <c r="A182" s="73"/>
      <c r="B182" s="71"/>
      <c r="C182" s="71"/>
      <c r="D182" s="71"/>
      <c r="E182" s="71"/>
      <c r="F182" s="71"/>
      <c r="G182" s="71"/>
      <c r="H182" s="71"/>
      <c r="I182" s="71"/>
      <c r="N182" s="5" t="s">
        <v>233</v>
      </c>
    </row>
    <row r="183" spans="1:14" x14ac:dyDescent="0.2">
      <c r="A183" s="73"/>
      <c r="B183" s="71"/>
      <c r="C183" s="71"/>
      <c r="D183" s="71"/>
      <c r="E183" s="71"/>
      <c r="F183" s="71"/>
      <c r="G183" s="71"/>
      <c r="H183" s="71"/>
      <c r="I183" s="71"/>
      <c r="N183" s="5" t="s">
        <v>234</v>
      </c>
    </row>
    <row r="184" spans="1:14" x14ac:dyDescent="0.2">
      <c r="A184" s="73"/>
      <c r="B184" s="71"/>
      <c r="C184" s="71"/>
      <c r="D184" s="71"/>
      <c r="E184" s="71"/>
      <c r="F184" s="71"/>
      <c r="G184" s="71"/>
      <c r="H184" s="71"/>
      <c r="I184" s="71"/>
      <c r="N184" s="5" t="s">
        <v>235</v>
      </c>
    </row>
    <row r="185" spans="1:14" x14ac:dyDescent="0.2">
      <c r="A185" s="73"/>
      <c r="B185" s="71"/>
      <c r="C185" s="71"/>
      <c r="D185" s="71"/>
      <c r="E185" s="71"/>
      <c r="F185" s="71"/>
      <c r="G185" s="71"/>
      <c r="H185" s="71"/>
      <c r="I185" s="71"/>
      <c r="N185" s="5" t="s">
        <v>236</v>
      </c>
    </row>
    <row r="186" spans="1:14" x14ac:dyDescent="0.2">
      <c r="A186" s="73"/>
      <c r="B186" s="71"/>
      <c r="C186" s="71"/>
      <c r="D186" s="71"/>
      <c r="E186" s="71"/>
      <c r="F186" s="71"/>
      <c r="G186" s="71"/>
      <c r="H186" s="71"/>
      <c r="I186" s="71"/>
      <c r="N186" s="5" t="s">
        <v>237</v>
      </c>
    </row>
    <row r="187" spans="1:14" x14ac:dyDescent="0.2">
      <c r="A187" s="73"/>
      <c r="B187" s="71"/>
      <c r="C187" s="71"/>
      <c r="D187" s="71"/>
      <c r="E187" s="71"/>
      <c r="F187" s="71"/>
      <c r="G187" s="71"/>
      <c r="H187" s="71"/>
      <c r="I187" s="71"/>
      <c r="N187" s="5" t="s">
        <v>238</v>
      </c>
    </row>
    <row r="188" spans="1:14" x14ac:dyDescent="0.2">
      <c r="A188" s="73"/>
      <c r="B188" s="71"/>
      <c r="C188" s="71"/>
      <c r="D188" s="71"/>
      <c r="E188" s="71"/>
      <c r="F188" s="71"/>
      <c r="G188" s="71"/>
      <c r="H188" s="71"/>
      <c r="I188" s="71"/>
      <c r="N188" s="5" t="s">
        <v>239</v>
      </c>
    </row>
    <row r="189" spans="1:14" x14ac:dyDescent="0.2">
      <c r="A189" s="73"/>
      <c r="B189" s="71"/>
      <c r="C189" s="71"/>
      <c r="D189" s="71"/>
      <c r="E189" s="71"/>
      <c r="F189" s="71"/>
      <c r="G189" s="71"/>
      <c r="H189" s="71"/>
      <c r="I189" s="71"/>
      <c r="N189" s="5" t="s">
        <v>240</v>
      </c>
    </row>
    <row r="190" spans="1:14" x14ac:dyDescent="0.2">
      <c r="A190" s="73"/>
      <c r="B190" s="71"/>
      <c r="C190" s="71"/>
      <c r="D190" s="71"/>
      <c r="E190" s="71"/>
      <c r="F190" s="71"/>
      <c r="G190" s="71"/>
      <c r="H190" s="71"/>
      <c r="I190" s="71"/>
      <c r="N190" s="5" t="s">
        <v>241</v>
      </c>
    </row>
    <row r="191" spans="1:14" x14ac:dyDescent="0.2">
      <c r="A191" s="73"/>
      <c r="B191" s="71"/>
      <c r="C191" s="71"/>
      <c r="D191" s="71"/>
      <c r="E191" s="71"/>
      <c r="F191" s="71"/>
      <c r="G191" s="71"/>
      <c r="H191" s="71"/>
      <c r="I191" s="71"/>
      <c r="N191" s="5" t="s">
        <v>242</v>
      </c>
    </row>
    <row r="192" spans="1:14" x14ac:dyDescent="0.2">
      <c r="A192" s="73"/>
      <c r="B192" s="71"/>
      <c r="C192" s="71"/>
      <c r="D192" s="71"/>
      <c r="E192" s="71"/>
      <c r="F192" s="71"/>
      <c r="G192" s="71"/>
      <c r="H192" s="71"/>
      <c r="I192" s="71"/>
      <c r="N192" s="5" t="s">
        <v>243</v>
      </c>
    </row>
    <row r="193" spans="1:14" x14ac:dyDescent="0.2">
      <c r="A193" s="73"/>
      <c r="B193" s="71"/>
      <c r="C193" s="71"/>
      <c r="D193" s="71"/>
      <c r="E193" s="71"/>
      <c r="F193" s="71"/>
      <c r="G193" s="71"/>
      <c r="H193" s="71"/>
      <c r="I193" s="71"/>
      <c r="N193" s="5" t="s">
        <v>244</v>
      </c>
    </row>
    <row r="194" spans="1:14" x14ac:dyDescent="0.2">
      <c r="A194" s="73"/>
      <c r="B194" s="71"/>
      <c r="C194" s="71"/>
      <c r="D194" s="71"/>
      <c r="E194" s="71"/>
      <c r="F194" s="71"/>
      <c r="G194" s="71"/>
      <c r="H194" s="71"/>
      <c r="I194" s="71"/>
      <c r="N194" s="5" t="s">
        <v>412</v>
      </c>
    </row>
    <row r="195" spans="1:14" x14ac:dyDescent="0.2">
      <c r="A195" s="73"/>
      <c r="B195" s="71"/>
      <c r="C195" s="71"/>
      <c r="D195" s="71"/>
      <c r="E195" s="71"/>
      <c r="F195" s="71"/>
      <c r="G195" s="71"/>
      <c r="H195" s="71"/>
      <c r="I195" s="71"/>
      <c r="N195" s="5" t="s">
        <v>245</v>
      </c>
    </row>
    <row r="196" spans="1:14" x14ac:dyDescent="0.2">
      <c r="A196" s="73"/>
      <c r="B196" s="71"/>
      <c r="C196" s="71"/>
      <c r="D196" s="71"/>
      <c r="E196" s="71"/>
      <c r="F196" s="71"/>
      <c r="G196" s="71"/>
      <c r="H196" s="71"/>
      <c r="I196" s="71"/>
      <c r="N196" s="5" t="s">
        <v>246</v>
      </c>
    </row>
    <row r="197" spans="1:14" x14ac:dyDescent="0.2">
      <c r="A197" s="73"/>
      <c r="B197" s="71"/>
      <c r="C197" s="71"/>
      <c r="D197" s="71"/>
      <c r="E197" s="71"/>
      <c r="F197" s="71"/>
      <c r="G197" s="71"/>
      <c r="H197" s="71"/>
      <c r="I197" s="71"/>
      <c r="N197" s="5" t="s">
        <v>247</v>
      </c>
    </row>
    <row r="198" spans="1:14" x14ac:dyDescent="0.2">
      <c r="A198" s="73"/>
      <c r="B198" s="71"/>
      <c r="C198" s="71"/>
      <c r="D198" s="71"/>
      <c r="E198" s="71"/>
      <c r="F198" s="71"/>
      <c r="G198" s="71"/>
      <c r="H198" s="71"/>
      <c r="I198" s="71"/>
      <c r="N198" s="5" t="s">
        <v>248</v>
      </c>
    </row>
    <row r="199" spans="1:14" x14ac:dyDescent="0.2">
      <c r="A199" s="73"/>
      <c r="B199" s="71"/>
      <c r="C199" s="71"/>
      <c r="D199" s="71"/>
      <c r="E199" s="71"/>
      <c r="F199" s="71"/>
      <c r="G199" s="71"/>
      <c r="H199" s="71"/>
      <c r="I199" s="71"/>
      <c r="N199" s="5" t="s">
        <v>249</v>
      </c>
    </row>
    <row r="200" spans="1:14" x14ac:dyDescent="0.2">
      <c r="A200" s="73"/>
      <c r="B200" s="71"/>
      <c r="C200" s="71"/>
      <c r="D200" s="71"/>
      <c r="E200" s="71"/>
      <c r="F200" s="71"/>
      <c r="G200" s="71"/>
      <c r="H200" s="71"/>
      <c r="I200" s="71"/>
      <c r="N200" s="5" t="s">
        <v>250</v>
      </c>
    </row>
    <row r="201" spans="1:14" x14ac:dyDescent="0.2">
      <c r="A201" s="73"/>
      <c r="B201" s="71"/>
      <c r="C201" s="71"/>
      <c r="D201" s="71"/>
      <c r="E201" s="71"/>
      <c r="F201" s="71"/>
      <c r="G201" s="71"/>
      <c r="H201" s="71"/>
      <c r="I201" s="71"/>
      <c r="N201" s="5" t="s">
        <v>251</v>
      </c>
    </row>
    <row r="202" spans="1:14" x14ac:dyDescent="0.2">
      <c r="A202" s="73"/>
      <c r="B202" s="71"/>
      <c r="C202" s="71"/>
      <c r="D202" s="71"/>
      <c r="E202" s="71"/>
      <c r="F202" s="71"/>
      <c r="G202" s="71"/>
      <c r="H202" s="71"/>
      <c r="I202" s="71"/>
      <c r="N202" s="5" t="s">
        <v>252</v>
      </c>
    </row>
    <row r="203" spans="1:14" x14ac:dyDescent="0.2">
      <c r="A203" s="73"/>
      <c r="B203" s="71"/>
      <c r="C203" s="71"/>
      <c r="D203" s="71"/>
      <c r="E203" s="71"/>
      <c r="F203" s="71"/>
      <c r="G203" s="71"/>
      <c r="H203" s="71"/>
      <c r="I203" s="71"/>
      <c r="N203" s="5" t="s">
        <v>253</v>
      </c>
    </row>
    <row r="204" spans="1:14" x14ac:dyDescent="0.2">
      <c r="A204" s="73"/>
      <c r="B204" s="71"/>
      <c r="C204" s="71"/>
      <c r="D204" s="71"/>
      <c r="E204" s="71"/>
      <c r="F204" s="71"/>
      <c r="G204" s="71"/>
      <c r="H204" s="71"/>
      <c r="I204" s="71"/>
      <c r="L204" s="74"/>
      <c r="M204" s="74"/>
      <c r="N204" s="5" t="s">
        <v>254</v>
      </c>
    </row>
    <row r="205" spans="1:14" x14ac:dyDescent="0.2">
      <c r="A205" s="73"/>
      <c r="B205" s="71"/>
      <c r="C205" s="71"/>
      <c r="D205" s="71"/>
      <c r="E205" s="71"/>
      <c r="F205" s="71"/>
      <c r="G205" s="71"/>
      <c r="H205" s="71"/>
      <c r="I205" s="71"/>
      <c r="N205" s="5" t="s">
        <v>255</v>
      </c>
    </row>
    <row r="206" spans="1:14" x14ac:dyDescent="0.2">
      <c r="A206" s="73"/>
      <c r="B206" s="71"/>
      <c r="C206" s="71"/>
      <c r="D206" s="71"/>
      <c r="E206" s="71"/>
      <c r="F206" s="71"/>
      <c r="G206" s="71"/>
      <c r="H206" s="71"/>
      <c r="I206" s="71"/>
      <c r="N206" s="5" t="s">
        <v>256</v>
      </c>
    </row>
    <row r="207" spans="1:14" x14ac:dyDescent="0.2">
      <c r="A207" s="73"/>
      <c r="B207" s="71"/>
      <c r="C207" s="71"/>
      <c r="D207" s="71"/>
      <c r="E207" s="71"/>
      <c r="F207" s="71"/>
      <c r="G207" s="71"/>
      <c r="H207" s="71"/>
      <c r="I207" s="71"/>
      <c r="N207" s="5" t="s">
        <v>257</v>
      </c>
    </row>
    <row r="208" spans="1:14" x14ac:dyDescent="0.2">
      <c r="A208" s="73"/>
      <c r="B208" s="71"/>
      <c r="C208" s="71"/>
      <c r="D208" s="71"/>
      <c r="E208" s="71"/>
      <c r="F208" s="71"/>
      <c r="G208" s="71"/>
      <c r="H208" s="71"/>
      <c r="I208" s="71"/>
      <c r="N208" s="5" t="s">
        <v>258</v>
      </c>
    </row>
    <row r="209" spans="1:14" x14ac:dyDescent="0.2">
      <c r="A209" s="73"/>
      <c r="B209" s="71"/>
      <c r="C209" s="71"/>
      <c r="D209" s="71"/>
      <c r="E209" s="71"/>
      <c r="F209" s="71"/>
      <c r="G209" s="71"/>
      <c r="H209" s="71"/>
      <c r="I209" s="71"/>
      <c r="N209" s="5" t="s">
        <v>259</v>
      </c>
    </row>
    <row r="210" spans="1:14" x14ac:dyDescent="0.2">
      <c r="A210" s="73"/>
      <c r="B210" s="71"/>
      <c r="C210" s="71"/>
      <c r="D210" s="71"/>
      <c r="E210" s="71"/>
      <c r="F210" s="71"/>
      <c r="G210" s="71"/>
      <c r="H210" s="71"/>
      <c r="I210" s="71"/>
      <c r="N210" s="5" t="s">
        <v>260</v>
      </c>
    </row>
    <row r="211" spans="1:14" x14ac:dyDescent="0.2">
      <c r="A211" s="73"/>
      <c r="B211" s="71"/>
      <c r="C211" s="71"/>
      <c r="D211" s="71"/>
      <c r="E211" s="71"/>
      <c r="F211" s="71"/>
      <c r="G211" s="71"/>
      <c r="H211" s="71"/>
      <c r="I211" s="71"/>
      <c r="N211" s="5" t="s">
        <v>261</v>
      </c>
    </row>
    <row r="212" spans="1:14" x14ac:dyDescent="0.2">
      <c r="A212" s="73"/>
      <c r="B212" s="71"/>
      <c r="C212" s="71"/>
      <c r="D212" s="71"/>
      <c r="E212" s="71"/>
      <c r="F212" s="71"/>
      <c r="G212" s="71"/>
      <c r="H212" s="71"/>
      <c r="I212" s="71"/>
      <c r="N212" s="5" t="s">
        <v>262</v>
      </c>
    </row>
    <row r="213" spans="1:14" x14ac:dyDescent="0.2">
      <c r="A213" s="73"/>
      <c r="B213" s="71"/>
      <c r="C213" s="71"/>
      <c r="D213" s="71"/>
      <c r="E213" s="71"/>
      <c r="F213" s="71"/>
      <c r="G213" s="71"/>
      <c r="H213" s="71"/>
      <c r="I213" s="71"/>
      <c r="N213" s="5" t="s">
        <v>411</v>
      </c>
    </row>
    <row r="214" spans="1:14" x14ac:dyDescent="0.2">
      <c r="A214" s="73"/>
      <c r="B214" s="71"/>
      <c r="C214" s="71"/>
      <c r="D214" s="71"/>
      <c r="E214" s="71"/>
      <c r="F214" s="71"/>
      <c r="G214" s="71"/>
      <c r="H214" s="71"/>
      <c r="I214" s="71"/>
      <c r="N214" s="5" t="s">
        <v>263</v>
      </c>
    </row>
    <row r="215" spans="1:14" x14ac:dyDescent="0.2">
      <c r="A215" s="73"/>
      <c r="B215" s="71"/>
      <c r="C215" s="71"/>
      <c r="D215" s="71"/>
      <c r="E215" s="71"/>
      <c r="F215" s="71"/>
      <c r="G215" s="71"/>
      <c r="H215" s="71"/>
      <c r="I215" s="71"/>
      <c r="N215" s="5" t="s">
        <v>264</v>
      </c>
    </row>
    <row r="216" spans="1:14" x14ac:dyDescent="0.2">
      <c r="A216" s="73"/>
      <c r="B216" s="71"/>
      <c r="C216" s="71"/>
      <c r="D216" s="71"/>
      <c r="E216" s="71"/>
      <c r="F216" s="71"/>
      <c r="G216" s="71"/>
      <c r="H216" s="71"/>
      <c r="I216" s="71"/>
      <c r="N216" s="5" t="s">
        <v>265</v>
      </c>
    </row>
    <row r="217" spans="1:14" x14ac:dyDescent="0.2">
      <c r="A217" s="73"/>
      <c r="B217" s="71"/>
      <c r="C217" s="71"/>
      <c r="D217" s="71"/>
      <c r="E217" s="71"/>
      <c r="F217" s="71"/>
      <c r="G217" s="71"/>
      <c r="H217" s="71"/>
      <c r="I217" s="71"/>
      <c r="N217" s="5" t="s">
        <v>266</v>
      </c>
    </row>
    <row r="218" spans="1:14" x14ac:dyDescent="0.2">
      <c r="A218" s="73"/>
      <c r="B218" s="71"/>
      <c r="C218" s="71"/>
      <c r="D218" s="71"/>
      <c r="E218" s="71"/>
      <c r="F218" s="71"/>
      <c r="G218" s="71"/>
      <c r="H218" s="71"/>
      <c r="I218" s="71"/>
      <c r="N218" s="5" t="s">
        <v>267</v>
      </c>
    </row>
    <row r="219" spans="1:14" x14ac:dyDescent="0.2">
      <c r="A219" s="73"/>
      <c r="B219" s="71"/>
      <c r="C219" s="71"/>
      <c r="D219" s="71"/>
      <c r="E219" s="71"/>
      <c r="F219" s="71"/>
      <c r="G219" s="71"/>
      <c r="H219" s="71"/>
      <c r="I219" s="71"/>
      <c r="N219" s="5" t="s">
        <v>268</v>
      </c>
    </row>
    <row r="220" spans="1:14" x14ac:dyDescent="0.2">
      <c r="A220" s="73"/>
      <c r="B220" s="71"/>
      <c r="C220" s="71"/>
      <c r="D220" s="71"/>
      <c r="E220" s="71"/>
      <c r="F220" s="71"/>
      <c r="G220" s="71"/>
      <c r="H220" s="71"/>
      <c r="I220" s="71"/>
      <c r="N220" s="5" t="s">
        <v>269</v>
      </c>
    </row>
    <row r="221" spans="1:14" x14ac:dyDescent="0.2">
      <c r="A221" s="73"/>
      <c r="B221" s="71"/>
      <c r="C221" s="71"/>
      <c r="D221" s="71"/>
      <c r="E221" s="71"/>
      <c r="F221" s="71"/>
      <c r="G221" s="71"/>
      <c r="H221" s="71"/>
      <c r="I221" s="71"/>
      <c r="N221" s="5" t="s">
        <v>410</v>
      </c>
    </row>
    <row r="222" spans="1:14" x14ac:dyDescent="0.2">
      <c r="A222" s="73"/>
      <c r="B222" s="71"/>
      <c r="C222" s="71"/>
      <c r="D222" s="71"/>
      <c r="E222" s="71"/>
      <c r="F222" s="71"/>
      <c r="G222" s="71"/>
      <c r="H222" s="71"/>
      <c r="I222" s="71"/>
      <c r="N222" s="5" t="s">
        <v>270</v>
      </c>
    </row>
    <row r="223" spans="1:14" x14ac:dyDescent="0.2">
      <c r="A223" s="73"/>
      <c r="B223" s="71"/>
      <c r="C223" s="71"/>
      <c r="D223" s="71"/>
      <c r="E223" s="71"/>
      <c r="F223" s="71"/>
      <c r="G223" s="71"/>
      <c r="H223" s="71"/>
      <c r="I223" s="71"/>
      <c r="N223" s="5" t="s">
        <v>271</v>
      </c>
    </row>
    <row r="224" spans="1:14" x14ac:dyDescent="0.2">
      <c r="A224" s="73"/>
      <c r="B224" s="71"/>
      <c r="C224" s="71"/>
      <c r="D224" s="71"/>
      <c r="E224" s="71"/>
      <c r="F224" s="71"/>
      <c r="G224" s="71"/>
      <c r="H224" s="71"/>
      <c r="I224" s="71"/>
      <c r="N224" s="5" t="s">
        <v>272</v>
      </c>
    </row>
    <row r="225" spans="1:14" x14ac:dyDescent="0.2">
      <c r="A225" s="73"/>
      <c r="B225" s="71"/>
      <c r="C225" s="71"/>
      <c r="D225" s="71"/>
      <c r="E225" s="71"/>
      <c r="F225" s="71"/>
      <c r="G225" s="71"/>
      <c r="H225" s="71"/>
      <c r="I225" s="71"/>
      <c r="N225" s="5" t="s">
        <v>409</v>
      </c>
    </row>
    <row r="226" spans="1:14" x14ac:dyDescent="0.2">
      <c r="A226" s="73"/>
      <c r="B226" s="71"/>
      <c r="C226" s="71"/>
      <c r="D226" s="71"/>
      <c r="E226" s="71"/>
      <c r="F226" s="71"/>
      <c r="G226" s="71"/>
      <c r="H226" s="71"/>
      <c r="I226" s="71"/>
      <c r="N226" s="5" t="s">
        <v>273</v>
      </c>
    </row>
    <row r="227" spans="1:14" x14ac:dyDescent="0.2">
      <c r="A227" s="73"/>
      <c r="B227" s="71"/>
      <c r="C227" s="71"/>
      <c r="D227" s="71"/>
      <c r="E227" s="71"/>
      <c r="F227" s="71"/>
      <c r="G227" s="71"/>
      <c r="H227" s="71"/>
      <c r="I227" s="71"/>
      <c r="N227" s="5" t="s">
        <v>274</v>
      </c>
    </row>
    <row r="228" spans="1:14" x14ac:dyDescent="0.2">
      <c r="A228" s="73"/>
      <c r="B228" s="71"/>
      <c r="C228" s="71"/>
      <c r="D228" s="71"/>
      <c r="E228" s="71"/>
      <c r="F228" s="71"/>
      <c r="G228" s="71"/>
      <c r="H228" s="71"/>
      <c r="I228" s="71"/>
      <c r="N228" s="5" t="s">
        <v>275</v>
      </c>
    </row>
    <row r="229" spans="1:14" x14ac:dyDescent="0.2">
      <c r="A229" s="73"/>
      <c r="B229" s="71"/>
      <c r="C229" s="71"/>
      <c r="D229" s="71"/>
      <c r="E229" s="71"/>
      <c r="F229" s="71"/>
      <c r="G229" s="71"/>
      <c r="H229" s="71"/>
      <c r="I229" s="71"/>
      <c r="N229" s="5" t="s">
        <v>276</v>
      </c>
    </row>
    <row r="230" spans="1:14" x14ac:dyDescent="0.2">
      <c r="A230" s="73"/>
      <c r="B230" s="71"/>
      <c r="C230" s="71"/>
      <c r="D230" s="71"/>
      <c r="E230" s="71"/>
      <c r="F230" s="71"/>
      <c r="G230" s="71"/>
      <c r="H230" s="71"/>
      <c r="I230" s="71"/>
      <c r="N230" s="5" t="s">
        <v>277</v>
      </c>
    </row>
    <row r="231" spans="1:14" x14ac:dyDescent="0.2">
      <c r="A231" s="73"/>
      <c r="B231" s="71"/>
      <c r="C231" s="71"/>
      <c r="D231" s="71"/>
      <c r="E231" s="71"/>
      <c r="F231" s="71"/>
      <c r="G231" s="71"/>
      <c r="H231" s="71"/>
      <c r="I231" s="71"/>
      <c r="N231" s="5" t="s">
        <v>278</v>
      </c>
    </row>
    <row r="232" spans="1:14" x14ac:dyDescent="0.2">
      <c r="A232" s="73"/>
      <c r="B232" s="71"/>
      <c r="C232" s="71"/>
      <c r="D232" s="71"/>
      <c r="E232" s="71"/>
      <c r="F232" s="71"/>
      <c r="G232" s="71"/>
      <c r="H232" s="71"/>
      <c r="I232" s="71"/>
      <c r="N232" s="5" t="s">
        <v>279</v>
      </c>
    </row>
    <row r="233" spans="1:14" x14ac:dyDescent="0.2">
      <c r="A233" s="73"/>
      <c r="B233" s="71"/>
      <c r="C233" s="71"/>
      <c r="D233" s="71"/>
      <c r="E233" s="71"/>
      <c r="F233" s="71"/>
      <c r="G233" s="71"/>
      <c r="H233" s="71"/>
      <c r="I233" s="71"/>
      <c r="N233" s="5" t="s">
        <v>280</v>
      </c>
    </row>
    <row r="234" spans="1:14" x14ac:dyDescent="0.2">
      <c r="A234" s="73"/>
      <c r="B234" s="71"/>
      <c r="C234" s="71"/>
      <c r="D234" s="71"/>
      <c r="E234" s="71"/>
      <c r="F234" s="71"/>
      <c r="G234" s="71"/>
      <c r="H234" s="71"/>
      <c r="I234" s="71"/>
      <c r="N234" s="5" t="s">
        <v>281</v>
      </c>
    </row>
    <row r="235" spans="1:14" x14ac:dyDescent="0.2">
      <c r="A235" s="73"/>
      <c r="B235" s="71"/>
      <c r="C235" s="71"/>
      <c r="D235" s="71"/>
      <c r="E235" s="71"/>
      <c r="F235" s="71"/>
      <c r="G235" s="71"/>
      <c r="H235" s="71"/>
      <c r="I235" s="71"/>
      <c r="N235" s="5" t="s">
        <v>282</v>
      </c>
    </row>
    <row r="236" spans="1:14" x14ac:dyDescent="0.2">
      <c r="A236" s="73"/>
      <c r="B236" s="71"/>
      <c r="C236" s="71"/>
      <c r="D236" s="71"/>
      <c r="E236" s="71"/>
      <c r="F236" s="71"/>
      <c r="G236" s="71"/>
      <c r="H236" s="71"/>
      <c r="I236" s="71"/>
      <c r="N236" s="5" t="s">
        <v>283</v>
      </c>
    </row>
    <row r="237" spans="1:14" x14ac:dyDescent="0.2">
      <c r="A237" s="73"/>
      <c r="B237" s="71"/>
      <c r="C237" s="71"/>
      <c r="D237" s="71"/>
      <c r="E237" s="71"/>
      <c r="F237" s="71"/>
      <c r="G237" s="71"/>
      <c r="H237" s="71"/>
      <c r="I237" s="71"/>
      <c r="N237" s="5" t="s">
        <v>284</v>
      </c>
    </row>
    <row r="238" spans="1:14" x14ac:dyDescent="0.2">
      <c r="A238" s="73"/>
      <c r="B238" s="71"/>
      <c r="C238" s="71"/>
      <c r="D238" s="71"/>
      <c r="E238" s="71"/>
      <c r="F238" s="71"/>
      <c r="G238" s="71"/>
      <c r="H238" s="71"/>
      <c r="I238" s="71"/>
      <c r="N238" s="5" t="s">
        <v>285</v>
      </c>
    </row>
    <row r="239" spans="1:14" x14ac:dyDescent="0.2">
      <c r="A239" s="73"/>
      <c r="B239" s="71"/>
      <c r="C239" s="71"/>
      <c r="D239" s="71"/>
      <c r="E239" s="71"/>
      <c r="F239" s="71"/>
      <c r="G239" s="71"/>
      <c r="H239" s="71"/>
      <c r="I239" s="71"/>
      <c r="N239" s="5" t="s">
        <v>286</v>
      </c>
    </row>
    <row r="240" spans="1:14" x14ac:dyDescent="0.2">
      <c r="A240" s="73"/>
      <c r="B240" s="71"/>
      <c r="C240" s="71"/>
      <c r="D240" s="71"/>
      <c r="E240" s="71"/>
      <c r="F240" s="71"/>
      <c r="G240" s="71"/>
      <c r="H240" s="71"/>
      <c r="I240" s="71"/>
      <c r="N240" s="5" t="s">
        <v>287</v>
      </c>
    </row>
    <row r="241" spans="1:14" x14ac:dyDescent="0.2">
      <c r="A241" s="73"/>
      <c r="B241" s="71"/>
      <c r="C241" s="71"/>
      <c r="D241" s="71"/>
      <c r="E241" s="71"/>
      <c r="F241" s="71"/>
      <c r="G241" s="71"/>
      <c r="H241" s="71"/>
      <c r="I241" s="71"/>
      <c r="N241" s="5" t="s">
        <v>288</v>
      </c>
    </row>
    <row r="242" spans="1:14" x14ac:dyDescent="0.2">
      <c r="A242" s="73"/>
      <c r="B242" s="71"/>
      <c r="C242" s="71"/>
      <c r="D242" s="71"/>
      <c r="E242" s="71"/>
      <c r="F242" s="71"/>
      <c r="G242" s="71"/>
      <c r="H242" s="71"/>
      <c r="I242" s="71"/>
      <c r="N242" s="5" t="s">
        <v>289</v>
      </c>
    </row>
    <row r="243" spans="1:14" x14ac:dyDescent="0.2">
      <c r="A243" s="73"/>
      <c r="B243" s="71"/>
      <c r="C243" s="71"/>
      <c r="D243" s="71"/>
      <c r="E243" s="71"/>
      <c r="F243" s="71"/>
      <c r="G243" s="71"/>
      <c r="H243" s="71"/>
      <c r="I243" s="71"/>
      <c r="N243" s="5" t="s">
        <v>290</v>
      </c>
    </row>
    <row r="244" spans="1:14" x14ac:dyDescent="0.2">
      <c r="A244" s="73"/>
      <c r="B244" s="71"/>
      <c r="C244" s="71"/>
      <c r="D244" s="71"/>
      <c r="E244" s="71"/>
      <c r="F244" s="71"/>
      <c r="G244" s="71"/>
      <c r="H244" s="71"/>
      <c r="I244" s="71"/>
      <c r="N244" s="5" t="s">
        <v>291</v>
      </c>
    </row>
    <row r="245" spans="1:14" x14ac:dyDescent="0.2">
      <c r="A245" s="73"/>
      <c r="B245" s="71"/>
      <c r="C245" s="71"/>
      <c r="D245" s="71"/>
      <c r="E245" s="71"/>
      <c r="F245" s="71"/>
      <c r="G245" s="71"/>
      <c r="H245" s="71"/>
      <c r="I245" s="71"/>
      <c r="N245" s="5" t="s">
        <v>292</v>
      </c>
    </row>
    <row r="246" spans="1:14" x14ac:dyDescent="0.2">
      <c r="A246" s="73"/>
      <c r="B246" s="71"/>
      <c r="C246" s="71"/>
      <c r="D246" s="71"/>
      <c r="E246" s="71"/>
      <c r="F246" s="71"/>
      <c r="G246" s="71"/>
      <c r="H246" s="71"/>
      <c r="I246" s="71"/>
      <c r="N246" s="5" t="s">
        <v>292</v>
      </c>
    </row>
    <row r="247" spans="1:14" x14ac:dyDescent="0.2">
      <c r="A247" s="73"/>
      <c r="B247" s="71"/>
      <c r="C247" s="71"/>
      <c r="D247" s="71"/>
      <c r="E247" s="71"/>
      <c r="F247" s="71"/>
      <c r="G247" s="71"/>
      <c r="H247" s="71"/>
      <c r="I247" s="71"/>
      <c r="N247" s="5" t="s">
        <v>293</v>
      </c>
    </row>
    <row r="248" spans="1:14" x14ac:dyDescent="0.2">
      <c r="A248" s="73"/>
      <c r="B248" s="71"/>
      <c r="C248" s="71"/>
      <c r="D248" s="71"/>
      <c r="E248" s="71"/>
      <c r="F248" s="71"/>
      <c r="G248" s="71"/>
      <c r="H248" s="71"/>
      <c r="I248" s="71"/>
      <c r="N248" s="5" t="s">
        <v>294</v>
      </c>
    </row>
    <row r="249" spans="1:14" x14ac:dyDescent="0.2">
      <c r="A249" s="73"/>
      <c r="B249" s="71"/>
      <c r="C249" s="71"/>
      <c r="D249" s="71"/>
      <c r="E249" s="71"/>
      <c r="F249" s="71"/>
      <c r="G249" s="71"/>
      <c r="H249" s="71"/>
      <c r="I249" s="71"/>
      <c r="N249" s="5" t="s">
        <v>295</v>
      </c>
    </row>
    <row r="250" spans="1:14" x14ac:dyDescent="0.2">
      <c r="A250" s="73"/>
      <c r="B250" s="71"/>
      <c r="C250" s="71"/>
      <c r="D250" s="71"/>
      <c r="E250" s="71"/>
      <c r="F250" s="71"/>
      <c r="G250" s="71"/>
      <c r="H250" s="71"/>
      <c r="I250" s="71"/>
      <c r="N250" s="5" t="s">
        <v>296</v>
      </c>
    </row>
    <row r="251" spans="1:14" x14ac:dyDescent="0.2">
      <c r="A251" s="73"/>
      <c r="B251" s="71"/>
      <c r="C251" s="71"/>
      <c r="D251" s="71"/>
      <c r="E251" s="71"/>
      <c r="F251" s="71"/>
      <c r="G251" s="71"/>
      <c r="H251" s="71"/>
      <c r="I251" s="71"/>
      <c r="N251" s="5" t="s">
        <v>297</v>
      </c>
    </row>
    <row r="252" spans="1:14" x14ac:dyDescent="0.2">
      <c r="A252" s="73"/>
      <c r="B252" s="71"/>
      <c r="C252" s="71"/>
      <c r="D252" s="71"/>
      <c r="E252" s="71"/>
      <c r="F252" s="71"/>
      <c r="G252" s="71"/>
      <c r="H252" s="71"/>
      <c r="I252" s="71"/>
      <c r="N252" s="5" t="s">
        <v>298</v>
      </c>
    </row>
    <row r="253" spans="1:14" x14ac:dyDescent="0.2">
      <c r="A253" s="73"/>
      <c r="B253" s="71"/>
      <c r="C253" s="71"/>
      <c r="D253" s="71"/>
      <c r="E253" s="71"/>
      <c r="F253" s="71"/>
      <c r="G253" s="71"/>
      <c r="H253" s="71"/>
      <c r="I253" s="71"/>
      <c r="N253" s="5" t="s">
        <v>299</v>
      </c>
    </row>
    <row r="254" spans="1:14" x14ac:dyDescent="0.2">
      <c r="A254" s="73"/>
      <c r="B254" s="71"/>
      <c r="C254" s="71"/>
      <c r="D254" s="71"/>
      <c r="E254" s="71"/>
      <c r="F254" s="71"/>
      <c r="G254" s="71"/>
      <c r="H254" s="71"/>
      <c r="I254" s="71"/>
      <c r="N254" s="5" t="s">
        <v>408</v>
      </c>
    </row>
    <row r="255" spans="1:14" x14ac:dyDescent="0.2">
      <c r="A255" s="73"/>
      <c r="B255" s="71"/>
      <c r="C255" s="71"/>
      <c r="D255" s="71"/>
      <c r="E255" s="71"/>
      <c r="F255" s="71"/>
      <c r="G255" s="71"/>
      <c r="H255" s="71"/>
      <c r="I255" s="71"/>
      <c r="N255" s="5" t="s">
        <v>300</v>
      </c>
    </row>
    <row r="256" spans="1:14" x14ac:dyDescent="0.2">
      <c r="A256" s="73"/>
      <c r="B256" s="71"/>
      <c r="C256" s="71"/>
      <c r="D256" s="71"/>
      <c r="E256" s="71"/>
      <c r="F256" s="71"/>
      <c r="G256" s="71"/>
      <c r="H256" s="71"/>
      <c r="I256" s="71"/>
      <c r="N256" s="5" t="s">
        <v>301</v>
      </c>
    </row>
    <row r="257" spans="1:14" x14ac:dyDescent="0.2">
      <c r="A257" s="73"/>
      <c r="B257" s="71"/>
      <c r="C257" s="71"/>
      <c r="D257" s="71"/>
      <c r="E257" s="71"/>
      <c r="F257" s="71"/>
      <c r="G257" s="71"/>
      <c r="H257" s="71"/>
      <c r="I257" s="71"/>
      <c r="N257" s="5" t="s">
        <v>302</v>
      </c>
    </row>
    <row r="258" spans="1:14" x14ac:dyDescent="0.2">
      <c r="A258" s="73"/>
      <c r="B258" s="71"/>
      <c r="C258" s="71"/>
      <c r="D258" s="71"/>
      <c r="E258" s="71"/>
      <c r="F258" s="71"/>
      <c r="G258" s="71"/>
      <c r="H258" s="71"/>
      <c r="I258" s="71"/>
      <c r="N258" s="5" t="s">
        <v>304</v>
      </c>
    </row>
    <row r="259" spans="1:14" x14ac:dyDescent="0.2">
      <c r="A259" s="73"/>
      <c r="B259" s="71"/>
      <c r="C259" s="71"/>
      <c r="D259" s="71"/>
      <c r="E259" s="71"/>
      <c r="F259" s="71"/>
      <c r="G259" s="71"/>
      <c r="H259" s="71"/>
      <c r="I259" s="71"/>
      <c r="N259" s="5" t="s">
        <v>303</v>
      </c>
    </row>
    <row r="260" spans="1:14" x14ac:dyDescent="0.2">
      <c r="A260" s="73"/>
      <c r="B260" s="71"/>
      <c r="C260" s="71"/>
      <c r="D260" s="71"/>
      <c r="E260" s="71"/>
      <c r="F260" s="71"/>
      <c r="G260" s="71"/>
      <c r="H260" s="71"/>
      <c r="I260" s="71"/>
      <c r="N260" s="5" t="s">
        <v>305</v>
      </c>
    </row>
    <row r="261" spans="1:14" x14ac:dyDescent="0.2">
      <c r="A261" s="73"/>
      <c r="B261" s="71"/>
      <c r="C261" s="71"/>
      <c r="D261" s="71"/>
      <c r="E261" s="71"/>
      <c r="F261" s="71"/>
      <c r="G261" s="71"/>
      <c r="H261" s="71"/>
      <c r="I261" s="71"/>
      <c r="N261" s="5" t="s">
        <v>306</v>
      </c>
    </row>
    <row r="262" spans="1:14" x14ac:dyDescent="0.2">
      <c r="A262" s="73"/>
      <c r="B262" s="71"/>
      <c r="C262" s="71"/>
      <c r="D262" s="71"/>
      <c r="E262" s="71"/>
      <c r="F262" s="71"/>
      <c r="G262" s="71"/>
      <c r="H262" s="71"/>
      <c r="I262" s="71"/>
      <c r="N262" s="5" t="s">
        <v>307</v>
      </c>
    </row>
    <row r="263" spans="1:14" x14ac:dyDescent="0.2">
      <c r="A263" s="73"/>
      <c r="B263" s="71"/>
      <c r="C263" s="71"/>
      <c r="D263" s="71"/>
      <c r="E263" s="71"/>
      <c r="F263" s="71"/>
      <c r="G263" s="71"/>
      <c r="H263" s="71"/>
      <c r="I263" s="71"/>
      <c r="N263" s="5" t="s">
        <v>308</v>
      </c>
    </row>
    <row r="264" spans="1:14" x14ac:dyDescent="0.2">
      <c r="A264" s="73"/>
      <c r="B264" s="71"/>
      <c r="C264" s="71"/>
      <c r="D264" s="71"/>
      <c r="E264" s="71"/>
      <c r="F264" s="71"/>
      <c r="G264" s="71"/>
      <c r="H264" s="71"/>
      <c r="I264" s="71"/>
      <c r="N264" s="5" t="s">
        <v>309</v>
      </c>
    </row>
    <row r="265" spans="1:14" x14ac:dyDescent="0.2">
      <c r="A265" s="73"/>
      <c r="B265" s="71"/>
      <c r="C265" s="71"/>
      <c r="D265" s="71"/>
      <c r="E265" s="71"/>
      <c r="F265" s="71"/>
      <c r="G265" s="71"/>
      <c r="H265" s="71"/>
      <c r="I265" s="71"/>
      <c r="N265" s="5" t="s">
        <v>310</v>
      </c>
    </row>
    <row r="266" spans="1:14" x14ac:dyDescent="0.2">
      <c r="A266" s="73"/>
      <c r="B266" s="71"/>
      <c r="C266" s="71"/>
      <c r="D266" s="71"/>
      <c r="E266" s="71"/>
      <c r="F266" s="71"/>
      <c r="G266" s="71"/>
      <c r="H266" s="71"/>
      <c r="I266" s="71"/>
      <c r="N266" s="5" t="s">
        <v>311</v>
      </c>
    </row>
    <row r="267" spans="1:14" x14ac:dyDescent="0.2">
      <c r="A267" s="73"/>
      <c r="B267" s="71"/>
      <c r="C267" s="71"/>
      <c r="D267" s="71"/>
      <c r="E267" s="71"/>
      <c r="F267" s="71"/>
      <c r="G267" s="71"/>
      <c r="H267" s="71"/>
      <c r="I267" s="71"/>
      <c r="N267" s="5" t="s">
        <v>312</v>
      </c>
    </row>
    <row r="268" spans="1:14" x14ac:dyDescent="0.2">
      <c r="A268" s="73"/>
      <c r="B268" s="71"/>
      <c r="C268" s="71"/>
      <c r="D268" s="71"/>
      <c r="E268" s="71"/>
      <c r="F268" s="71"/>
      <c r="G268" s="71"/>
      <c r="H268" s="71"/>
      <c r="I268" s="71"/>
      <c r="N268" s="5" t="s">
        <v>313</v>
      </c>
    </row>
    <row r="269" spans="1:14" x14ac:dyDescent="0.2">
      <c r="A269" s="73"/>
      <c r="B269" s="71"/>
      <c r="C269" s="71"/>
      <c r="D269" s="71"/>
      <c r="E269" s="71"/>
      <c r="F269" s="71"/>
      <c r="G269" s="71"/>
      <c r="H269" s="71"/>
      <c r="I269" s="71"/>
      <c r="N269" s="5" t="s">
        <v>314</v>
      </c>
    </row>
    <row r="270" spans="1:14" x14ac:dyDescent="0.2">
      <c r="A270" s="73"/>
      <c r="B270" s="71"/>
      <c r="C270" s="71"/>
      <c r="D270" s="71"/>
      <c r="E270" s="71"/>
      <c r="F270" s="71"/>
      <c r="G270" s="71"/>
      <c r="H270" s="71"/>
      <c r="I270" s="71"/>
      <c r="N270" s="5" t="s">
        <v>315</v>
      </c>
    </row>
    <row r="271" spans="1:14" x14ac:dyDescent="0.2">
      <c r="A271" s="73"/>
      <c r="B271" s="71"/>
      <c r="C271" s="71"/>
      <c r="D271" s="71"/>
      <c r="E271" s="71"/>
      <c r="F271" s="71"/>
      <c r="G271" s="71"/>
      <c r="H271" s="71"/>
      <c r="I271" s="71"/>
      <c r="N271" s="5" t="s">
        <v>316</v>
      </c>
    </row>
    <row r="272" spans="1:14" x14ac:dyDescent="0.2">
      <c r="A272" s="73"/>
      <c r="B272" s="71"/>
      <c r="C272" s="71"/>
      <c r="D272" s="71"/>
      <c r="E272" s="71"/>
      <c r="F272" s="71"/>
      <c r="G272" s="71"/>
      <c r="H272" s="71"/>
      <c r="I272" s="71"/>
      <c r="N272" s="5" t="s">
        <v>317</v>
      </c>
    </row>
    <row r="273" spans="1:14" x14ac:dyDescent="0.2">
      <c r="A273" s="73"/>
      <c r="B273" s="71"/>
      <c r="C273" s="71"/>
      <c r="D273" s="71"/>
      <c r="E273" s="71"/>
      <c r="F273" s="71"/>
      <c r="G273" s="71"/>
      <c r="H273" s="71"/>
      <c r="I273" s="71"/>
      <c r="N273" s="5" t="s">
        <v>318</v>
      </c>
    </row>
    <row r="274" spans="1:14" x14ac:dyDescent="0.2">
      <c r="A274" s="73"/>
      <c r="B274" s="71"/>
      <c r="C274" s="71"/>
      <c r="D274" s="71"/>
      <c r="E274" s="71"/>
      <c r="F274" s="71"/>
      <c r="G274" s="71"/>
      <c r="H274" s="71"/>
      <c r="I274" s="71"/>
      <c r="N274" s="5" t="s">
        <v>319</v>
      </c>
    </row>
    <row r="275" spans="1:14" x14ac:dyDescent="0.2">
      <c r="A275" s="73"/>
      <c r="B275" s="71"/>
      <c r="C275" s="71"/>
      <c r="D275" s="71"/>
      <c r="E275" s="71"/>
      <c r="F275" s="71"/>
      <c r="G275" s="71"/>
      <c r="H275" s="71"/>
      <c r="I275" s="71"/>
      <c r="N275" s="5" t="s">
        <v>320</v>
      </c>
    </row>
    <row r="276" spans="1:14" x14ac:dyDescent="0.2">
      <c r="A276" s="73"/>
      <c r="B276" s="71"/>
      <c r="C276" s="71"/>
      <c r="D276" s="71"/>
      <c r="E276" s="71"/>
      <c r="F276" s="71"/>
      <c r="G276" s="71"/>
      <c r="H276" s="71"/>
      <c r="I276" s="71"/>
      <c r="N276" s="5" t="s">
        <v>321</v>
      </c>
    </row>
    <row r="277" spans="1:14" x14ac:dyDescent="0.2">
      <c r="A277" s="73"/>
      <c r="B277" s="71"/>
      <c r="C277" s="71"/>
      <c r="D277" s="71"/>
      <c r="E277" s="71"/>
      <c r="F277" s="71"/>
      <c r="G277" s="71"/>
      <c r="H277" s="71"/>
      <c r="I277" s="71"/>
      <c r="N277" s="5" t="s">
        <v>322</v>
      </c>
    </row>
    <row r="278" spans="1:14" x14ac:dyDescent="0.2">
      <c r="A278" s="73"/>
      <c r="B278" s="71"/>
      <c r="C278" s="71"/>
      <c r="D278" s="71"/>
      <c r="E278" s="71"/>
      <c r="F278" s="71"/>
      <c r="G278" s="71"/>
      <c r="H278" s="71"/>
      <c r="I278" s="71"/>
      <c r="N278" s="5" t="s">
        <v>323</v>
      </c>
    </row>
    <row r="279" spans="1:14" x14ac:dyDescent="0.2">
      <c r="A279" s="73"/>
      <c r="B279" s="71"/>
      <c r="C279" s="71"/>
      <c r="D279" s="71"/>
      <c r="E279" s="71"/>
      <c r="F279" s="71"/>
      <c r="G279" s="71"/>
      <c r="H279" s="71"/>
      <c r="I279" s="71"/>
      <c r="N279" s="5" t="s">
        <v>324</v>
      </c>
    </row>
    <row r="280" spans="1:14" x14ac:dyDescent="0.2">
      <c r="A280" s="73"/>
      <c r="B280" s="71"/>
      <c r="C280" s="71"/>
      <c r="D280" s="71"/>
      <c r="E280" s="71"/>
      <c r="F280" s="71"/>
      <c r="G280" s="71"/>
      <c r="H280" s="71"/>
      <c r="I280" s="71"/>
      <c r="N280" s="5" t="s">
        <v>325</v>
      </c>
    </row>
    <row r="281" spans="1:14" x14ac:dyDescent="0.2">
      <c r="A281" s="73"/>
      <c r="B281" s="71"/>
      <c r="C281" s="71"/>
      <c r="D281" s="71"/>
      <c r="E281" s="71"/>
      <c r="F281" s="71"/>
      <c r="G281" s="71"/>
      <c r="H281" s="71"/>
      <c r="I281" s="71"/>
      <c r="N281" s="5" t="s">
        <v>326</v>
      </c>
    </row>
    <row r="282" spans="1:14" x14ac:dyDescent="0.2">
      <c r="A282" s="73"/>
      <c r="B282" s="71"/>
      <c r="C282" s="71"/>
      <c r="D282" s="71"/>
      <c r="E282" s="71"/>
      <c r="F282" s="71"/>
      <c r="G282" s="71"/>
      <c r="H282" s="71"/>
      <c r="I282" s="71"/>
      <c r="N282" s="5" t="s">
        <v>327</v>
      </c>
    </row>
    <row r="283" spans="1:14" x14ac:dyDescent="0.2">
      <c r="A283" s="73"/>
      <c r="B283" s="71"/>
      <c r="C283" s="71"/>
      <c r="D283" s="71"/>
      <c r="E283" s="71"/>
      <c r="F283" s="71"/>
      <c r="G283" s="71"/>
      <c r="H283" s="71"/>
      <c r="I283" s="71"/>
      <c r="N283" s="5" t="s">
        <v>328</v>
      </c>
    </row>
    <row r="284" spans="1:14" x14ac:dyDescent="0.2">
      <c r="A284" s="73"/>
      <c r="B284" s="71"/>
      <c r="C284" s="71"/>
      <c r="D284" s="71"/>
      <c r="E284" s="71"/>
      <c r="F284" s="71"/>
      <c r="G284" s="71"/>
      <c r="H284" s="71"/>
      <c r="I284" s="71"/>
      <c r="N284" s="5" t="s">
        <v>329</v>
      </c>
    </row>
    <row r="285" spans="1:14" x14ac:dyDescent="0.2">
      <c r="A285" s="73"/>
      <c r="B285" s="71"/>
      <c r="C285" s="71"/>
      <c r="D285" s="71"/>
      <c r="E285" s="71"/>
      <c r="F285" s="71"/>
      <c r="G285" s="71"/>
      <c r="H285" s="71"/>
      <c r="I285" s="71"/>
      <c r="N285" s="5" t="s">
        <v>407</v>
      </c>
    </row>
    <row r="286" spans="1:14" x14ac:dyDescent="0.2">
      <c r="A286" s="73"/>
      <c r="B286" s="71"/>
      <c r="C286" s="71"/>
      <c r="D286" s="71"/>
      <c r="E286" s="71"/>
      <c r="F286" s="71"/>
      <c r="G286" s="71"/>
      <c r="H286" s="71"/>
      <c r="I286" s="71"/>
      <c r="N286" s="5" t="s">
        <v>330</v>
      </c>
    </row>
    <row r="287" spans="1:14" x14ac:dyDescent="0.2">
      <c r="A287" s="73"/>
      <c r="B287" s="71"/>
      <c r="C287" s="71"/>
      <c r="D287" s="71"/>
      <c r="E287" s="71"/>
      <c r="F287" s="71"/>
      <c r="G287" s="71"/>
      <c r="H287" s="71"/>
      <c r="I287" s="71"/>
      <c r="N287" s="5" t="s">
        <v>406</v>
      </c>
    </row>
    <row r="288" spans="1:14" x14ac:dyDescent="0.2">
      <c r="A288" s="73"/>
      <c r="B288" s="71"/>
      <c r="C288" s="71"/>
      <c r="D288" s="71"/>
      <c r="E288" s="71"/>
      <c r="F288" s="71"/>
      <c r="G288" s="71"/>
      <c r="H288" s="71"/>
      <c r="I288" s="71"/>
      <c r="N288" s="5" t="s">
        <v>331</v>
      </c>
    </row>
    <row r="289" spans="1:14" x14ac:dyDescent="0.2">
      <c r="A289" s="73"/>
      <c r="B289" s="71"/>
      <c r="C289" s="71"/>
      <c r="D289" s="71"/>
      <c r="E289" s="71"/>
      <c r="F289" s="71"/>
      <c r="G289" s="71"/>
      <c r="H289" s="71"/>
      <c r="I289" s="71"/>
      <c r="N289" s="5" t="s">
        <v>332</v>
      </c>
    </row>
    <row r="290" spans="1:14" x14ac:dyDescent="0.2">
      <c r="A290" s="73"/>
      <c r="B290" s="71"/>
      <c r="C290" s="71"/>
      <c r="D290" s="71"/>
      <c r="E290" s="71"/>
      <c r="F290" s="71"/>
      <c r="G290" s="71"/>
      <c r="H290" s="71"/>
      <c r="I290" s="71"/>
      <c r="N290" s="5" t="s">
        <v>333</v>
      </c>
    </row>
    <row r="291" spans="1:14" x14ac:dyDescent="0.2">
      <c r="A291" s="73"/>
      <c r="B291" s="71"/>
      <c r="C291" s="71"/>
      <c r="D291" s="71"/>
      <c r="E291" s="71"/>
      <c r="F291" s="71"/>
      <c r="G291" s="71"/>
      <c r="H291" s="71"/>
      <c r="I291" s="71"/>
      <c r="N291" s="5" t="s">
        <v>334</v>
      </c>
    </row>
    <row r="292" spans="1:14" x14ac:dyDescent="0.2">
      <c r="A292" s="73"/>
      <c r="B292" s="71"/>
      <c r="C292" s="71"/>
      <c r="D292" s="71"/>
      <c r="E292" s="71"/>
      <c r="F292" s="71"/>
      <c r="G292" s="71"/>
      <c r="H292" s="71"/>
      <c r="I292" s="71"/>
      <c r="N292" s="5" t="s">
        <v>335</v>
      </c>
    </row>
    <row r="293" spans="1:14" x14ac:dyDescent="0.2">
      <c r="A293" s="73"/>
      <c r="B293" s="71"/>
      <c r="C293" s="71"/>
      <c r="D293" s="71"/>
      <c r="E293" s="71"/>
      <c r="F293" s="71"/>
      <c r="G293" s="71"/>
      <c r="H293" s="71"/>
      <c r="I293" s="71"/>
      <c r="N293" s="5" t="s">
        <v>336</v>
      </c>
    </row>
    <row r="294" spans="1:14" x14ac:dyDescent="0.2">
      <c r="A294" s="73"/>
      <c r="B294" s="71"/>
      <c r="C294" s="71"/>
      <c r="D294" s="71"/>
      <c r="E294" s="71"/>
      <c r="F294" s="71"/>
      <c r="G294" s="71"/>
      <c r="H294" s="71"/>
      <c r="I294" s="71"/>
      <c r="N294" s="5" t="s">
        <v>337</v>
      </c>
    </row>
    <row r="295" spans="1:14" x14ac:dyDescent="0.2">
      <c r="A295" s="73"/>
      <c r="B295" s="71"/>
      <c r="C295" s="71"/>
      <c r="D295" s="71"/>
      <c r="E295" s="71"/>
      <c r="F295" s="71"/>
      <c r="G295" s="71"/>
      <c r="H295" s="71"/>
      <c r="I295" s="71"/>
      <c r="N295" s="5" t="s">
        <v>338</v>
      </c>
    </row>
    <row r="296" spans="1:14" x14ac:dyDescent="0.2">
      <c r="A296" s="73"/>
      <c r="B296" s="71"/>
      <c r="C296" s="71"/>
      <c r="D296" s="71"/>
      <c r="E296" s="71"/>
      <c r="F296" s="71"/>
      <c r="G296" s="71"/>
      <c r="H296" s="71"/>
      <c r="I296" s="71"/>
      <c r="N296" s="5" t="s">
        <v>339</v>
      </c>
    </row>
    <row r="297" spans="1:14" x14ac:dyDescent="0.2">
      <c r="A297" s="73"/>
      <c r="B297" s="71"/>
      <c r="C297" s="71"/>
      <c r="D297" s="71"/>
      <c r="E297" s="71"/>
      <c r="F297" s="71"/>
      <c r="G297" s="71"/>
      <c r="H297" s="71"/>
      <c r="I297" s="71"/>
      <c r="N297" s="5" t="s">
        <v>340</v>
      </c>
    </row>
    <row r="298" spans="1:14" x14ac:dyDescent="0.2">
      <c r="A298" s="73"/>
      <c r="B298" s="71"/>
      <c r="C298" s="71"/>
      <c r="D298" s="71"/>
      <c r="E298" s="71"/>
      <c r="F298" s="71"/>
      <c r="G298" s="71"/>
      <c r="H298" s="71"/>
      <c r="I298" s="71"/>
      <c r="N298" s="5" t="s">
        <v>341</v>
      </c>
    </row>
    <row r="299" spans="1:14" x14ac:dyDescent="0.2">
      <c r="A299" s="73"/>
      <c r="B299" s="71"/>
      <c r="C299" s="71"/>
      <c r="D299" s="71"/>
      <c r="E299" s="71"/>
      <c r="F299" s="71"/>
      <c r="G299" s="71"/>
      <c r="H299" s="71"/>
      <c r="I299" s="71"/>
      <c r="N299" s="5" t="s">
        <v>342</v>
      </c>
    </row>
    <row r="300" spans="1:14" x14ac:dyDescent="0.2">
      <c r="A300" s="73"/>
      <c r="B300" s="71"/>
      <c r="C300" s="71"/>
      <c r="D300" s="71"/>
      <c r="E300" s="71"/>
      <c r="F300" s="71"/>
      <c r="G300" s="71"/>
      <c r="H300" s="71"/>
      <c r="I300" s="71"/>
      <c r="N300" s="5" t="s">
        <v>343</v>
      </c>
    </row>
    <row r="301" spans="1:14" x14ac:dyDescent="0.2">
      <c r="A301" s="73"/>
      <c r="B301" s="71"/>
      <c r="C301" s="71"/>
      <c r="D301" s="71"/>
      <c r="E301" s="71"/>
      <c r="F301" s="71"/>
      <c r="G301" s="71"/>
      <c r="H301" s="71"/>
      <c r="I301" s="71"/>
      <c r="N301" s="5" t="s">
        <v>344</v>
      </c>
    </row>
    <row r="302" spans="1:14" x14ac:dyDescent="0.2">
      <c r="A302" s="73"/>
      <c r="B302" s="71"/>
      <c r="C302" s="71"/>
      <c r="D302" s="71"/>
      <c r="E302" s="71"/>
      <c r="F302" s="71"/>
      <c r="G302" s="71"/>
      <c r="H302" s="71"/>
      <c r="I302" s="71"/>
      <c r="N302" s="5" t="s">
        <v>345</v>
      </c>
    </row>
    <row r="303" spans="1:14" x14ac:dyDescent="0.2">
      <c r="A303" s="73"/>
      <c r="B303" s="71"/>
      <c r="C303" s="71"/>
      <c r="D303" s="71"/>
      <c r="E303" s="71"/>
      <c r="F303" s="71"/>
      <c r="G303" s="71"/>
      <c r="H303" s="71"/>
      <c r="I303" s="71"/>
      <c r="N303" s="5" t="s">
        <v>346</v>
      </c>
    </row>
    <row r="304" spans="1:14" x14ac:dyDescent="0.2">
      <c r="A304" s="73"/>
      <c r="B304" s="71"/>
      <c r="C304" s="71"/>
      <c r="D304" s="71"/>
      <c r="E304" s="71"/>
      <c r="F304" s="71"/>
      <c r="G304" s="71"/>
      <c r="H304" s="71"/>
      <c r="I304" s="71"/>
      <c r="N304" s="5" t="s">
        <v>347</v>
      </c>
    </row>
    <row r="305" spans="1:14" x14ac:dyDescent="0.2">
      <c r="A305" s="73"/>
      <c r="B305" s="71"/>
      <c r="C305" s="71"/>
      <c r="D305" s="71"/>
      <c r="E305" s="71"/>
      <c r="F305" s="71"/>
      <c r="G305" s="71"/>
      <c r="H305" s="71"/>
      <c r="I305" s="71"/>
      <c r="N305" s="5" t="s">
        <v>348</v>
      </c>
    </row>
    <row r="306" spans="1:14" x14ac:dyDescent="0.2">
      <c r="A306" s="73"/>
      <c r="B306" s="71"/>
      <c r="C306" s="71"/>
      <c r="D306" s="71"/>
      <c r="E306" s="71"/>
      <c r="F306" s="71"/>
      <c r="G306" s="71"/>
      <c r="N306" s="5" t="s">
        <v>349</v>
      </c>
    </row>
    <row r="307" spans="1:14" x14ac:dyDescent="0.2">
      <c r="A307" s="73"/>
      <c r="B307" s="71"/>
      <c r="C307" s="71"/>
      <c r="D307" s="71"/>
      <c r="E307" s="71"/>
      <c r="F307" s="71"/>
      <c r="G307" s="71"/>
      <c r="N307" s="5" t="s">
        <v>350</v>
      </c>
    </row>
    <row r="308" spans="1:14" x14ac:dyDescent="0.2">
      <c r="A308" s="73"/>
      <c r="B308" s="71"/>
      <c r="C308" s="71"/>
      <c r="D308" s="71"/>
      <c r="E308" s="71"/>
      <c r="F308" s="71"/>
      <c r="G308" s="71"/>
      <c r="N308" s="5" t="s">
        <v>351</v>
      </c>
    </row>
    <row r="309" spans="1:14" x14ac:dyDescent="0.2">
      <c r="A309" s="73"/>
      <c r="B309" s="71"/>
      <c r="C309" s="71"/>
      <c r="D309" s="71"/>
      <c r="E309" s="71"/>
      <c r="F309" s="71"/>
      <c r="G309" s="71"/>
      <c r="N309" s="5" t="s">
        <v>405</v>
      </c>
    </row>
    <row r="310" spans="1:14" x14ac:dyDescent="0.2">
      <c r="A310" s="73"/>
      <c r="B310" s="71"/>
      <c r="C310" s="71"/>
      <c r="D310" s="71"/>
      <c r="E310" s="71"/>
      <c r="F310" s="71"/>
      <c r="G310" s="71"/>
      <c r="N310" s="5" t="s">
        <v>404</v>
      </c>
    </row>
    <row r="311" spans="1:14" x14ac:dyDescent="0.2">
      <c r="A311" s="73"/>
      <c r="B311" s="71"/>
      <c r="C311" s="71"/>
      <c r="D311" s="71"/>
      <c r="E311" s="71"/>
      <c r="F311" s="71"/>
      <c r="G311" s="71"/>
      <c r="N311" s="5" t="s">
        <v>403</v>
      </c>
    </row>
    <row r="312" spans="1:14" x14ac:dyDescent="0.2">
      <c r="A312" s="73"/>
      <c r="B312" s="71"/>
      <c r="C312" s="71"/>
      <c r="D312" s="71"/>
      <c r="E312" s="71"/>
      <c r="F312" s="71"/>
      <c r="G312" s="71"/>
      <c r="N312" s="5" t="s">
        <v>402</v>
      </c>
    </row>
    <row r="313" spans="1:14" x14ac:dyDescent="0.2">
      <c r="A313" s="73"/>
      <c r="B313" s="71"/>
      <c r="C313" s="71"/>
      <c r="D313" s="71"/>
      <c r="E313" s="71"/>
      <c r="F313" s="71"/>
      <c r="G313" s="71"/>
      <c r="N313" s="5" t="s">
        <v>401</v>
      </c>
    </row>
    <row r="314" spans="1:14" x14ac:dyDescent="0.2">
      <c r="A314" s="73"/>
      <c r="B314" s="71"/>
      <c r="C314" s="71"/>
      <c r="D314" s="71"/>
      <c r="E314" s="71"/>
      <c r="F314" s="71"/>
      <c r="G314" s="71"/>
      <c r="N314" s="5" t="s">
        <v>400</v>
      </c>
    </row>
    <row r="315" spans="1:14" x14ac:dyDescent="0.2">
      <c r="A315" s="73"/>
      <c r="B315" s="71"/>
      <c r="C315" s="71"/>
      <c r="D315" s="71"/>
      <c r="E315" s="71"/>
      <c r="F315" s="71"/>
      <c r="G315" s="71"/>
      <c r="N315" s="5" t="s">
        <v>159</v>
      </c>
    </row>
    <row r="316" spans="1:14" x14ac:dyDescent="0.2">
      <c r="A316" s="73"/>
      <c r="B316" s="71"/>
      <c r="C316" s="71"/>
      <c r="D316" s="71"/>
      <c r="E316" s="71"/>
      <c r="F316" s="71"/>
      <c r="G316" s="71"/>
      <c r="N316" s="5" t="s">
        <v>352</v>
      </c>
    </row>
    <row r="317" spans="1:14" x14ac:dyDescent="0.2">
      <c r="A317" s="73"/>
      <c r="B317" s="71"/>
      <c r="C317" s="71"/>
      <c r="D317" s="71"/>
      <c r="E317" s="71"/>
      <c r="F317" s="71"/>
      <c r="G317" s="71"/>
      <c r="N317" s="5" t="s">
        <v>353</v>
      </c>
    </row>
    <row r="318" spans="1:14" x14ac:dyDescent="0.2">
      <c r="A318" s="73"/>
      <c r="B318" s="71"/>
      <c r="C318" s="71"/>
      <c r="D318" s="71"/>
      <c r="E318" s="71"/>
      <c r="F318" s="71"/>
      <c r="G318" s="71"/>
      <c r="N318" s="5" t="s">
        <v>354</v>
      </c>
    </row>
    <row r="319" spans="1:14" x14ac:dyDescent="0.2">
      <c r="A319" s="73"/>
      <c r="B319" s="71"/>
      <c r="C319" s="71"/>
      <c r="D319" s="71"/>
      <c r="E319" s="71"/>
      <c r="F319" s="71"/>
      <c r="G319" s="71"/>
      <c r="N319" s="5" t="s">
        <v>355</v>
      </c>
    </row>
    <row r="320" spans="1:14" x14ac:dyDescent="0.2">
      <c r="A320" s="73"/>
      <c r="B320" s="71"/>
      <c r="C320" s="71"/>
      <c r="D320" s="71"/>
      <c r="E320" s="71"/>
      <c r="F320" s="71"/>
      <c r="G320" s="71"/>
      <c r="N320" s="5" t="s">
        <v>356</v>
      </c>
    </row>
    <row r="321" spans="1:14" x14ac:dyDescent="0.2">
      <c r="A321" s="73"/>
      <c r="B321" s="71"/>
      <c r="C321" s="71"/>
      <c r="D321" s="71"/>
      <c r="E321" s="71"/>
      <c r="F321" s="71"/>
      <c r="G321" s="71"/>
      <c r="N321" s="5" t="s">
        <v>357</v>
      </c>
    </row>
    <row r="322" spans="1:14" x14ac:dyDescent="0.2">
      <c r="A322" s="73"/>
      <c r="B322" s="71"/>
      <c r="C322" s="71"/>
      <c r="D322" s="71"/>
      <c r="E322" s="71"/>
      <c r="F322" s="71"/>
      <c r="G322" s="71"/>
      <c r="N322" s="5" t="s">
        <v>358</v>
      </c>
    </row>
    <row r="323" spans="1:14" x14ac:dyDescent="0.2">
      <c r="A323" s="73"/>
      <c r="B323" s="71"/>
      <c r="C323" s="71"/>
      <c r="D323" s="71"/>
      <c r="E323" s="71"/>
      <c r="F323" s="71"/>
      <c r="G323" s="71"/>
      <c r="N323" s="5" t="s">
        <v>359</v>
      </c>
    </row>
    <row r="324" spans="1:14" x14ac:dyDescent="0.2">
      <c r="A324" s="73"/>
      <c r="B324" s="71"/>
      <c r="C324" s="71"/>
      <c r="D324" s="71"/>
      <c r="E324" s="71"/>
      <c r="F324" s="71"/>
      <c r="G324" s="71"/>
      <c r="N324" s="5" t="s">
        <v>360</v>
      </c>
    </row>
    <row r="325" spans="1:14" x14ac:dyDescent="0.2">
      <c r="A325" s="73"/>
      <c r="B325" s="71"/>
      <c r="C325" s="71"/>
      <c r="D325" s="71"/>
      <c r="E325" s="71"/>
      <c r="F325" s="71"/>
      <c r="G325" s="71"/>
      <c r="N325" s="5" t="s">
        <v>361</v>
      </c>
    </row>
    <row r="326" spans="1:14" x14ac:dyDescent="0.2">
      <c r="A326" s="73"/>
      <c r="B326" s="71"/>
      <c r="C326" s="71"/>
      <c r="D326" s="71"/>
      <c r="E326" s="71"/>
      <c r="F326" s="71"/>
      <c r="G326" s="71"/>
      <c r="N326" s="5" t="s">
        <v>362</v>
      </c>
    </row>
    <row r="327" spans="1:14" x14ac:dyDescent="0.2">
      <c r="A327" s="73"/>
      <c r="B327" s="71"/>
      <c r="C327" s="71"/>
      <c r="D327" s="71"/>
      <c r="E327" s="71"/>
      <c r="F327" s="71"/>
      <c r="G327" s="71"/>
      <c r="N327" s="5" t="s">
        <v>363</v>
      </c>
    </row>
    <row r="328" spans="1:14" x14ac:dyDescent="0.2">
      <c r="A328" s="73"/>
      <c r="B328" s="71"/>
      <c r="C328" s="71"/>
      <c r="D328" s="71"/>
      <c r="E328" s="71"/>
      <c r="F328" s="71"/>
      <c r="G328" s="71"/>
      <c r="N328" s="5" t="s">
        <v>364</v>
      </c>
    </row>
    <row r="329" spans="1:14" x14ac:dyDescent="0.2">
      <c r="A329" s="73"/>
      <c r="B329" s="71"/>
      <c r="C329" s="71"/>
      <c r="D329" s="71"/>
      <c r="E329" s="71"/>
      <c r="F329" s="71"/>
      <c r="G329" s="71"/>
      <c r="N329" s="5" t="s">
        <v>365</v>
      </c>
    </row>
    <row r="330" spans="1:14" x14ac:dyDescent="0.2">
      <c r="A330" s="73"/>
      <c r="B330" s="71"/>
      <c r="C330" s="71"/>
      <c r="D330" s="71"/>
      <c r="E330" s="71"/>
      <c r="F330" s="71"/>
      <c r="G330" s="71"/>
      <c r="N330" s="5" t="s">
        <v>366</v>
      </c>
    </row>
    <row r="331" spans="1:14" x14ac:dyDescent="0.2">
      <c r="A331" s="73"/>
      <c r="B331" s="71"/>
      <c r="C331" s="71"/>
      <c r="D331" s="71"/>
      <c r="E331" s="71"/>
      <c r="F331" s="71"/>
      <c r="G331" s="71"/>
      <c r="N331" s="5" t="s">
        <v>399</v>
      </c>
    </row>
    <row r="332" spans="1:14" x14ac:dyDescent="0.2">
      <c r="A332" s="73"/>
      <c r="B332" s="71"/>
      <c r="C332" s="71"/>
      <c r="D332" s="71"/>
      <c r="E332" s="71"/>
      <c r="F332" s="71"/>
      <c r="G332" s="71"/>
      <c r="N332" s="5" t="s">
        <v>367</v>
      </c>
    </row>
    <row r="333" spans="1:14" x14ac:dyDescent="0.2">
      <c r="A333" s="73"/>
      <c r="B333" s="71"/>
      <c r="C333" s="71"/>
      <c r="D333" s="71"/>
      <c r="E333" s="71"/>
      <c r="F333" s="71"/>
      <c r="G333" s="71"/>
      <c r="N333" s="5" t="s">
        <v>368</v>
      </c>
    </row>
    <row r="334" spans="1:14" x14ac:dyDescent="0.2">
      <c r="A334" s="73"/>
      <c r="B334" s="71"/>
      <c r="C334" s="71"/>
      <c r="D334" s="71"/>
      <c r="E334" s="71"/>
      <c r="F334" s="71"/>
      <c r="G334" s="71"/>
      <c r="N334" s="5" t="s">
        <v>398</v>
      </c>
    </row>
    <row r="335" spans="1:14" x14ac:dyDescent="0.2">
      <c r="C335" s="71"/>
      <c r="N335" s="5" t="s">
        <v>369</v>
      </c>
    </row>
    <row r="336" spans="1:14" x14ac:dyDescent="0.2">
      <c r="N336" s="5" t="s">
        <v>370</v>
      </c>
    </row>
    <row r="337" spans="14:14" x14ac:dyDescent="0.2">
      <c r="N337" s="5" t="s">
        <v>397</v>
      </c>
    </row>
    <row r="338" spans="14:14" x14ac:dyDescent="0.2">
      <c r="N338" s="5" t="s">
        <v>371</v>
      </c>
    </row>
    <row r="339" spans="14:14" x14ac:dyDescent="0.2">
      <c r="N339" s="5" t="s">
        <v>372</v>
      </c>
    </row>
    <row r="340" spans="14:14" x14ac:dyDescent="0.2">
      <c r="N340" s="5" t="s">
        <v>373</v>
      </c>
    </row>
    <row r="341" spans="14:14" x14ac:dyDescent="0.2">
      <c r="N341" s="5" t="s">
        <v>374</v>
      </c>
    </row>
    <row r="342" spans="14:14" x14ac:dyDescent="0.2">
      <c r="N342" s="5" t="s">
        <v>375</v>
      </c>
    </row>
    <row r="343" spans="14:14" x14ac:dyDescent="0.2">
      <c r="N343" s="5" t="s">
        <v>376</v>
      </c>
    </row>
    <row r="344" spans="14:14" x14ac:dyDescent="0.2">
      <c r="N344" s="5" t="s">
        <v>377</v>
      </c>
    </row>
    <row r="345" spans="14:14" x14ac:dyDescent="0.2">
      <c r="N345" s="5" t="s">
        <v>378</v>
      </c>
    </row>
    <row r="346" spans="14:14" x14ac:dyDescent="0.2">
      <c r="N346" s="5" t="s">
        <v>379</v>
      </c>
    </row>
  </sheetData>
  <mergeCells count="2">
    <mergeCell ref="B5:C5"/>
    <mergeCell ref="B7:D7"/>
  </mergeCells>
  <conditionalFormatting sqref="B122:B334">
    <cfRule type="expression" dxfId="9" priority="8" stopIfTrue="1">
      <formula>A122&lt;&gt;""</formula>
    </cfRule>
  </conditionalFormatting>
  <conditionalFormatting sqref="C122:C335">
    <cfRule type="expression" dxfId="8" priority="7" stopIfTrue="1">
      <formula>A122&lt;&gt;""</formula>
    </cfRule>
  </conditionalFormatting>
  <conditionalFormatting sqref="D122:D334">
    <cfRule type="expression" dxfId="7" priority="9" stopIfTrue="1">
      <formula>OR(C122="date",C122="text")</formula>
    </cfRule>
    <cfRule type="expression" dxfId="6" priority="10" stopIfTrue="1">
      <formula>OR(C122="number")</formula>
    </cfRule>
  </conditionalFormatting>
  <conditionalFormatting sqref="E122:E334">
    <cfRule type="expression" dxfId="5" priority="5" stopIfTrue="1">
      <formula>OR(C122="number",C122="text")</formula>
    </cfRule>
    <cfRule type="expression" dxfId="4" priority="6" stopIfTrue="1">
      <formula>OR(C122="datetime")</formula>
    </cfRule>
  </conditionalFormatting>
  <conditionalFormatting sqref="F122:G334">
    <cfRule type="expression" dxfId="3" priority="3" stopIfTrue="1">
      <formula>OR($C122="number", $C122="text")</formula>
    </cfRule>
    <cfRule type="expression" dxfId="2" priority="4" stopIfTrue="1">
      <formula>OR($C122="date")</formula>
    </cfRule>
  </conditionalFormatting>
  <conditionalFormatting sqref="B47:I47 B54:AO57">
    <cfRule type="expression" dxfId="1" priority="2"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WVL983163:WVL983374 IZ122:IZ334 WLP983163:WLP983374 WBT983163:WBT983374 VRX983163:VRX983374 VIB983163:VIB983374 UYF983163:UYF983374 UOJ983163:UOJ983374 UEN983163:UEN983374 TUR983163:TUR983374 TKV983163:TKV983374 TAZ983163:TAZ983374 SRD983163:SRD983374 SHH983163:SHH983374 RXL983163:RXL983374 RNP983163:RNP983374 RDT983163:RDT983374 QTX983163:QTX983374 QKB983163:QKB983374 QAF983163:QAF983374 PQJ983163:PQJ983374 PGN983163:PGN983374 OWR983163:OWR983374 OMV983163:OMV983374 OCZ983163:OCZ983374 NTD983163:NTD983374 NJH983163:NJH983374 MZL983163:MZL983374 MPP983163:MPP983374 MFT983163:MFT983374 LVX983163:LVX983374 LMB983163:LMB983374 LCF983163:LCF983374 KSJ983163:KSJ983374 KIN983163:KIN983374 JYR983163:JYR983374 JOV983163:JOV983374 JEZ983163:JEZ983374 IVD983163:IVD983374 ILH983163:ILH983374 IBL983163:IBL983374 HRP983163:HRP983374 HHT983163:HHT983374 GXX983163:GXX983374 GOB983163:GOB983374 GEF983163:GEF983374 FUJ983163:FUJ983374 FKN983163:FKN983374 FAR983163:FAR983374 EQV983163:EQV983374 EGZ983163:EGZ983374 DXD983163:DXD983374 DNH983163:DNH983374 DDL983163:DDL983374 CTP983163:CTP983374 CJT983163:CJT983374 BZX983163:BZX983374 BQB983163:BQB983374 BGF983163:BGF983374 AWJ983163:AWJ983374 AMN983163:AMN983374 ACR983163:ACR983374 SV983163:SV983374 IZ983163:IZ983374 D983163:D983374 WVL917627:WVL917838 WLP917627:WLP917838 WBT917627:WBT917838 VRX917627:VRX917838 VIB917627:VIB917838 UYF917627:UYF917838 UOJ917627:UOJ917838 UEN917627:UEN917838 TUR917627:TUR917838 TKV917627:TKV917838 TAZ917627:TAZ917838 SRD917627:SRD917838 SHH917627:SHH917838 RXL917627:RXL917838 RNP917627:RNP917838 RDT917627:RDT917838 QTX917627:QTX917838 QKB917627:QKB917838 QAF917627:QAF917838 PQJ917627:PQJ917838 PGN917627:PGN917838 OWR917627:OWR917838 OMV917627:OMV917838 OCZ917627:OCZ917838 NTD917627:NTD917838 NJH917627:NJH917838 MZL917627:MZL917838 MPP917627:MPP917838 MFT917627:MFT917838 LVX917627:LVX917838 LMB917627:LMB917838 LCF917627:LCF917838 KSJ917627:KSJ917838 KIN917627:KIN917838 JYR917627:JYR917838 JOV917627:JOV917838 JEZ917627:JEZ917838 IVD917627:IVD917838 ILH917627:ILH917838 IBL917627:IBL917838 HRP917627:HRP917838 HHT917627:HHT917838 GXX917627:GXX917838 GOB917627:GOB917838 GEF917627:GEF917838 FUJ917627:FUJ917838 FKN917627:FKN917838 FAR917627:FAR917838 EQV917627:EQV917838 EGZ917627:EGZ917838 DXD917627:DXD917838 DNH917627:DNH917838 DDL917627:DDL917838 CTP917627:CTP917838 CJT917627:CJT917838 BZX917627:BZX917838 BQB917627:BQB917838 BGF917627:BGF917838 AWJ917627:AWJ917838 AMN917627:AMN917838 ACR917627:ACR917838 SV917627:SV917838 IZ917627:IZ917838 D917627:D917838 WVL852091:WVL852302 WLP852091:WLP852302 WBT852091:WBT852302 VRX852091:VRX852302 VIB852091:VIB852302 UYF852091:UYF852302 UOJ852091:UOJ852302 UEN852091:UEN852302 TUR852091:TUR852302 TKV852091:TKV852302 TAZ852091:TAZ852302 SRD852091:SRD852302 SHH852091:SHH852302 RXL852091:RXL852302 RNP852091:RNP852302 RDT852091:RDT852302 QTX852091:QTX852302 QKB852091:QKB852302 QAF852091:QAF852302 PQJ852091:PQJ852302 PGN852091:PGN852302 OWR852091:OWR852302 OMV852091:OMV852302 OCZ852091:OCZ852302 NTD852091:NTD852302 NJH852091:NJH852302 MZL852091:MZL852302 MPP852091:MPP852302 MFT852091:MFT852302 LVX852091:LVX852302 LMB852091:LMB852302 LCF852091:LCF852302 KSJ852091:KSJ852302 KIN852091:KIN852302 JYR852091:JYR852302 JOV852091:JOV852302 JEZ852091:JEZ852302 IVD852091:IVD852302 ILH852091:ILH852302 IBL852091:IBL852302 HRP852091:HRP852302 HHT852091:HHT852302 GXX852091:GXX852302 GOB852091:GOB852302 GEF852091:GEF852302 FUJ852091:FUJ852302 FKN852091:FKN852302 FAR852091:FAR852302 EQV852091:EQV852302 EGZ852091:EGZ852302 DXD852091:DXD852302 DNH852091:DNH852302 DDL852091:DDL852302 CTP852091:CTP852302 CJT852091:CJT852302 BZX852091:BZX852302 BQB852091:BQB852302 BGF852091:BGF852302 AWJ852091:AWJ852302 AMN852091:AMN852302 ACR852091:ACR852302 SV852091:SV852302 IZ852091:IZ852302 D852091:D852302 WVL786555:WVL786766 WLP786555:WLP786766 WBT786555:WBT786766 VRX786555:VRX786766 VIB786555:VIB786766 UYF786555:UYF786766 UOJ786555:UOJ786766 UEN786555:UEN786766 TUR786555:TUR786766 TKV786555:TKV786766 TAZ786555:TAZ786766 SRD786555:SRD786766 SHH786555:SHH786766 RXL786555:RXL786766 RNP786555:RNP786766 RDT786555:RDT786766 QTX786555:QTX786766 QKB786555:QKB786766 QAF786555:QAF786766 PQJ786555:PQJ786766 PGN786555:PGN786766 OWR786555:OWR786766 OMV786555:OMV786766 OCZ786555:OCZ786766 NTD786555:NTD786766 NJH786555:NJH786766 MZL786555:MZL786766 MPP786555:MPP786766 MFT786555:MFT786766 LVX786555:LVX786766 LMB786555:LMB786766 LCF786555:LCF786766 KSJ786555:KSJ786766 KIN786555:KIN786766 JYR786555:JYR786766 JOV786555:JOV786766 JEZ786555:JEZ786766 IVD786555:IVD786766 ILH786555:ILH786766 IBL786555:IBL786766 HRP786555:HRP786766 HHT786555:HHT786766 GXX786555:GXX786766 GOB786555:GOB786766 GEF786555:GEF786766 FUJ786555:FUJ786766 FKN786555:FKN786766 FAR786555:FAR786766 EQV786555:EQV786766 EGZ786555:EGZ786766 DXD786555:DXD786766 DNH786555:DNH786766 DDL786555:DDL786766 CTP786555:CTP786766 CJT786555:CJT786766 BZX786555:BZX786766 BQB786555:BQB786766 BGF786555:BGF786766 AWJ786555:AWJ786766 AMN786555:AMN786766 ACR786555:ACR786766 SV786555:SV786766 IZ786555:IZ786766 D786555:D786766 WVL721019:WVL721230 WLP721019:WLP721230 WBT721019:WBT721230 VRX721019:VRX721230 VIB721019:VIB721230 UYF721019:UYF721230 UOJ721019:UOJ721230 UEN721019:UEN721230 TUR721019:TUR721230 TKV721019:TKV721230 TAZ721019:TAZ721230 SRD721019:SRD721230 SHH721019:SHH721230 RXL721019:RXL721230 RNP721019:RNP721230 RDT721019:RDT721230 QTX721019:QTX721230 QKB721019:QKB721230 QAF721019:QAF721230 PQJ721019:PQJ721230 PGN721019:PGN721230 OWR721019:OWR721230 OMV721019:OMV721230 OCZ721019:OCZ721230 NTD721019:NTD721230 NJH721019:NJH721230 MZL721019:MZL721230 MPP721019:MPP721230 MFT721019:MFT721230 LVX721019:LVX721230 LMB721019:LMB721230 LCF721019:LCF721230 KSJ721019:KSJ721230 KIN721019:KIN721230 JYR721019:JYR721230 JOV721019:JOV721230 JEZ721019:JEZ721230 IVD721019:IVD721230 ILH721019:ILH721230 IBL721019:IBL721230 HRP721019:HRP721230 HHT721019:HHT721230 GXX721019:GXX721230 GOB721019:GOB721230 GEF721019:GEF721230 FUJ721019:FUJ721230 FKN721019:FKN721230 FAR721019:FAR721230 EQV721019:EQV721230 EGZ721019:EGZ721230 DXD721019:DXD721230 DNH721019:DNH721230 DDL721019:DDL721230 CTP721019:CTP721230 CJT721019:CJT721230 BZX721019:BZX721230 BQB721019:BQB721230 BGF721019:BGF721230 AWJ721019:AWJ721230 AMN721019:AMN721230 ACR721019:ACR721230 SV721019:SV721230 IZ721019:IZ721230 D721019:D721230 WVL655483:WVL655694 WLP655483:WLP655694 WBT655483:WBT655694 VRX655483:VRX655694 VIB655483:VIB655694 UYF655483:UYF655694 UOJ655483:UOJ655694 UEN655483:UEN655694 TUR655483:TUR655694 TKV655483:TKV655694 TAZ655483:TAZ655694 SRD655483:SRD655694 SHH655483:SHH655694 RXL655483:RXL655694 RNP655483:RNP655694 RDT655483:RDT655694 QTX655483:QTX655694 QKB655483:QKB655694 QAF655483:QAF655694 PQJ655483:PQJ655694 PGN655483:PGN655694 OWR655483:OWR655694 OMV655483:OMV655694 OCZ655483:OCZ655694 NTD655483:NTD655694 NJH655483:NJH655694 MZL655483:MZL655694 MPP655483:MPP655694 MFT655483:MFT655694 LVX655483:LVX655694 LMB655483:LMB655694 LCF655483:LCF655694 KSJ655483:KSJ655694 KIN655483:KIN655694 JYR655483:JYR655694 JOV655483:JOV655694 JEZ655483:JEZ655694 IVD655483:IVD655694 ILH655483:ILH655694 IBL655483:IBL655694 HRP655483:HRP655694 HHT655483:HHT655694 GXX655483:GXX655694 GOB655483:GOB655694 GEF655483:GEF655694 FUJ655483:FUJ655694 FKN655483:FKN655694 FAR655483:FAR655694 EQV655483:EQV655694 EGZ655483:EGZ655694 DXD655483:DXD655694 DNH655483:DNH655694 DDL655483:DDL655694 CTP655483:CTP655694 CJT655483:CJT655694 BZX655483:BZX655694 BQB655483:BQB655694 BGF655483:BGF655694 AWJ655483:AWJ655694 AMN655483:AMN655694 ACR655483:ACR655694 SV655483:SV655694 IZ655483:IZ655694 D655483:D655694 WVL589947:WVL590158 WLP589947:WLP590158 WBT589947:WBT590158 VRX589947:VRX590158 VIB589947:VIB590158 UYF589947:UYF590158 UOJ589947:UOJ590158 UEN589947:UEN590158 TUR589947:TUR590158 TKV589947:TKV590158 TAZ589947:TAZ590158 SRD589947:SRD590158 SHH589947:SHH590158 RXL589947:RXL590158 RNP589947:RNP590158 RDT589947:RDT590158 QTX589947:QTX590158 QKB589947:QKB590158 QAF589947:QAF590158 PQJ589947:PQJ590158 PGN589947:PGN590158 OWR589947:OWR590158 OMV589947:OMV590158 OCZ589947:OCZ590158 NTD589947:NTD590158 NJH589947:NJH590158 MZL589947:MZL590158 MPP589947:MPP590158 MFT589947:MFT590158 LVX589947:LVX590158 LMB589947:LMB590158 LCF589947:LCF590158 KSJ589947:KSJ590158 KIN589947:KIN590158 JYR589947:JYR590158 JOV589947:JOV590158 JEZ589947:JEZ590158 IVD589947:IVD590158 ILH589947:ILH590158 IBL589947:IBL590158 HRP589947:HRP590158 HHT589947:HHT590158 GXX589947:GXX590158 GOB589947:GOB590158 GEF589947:GEF590158 FUJ589947:FUJ590158 FKN589947:FKN590158 FAR589947:FAR590158 EQV589947:EQV590158 EGZ589947:EGZ590158 DXD589947:DXD590158 DNH589947:DNH590158 DDL589947:DDL590158 CTP589947:CTP590158 CJT589947:CJT590158 BZX589947:BZX590158 BQB589947:BQB590158 BGF589947:BGF590158 AWJ589947:AWJ590158 AMN589947:AMN590158 ACR589947:ACR590158 SV589947:SV590158 IZ589947:IZ590158 D589947:D590158 WVL524411:WVL524622 WLP524411:WLP524622 WBT524411:WBT524622 VRX524411:VRX524622 VIB524411:VIB524622 UYF524411:UYF524622 UOJ524411:UOJ524622 UEN524411:UEN524622 TUR524411:TUR524622 TKV524411:TKV524622 TAZ524411:TAZ524622 SRD524411:SRD524622 SHH524411:SHH524622 RXL524411:RXL524622 RNP524411:RNP524622 RDT524411:RDT524622 QTX524411:QTX524622 QKB524411:QKB524622 QAF524411:QAF524622 PQJ524411:PQJ524622 PGN524411:PGN524622 OWR524411:OWR524622 OMV524411:OMV524622 OCZ524411:OCZ524622 NTD524411:NTD524622 NJH524411:NJH524622 MZL524411:MZL524622 MPP524411:MPP524622 MFT524411:MFT524622 LVX524411:LVX524622 LMB524411:LMB524622 LCF524411:LCF524622 KSJ524411:KSJ524622 KIN524411:KIN524622 JYR524411:JYR524622 JOV524411:JOV524622 JEZ524411:JEZ524622 IVD524411:IVD524622 ILH524411:ILH524622 IBL524411:IBL524622 HRP524411:HRP524622 HHT524411:HHT524622 GXX524411:GXX524622 GOB524411:GOB524622 GEF524411:GEF524622 FUJ524411:FUJ524622 FKN524411:FKN524622 FAR524411:FAR524622 EQV524411:EQV524622 EGZ524411:EGZ524622 DXD524411:DXD524622 DNH524411:DNH524622 DDL524411:DDL524622 CTP524411:CTP524622 CJT524411:CJT524622 BZX524411:BZX524622 BQB524411:BQB524622 BGF524411:BGF524622 AWJ524411:AWJ524622 AMN524411:AMN524622 ACR524411:ACR524622 SV524411:SV524622 IZ524411:IZ524622 D524411:D524622 WVL458875:WVL459086 WLP458875:WLP459086 WBT458875:WBT459086 VRX458875:VRX459086 VIB458875:VIB459086 UYF458875:UYF459086 UOJ458875:UOJ459086 UEN458875:UEN459086 TUR458875:TUR459086 TKV458875:TKV459086 TAZ458875:TAZ459086 SRD458875:SRD459086 SHH458875:SHH459086 RXL458875:RXL459086 RNP458875:RNP459086 RDT458875:RDT459086 QTX458875:QTX459086 QKB458875:QKB459086 QAF458875:QAF459086 PQJ458875:PQJ459086 PGN458875:PGN459086 OWR458875:OWR459086 OMV458875:OMV459086 OCZ458875:OCZ459086 NTD458875:NTD459086 NJH458875:NJH459086 MZL458875:MZL459086 MPP458875:MPP459086 MFT458875:MFT459086 LVX458875:LVX459086 LMB458875:LMB459086 LCF458875:LCF459086 KSJ458875:KSJ459086 KIN458875:KIN459086 JYR458875:JYR459086 JOV458875:JOV459086 JEZ458875:JEZ459086 IVD458875:IVD459086 ILH458875:ILH459086 IBL458875:IBL459086 HRP458875:HRP459086 HHT458875:HHT459086 GXX458875:GXX459086 GOB458875:GOB459086 GEF458875:GEF459086 FUJ458875:FUJ459086 FKN458875:FKN459086 FAR458875:FAR459086 EQV458875:EQV459086 EGZ458875:EGZ459086 DXD458875:DXD459086 DNH458875:DNH459086 DDL458875:DDL459086 CTP458875:CTP459086 CJT458875:CJT459086 BZX458875:BZX459086 BQB458875:BQB459086 BGF458875:BGF459086 AWJ458875:AWJ459086 AMN458875:AMN459086 ACR458875:ACR459086 SV458875:SV459086 IZ458875:IZ459086 D458875:D459086 WVL393339:WVL393550 WLP393339:WLP393550 WBT393339:WBT393550 VRX393339:VRX393550 VIB393339:VIB393550 UYF393339:UYF393550 UOJ393339:UOJ393550 UEN393339:UEN393550 TUR393339:TUR393550 TKV393339:TKV393550 TAZ393339:TAZ393550 SRD393339:SRD393550 SHH393339:SHH393550 RXL393339:RXL393550 RNP393339:RNP393550 RDT393339:RDT393550 QTX393339:QTX393550 QKB393339:QKB393550 QAF393339:QAF393550 PQJ393339:PQJ393550 PGN393339:PGN393550 OWR393339:OWR393550 OMV393339:OMV393550 OCZ393339:OCZ393550 NTD393339:NTD393550 NJH393339:NJH393550 MZL393339:MZL393550 MPP393339:MPP393550 MFT393339:MFT393550 LVX393339:LVX393550 LMB393339:LMB393550 LCF393339:LCF393550 KSJ393339:KSJ393550 KIN393339:KIN393550 JYR393339:JYR393550 JOV393339:JOV393550 JEZ393339:JEZ393550 IVD393339:IVD393550 ILH393339:ILH393550 IBL393339:IBL393550 HRP393339:HRP393550 HHT393339:HHT393550 GXX393339:GXX393550 GOB393339:GOB393550 GEF393339:GEF393550 FUJ393339:FUJ393550 FKN393339:FKN393550 FAR393339:FAR393550 EQV393339:EQV393550 EGZ393339:EGZ393550 DXD393339:DXD393550 DNH393339:DNH393550 DDL393339:DDL393550 CTP393339:CTP393550 CJT393339:CJT393550 BZX393339:BZX393550 BQB393339:BQB393550 BGF393339:BGF393550 AWJ393339:AWJ393550 AMN393339:AMN393550 ACR393339:ACR393550 SV393339:SV393550 IZ393339:IZ393550 D393339:D393550 WVL327803:WVL328014 WLP327803:WLP328014 WBT327803:WBT328014 VRX327803:VRX328014 VIB327803:VIB328014 UYF327803:UYF328014 UOJ327803:UOJ328014 UEN327803:UEN328014 TUR327803:TUR328014 TKV327803:TKV328014 TAZ327803:TAZ328014 SRD327803:SRD328014 SHH327803:SHH328014 RXL327803:RXL328014 RNP327803:RNP328014 RDT327803:RDT328014 QTX327803:QTX328014 QKB327803:QKB328014 QAF327803:QAF328014 PQJ327803:PQJ328014 PGN327803:PGN328014 OWR327803:OWR328014 OMV327803:OMV328014 OCZ327803:OCZ328014 NTD327803:NTD328014 NJH327803:NJH328014 MZL327803:MZL328014 MPP327803:MPP328014 MFT327803:MFT328014 LVX327803:LVX328014 LMB327803:LMB328014 LCF327803:LCF328014 KSJ327803:KSJ328014 KIN327803:KIN328014 JYR327803:JYR328014 JOV327803:JOV328014 JEZ327803:JEZ328014 IVD327803:IVD328014 ILH327803:ILH328014 IBL327803:IBL328014 HRP327803:HRP328014 HHT327803:HHT328014 GXX327803:GXX328014 GOB327803:GOB328014 GEF327803:GEF328014 FUJ327803:FUJ328014 FKN327803:FKN328014 FAR327803:FAR328014 EQV327803:EQV328014 EGZ327803:EGZ328014 DXD327803:DXD328014 DNH327803:DNH328014 DDL327803:DDL328014 CTP327803:CTP328014 CJT327803:CJT328014 BZX327803:BZX328014 BQB327803:BQB328014 BGF327803:BGF328014 AWJ327803:AWJ328014 AMN327803:AMN328014 ACR327803:ACR328014 SV327803:SV328014 IZ327803:IZ328014 D327803:D328014 WVL262267:WVL262478 WLP262267:WLP262478 WBT262267:WBT262478 VRX262267:VRX262478 VIB262267:VIB262478 UYF262267:UYF262478 UOJ262267:UOJ262478 UEN262267:UEN262478 TUR262267:TUR262478 TKV262267:TKV262478 TAZ262267:TAZ262478 SRD262267:SRD262478 SHH262267:SHH262478 RXL262267:RXL262478 RNP262267:RNP262478 RDT262267:RDT262478 QTX262267:QTX262478 QKB262267:QKB262478 QAF262267:QAF262478 PQJ262267:PQJ262478 PGN262267:PGN262478 OWR262267:OWR262478 OMV262267:OMV262478 OCZ262267:OCZ262478 NTD262267:NTD262478 NJH262267:NJH262478 MZL262267:MZL262478 MPP262267:MPP262478 MFT262267:MFT262478 LVX262267:LVX262478 LMB262267:LMB262478 LCF262267:LCF262478 KSJ262267:KSJ262478 KIN262267:KIN262478 JYR262267:JYR262478 JOV262267:JOV262478 JEZ262267:JEZ262478 IVD262267:IVD262478 ILH262267:ILH262478 IBL262267:IBL262478 HRP262267:HRP262478 HHT262267:HHT262478 GXX262267:GXX262478 GOB262267:GOB262478 GEF262267:GEF262478 FUJ262267:FUJ262478 FKN262267:FKN262478 FAR262267:FAR262478 EQV262267:EQV262478 EGZ262267:EGZ262478 DXD262267:DXD262478 DNH262267:DNH262478 DDL262267:DDL262478 CTP262267:CTP262478 CJT262267:CJT262478 BZX262267:BZX262478 BQB262267:BQB262478 BGF262267:BGF262478 AWJ262267:AWJ262478 AMN262267:AMN262478 ACR262267:ACR262478 SV262267:SV262478 IZ262267:IZ262478 D262267:D262478 WVL196731:WVL196942 WLP196731:WLP196942 WBT196731:WBT196942 VRX196731:VRX196942 VIB196731:VIB196942 UYF196731:UYF196942 UOJ196731:UOJ196942 UEN196731:UEN196942 TUR196731:TUR196942 TKV196731:TKV196942 TAZ196731:TAZ196942 SRD196731:SRD196942 SHH196731:SHH196942 RXL196731:RXL196942 RNP196731:RNP196942 RDT196731:RDT196942 QTX196731:QTX196942 QKB196731:QKB196942 QAF196731:QAF196942 PQJ196731:PQJ196942 PGN196731:PGN196942 OWR196731:OWR196942 OMV196731:OMV196942 OCZ196731:OCZ196942 NTD196731:NTD196942 NJH196731:NJH196942 MZL196731:MZL196942 MPP196731:MPP196942 MFT196731:MFT196942 LVX196731:LVX196942 LMB196731:LMB196942 LCF196731:LCF196942 KSJ196731:KSJ196942 KIN196731:KIN196942 JYR196731:JYR196942 JOV196731:JOV196942 JEZ196731:JEZ196942 IVD196731:IVD196942 ILH196731:ILH196942 IBL196731:IBL196942 HRP196731:HRP196942 HHT196731:HHT196942 GXX196731:GXX196942 GOB196731:GOB196942 GEF196731:GEF196942 FUJ196731:FUJ196942 FKN196731:FKN196942 FAR196731:FAR196942 EQV196731:EQV196942 EGZ196731:EGZ196942 DXD196731:DXD196942 DNH196731:DNH196942 DDL196731:DDL196942 CTP196731:CTP196942 CJT196731:CJT196942 BZX196731:BZX196942 BQB196731:BQB196942 BGF196731:BGF196942 AWJ196731:AWJ196942 AMN196731:AMN196942 ACR196731:ACR196942 SV196731:SV196942 IZ196731:IZ196942 D196731:D196942 WVL131195:WVL131406 WLP131195:WLP131406 WBT131195:WBT131406 VRX131195:VRX131406 VIB131195:VIB131406 UYF131195:UYF131406 UOJ131195:UOJ131406 UEN131195:UEN131406 TUR131195:TUR131406 TKV131195:TKV131406 TAZ131195:TAZ131406 SRD131195:SRD131406 SHH131195:SHH131406 RXL131195:RXL131406 RNP131195:RNP131406 RDT131195:RDT131406 QTX131195:QTX131406 QKB131195:QKB131406 QAF131195:QAF131406 PQJ131195:PQJ131406 PGN131195:PGN131406 OWR131195:OWR131406 OMV131195:OMV131406 OCZ131195:OCZ131406 NTD131195:NTD131406 NJH131195:NJH131406 MZL131195:MZL131406 MPP131195:MPP131406 MFT131195:MFT131406 LVX131195:LVX131406 LMB131195:LMB131406 LCF131195:LCF131406 KSJ131195:KSJ131406 KIN131195:KIN131406 JYR131195:JYR131406 JOV131195:JOV131406 JEZ131195:JEZ131406 IVD131195:IVD131406 ILH131195:ILH131406 IBL131195:IBL131406 HRP131195:HRP131406 HHT131195:HHT131406 GXX131195:GXX131406 GOB131195:GOB131406 GEF131195:GEF131406 FUJ131195:FUJ131406 FKN131195:FKN131406 FAR131195:FAR131406 EQV131195:EQV131406 EGZ131195:EGZ131406 DXD131195:DXD131406 DNH131195:DNH131406 DDL131195:DDL131406 CTP131195:CTP131406 CJT131195:CJT131406 BZX131195:BZX131406 BQB131195:BQB131406 BGF131195:BGF131406 AWJ131195:AWJ131406 AMN131195:AMN131406 ACR131195:ACR131406 SV131195:SV131406 IZ131195:IZ131406 D131195:D131406 WVL65659:WVL65870 WLP65659:WLP65870 WBT65659:WBT65870 VRX65659:VRX65870 VIB65659:VIB65870 UYF65659:UYF65870 UOJ65659:UOJ65870 UEN65659:UEN65870 TUR65659:TUR65870 TKV65659:TKV65870 TAZ65659:TAZ65870 SRD65659:SRD65870 SHH65659:SHH65870 RXL65659:RXL65870 RNP65659:RNP65870 RDT65659:RDT65870 QTX65659:QTX65870 QKB65659:QKB65870 QAF65659:QAF65870 PQJ65659:PQJ65870 PGN65659:PGN65870 OWR65659:OWR65870 OMV65659:OMV65870 OCZ65659:OCZ65870 NTD65659:NTD65870 NJH65659:NJH65870 MZL65659:MZL65870 MPP65659:MPP65870 MFT65659:MFT65870 LVX65659:LVX65870 LMB65659:LMB65870 LCF65659:LCF65870 KSJ65659:KSJ65870 KIN65659:KIN65870 JYR65659:JYR65870 JOV65659:JOV65870 JEZ65659:JEZ65870 IVD65659:IVD65870 ILH65659:ILH65870 IBL65659:IBL65870 HRP65659:HRP65870 HHT65659:HHT65870 GXX65659:GXX65870 GOB65659:GOB65870 GEF65659:GEF65870 FUJ65659:FUJ65870 FKN65659:FKN65870 FAR65659:FAR65870 EQV65659:EQV65870 EGZ65659:EGZ65870 DXD65659:DXD65870 DNH65659:DNH65870 DDL65659:DDL65870 CTP65659:CTP65870 CJT65659:CJT65870 BZX65659:BZX65870 BQB65659:BQB65870 BGF65659:BGF65870 AWJ65659:AWJ65870 AMN65659:AMN65870 ACR65659:ACR65870 SV65659:SV65870 IZ65659:IZ65870 D65659:D65870 WVL122:WVL334 WLP122:WLP334 WBT122:WBT334 VRX122:VRX334 VIB122:VIB334 UYF122:UYF334 UOJ122:UOJ334 UEN122:UEN334 TUR122:TUR334 TKV122:TKV334 TAZ122:TAZ334 SRD122:SRD334 SHH122:SHH334 RXL122:RXL334 RNP122:RNP334 RDT122:RDT334 QTX122:QTX334 QKB122:QKB334 QAF122:QAF334 PQJ122:PQJ334 PGN122:PGN334 OWR122:OWR334 OMV122:OMV334 OCZ122:OCZ334 NTD122:NTD334 NJH122:NJH334 MZL122:MZL334 MPP122:MPP334 MFT122:MFT334 LVX122:LVX334 LMB122:LMB334 LCF122:LCF334 KSJ122:KSJ334 KIN122:KIN334 JYR122:JYR334 JOV122:JOV334 JEZ122:JEZ334 IVD122:IVD334 ILH122:ILH334 IBL122:IBL334 HRP122:HRP334 HHT122:HHT334 GXX122:GXX334 GOB122:GOB334 GEF122:GEF334 FUJ122:FUJ334 FKN122:FKN334 FAR122:FAR334 EQV122:EQV334 EGZ122:EGZ334 DXD122:DXD334 DNH122:DNH334 DDL122:DDL334 CTP122:CTP334 CJT122:CJT334 BZX122:BZX334 BQB122:BQB334 BGF122:BGF334 AWJ122:AWJ334 AMN122:AMN334 ACR122:ACR334 SV122:SV334 D122:D334">
      <formula1>$N$122:$N$346</formula1>
    </dataValidation>
    <dataValidation type="list" errorStyle="information" allowBlank="1" showInputMessage="1" showErrorMessage="1" errorTitle="New Site" error="If a site is not in the list enter a new Name" prompt="Select a site name or enter a new one" sqref="B65583:I65583 IX65583:JE65583 ST65583:TA65583 ACP65583:ACW65583 AML65583:AMS65583 AWH65583:AWO65583 BGD65583:BGK65583 BPZ65583:BQG65583 BZV65583:CAC65583 CJR65583:CJY65583 CTN65583:CTU65583 DDJ65583:DDQ65583 DNF65583:DNM65583 DXB65583:DXI65583 EGX65583:EHE65583 EQT65583:ERA65583 FAP65583:FAW65583 FKL65583:FKS65583 FUH65583:FUO65583 GED65583:GEK65583 GNZ65583:GOG65583 GXV65583:GYC65583 HHR65583:HHY65583 HRN65583:HRU65583 IBJ65583:IBQ65583 ILF65583:ILM65583 IVB65583:IVI65583 JEX65583:JFE65583 JOT65583:JPA65583 JYP65583:JYW65583 KIL65583:KIS65583 KSH65583:KSO65583 LCD65583:LCK65583 LLZ65583:LMG65583 LVV65583:LWC65583 MFR65583:MFY65583 MPN65583:MPU65583 MZJ65583:MZQ65583 NJF65583:NJM65583 NTB65583:NTI65583 OCX65583:ODE65583 OMT65583:ONA65583 OWP65583:OWW65583 PGL65583:PGS65583 PQH65583:PQO65583 QAD65583:QAK65583 QJZ65583:QKG65583 QTV65583:QUC65583 RDR65583:RDY65583 RNN65583:RNU65583 RXJ65583:RXQ65583 SHF65583:SHM65583 SRB65583:SRI65583 TAX65583:TBE65583 TKT65583:TLA65583 TUP65583:TUW65583 UEL65583:UES65583 UOH65583:UOO65583 UYD65583:UYK65583 VHZ65583:VIG65583 VRV65583:VSC65583 WBR65583:WBY65583 WLN65583:WLU65583 WVJ65583:WVQ65583 B131119:I131119 IX131119:JE131119 ST131119:TA131119 ACP131119:ACW131119 AML131119:AMS131119 AWH131119:AWO131119 BGD131119:BGK131119 BPZ131119:BQG131119 BZV131119:CAC131119 CJR131119:CJY131119 CTN131119:CTU131119 DDJ131119:DDQ131119 DNF131119:DNM131119 DXB131119:DXI131119 EGX131119:EHE131119 EQT131119:ERA131119 FAP131119:FAW131119 FKL131119:FKS131119 FUH131119:FUO131119 GED131119:GEK131119 GNZ131119:GOG131119 GXV131119:GYC131119 HHR131119:HHY131119 HRN131119:HRU131119 IBJ131119:IBQ131119 ILF131119:ILM131119 IVB131119:IVI131119 JEX131119:JFE131119 JOT131119:JPA131119 JYP131119:JYW131119 KIL131119:KIS131119 KSH131119:KSO131119 LCD131119:LCK131119 LLZ131119:LMG131119 LVV131119:LWC131119 MFR131119:MFY131119 MPN131119:MPU131119 MZJ131119:MZQ131119 NJF131119:NJM131119 NTB131119:NTI131119 OCX131119:ODE131119 OMT131119:ONA131119 OWP131119:OWW131119 PGL131119:PGS131119 PQH131119:PQO131119 QAD131119:QAK131119 QJZ131119:QKG131119 QTV131119:QUC131119 RDR131119:RDY131119 RNN131119:RNU131119 RXJ131119:RXQ131119 SHF131119:SHM131119 SRB131119:SRI131119 TAX131119:TBE131119 TKT131119:TLA131119 TUP131119:TUW131119 UEL131119:UES131119 UOH131119:UOO131119 UYD131119:UYK131119 VHZ131119:VIG131119 VRV131119:VSC131119 WBR131119:WBY131119 WLN131119:WLU131119 WVJ131119:WVQ131119 B196655:I196655 IX196655:JE196655 ST196655:TA196655 ACP196655:ACW196655 AML196655:AMS196655 AWH196655:AWO196655 BGD196655:BGK196655 BPZ196655:BQG196655 BZV196655:CAC196655 CJR196655:CJY196655 CTN196655:CTU196655 DDJ196655:DDQ196655 DNF196655:DNM196655 DXB196655:DXI196655 EGX196655:EHE196655 EQT196655:ERA196655 FAP196655:FAW196655 FKL196655:FKS196655 FUH196655:FUO196655 GED196655:GEK196655 GNZ196655:GOG196655 GXV196655:GYC196655 HHR196655:HHY196655 HRN196655:HRU196655 IBJ196655:IBQ196655 ILF196655:ILM196655 IVB196655:IVI196655 JEX196655:JFE196655 JOT196655:JPA196655 JYP196655:JYW196655 KIL196655:KIS196655 KSH196655:KSO196655 LCD196655:LCK196655 LLZ196655:LMG196655 LVV196655:LWC196655 MFR196655:MFY196655 MPN196655:MPU196655 MZJ196655:MZQ196655 NJF196655:NJM196655 NTB196655:NTI196655 OCX196655:ODE196655 OMT196655:ONA196655 OWP196655:OWW196655 PGL196655:PGS196655 PQH196655:PQO196655 QAD196655:QAK196655 QJZ196655:QKG196655 QTV196655:QUC196655 RDR196655:RDY196655 RNN196655:RNU196655 RXJ196655:RXQ196655 SHF196655:SHM196655 SRB196655:SRI196655 TAX196655:TBE196655 TKT196655:TLA196655 TUP196655:TUW196655 UEL196655:UES196655 UOH196655:UOO196655 UYD196655:UYK196655 VHZ196655:VIG196655 VRV196655:VSC196655 WBR196655:WBY196655 WLN196655:WLU196655 WVJ196655:WVQ196655 B262191:I262191 IX262191:JE262191 ST262191:TA262191 ACP262191:ACW262191 AML262191:AMS262191 AWH262191:AWO262191 BGD262191:BGK262191 BPZ262191:BQG262191 BZV262191:CAC262191 CJR262191:CJY262191 CTN262191:CTU262191 DDJ262191:DDQ262191 DNF262191:DNM262191 DXB262191:DXI262191 EGX262191:EHE262191 EQT262191:ERA262191 FAP262191:FAW262191 FKL262191:FKS262191 FUH262191:FUO262191 GED262191:GEK262191 GNZ262191:GOG262191 GXV262191:GYC262191 HHR262191:HHY262191 HRN262191:HRU262191 IBJ262191:IBQ262191 ILF262191:ILM262191 IVB262191:IVI262191 JEX262191:JFE262191 JOT262191:JPA262191 JYP262191:JYW262191 KIL262191:KIS262191 KSH262191:KSO262191 LCD262191:LCK262191 LLZ262191:LMG262191 LVV262191:LWC262191 MFR262191:MFY262191 MPN262191:MPU262191 MZJ262191:MZQ262191 NJF262191:NJM262191 NTB262191:NTI262191 OCX262191:ODE262191 OMT262191:ONA262191 OWP262191:OWW262191 PGL262191:PGS262191 PQH262191:PQO262191 QAD262191:QAK262191 QJZ262191:QKG262191 QTV262191:QUC262191 RDR262191:RDY262191 RNN262191:RNU262191 RXJ262191:RXQ262191 SHF262191:SHM262191 SRB262191:SRI262191 TAX262191:TBE262191 TKT262191:TLA262191 TUP262191:TUW262191 UEL262191:UES262191 UOH262191:UOO262191 UYD262191:UYK262191 VHZ262191:VIG262191 VRV262191:VSC262191 WBR262191:WBY262191 WLN262191:WLU262191 WVJ262191:WVQ262191 B327727:I327727 IX327727:JE327727 ST327727:TA327727 ACP327727:ACW327727 AML327727:AMS327727 AWH327727:AWO327727 BGD327727:BGK327727 BPZ327727:BQG327727 BZV327727:CAC327727 CJR327727:CJY327727 CTN327727:CTU327727 DDJ327727:DDQ327727 DNF327727:DNM327727 DXB327727:DXI327727 EGX327727:EHE327727 EQT327727:ERA327727 FAP327727:FAW327727 FKL327727:FKS327727 FUH327727:FUO327727 GED327727:GEK327727 GNZ327727:GOG327727 GXV327727:GYC327727 HHR327727:HHY327727 HRN327727:HRU327727 IBJ327727:IBQ327727 ILF327727:ILM327727 IVB327727:IVI327727 JEX327727:JFE327727 JOT327727:JPA327727 JYP327727:JYW327727 KIL327727:KIS327727 KSH327727:KSO327727 LCD327727:LCK327727 LLZ327727:LMG327727 LVV327727:LWC327727 MFR327727:MFY327727 MPN327727:MPU327727 MZJ327727:MZQ327727 NJF327727:NJM327727 NTB327727:NTI327727 OCX327727:ODE327727 OMT327727:ONA327727 OWP327727:OWW327727 PGL327727:PGS327727 PQH327727:PQO327727 QAD327727:QAK327727 QJZ327727:QKG327727 QTV327727:QUC327727 RDR327727:RDY327727 RNN327727:RNU327727 RXJ327727:RXQ327727 SHF327727:SHM327727 SRB327727:SRI327727 TAX327727:TBE327727 TKT327727:TLA327727 TUP327727:TUW327727 UEL327727:UES327727 UOH327727:UOO327727 UYD327727:UYK327727 VHZ327727:VIG327727 VRV327727:VSC327727 WBR327727:WBY327727 WLN327727:WLU327727 WVJ327727:WVQ327727 B393263:I393263 IX393263:JE393263 ST393263:TA393263 ACP393263:ACW393263 AML393263:AMS393263 AWH393263:AWO393263 BGD393263:BGK393263 BPZ393263:BQG393263 BZV393263:CAC393263 CJR393263:CJY393263 CTN393263:CTU393263 DDJ393263:DDQ393263 DNF393263:DNM393263 DXB393263:DXI393263 EGX393263:EHE393263 EQT393263:ERA393263 FAP393263:FAW393263 FKL393263:FKS393263 FUH393263:FUO393263 GED393263:GEK393263 GNZ393263:GOG393263 GXV393263:GYC393263 HHR393263:HHY393263 HRN393263:HRU393263 IBJ393263:IBQ393263 ILF393263:ILM393263 IVB393263:IVI393263 JEX393263:JFE393263 JOT393263:JPA393263 JYP393263:JYW393263 KIL393263:KIS393263 KSH393263:KSO393263 LCD393263:LCK393263 LLZ393263:LMG393263 LVV393263:LWC393263 MFR393263:MFY393263 MPN393263:MPU393263 MZJ393263:MZQ393263 NJF393263:NJM393263 NTB393263:NTI393263 OCX393263:ODE393263 OMT393263:ONA393263 OWP393263:OWW393263 PGL393263:PGS393263 PQH393263:PQO393263 QAD393263:QAK393263 QJZ393263:QKG393263 QTV393263:QUC393263 RDR393263:RDY393263 RNN393263:RNU393263 RXJ393263:RXQ393263 SHF393263:SHM393263 SRB393263:SRI393263 TAX393263:TBE393263 TKT393263:TLA393263 TUP393263:TUW393263 UEL393263:UES393263 UOH393263:UOO393263 UYD393263:UYK393263 VHZ393263:VIG393263 VRV393263:VSC393263 WBR393263:WBY393263 WLN393263:WLU393263 WVJ393263:WVQ393263 B458799:I458799 IX458799:JE458799 ST458799:TA458799 ACP458799:ACW458799 AML458799:AMS458799 AWH458799:AWO458799 BGD458799:BGK458799 BPZ458799:BQG458799 BZV458799:CAC458799 CJR458799:CJY458799 CTN458799:CTU458799 DDJ458799:DDQ458799 DNF458799:DNM458799 DXB458799:DXI458799 EGX458799:EHE458799 EQT458799:ERA458799 FAP458799:FAW458799 FKL458799:FKS458799 FUH458799:FUO458799 GED458799:GEK458799 GNZ458799:GOG458799 GXV458799:GYC458799 HHR458799:HHY458799 HRN458799:HRU458799 IBJ458799:IBQ458799 ILF458799:ILM458799 IVB458799:IVI458799 JEX458799:JFE458799 JOT458799:JPA458799 JYP458799:JYW458799 KIL458799:KIS458799 KSH458799:KSO458799 LCD458799:LCK458799 LLZ458799:LMG458799 LVV458799:LWC458799 MFR458799:MFY458799 MPN458799:MPU458799 MZJ458799:MZQ458799 NJF458799:NJM458799 NTB458799:NTI458799 OCX458799:ODE458799 OMT458799:ONA458799 OWP458799:OWW458799 PGL458799:PGS458799 PQH458799:PQO458799 QAD458799:QAK458799 QJZ458799:QKG458799 QTV458799:QUC458799 RDR458799:RDY458799 RNN458799:RNU458799 RXJ458799:RXQ458799 SHF458799:SHM458799 SRB458799:SRI458799 TAX458799:TBE458799 TKT458799:TLA458799 TUP458799:TUW458799 UEL458799:UES458799 UOH458799:UOO458799 UYD458799:UYK458799 VHZ458799:VIG458799 VRV458799:VSC458799 WBR458799:WBY458799 WLN458799:WLU458799 WVJ458799:WVQ458799 B524335:I524335 IX524335:JE524335 ST524335:TA524335 ACP524335:ACW524335 AML524335:AMS524335 AWH524335:AWO524335 BGD524335:BGK524335 BPZ524335:BQG524335 BZV524335:CAC524335 CJR524335:CJY524335 CTN524335:CTU524335 DDJ524335:DDQ524335 DNF524335:DNM524335 DXB524335:DXI524335 EGX524335:EHE524335 EQT524335:ERA524335 FAP524335:FAW524335 FKL524335:FKS524335 FUH524335:FUO524335 GED524335:GEK524335 GNZ524335:GOG524335 GXV524335:GYC524335 HHR524335:HHY524335 HRN524335:HRU524335 IBJ524335:IBQ524335 ILF524335:ILM524335 IVB524335:IVI524335 JEX524335:JFE524335 JOT524335:JPA524335 JYP524335:JYW524335 KIL524335:KIS524335 KSH524335:KSO524335 LCD524335:LCK524335 LLZ524335:LMG524335 LVV524335:LWC524335 MFR524335:MFY524335 MPN524335:MPU524335 MZJ524335:MZQ524335 NJF524335:NJM524335 NTB524335:NTI524335 OCX524335:ODE524335 OMT524335:ONA524335 OWP524335:OWW524335 PGL524335:PGS524335 PQH524335:PQO524335 QAD524335:QAK524335 QJZ524335:QKG524335 QTV524335:QUC524335 RDR524335:RDY524335 RNN524335:RNU524335 RXJ524335:RXQ524335 SHF524335:SHM524335 SRB524335:SRI524335 TAX524335:TBE524335 TKT524335:TLA524335 TUP524335:TUW524335 UEL524335:UES524335 UOH524335:UOO524335 UYD524335:UYK524335 VHZ524335:VIG524335 VRV524335:VSC524335 WBR524335:WBY524335 WLN524335:WLU524335 WVJ524335:WVQ524335 B589871:I589871 IX589871:JE589871 ST589871:TA589871 ACP589871:ACW589871 AML589871:AMS589871 AWH589871:AWO589871 BGD589871:BGK589871 BPZ589871:BQG589871 BZV589871:CAC589871 CJR589871:CJY589871 CTN589871:CTU589871 DDJ589871:DDQ589871 DNF589871:DNM589871 DXB589871:DXI589871 EGX589871:EHE589871 EQT589871:ERA589871 FAP589871:FAW589871 FKL589871:FKS589871 FUH589871:FUO589871 GED589871:GEK589871 GNZ589871:GOG589871 GXV589871:GYC589871 HHR589871:HHY589871 HRN589871:HRU589871 IBJ589871:IBQ589871 ILF589871:ILM589871 IVB589871:IVI589871 JEX589871:JFE589871 JOT589871:JPA589871 JYP589871:JYW589871 KIL589871:KIS589871 KSH589871:KSO589871 LCD589871:LCK589871 LLZ589871:LMG589871 LVV589871:LWC589871 MFR589871:MFY589871 MPN589871:MPU589871 MZJ589871:MZQ589871 NJF589871:NJM589871 NTB589871:NTI589871 OCX589871:ODE589871 OMT589871:ONA589871 OWP589871:OWW589871 PGL589871:PGS589871 PQH589871:PQO589871 QAD589871:QAK589871 QJZ589871:QKG589871 QTV589871:QUC589871 RDR589871:RDY589871 RNN589871:RNU589871 RXJ589871:RXQ589871 SHF589871:SHM589871 SRB589871:SRI589871 TAX589871:TBE589871 TKT589871:TLA589871 TUP589871:TUW589871 UEL589871:UES589871 UOH589871:UOO589871 UYD589871:UYK589871 VHZ589871:VIG589871 VRV589871:VSC589871 WBR589871:WBY589871 WLN589871:WLU589871 WVJ589871:WVQ589871 B655407:I655407 IX655407:JE655407 ST655407:TA655407 ACP655407:ACW655407 AML655407:AMS655407 AWH655407:AWO655407 BGD655407:BGK655407 BPZ655407:BQG655407 BZV655407:CAC655407 CJR655407:CJY655407 CTN655407:CTU655407 DDJ655407:DDQ655407 DNF655407:DNM655407 DXB655407:DXI655407 EGX655407:EHE655407 EQT655407:ERA655407 FAP655407:FAW655407 FKL655407:FKS655407 FUH655407:FUO655407 GED655407:GEK655407 GNZ655407:GOG655407 GXV655407:GYC655407 HHR655407:HHY655407 HRN655407:HRU655407 IBJ655407:IBQ655407 ILF655407:ILM655407 IVB655407:IVI655407 JEX655407:JFE655407 JOT655407:JPA655407 JYP655407:JYW655407 KIL655407:KIS655407 KSH655407:KSO655407 LCD655407:LCK655407 LLZ655407:LMG655407 LVV655407:LWC655407 MFR655407:MFY655407 MPN655407:MPU655407 MZJ655407:MZQ655407 NJF655407:NJM655407 NTB655407:NTI655407 OCX655407:ODE655407 OMT655407:ONA655407 OWP655407:OWW655407 PGL655407:PGS655407 PQH655407:PQO655407 QAD655407:QAK655407 QJZ655407:QKG655407 QTV655407:QUC655407 RDR655407:RDY655407 RNN655407:RNU655407 RXJ655407:RXQ655407 SHF655407:SHM655407 SRB655407:SRI655407 TAX655407:TBE655407 TKT655407:TLA655407 TUP655407:TUW655407 UEL655407:UES655407 UOH655407:UOO655407 UYD655407:UYK655407 VHZ655407:VIG655407 VRV655407:VSC655407 WBR655407:WBY655407 WLN655407:WLU655407 WVJ655407:WVQ655407 B720943:I720943 IX720943:JE720943 ST720943:TA720943 ACP720943:ACW720943 AML720943:AMS720943 AWH720943:AWO720943 BGD720943:BGK720943 BPZ720943:BQG720943 BZV720943:CAC720943 CJR720943:CJY720943 CTN720943:CTU720943 DDJ720943:DDQ720943 DNF720943:DNM720943 DXB720943:DXI720943 EGX720943:EHE720943 EQT720943:ERA720943 FAP720943:FAW720943 FKL720943:FKS720943 FUH720943:FUO720943 GED720943:GEK720943 GNZ720943:GOG720943 GXV720943:GYC720943 HHR720943:HHY720943 HRN720943:HRU720943 IBJ720943:IBQ720943 ILF720943:ILM720943 IVB720943:IVI720943 JEX720943:JFE720943 JOT720943:JPA720943 JYP720943:JYW720943 KIL720943:KIS720943 KSH720943:KSO720943 LCD720943:LCK720943 LLZ720943:LMG720943 LVV720943:LWC720943 MFR720943:MFY720943 MPN720943:MPU720943 MZJ720943:MZQ720943 NJF720943:NJM720943 NTB720943:NTI720943 OCX720943:ODE720943 OMT720943:ONA720943 OWP720943:OWW720943 PGL720943:PGS720943 PQH720943:PQO720943 QAD720943:QAK720943 QJZ720943:QKG720943 QTV720943:QUC720943 RDR720943:RDY720943 RNN720943:RNU720943 RXJ720943:RXQ720943 SHF720943:SHM720943 SRB720943:SRI720943 TAX720943:TBE720943 TKT720943:TLA720943 TUP720943:TUW720943 UEL720943:UES720943 UOH720943:UOO720943 UYD720943:UYK720943 VHZ720943:VIG720943 VRV720943:VSC720943 WBR720943:WBY720943 WLN720943:WLU720943 WVJ720943:WVQ720943 B786479:I786479 IX786479:JE786479 ST786479:TA786479 ACP786479:ACW786479 AML786479:AMS786479 AWH786479:AWO786479 BGD786479:BGK786479 BPZ786479:BQG786479 BZV786479:CAC786479 CJR786479:CJY786479 CTN786479:CTU786479 DDJ786479:DDQ786479 DNF786479:DNM786479 DXB786479:DXI786479 EGX786479:EHE786479 EQT786479:ERA786479 FAP786479:FAW786479 FKL786479:FKS786479 FUH786479:FUO786479 GED786479:GEK786479 GNZ786479:GOG786479 GXV786479:GYC786479 HHR786479:HHY786479 HRN786479:HRU786479 IBJ786479:IBQ786479 ILF786479:ILM786479 IVB786479:IVI786479 JEX786479:JFE786479 JOT786479:JPA786479 JYP786479:JYW786479 KIL786479:KIS786479 KSH786479:KSO786479 LCD786479:LCK786479 LLZ786479:LMG786479 LVV786479:LWC786479 MFR786479:MFY786479 MPN786479:MPU786479 MZJ786479:MZQ786479 NJF786479:NJM786479 NTB786479:NTI786479 OCX786479:ODE786479 OMT786479:ONA786479 OWP786479:OWW786479 PGL786479:PGS786479 PQH786479:PQO786479 QAD786479:QAK786479 QJZ786479:QKG786479 QTV786479:QUC786479 RDR786479:RDY786479 RNN786479:RNU786479 RXJ786479:RXQ786479 SHF786479:SHM786479 SRB786479:SRI786479 TAX786479:TBE786479 TKT786479:TLA786479 TUP786479:TUW786479 UEL786479:UES786479 UOH786479:UOO786479 UYD786479:UYK786479 VHZ786479:VIG786479 VRV786479:VSC786479 WBR786479:WBY786479 WLN786479:WLU786479 WVJ786479:WVQ786479 B852015:I852015 IX852015:JE852015 ST852015:TA852015 ACP852015:ACW852015 AML852015:AMS852015 AWH852015:AWO852015 BGD852015:BGK852015 BPZ852015:BQG852015 BZV852015:CAC852015 CJR852015:CJY852015 CTN852015:CTU852015 DDJ852015:DDQ852015 DNF852015:DNM852015 DXB852015:DXI852015 EGX852015:EHE852015 EQT852015:ERA852015 FAP852015:FAW852015 FKL852015:FKS852015 FUH852015:FUO852015 GED852015:GEK852015 GNZ852015:GOG852015 GXV852015:GYC852015 HHR852015:HHY852015 HRN852015:HRU852015 IBJ852015:IBQ852015 ILF852015:ILM852015 IVB852015:IVI852015 JEX852015:JFE852015 JOT852015:JPA852015 JYP852015:JYW852015 KIL852015:KIS852015 KSH852015:KSO852015 LCD852015:LCK852015 LLZ852015:LMG852015 LVV852015:LWC852015 MFR852015:MFY852015 MPN852015:MPU852015 MZJ852015:MZQ852015 NJF852015:NJM852015 NTB852015:NTI852015 OCX852015:ODE852015 OMT852015:ONA852015 OWP852015:OWW852015 PGL852015:PGS852015 PQH852015:PQO852015 QAD852015:QAK852015 QJZ852015:QKG852015 QTV852015:QUC852015 RDR852015:RDY852015 RNN852015:RNU852015 RXJ852015:RXQ852015 SHF852015:SHM852015 SRB852015:SRI852015 TAX852015:TBE852015 TKT852015:TLA852015 TUP852015:TUW852015 UEL852015:UES852015 UOH852015:UOO852015 UYD852015:UYK852015 VHZ852015:VIG852015 VRV852015:VSC852015 WBR852015:WBY852015 WLN852015:WLU852015 WVJ852015:WVQ852015 B917551:I917551 IX917551:JE917551 ST917551:TA917551 ACP917551:ACW917551 AML917551:AMS917551 AWH917551:AWO917551 BGD917551:BGK917551 BPZ917551:BQG917551 BZV917551:CAC917551 CJR917551:CJY917551 CTN917551:CTU917551 DDJ917551:DDQ917551 DNF917551:DNM917551 DXB917551:DXI917551 EGX917551:EHE917551 EQT917551:ERA917551 FAP917551:FAW917551 FKL917551:FKS917551 FUH917551:FUO917551 GED917551:GEK917551 GNZ917551:GOG917551 GXV917551:GYC917551 HHR917551:HHY917551 HRN917551:HRU917551 IBJ917551:IBQ917551 ILF917551:ILM917551 IVB917551:IVI917551 JEX917551:JFE917551 JOT917551:JPA917551 JYP917551:JYW917551 KIL917551:KIS917551 KSH917551:KSO917551 LCD917551:LCK917551 LLZ917551:LMG917551 LVV917551:LWC917551 MFR917551:MFY917551 MPN917551:MPU917551 MZJ917551:MZQ917551 NJF917551:NJM917551 NTB917551:NTI917551 OCX917551:ODE917551 OMT917551:ONA917551 OWP917551:OWW917551 PGL917551:PGS917551 PQH917551:PQO917551 QAD917551:QAK917551 QJZ917551:QKG917551 QTV917551:QUC917551 RDR917551:RDY917551 RNN917551:RNU917551 RXJ917551:RXQ917551 SHF917551:SHM917551 SRB917551:SRI917551 TAX917551:TBE917551 TKT917551:TLA917551 TUP917551:TUW917551 UEL917551:UES917551 UOH917551:UOO917551 UYD917551:UYK917551 VHZ917551:VIG917551 VRV917551:VSC917551 WBR917551:WBY917551 WLN917551:WLU917551 WVJ917551:WVQ917551 B983087:I983087 IX983087:JE983087 ST983087:TA983087 ACP983087:ACW983087 AML983087:AMS983087 AWH983087:AWO983087 BGD983087:BGK983087 BPZ983087:BQG983087 BZV983087:CAC983087 CJR983087:CJY983087 CTN983087:CTU983087 DDJ983087:DDQ983087 DNF983087:DNM983087 DXB983087:DXI983087 EGX983087:EHE983087 EQT983087:ERA983087 FAP983087:FAW983087 FKL983087:FKS983087 FUH983087:FUO983087 GED983087:GEK983087 GNZ983087:GOG983087 GXV983087:GYC983087 HHR983087:HHY983087 HRN983087:HRU983087 IBJ983087:IBQ983087 ILF983087:ILM983087 IVB983087:IVI983087 JEX983087:JFE983087 JOT983087:JPA983087 JYP983087:JYW983087 KIL983087:KIS983087 KSH983087:KSO983087 LCD983087:LCK983087 LLZ983087:LMG983087 LVV983087:LWC983087 MFR983087:MFY983087 MPN983087:MPU983087 MZJ983087:MZQ983087 NJF983087:NJM983087 NTB983087:NTI983087 OCX983087:ODE983087 OMT983087:ONA983087 OWP983087:OWW983087 PGL983087:PGS983087 PQH983087:PQO983087 QAD983087:QAK983087 QJZ983087:QKG983087 QTV983087:QUC983087 RDR983087:RDY983087 RNN983087:RNU983087 RXJ983087:RXQ983087 SHF983087:SHM983087 SRB983087:SRI983087 TAX983087:TBE983087 TKT983087:TLA983087 TUP983087:TUW983087 UEL983087:UES983087 UOH983087:UOO983087 UYD983087:UYK983087 VHZ983087:VIG983087 VRV983087:VSC983087 WBR983087:WBY983087 WLN983087:WLU983087 WVJ983087:WVQ983087 WVJ46:WVQ46 WLN46:WLU46 WBR46:WBY46 VRV46:VSC46 VHZ46:VIG46 UYD46:UYK46 UOH46:UOO46 UEL46:UES46 TUP46:TUW46 TKT46:TLA46 TAX46:TBE46 SRB46:SRI46 SHF46:SHM46 RXJ46:RXQ46 RNN46:RNU46 RDR46:RDY46 QTV46:QUC46 QJZ46:QKG46 QAD46:QAK46 PQH46:PQO46 PGL46:PGS46 OWP46:OWW46 OMT46:ONA46 OCX46:ODE46 NTB46:NTI46 NJF46:NJM46 MZJ46:MZQ46 MPN46:MPU46 MFR46:MFY46 LVV46:LWC46 LLZ46:LMG46 LCD46:LCK46 KSH46:KSO46 KIL46:KIS46 JYP46:JYW46 JOT46:JPA46 JEX46:JFE46 IVB46:IVI46 ILF46:ILM46 IBJ46:IBQ46 HRN46:HRU46 HHR46:HHY46 GXV46:GYC46 GNZ46:GOG46 GED46:GEK46 FUH46:FUO46 FKL46:FKS46 FAP46:FAW46 EQT46:ERA46 EGX46:EHE46 DXB46:DXI46 DNF46:DNM46 DDJ46:DDQ46 CTN46:CTU46 CJR46:CJY46 BZV46:CAC46 BPZ46:BQG46 BGD46:BGK46 AWH46:AWO46 AML46:AMS46 ACP46:ACW46 ST46:TA46 IX46:JE46 B46:I46">
      <formula1>Site_name_list</formula1>
    </dataValidation>
    <dataValidation type="custom" allowBlank="1" showInputMessage="1" showErrorMessage="1" sqref="B65555:I65555 IX65555:JE65555 ST65555:TA65555 ACP65555:ACW65555 AML65555:AMS65555 AWH65555:AWO65555 BGD65555:BGK65555 BPZ65555:BQG65555 BZV65555:CAC65555 CJR65555:CJY65555 CTN65555:CTU65555 DDJ65555:DDQ65555 DNF65555:DNM65555 DXB65555:DXI65555 EGX65555:EHE65555 EQT65555:ERA65555 FAP65555:FAW65555 FKL65555:FKS65555 FUH65555:FUO65555 GED65555:GEK65555 GNZ65555:GOG65555 GXV65555:GYC65555 HHR65555:HHY65555 HRN65555:HRU65555 IBJ65555:IBQ65555 ILF65555:ILM65555 IVB65555:IVI65555 JEX65555:JFE65555 JOT65555:JPA65555 JYP65555:JYW65555 KIL65555:KIS65555 KSH65555:KSO65555 LCD65555:LCK65555 LLZ65555:LMG65555 LVV65555:LWC65555 MFR65555:MFY65555 MPN65555:MPU65555 MZJ65555:MZQ65555 NJF65555:NJM65555 NTB65555:NTI65555 OCX65555:ODE65555 OMT65555:ONA65555 OWP65555:OWW65555 PGL65555:PGS65555 PQH65555:PQO65555 QAD65555:QAK65555 QJZ65555:QKG65555 QTV65555:QUC65555 RDR65555:RDY65555 RNN65555:RNU65555 RXJ65555:RXQ65555 SHF65555:SHM65555 SRB65555:SRI65555 TAX65555:TBE65555 TKT65555:TLA65555 TUP65555:TUW65555 UEL65555:UES65555 UOH65555:UOO65555 UYD65555:UYK65555 VHZ65555:VIG65555 VRV65555:VSC65555 WBR65555:WBY65555 WLN65555:WLU65555 WVJ65555:WVQ65555 B131091:I131091 IX131091:JE131091 ST131091:TA131091 ACP131091:ACW131091 AML131091:AMS131091 AWH131091:AWO131091 BGD131091:BGK131091 BPZ131091:BQG131091 BZV131091:CAC131091 CJR131091:CJY131091 CTN131091:CTU131091 DDJ131091:DDQ131091 DNF131091:DNM131091 DXB131091:DXI131091 EGX131091:EHE131091 EQT131091:ERA131091 FAP131091:FAW131091 FKL131091:FKS131091 FUH131091:FUO131091 GED131091:GEK131091 GNZ131091:GOG131091 GXV131091:GYC131091 HHR131091:HHY131091 HRN131091:HRU131091 IBJ131091:IBQ131091 ILF131091:ILM131091 IVB131091:IVI131091 JEX131091:JFE131091 JOT131091:JPA131091 JYP131091:JYW131091 KIL131091:KIS131091 KSH131091:KSO131091 LCD131091:LCK131091 LLZ131091:LMG131091 LVV131091:LWC131091 MFR131091:MFY131091 MPN131091:MPU131091 MZJ131091:MZQ131091 NJF131091:NJM131091 NTB131091:NTI131091 OCX131091:ODE131091 OMT131091:ONA131091 OWP131091:OWW131091 PGL131091:PGS131091 PQH131091:PQO131091 QAD131091:QAK131091 QJZ131091:QKG131091 QTV131091:QUC131091 RDR131091:RDY131091 RNN131091:RNU131091 RXJ131091:RXQ131091 SHF131091:SHM131091 SRB131091:SRI131091 TAX131091:TBE131091 TKT131091:TLA131091 TUP131091:TUW131091 UEL131091:UES131091 UOH131091:UOO131091 UYD131091:UYK131091 VHZ131091:VIG131091 VRV131091:VSC131091 WBR131091:WBY131091 WLN131091:WLU131091 WVJ131091:WVQ131091 B196627:I196627 IX196627:JE196627 ST196627:TA196627 ACP196627:ACW196627 AML196627:AMS196627 AWH196627:AWO196627 BGD196627:BGK196627 BPZ196627:BQG196627 BZV196627:CAC196627 CJR196627:CJY196627 CTN196627:CTU196627 DDJ196627:DDQ196627 DNF196627:DNM196627 DXB196627:DXI196627 EGX196627:EHE196627 EQT196627:ERA196627 FAP196627:FAW196627 FKL196627:FKS196627 FUH196627:FUO196627 GED196627:GEK196627 GNZ196627:GOG196627 GXV196627:GYC196627 HHR196627:HHY196627 HRN196627:HRU196627 IBJ196627:IBQ196627 ILF196627:ILM196627 IVB196627:IVI196627 JEX196627:JFE196627 JOT196627:JPA196627 JYP196627:JYW196627 KIL196627:KIS196627 KSH196627:KSO196627 LCD196627:LCK196627 LLZ196627:LMG196627 LVV196627:LWC196627 MFR196627:MFY196627 MPN196627:MPU196627 MZJ196627:MZQ196627 NJF196627:NJM196627 NTB196627:NTI196627 OCX196627:ODE196627 OMT196627:ONA196627 OWP196627:OWW196627 PGL196627:PGS196627 PQH196627:PQO196627 QAD196627:QAK196627 QJZ196627:QKG196627 QTV196627:QUC196627 RDR196627:RDY196627 RNN196627:RNU196627 RXJ196627:RXQ196627 SHF196627:SHM196627 SRB196627:SRI196627 TAX196627:TBE196627 TKT196627:TLA196627 TUP196627:TUW196627 UEL196627:UES196627 UOH196627:UOO196627 UYD196627:UYK196627 VHZ196627:VIG196627 VRV196627:VSC196627 WBR196627:WBY196627 WLN196627:WLU196627 WVJ196627:WVQ196627 B262163:I262163 IX262163:JE262163 ST262163:TA262163 ACP262163:ACW262163 AML262163:AMS262163 AWH262163:AWO262163 BGD262163:BGK262163 BPZ262163:BQG262163 BZV262163:CAC262163 CJR262163:CJY262163 CTN262163:CTU262163 DDJ262163:DDQ262163 DNF262163:DNM262163 DXB262163:DXI262163 EGX262163:EHE262163 EQT262163:ERA262163 FAP262163:FAW262163 FKL262163:FKS262163 FUH262163:FUO262163 GED262163:GEK262163 GNZ262163:GOG262163 GXV262163:GYC262163 HHR262163:HHY262163 HRN262163:HRU262163 IBJ262163:IBQ262163 ILF262163:ILM262163 IVB262163:IVI262163 JEX262163:JFE262163 JOT262163:JPA262163 JYP262163:JYW262163 KIL262163:KIS262163 KSH262163:KSO262163 LCD262163:LCK262163 LLZ262163:LMG262163 LVV262163:LWC262163 MFR262163:MFY262163 MPN262163:MPU262163 MZJ262163:MZQ262163 NJF262163:NJM262163 NTB262163:NTI262163 OCX262163:ODE262163 OMT262163:ONA262163 OWP262163:OWW262163 PGL262163:PGS262163 PQH262163:PQO262163 QAD262163:QAK262163 QJZ262163:QKG262163 QTV262163:QUC262163 RDR262163:RDY262163 RNN262163:RNU262163 RXJ262163:RXQ262163 SHF262163:SHM262163 SRB262163:SRI262163 TAX262163:TBE262163 TKT262163:TLA262163 TUP262163:TUW262163 UEL262163:UES262163 UOH262163:UOO262163 UYD262163:UYK262163 VHZ262163:VIG262163 VRV262163:VSC262163 WBR262163:WBY262163 WLN262163:WLU262163 WVJ262163:WVQ262163 B327699:I327699 IX327699:JE327699 ST327699:TA327699 ACP327699:ACW327699 AML327699:AMS327699 AWH327699:AWO327699 BGD327699:BGK327699 BPZ327699:BQG327699 BZV327699:CAC327699 CJR327699:CJY327699 CTN327699:CTU327699 DDJ327699:DDQ327699 DNF327699:DNM327699 DXB327699:DXI327699 EGX327699:EHE327699 EQT327699:ERA327699 FAP327699:FAW327699 FKL327699:FKS327699 FUH327699:FUO327699 GED327699:GEK327699 GNZ327699:GOG327699 GXV327699:GYC327699 HHR327699:HHY327699 HRN327699:HRU327699 IBJ327699:IBQ327699 ILF327699:ILM327699 IVB327699:IVI327699 JEX327699:JFE327699 JOT327699:JPA327699 JYP327699:JYW327699 KIL327699:KIS327699 KSH327699:KSO327699 LCD327699:LCK327699 LLZ327699:LMG327699 LVV327699:LWC327699 MFR327699:MFY327699 MPN327699:MPU327699 MZJ327699:MZQ327699 NJF327699:NJM327699 NTB327699:NTI327699 OCX327699:ODE327699 OMT327699:ONA327699 OWP327699:OWW327699 PGL327699:PGS327699 PQH327699:PQO327699 QAD327699:QAK327699 QJZ327699:QKG327699 QTV327699:QUC327699 RDR327699:RDY327699 RNN327699:RNU327699 RXJ327699:RXQ327699 SHF327699:SHM327699 SRB327699:SRI327699 TAX327699:TBE327699 TKT327699:TLA327699 TUP327699:TUW327699 UEL327699:UES327699 UOH327699:UOO327699 UYD327699:UYK327699 VHZ327699:VIG327699 VRV327699:VSC327699 WBR327699:WBY327699 WLN327699:WLU327699 WVJ327699:WVQ327699 B393235:I393235 IX393235:JE393235 ST393235:TA393235 ACP393235:ACW393235 AML393235:AMS393235 AWH393235:AWO393235 BGD393235:BGK393235 BPZ393235:BQG393235 BZV393235:CAC393235 CJR393235:CJY393235 CTN393235:CTU393235 DDJ393235:DDQ393235 DNF393235:DNM393235 DXB393235:DXI393235 EGX393235:EHE393235 EQT393235:ERA393235 FAP393235:FAW393235 FKL393235:FKS393235 FUH393235:FUO393235 GED393235:GEK393235 GNZ393235:GOG393235 GXV393235:GYC393235 HHR393235:HHY393235 HRN393235:HRU393235 IBJ393235:IBQ393235 ILF393235:ILM393235 IVB393235:IVI393235 JEX393235:JFE393235 JOT393235:JPA393235 JYP393235:JYW393235 KIL393235:KIS393235 KSH393235:KSO393235 LCD393235:LCK393235 LLZ393235:LMG393235 LVV393235:LWC393235 MFR393235:MFY393235 MPN393235:MPU393235 MZJ393235:MZQ393235 NJF393235:NJM393235 NTB393235:NTI393235 OCX393235:ODE393235 OMT393235:ONA393235 OWP393235:OWW393235 PGL393235:PGS393235 PQH393235:PQO393235 QAD393235:QAK393235 QJZ393235:QKG393235 QTV393235:QUC393235 RDR393235:RDY393235 RNN393235:RNU393235 RXJ393235:RXQ393235 SHF393235:SHM393235 SRB393235:SRI393235 TAX393235:TBE393235 TKT393235:TLA393235 TUP393235:TUW393235 UEL393235:UES393235 UOH393235:UOO393235 UYD393235:UYK393235 VHZ393235:VIG393235 VRV393235:VSC393235 WBR393235:WBY393235 WLN393235:WLU393235 WVJ393235:WVQ393235 B458771:I458771 IX458771:JE458771 ST458771:TA458771 ACP458771:ACW458771 AML458771:AMS458771 AWH458771:AWO458771 BGD458771:BGK458771 BPZ458771:BQG458771 BZV458771:CAC458771 CJR458771:CJY458771 CTN458771:CTU458771 DDJ458771:DDQ458771 DNF458771:DNM458771 DXB458771:DXI458771 EGX458771:EHE458771 EQT458771:ERA458771 FAP458771:FAW458771 FKL458771:FKS458771 FUH458771:FUO458771 GED458771:GEK458771 GNZ458771:GOG458771 GXV458771:GYC458771 HHR458771:HHY458771 HRN458771:HRU458771 IBJ458771:IBQ458771 ILF458771:ILM458771 IVB458771:IVI458771 JEX458771:JFE458771 JOT458771:JPA458771 JYP458771:JYW458771 KIL458771:KIS458771 KSH458771:KSO458771 LCD458771:LCK458771 LLZ458771:LMG458771 LVV458771:LWC458771 MFR458771:MFY458771 MPN458771:MPU458771 MZJ458771:MZQ458771 NJF458771:NJM458771 NTB458771:NTI458771 OCX458771:ODE458771 OMT458771:ONA458771 OWP458771:OWW458771 PGL458771:PGS458771 PQH458771:PQO458771 QAD458771:QAK458771 QJZ458771:QKG458771 QTV458771:QUC458771 RDR458771:RDY458771 RNN458771:RNU458771 RXJ458771:RXQ458771 SHF458771:SHM458771 SRB458771:SRI458771 TAX458771:TBE458771 TKT458771:TLA458771 TUP458771:TUW458771 UEL458771:UES458771 UOH458771:UOO458771 UYD458771:UYK458771 VHZ458771:VIG458771 VRV458771:VSC458771 WBR458771:WBY458771 WLN458771:WLU458771 WVJ458771:WVQ458771 B524307:I524307 IX524307:JE524307 ST524307:TA524307 ACP524307:ACW524307 AML524307:AMS524307 AWH524307:AWO524307 BGD524307:BGK524307 BPZ524307:BQG524307 BZV524307:CAC524307 CJR524307:CJY524307 CTN524307:CTU524307 DDJ524307:DDQ524307 DNF524307:DNM524307 DXB524307:DXI524307 EGX524307:EHE524307 EQT524307:ERA524307 FAP524307:FAW524307 FKL524307:FKS524307 FUH524307:FUO524307 GED524307:GEK524307 GNZ524307:GOG524307 GXV524307:GYC524307 HHR524307:HHY524307 HRN524307:HRU524307 IBJ524307:IBQ524307 ILF524307:ILM524307 IVB524307:IVI524307 JEX524307:JFE524307 JOT524307:JPA524307 JYP524307:JYW524307 KIL524307:KIS524307 KSH524307:KSO524307 LCD524307:LCK524307 LLZ524307:LMG524307 LVV524307:LWC524307 MFR524307:MFY524307 MPN524307:MPU524307 MZJ524307:MZQ524307 NJF524307:NJM524307 NTB524307:NTI524307 OCX524307:ODE524307 OMT524307:ONA524307 OWP524307:OWW524307 PGL524307:PGS524307 PQH524307:PQO524307 QAD524307:QAK524307 QJZ524307:QKG524307 QTV524307:QUC524307 RDR524307:RDY524307 RNN524307:RNU524307 RXJ524307:RXQ524307 SHF524307:SHM524307 SRB524307:SRI524307 TAX524307:TBE524307 TKT524307:TLA524307 TUP524307:TUW524307 UEL524307:UES524307 UOH524307:UOO524307 UYD524307:UYK524307 VHZ524307:VIG524307 VRV524307:VSC524307 WBR524307:WBY524307 WLN524307:WLU524307 WVJ524307:WVQ524307 B589843:I589843 IX589843:JE589843 ST589843:TA589843 ACP589843:ACW589843 AML589843:AMS589843 AWH589843:AWO589843 BGD589843:BGK589843 BPZ589843:BQG589843 BZV589843:CAC589843 CJR589843:CJY589843 CTN589843:CTU589843 DDJ589843:DDQ589843 DNF589843:DNM589843 DXB589843:DXI589843 EGX589843:EHE589843 EQT589843:ERA589843 FAP589843:FAW589843 FKL589843:FKS589843 FUH589843:FUO589843 GED589843:GEK589843 GNZ589843:GOG589843 GXV589843:GYC589843 HHR589843:HHY589843 HRN589843:HRU589843 IBJ589843:IBQ589843 ILF589843:ILM589843 IVB589843:IVI589843 JEX589843:JFE589843 JOT589843:JPA589843 JYP589843:JYW589843 KIL589843:KIS589843 KSH589843:KSO589843 LCD589843:LCK589843 LLZ589843:LMG589843 LVV589843:LWC589843 MFR589843:MFY589843 MPN589843:MPU589843 MZJ589843:MZQ589843 NJF589843:NJM589843 NTB589843:NTI589843 OCX589843:ODE589843 OMT589843:ONA589843 OWP589843:OWW589843 PGL589843:PGS589843 PQH589843:PQO589843 QAD589843:QAK589843 QJZ589843:QKG589843 QTV589843:QUC589843 RDR589843:RDY589843 RNN589843:RNU589843 RXJ589843:RXQ589843 SHF589843:SHM589843 SRB589843:SRI589843 TAX589843:TBE589843 TKT589843:TLA589843 TUP589843:TUW589843 UEL589843:UES589843 UOH589843:UOO589843 UYD589843:UYK589843 VHZ589843:VIG589843 VRV589843:VSC589843 WBR589843:WBY589843 WLN589843:WLU589843 WVJ589843:WVQ589843 B655379:I655379 IX655379:JE655379 ST655379:TA655379 ACP655379:ACW655379 AML655379:AMS655379 AWH655379:AWO655379 BGD655379:BGK655379 BPZ655379:BQG655379 BZV655379:CAC655379 CJR655379:CJY655379 CTN655379:CTU655379 DDJ655379:DDQ655379 DNF655379:DNM655379 DXB655379:DXI655379 EGX655379:EHE655379 EQT655379:ERA655379 FAP655379:FAW655379 FKL655379:FKS655379 FUH655379:FUO655379 GED655379:GEK655379 GNZ655379:GOG655379 GXV655379:GYC655379 HHR655379:HHY655379 HRN655379:HRU655379 IBJ655379:IBQ655379 ILF655379:ILM655379 IVB655379:IVI655379 JEX655379:JFE655379 JOT655379:JPA655379 JYP655379:JYW655379 KIL655379:KIS655379 KSH655379:KSO655379 LCD655379:LCK655379 LLZ655379:LMG655379 LVV655379:LWC655379 MFR655379:MFY655379 MPN655379:MPU655379 MZJ655379:MZQ655379 NJF655379:NJM655379 NTB655379:NTI655379 OCX655379:ODE655379 OMT655379:ONA655379 OWP655379:OWW655379 PGL655379:PGS655379 PQH655379:PQO655379 QAD655379:QAK655379 QJZ655379:QKG655379 QTV655379:QUC655379 RDR655379:RDY655379 RNN655379:RNU655379 RXJ655379:RXQ655379 SHF655379:SHM655379 SRB655379:SRI655379 TAX655379:TBE655379 TKT655379:TLA655379 TUP655379:TUW655379 UEL655379:UES655379 UOH655379:UOO655379 UYD655379:UYK655379 VHZ655379:VIG655379 VRV655379:VSC655379 WBR655379:WBY655379 WLN655379:WLU655379 WVJ655379:WVQ655379 B720915:I720915 IX720915:JE720915 ST720915:TA720915 ACP720915:ACW720915 AML720915:AMS720915 AWH720915:AWO720915 BGD720915:BGK720915 BPZ720915:BQG720915 BZV720915:CAC720915 CJR720915:CJY720915 CTN720915:CTU720915 DDJ720915:DDQ720915 DNF720915:DNM720915 DXB720915:DXI720915 EGX720915:EHE720915 EQT720915:ERA720915 FAP720915:FAW720915 FKL720915:FKS720915 FUH720915:FUO720915 GED720915:GEK720915 GNZ720915:GOG720915 GXV720915:GYC720915 HHR720915:HHY720915 HRN720915:HRU720915 IBJ720915:IBQ720915 ILF720915:ILM720915 IVB720915:IVI720915 JEX720915:JFE720915 JOT720915:JPA720915 JYP720915:JYW720915 KIL720915:KIS720915 KSH720915:KSO720915 LCD720915:LCK720915 LLZ720915:LMG720915 LVV720915:LWC720915 MFR720915:MFY720915 MPN720915:MPU720915 MZJ720915:MZQ720915 NJF720915:NJM720915 NTB720915:NTI720915 OCX720915:ODE720915 OMT720915:ONA720915 OWP720915:OWW720915 PGL720915:PGS720915 PQH720915:PQO720915 QAD720915:QAK720915 QJZ720915:QKG720915 QTV720915:QUC720915 RDR720915:RDY720915 RNN720915:RNU720915 RXJ720915:RXQ720915 SHF720915:SHM720915 SRB720915:SRI720915 TAX720915:TBE720915 TKT720915:TLA720915 TUP720915:TUW720915 UEL720915:UES720915 UOH720915:UOO720915 UYD720915:UYK720915 VHZ720915:VIG720915 VRV720915:VSC720915 WBR720915:WBY720915 WLN720915:WLU720915 WVJ720915:WVQ720915 B786451:I786451 IX786451:JE786451 ST786451:TA786451 ACP786451:ACW786451 AML786451:AMS786451 AWH786451:AWO786451 BGD786451:BGK786451 BPZ786451:BQG786451 BZV786451:CAC786451 CJR786451:CJY786451 CTN786451:CTU786451 DDJ786451:DDQ786451 DNF786451:DNM786451 DXB786451:DXI786451 EGX786451:EHE786451 EQT786451:ERA786451 FAP786451:FAW786451 FKL786451:FKS786451 FUH786451:FUO786451 GED786451:GEK786451 GNZ786451:GOG786451 GXV786451:GYC786451 HHR786451:HHY786451 HRN786451:HRU786451 IBJ786451:IBQ786451 ILF786451:ILM786451 IVB786451:IVI786451 JEX786451:JFE786451 JOT786451:JPA786451 JYP786451:JYW786451 KIL786451:KIS786451 KSH786451:KSO786451 LCD786451:LCK786451 LLZ786451:LMG786451 LVV786451:LWC786451 MFR786451:MFY786451 MPN786451:MPU786451 MZJ786451:MZQ786451 NJF786451:NJM786451 NTB786451:NTI786451 OCX786451:ODE786451 OMT786451:ONA786451 OWP786451:OWW786451 PGL786451:PGS786451 PQH786451:PQO786451 QAD786451:QAK786451 QJZ786451:QKG786451 QTV786451:QUC786451 RDR786451:RDY786451 RNN786451:RNU786451 RXJ786451:RXQ786451 SHF786451:SHM786451 SRB786451:SRI786451 TAX786451:TBE786451 TKT786451:TLA786451 TUP786451:TUW786451 UEL786451:UES786451 UOH786451:UOO786451 UYD786451:UYK786451 VHZ786451:VIG786451 VRV786451:VSC786451 WBR786451:WBY786451 WLN786451:WLU786451 WVJ786451:WVQ786451 B851987:I851987 IX851987:JE851987 ST851987:TA851987 ACP851987:ACW851987 AML851987:AMS851987 AWH851987:AWO851987 BGD851987:BGK851987 BPZ851987:BQG851987 BZV851987:CAC851987 CJR851987:CJY851987 CTN851987:CTU851987 DDJ851987:DDQ851987 DNF851987:DNM851987 DXB851987:DXI851987 EGX851987:EHE851987 EQT851987:ERA851987 FAP851987:FAW851987 FKL851987:FKS851987 FUH851987:FUO851987 GED851987:GEK851987 GNZ851987:GOG851987 GXV851987:GYC851987 HHR851987:HHY851987 HRN851987:HRU851987 IBJ851987:IBQ851987 ILF851987:ILM851987 IVB851987:IVI851987 JEX851987:JFE851987 JOT851987:JPA851987 JYP851987:JYW851987 KIL851987:KIS851987 KSH851987:KSO851987 LCD851987:LCK851987 LLZ851987:LMG851987 LVV851987:LWC851987 MFR851987:MFY851987 MPN851987:MPU851987 MZJ851987:MZQ851987 NJF851987:NJM851987 NTB851987:NTI851987 OCX851987:ODE851987 OMT851987:ONA851987 OWP851987:OWW851987 PGL851987:PGS851987 PQH851987:PQO851987 QAD851987:QAK851987 QJZ851987:QKG851987 QTV851987:QUC851987 RDR851987:RDY851987 RNN851987:RNU851987 RXJ851987:RXQ851987 SHF851987:SHM851987 SRB851987:SRI851987 TAX851987:TBE851987 TKT851987:TLA851987 TUP851987:TUW851987 UEL851987:UES851987 UOH851987:UOO851987 UYD851987:UYK851987 VHZ851987:VIG851987 VRV851987:VSC851987 WBR851987:WBY851987 WLN851987:WLU851987 WVJ851987:WVQ851987 B917523:I917523 IX917523:JE917523 ST917523:TA917523 ACP917523:ACW917523 AML917523:AMS917523 AWH917523:AWO917523 BGD917523:BGK917523 BPZ917523:BQG917523 BZV917523:CAC917523 CJR917523:CJY917523 CTN917523:CTU917523 DDJ917523:DDQ917523 DNF917523:DNM917523 DXB917523:DXI917523 EGX917523:EHE917523 EQT917523:ERA917523 FAP917523:FAW917523 FKL917523:FKS917523 FUH917523:FUO917523 GED917523:GEK917523 GNZ917523:GOG917523 GXV917523:GYC917523 HHR917523:HHY917523 HRN917523:HRU917523 IBJ917523:IBQ917523 ILF917523:ILM917523 IVB917523:IVI917523 JEX917523:JFE917523 JOT917523:JPA917523 JYP917523:JYW917523 KIL917523:KIS917523 KSH917523:KSO917523 LCD917523:LCK917523 LLZ917523:LMG917523 LVV917523:LWC917523 MFR917523:MFY917523 MPN917523:MPU917523 MZJ917523:MZQ917523 NJF917523:NJM917523 NTB917523:NTI917523 OCX917523:ODE917523 OMT917523:ONA917523 OWP917523:OWW917523 PGL917523:PGS917523 PQH917523:PQO917523 QAD917523:QAK917523 QJZ917523:QKG917523 QTV917523:QUC917523 RDR917523:RDY917523 RNN917523:RNU917523 RXJ917523:RXQ917523 SHF917523:SHM917523 SRB917523:SRI917523 TAX917523:TBE917523 TKT917523:TLA917523 TUP917523:TUW917523 UEL917523:UES917523 UOH917523:UOO917523 UYD917523:UYK917523 VHZ917523:VIG917523 VRV917523:VSC917523 WBR917523:WBY917523 WLN917523:WLU917523 WVJ917523:WVQ917523 B983059:I983059 IX983059:JE983059 ST983059:TA983059 ACP983059:ACW983059 AML983059:AMS983059 AWH983059:AWO983059 BGD983059:BGK983059 BPZ983059:BQG983059 BZV983059:CAC983059 CJR983059:CJY983059 CTN983059:CTU983059 DDJ983059:DDQ983059 DNF983059:DNM983059 DXB983059:DXI983059 EGX983059:EHE983059 EQT983059:ERA983059 FAP983059:FAW983059 FKL983059:FKS983059 FUH983059:FUO983059 GED983059:GEK983059 GNZ983059:GOG983059 GXV983059:GYC983059 HHR983059:HHY983059 HRN983059:HRU983059 IBJ983059:IBQ983059 ILF983059:ILM983059 IVB983059:IVI983059 JEX983059:JFE983059 JOT983059:JPA983059 JYP983059:JYW983059 KIL983059:KIS983059 KSH983059:KSO983059 LCD983059:LCK983059 LLZ983059:LMG983059 LVV983059:LWC983059 MFR983059:MFY983059 MPN983059:MPU983059 MZJ983059:MZQ983059 NJF983059:NJM983059 NTB983059:NTI983059 OCX983059:ODE983059 OMT983059:ONA983059 OWP983059:OWW983059 PGL983059:PGS983059 PQH983059:PQO983059 QAD983059:QAK983059 QJZ983059:QKG983059 QTV983059:QUC983059 RDR983059:RDY983059 RNN983059:RNU983059 RXJ983059:RXQ983059 SHF983059:SHM983059 SRB983059:SRI983059 TAX983059:TBE983059 TKT983059:TLA983059 TUP983059:TUW983059 UEL983059:UES983059 UOH983059:UOO983059 UYD983059:UYK983059 VHZ983059:VIG983059 VRV983059:VSC983059 WBR983059:WBY983059 WLN983059:WLU983059 WVJ983059:WVQ983059 WVJ18:WVQ18 WLN18:WLU18 WBR18:WBY18 VRV18:VSC18 VHZ18:VIG18 UYD18:UYK18 UOH18:UOO18 UEL18:UES18 TUP18:TUW18 TKT18:TLA18 TAX18:TBE18 SRB18:SRI18 SHF18:SHM18 RXJ18:RXQ18 RNN18:RNU18 RDR18:RDY18 QTV18:QUC18 QJZ18:QKG18 QAD18:QAK18 PQH18:PQO18 PGL18:PGS18 OWP18:OWW18 OMT18:ONA18 OCX18:ODE18 NTB18:NTI18 NJF18:NJM18 MZJ18:MZQ18 MPN18:MPU18 MFR18:MFY18 LVV18:LWC18 LLZ18:LMG18 LCD18:LCK18 KSH18:KSO18 KIL18:KIS18 JYP18:JYW18 JOT18:JPA18 JEX18:JFE18 IVB18:IVI18 ILF18:ILM18 IBJ18:IBQ18 HRN18:HRU18 HHR18:HHY18 GXV18:GYC18 GNZ18:GOG18 GED18:GEK18 FUH18:FUO18 FKL18:FKS18 FAP18:FAW18 EQT18:ERA18 EGX18:EHE18 DXB18:DXI18 DNF18:DNM18 DDJ18:DDQ18 CTN18:CTU18 CJR18:CJY18 BZV18:CAC18 BPZ18:BQG18 BGD18:BGK18 AWH18:AWO18 AML18:AMS18 ACP18:ACW18 ST18:TA18 IX18:JE18 B18:I1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WVJ17:WVQ17 WLN17:WLU17 WBR17:WBY17 VRV17:VSC17 VHZ17:VIG17 UYD17:UYK17 UOH17:UOO17 UEL17:UES17 TUP17:TUW17 TKT17:TLA17 TAX17:TBE17 SRB17:SRI17 SHF17:SHM17 RXJ17:RXQ17 RNN17:RNU17 RDR17:RDY17 QTV17:QUC17 QJZ17:QKG17 QAD17:QAK17 PQH17:PQO17 PGL17:PGS17 OWP17:OWW17 OMT17:ONA17 OCX17:ODE17 NTB17:NTI17 NJF17:NJM17 MZJ17:MZQ17 MPN17:MPU17 MFR17:MFY17 LVV17:LWC17 LLZ17:LMG17 LCD17:LCK17 KSH17:KSO17 KIL17:KIS17 JYP17:JYW17 JOT17:JPA17 JEX17:JFE17 IVB17:IVI17 ILF17:ILM17 IBJ17:IBQ17 HRN17:HRU17 HHR17:HHY17 GXV17:GYC17 GNZ17:GOG17 GED17:GEK17 FUH17:FUO17 FKL17:FKS17 FAP17:FAW17 EQT17:ERA17 EGX17:EHE17 DXB17:DXI17 DNF17:DNM17 DDJ17:DDQ17 CTN17:CTU17 CJR17:CJY17 BZV17:CAC17 BPZ17:BQG17 BGD17:BGK17 AWH17:AWO17 AML17:AMS17 ACP17:ACW17 ST17:TA17 IX17:JE17 B17:I17">
      <formula1>$K$122:$K$127</formula1>
    </dataValidation>
    <dataValidation type="list" allowBlank="1" showInputMessage="1" showErrorMessage="1" error="Please Select fromt he drop-down list." promptTitle="Data Type" prompt="Please select DateTime, Number or Text from the drop-down list." sqref="C65659:C65871 IY65659:IY65871 SU65659:SU65871 ACQ65659:ACQ65871 AMM65659:AMM65871 AWI65659:AWI65871 BGE65659:BGE65871 BQA65659:BQA65871 BZW65659:BZW65871 CJS65659:CJS65871 CTO65659:CTO65871 DDK65659:DDK65871 DNG65659:DNG65871 DXC65659:DXC65871 EGY65659:EGY65871 EQU65659:EQU65871 FAQ65659:FAQ65871 FKM65659:FKM65871 FUI65659:FUI65871 GEE65659:GEE65871 GOA65659:GOA65871 GXW65659:GXW65871 HHS65659:HHS65871 HRO65659:HRO65871 IBK65659:IBK65871 ILG65659:ILG65871 IVC65659:IVC65871 JEY65659:JEY65871 JOU65659:JOU65871 JYQ65659:JYQ65871 KIM65659:KIM65871 KSI65659:KSI65871 LCE65659:LCE65871 LMA65659:LMA65871 LVW65659:LVW65871 MFS65659:MFS65871 MPO65659:MPO65871 MZK65659:MZK65871 NJG65659:NJG65871 NTC65659:NTC65871 OCY65659:OCY65871 OMU65659:OMU65871 OWQ65659:OWQ65871 PGM65659:PGM65871 PQI65659:PQI65871 QAE65659:QAE65871 QKA65659:QKA65871 QTW65659:QTW65871 RDS65659:RDS65871 RNO65659:RNO65871 RXK65659:RXK65871 SHG65659:SHG65871 SRC65659:SRC65871 TAY65659:TAY65871 TKU65659:TKU65871 TUQ65659:TUQ65871 UEM65659:UEM65871 UOI65659:UOI65871 UYE65659:UYE65871 VIA65659:VIA65871 VRW65659:VRW65871 WBS65659:WBS65871 WLO65659:WLO65871 WVK65659:WVK65871 C131195:C131407 IY131195:IY131407 SU131195:SU131407 ACQ131195:ACQ131407 AMM131195:AMM131407 AWI131195:AWI131407 BGE131195:BGE131407 BQA131195:BQA131407 BZW131195:BZW131407 CJS131195:CJS131407 CTO131195:CTO131407 DDK131195:DDK131407 DNG131195:DNG131407 DXC131195:DXC131407 EGY131195:EGY131407 EQU131195:EQU131407 FAQ131195:FAQ131407 FKM131195:FKM131407 FUI131195:FUI131407 GEE131195:GEE131407 GOA131195:GOA131407 GXW131195:GXW131407 HHS131195:HHS131407 HRO131195:HRO131407 IBK131195:IBK131407 ILG131195:ILG131407 IVC131195:IVC131407 JEY131195:JEY131407 JOU131195:JOU131407 JYQ131195:JYQ131407 KIM131195:KIM131407 KSI131195:KSI131407 LCE131195:LCE131407 LMA131195:LMA131407 LVW131195:LVW131407 MFS131195:MFS131407 MPO131195:MPO131407 MZK131195:MZK131407 NJG131195:NJG131407 NTC131195:NTC131407 OCY131195:OCY131407 OMU131195:OMU131407 OWQ131195:OWQ131407 PGM131195:PGM131407 PQI131195:PQI131407 QAE131195:QAE131407 QKA131195:QKA131407 QTW131195:QTW131407 RDS131195:RDS131407 RNO131195:RNO131407 RXK131195:RXK131407 SHG131195:SHG131407 SRC131195:SRC131407 TAY131195:TAY131407 TKU131195:TKU131407 TUQ131195:TUQ131407 UEM131195:UEM131407 UOI131195:UOI131407 UYE131195:UYE131407 VIA131195:VIA131407 VRW131195:VRW131407 WBS131195:WBS131407 WLO131195:WLO131407 WVK131195:WVK131407 C196731:C196943 IY196731:IY196943 SU196731:SU196943 ACQ196731:ACQ196943 AMM196731:AMM196943 AWI196731:AWI196943 BGE196731:BGE196943 BQA196731:BQA196943 BZW196731:BZW196943 CJS196731:CJS196943 CTO196731:CTO196943 DDK196731:DDK196943 DNG196731:DNG196943 DXC196731:DXC196943 EGY196731:EGY196943 EQU196731:EQU196943 FAQ196731:FAQ196943 FKM196731:FKM196943 FUI196731:FUI196943 GEE196731:GEE196943 GOA196731:GOA196943 GXW196731:GXW196943 HHS196731:HHS196943 HRO196731:HRO196943 IBK196731:IBK196943 ILG196731:ILG196943 IVC196731:IVC196943 JEY196731:JEY196943 JOU196731:JOU196943 JYQ196731:JYQ196943 KIM196731:KIM196943 KSI196731:KSI196943 LCE196731:LCE196943 LMA196731:LMA196943 LVW196731:LVW196943 MFS196731:MFS196943 MPO196731:MPO196943 MZK196731:MZK196943 NJG196731:NJG196943 NTC196731:NTC196943 OCY196731:OCY196943 OMU196731:OMU196943 OWQ196731:OWQ196943 PGM196731:PGM196943 PQI196731:PQI196943 QAE196731:QAE196943 QKA196731:QKA196943 QTW196731:QTW196943 RDS196731:RDS196943 RNO196731:RNO196943 RXK196731:RXK196943 SHG196731:SHG196943 SRC196731:SRC196943 TAY196731:TAY196943 TKU196731:TKU196943 TUQ196731:TUQ196943 UEM196731:UEM196943 UOI196731:UOI196943 UYE196731:UYE196943 VIA196731:VIA196943 VRW196731:VRW196943 WBS196731:WBS196943 WLO196731:WLO196943 WVK196731:WVK196943 C262267:C262479 IY262267:IY262479 SU262267:SU262479 ACQ262267:ACQ262479 AMM262267:AMM262479 AWI262267:AWI262479 BGE262267:BGE262479 BQA262267:BQA262479 BZW262267:BZW262479 CJS262267:CJS262479 CTO262267:CTO262479 DDK262267:DDK262479 DNG262267:DNG262479 DXC262267:DXC262479 EGY262267:EGY262479 EQU262267:EQU262479 FAQ262267:FAQ262479 FKM262267:FKM262479 FUI262267:FUI262479 GEE262267:GEE262479 GOA262267:GOA262479 GXW262267:GXW262479 HHS262267:HHS262479 HRO262267:HRO262479 IBK262267:IBK262479 ILG262267:ILG262479 IVC262267:IVC262479 JEY262267:JEY262479 JOU262267:JOU262479 JYQ262267:JYQ262479 KIM262267:KIM262479 KSI262267:KSI262479 LCE262267:LCE262479 LMA262267:LMA262479 LVW262267:LVW262479 MFS262267:MFS262479 MPO262267:MPO262479 MZK262267:MZK262479 NJG262267:NJG262479 NTC262267:NTC262479 OCY262267:OCY262479 OMU262267:OMU262479 OWQ262267:OWQ262479 PGM262267:PGM262479 PQI262267:PQI262479 QAE262267:QAE262479 QKA262267:QKA262479 QTW262267:QTW262479 RDS262267:RDS262479 RNO262267:RNO262479 RXK262267:RXK262479 SHG262267:SHG262479 SRC262267:SRC262479 TAY262267:TAY262479 TKU262267:TKU262479 TUQ262267:TUQ262479 UEM262267:UEM262479 UOI262267:UOI262479 UYE262267:UYE262479 VIA262267:VIA262479 VRW262267:VRW262479 WBS262267:WBS262479 WLO262267:WLO262479 WVK262267:WVK262479 C327803:C328015 IY327803:IY328015 SU327803:SU328015 ACQ327803:ACQ328015 AMM327803:AMM328015 AWI327803:AWI328015 BGE327803:BGE328015 BQA327803:BQA328015 BZW327803:BZW328015 CJS327803:CJS328015 CTO327803:CTO328015 DDK327803:DDK328015 DNG327803:DNG328015 DXC327803:DXC328015 EGY327803:EGY328015 EQU327803:EQU328015 FAQ327803:FAQ328015 FKM327803:FKM328015 FUI327803:FUI328015 GEE327803:GEE328015 GOA327803:GOA328015 GXW327803:GXW328015 HHS327803:HHS328015 HRO327803:HRO328015 IBK327803:IBK328015 ILG327803:ILG328015 IVC327803:IVC328015 JEY327803:JEY328015 JOU327803:JOU328015 JYQ327803:JYQ328015 KIM327803:KIM328015 KSI327803:KSI328015 LCE327803:LCE328015 LMA327803:LMA328015 LVW327803:LVW328015 MFS327803:MFS328015 MPO327803:MPO328015 MZK327803:MZK328015 NJG327803:NJG328015 NTC327803:NTC328015 OCY327803:OCY328015 OMU327803:OMU328015 OWQ327803:OWQ328015 PGM327803:PGM328015 PQI327803:PQI328015 QAE327803:QAE328015 QKA327803:QKA328015 QTW327803:QTW328015 RDS327803:RDS328015 RNO327803:RNO328015 RXK327803:RXK328015 SHG327803:SHG328015 SRC327803:SRC328015 TAY327803:TAY328015 TKU327803:TKU328015 TUQ327803:TUQ328015 UEM327803:UEM328015 UOI327803:UOI328015 UYE327803:UYE328015 VIA327803:VIA328015 VRW327803:VRW328015 WBS327803:WBS328015 WLO327803:WLO328015 WVK327803:WVK328015 C393339:C393551 IY393339:IY393551 SU393339:SU393551 ACQ393339:ACQ393551 AMM393339:AMM393551 AWI393339:AWI393551 BGE393339:BGE393551 BQA393339:BQA393551 BZW393339:BZW393551 CJS393339:CJS393551 CTO393339:CTO393551 DDK393339:DDK393551 DNG393339:DNG393551 DXC393339:DXC393551 EGY393339:EGY393551 EQU393339:EQU393551 FAQ393339:FAQ393551 FKM393339:FKM393551 FUI393339:FUI393551 GEE393339:GEE393551 GOA393339:GOA393551 GXW393339:GXW393551 HHS393339:HHS393551 HRO393339:HRO393551 IBK393339:IBK393551 ILG393339:ILG393551 IVC393339:IVC393551 JEY393339:JEY393551 JOU393339:JOU393551 JYQ393339:JYQ393551 KIM393339:KIM393551 KSI393339:KSI393551 LCE393339:LCE393551 LMA393339:LMA393551 LVW393339:LVW393551 MFS393339:MFS393551 MPO393339:MPO393551 MZK393339:MZK393551 NJG393339:NJG393551 NTC393339:NTC393551 OCY393339:OCY393551 OMU393339:OMU393551 OWQ393339:OWQ393551 PGM393339:PGM393551 PQI393339:PQI393551 QAE393339:QAE393551 QKA393339:QKA393551 QTW393339:QTW393551 RDS393339:RDS393551 RNO393339:RNO393551 RXK393339:RXK393551 SHG393339:SHG393551 SRC393339:SRC393551 TAY393339:TAY393551 TKU393339:TKU393551 TUQ393339:TUQ393551 UEM393339:UEM393551 UOI393339:UOI393551 UYE393339:UYE393551 VIA393339:VIA393551 VRW393339:VRW393551 WBS393339:WBS393551 WLO393339:WLO393551 WVK393339:WVK393551 C458875:C459087 IY458875:IY459087 SU458875:SU459087 ACQ458875:ACQ459087 AMM458875:AMM459087 AWI458875:AWI459087 BGE458875:BGE459087 BQA458875:BQA459087 BZW458875:BZW459087 CJS458875:CJS459087 CTO458875:CTO459087 DDK458875:DDK459087 DNG458875:DNG459087 DXC458875:DXC459087 EGY458875:EGY459087 EQU458875:EQU459087 FAQ458875:FAQ459087 FKM458875:FKM459087 FUI458875:FUI459087 GEE458875:GEE459087 GOA458875:GOA459087 GXW458875:GXW459087 HHS458875:HHS459087 HRO458875:HRO459087 IBK458875:IBK459087 ILG458875:ILG459087 IVC458875:IVC459087 JEY458875:JEY459087 JOU458875:JOU459087 JYQ458875:JYQ459087 KIM458875:KIM459087 KSI458875:KSI459087 LCE458875:LCE459087 LMA458875:LMA459087 LVW458875:LVW459087 MFS458875:MFS459087 MPO458875:MPO459087 MZK458875:MZK459087 NJG458875:NJG459087 NTC458875:NTC459087 OCY458875:OCY459087 OMU458875:OMU459087 OWQ458875:OWQ459087 PGM458875:PGM459087 PQI458875:PQI459087 QAE458875:QAE459087 QKA458875:QKA459087 QTW458875:QTW459087 RDS458875:RDS459087 RNO458875:RNO459087 RXK458875:RXK459087 SHG458875:SHG459087 SRC458875:SRC459087 TAY458875:TAY459087 TKU458875:TKU459087 TUQ458875:TUQ459087 UEM458875:UEM459087 UOI458875:UOI459087 UYE458875:UYE459087 VIA458875:VIA459087 VRW458875:VRW459087 WBS458875:WBS459087 WLO458875:WLO459087 WVK458875:WVK459087 C524411:C524623 IY524411:IY524623 SU524411:SU524623 ACQ524411:ACQ524623 AMM524411:AMM524623 AWI524411:AWI524623 BGE524411:BGE524623 BQA524411:BQA524623 BZW524411:BZW524623 CJS524411:CJS524623 CTO524411:CTO524623 DDK524411:DDK524623 DNG524411:DNG524623 DXC524411:DXC524623 EGY524411:EGY524623 EQU524411:EQU524623 FAQ524411:FAQ524623 FKM524411:FKM524623 FUI524411:FUI524623 GEE524411:GEE524623 GOA524411:GOA524623 GXW524411:GXW524623 HHS524411:HHS524623 HRO524411:HRO524623 IBK524411:IBK524623 ILG524411:ILG524623 IVC524411:IVC524623 JEY524411:JEY524623 JOU524411:JOU524623 JYQ524411:JYQ524623 KIM524411:KIM524623 KSI524411:KSI524623 LCE524411:LCE524623 LMA524411:LMA524623 LVW524411:LVW524623 MFS524411:MFS524623 MPO524411:MPO524623 MZK524411:MZK524623 NJG524411:NJG524623 NTC524411:NTC524623 OCY524411:OCY524623 OMU524411:OMU524623 OWQ524411:OWQ524623 PGM524411:PGM524623 PQI524411:PQI524623 QAE524411:QAE524623 QKA524411:QKA524623 QTW524411:QTW524623 RDS524411:RDS524623 RNO524411:RNO524623 RXK524411:RXK524623 SHG524411:SHG524623 SRC524411:SRC524623 TAY524411:TAY524623 TKU524411:TKU524623 TUQ524411:TUQ524623 UEM524411:UEM524623 UOI524411:UOI524623 UYE524411:UYE524623 VIA524411:VIA524623 VRW524411:VRW524623 WBS524411:WBS524623 WLO524411:WLO524623 WVK524411:WVK524623 C589947:C590159 IY589947:IY590159 SU589947:SU590159 ACQ589947:ACQ590159 AMM589947:AMM590159 AWI589947:AWI590159 BGE589947:BGE590159 BQA589947:BQA590159 BZW589947:BZW590159 CJS589947:CJS590159 CTO589947:CTO590159 DDK589947:DDK590159 DNG589947:DNG590159 DXC589947:DXC590159 EGY589947:EGY590159 EQU589947:EQU590159 FAQ589947:FAQ590159 FKM589947:FKM590159 FUI589947:FUI590159 GEE589947:GEE590159 GOA589947:GOA590159 GXW589947:GXW590159 HHS589947:HHS590159 HRO589947:HRO590159 IBK589947:IBK590159 ILG589947:ILG590159 IVC589947:IVC590159 JEY589947:JEY590159 JOU589947:JOU590159 JYQ589947:JYQ590159 KIM589947:KIM590159 KSI589947:KSI590159 LCE589947:LCE590159 LMA589947:LMA590159 LVW589947:LVW590159 MFS589947:MFS590159 MPO589947:MPO590159 MZK589947:MZK590159 NJG589947:NJG590159 NTC589947:NTC590159 OCY589947:OCY590159 OMU589947:OMU590159 OWQ589947:OWQ590159 PGM589947:PGM590159 PQI589947:PQI590159 QAE589947:QAE590159 QKA589947:QKA590159 QTW589947:QTW590159 RDS589947:RDS590159 RNO589947:RNO590159 RXK589947:RXK590159 SHG589947:SHG590159 SRC589947:SRC590159 TAY589947:TAY590159 TKU589947:TKU590159 TUQ589947:TUQ590159 UEM589947:UEM590159 UOI589947:UOI590159 UYE589947:UYE590159 VIA589947:VIA590159 VRW589947:VRW590159 WBS589947:WBS590159 WLO589947:WLO590159 WVK589947:WVK590159 C655483:C655695 IY655483:IY655695 SU655483:SU655695 ACQ655483:ACQ655695 AMM655483:AMM655695 AWI655483:AWI655695 BGE655483:BGE655695 BQA655483:BQA655695 BZW655483:BZW655695 CJS655483:CJS655695 CTO655483:CTO655695 DDK655483:DDK655695 DNG655483:DNG655695 DXC655483:DXC655695 EGY655483:EGY655695 EQU655483:EQU655695 FAQ655483:FAQ655695 FKM655483:FKM655695 FUI655483:FUI655695 GEE655483:GEE655695 GOA655483:GOA655695 GXW655483:GXW655695 HHS655483:HHS655695 HRO655483:HRO655695 IBK655483:IBK655695 ILG655483:ILG655695 IVC655483:IVC655695 JEY655483:JEY655695 JOU655483:JOU655695 JYQ655483:JYQ655695 KIM655483:KIM655695 KSI655483:KSI655695 LCE655483:LCE655695 LMA655483:LMA655695 LVW655483:LVW655695 MFS655483:MFS655695 MPO655483:MPO655695 MZK655483:MZK655695 NJG655483:NJG655695 NTC655483:NTC655695 OCY655483:OCY655695 OMU655483:OMU655695 OWQ655483:OWQ655695 PGM655483:PGM655695 PQI655483:PQI655695 QAE655483:QAE655695 QKA655483:QKA655695 QTW655483:QTW655695 RDS655483:RDS655695 RNO655483:RNO655695 RXK655483:RXK655695 SHG655483:SHG655695 SRC655483:SRC655695 TAY655483:TAY655695 TKU655483:TKU655695 TUQ655483:TUQ655695 UEM655483:UEM655695 UOI655483:UOI655695 UYE655483:UYE655695 VIA655483:VIA655695 VRW655483:VRW655695 WBS655483:WBS655695 WLO655483:WLO655695 WVK655483:WVK655695 C721019:C721231 IY721019:IY721231 SU721019:SU721231 ACQ721019:ACQ721231 AMM721019:AMM721231 AWI721019:AWI721231 BGE721019:BGE721231 BQA721019:BQA721231 BZW721019:BZW721231 CJS721019:CJS721231 CTO721019:CTO721231 DDK721019:DDK721231 DNG721019:DNG721231 DXC721019:DXC721231 EGY721019:EGY721231 EQU721019:EQU721231 FAQ721019:FAQ721231 FKM721019:FKM721231 FUI721019:FUI721231 GEE721019:GEE721231 GOA721019:GOA721231 GXW721019:GXW721231 HHS721019:HHS721231 HRO721019:HRO721231 IBK721019:IBK721231 ILG721019:ILG721231 IVC721019:IVC721231 JEY721019:JEY721231 JOU721019:JOU721231 JYQ721019:JYQ721231 KIM721019:KIM721231 KSI721019:KSI721231 LCE721019:LCE721231 LMA721019:LMA721231 LVW721019:LVW721231 MFS721019:MFS721231 MPO721019:MPO721231 MZK721019:MZK721231 NJG721019:NJG721231 NTC721019:NTC721231 OCY721019:OCY721231 OMU721019:OMU721231 OWQ721019:OWQ721231 PGM721019:PGM721231 PQI721019:PQI721231 QAE721019:QAE721231 QKA721019:QKA721231 QTW721019:QTW721231 RDS721019:RDS721231 RNO721019:RNO721231 RXK721019:RXK721231 SHG721019:SHG721231 SRC721019:SRC721231 TAY721019:TAY721231 TKU721019:TKU721231 TUQ721019:TUQ721231 UEM721019:UEM721231 UOI721019:UOI721231 UYE721019:UYE721231 VIA721019:VIA721231 VRW721019:VRW721231 WBS721019:WBS721231 WLO721019:WLO721231 WVK721019:WVK721231 C786555:C786767 IY786555:IY786767 SU786555:SU786767 ACQ786555:ACQ786767 AMM786555:AMM786767 AWI786555:AWI786767 BGE786555:BGE786767 BQA786555:BQA786767 BZW786555:BZW786767 CJS786555:CJS786767 CTO786555:CTO786767 DDK786555:DDK786767 DNG786555:DNG786767 DXC786555:DXC786767 EGY786555:EGY786767 EQU786555:EQU786767 FAQ786555:FAQ786767 FKM786555:FKM786767 FUI786555:FUI786767 GEE786555:GEE786767 GOA786555:GOA786767 GXW786555:GXW786767 HHS786555:HHS786767 HRO786555:HRO786767 IBK786555:IBK786767 ILG786555:ILG786767 IVC786555:IVC786767 JEY786555:JEY786767 JOU786555:JOU786767 JYQ786555:JYQ786767 KIM786555:KIM786767 KSI786555:KSI786767 LCE786555:LCE786767 LMA786555:LMA786767 LVW786555:LVW786767 MFS786555:MFS786767 MPO786555:MPO786767 MZK786555:MZK786767 NJG786555:NJG786767 NTC786555:NTC786767 OCY786555:OCY786767 OMU786555:OMU786767 OWQ786555:OWQ786767 PGM786555:PGM786767 PQI786555:PQI786767 QAE786555:QAE786767 QKA786555:QKA786767 QTW786555:QTW786767 RDS786555:RDS786767 RNO786555:RNO786767 RXK786555:RXK786767 SHG786555:SHG786767 SRC786555:SRC786767 TAY786555:TAY786767 TKU786555:TKU786767 TUQ786555:TUQ786767 UEM786555:UEM786767 UOI786555:UOI786767 UYE786555:UYE786767 VIA786555:VIA786767 VRW786555:VRW786767 WBS786555:WBS786767 WLO786555:WLO786767 WVK786555:WVK786767 C852091:C852303 IY852091:IY852303 SU852091:SU852303 ACQ852091:ACQ852303 AMM852091:AMM852303 AWI852091:AWI852303 BGE852091:BGE852303 BQA852091:BQA852303 BZW852091:BZW852303 CJS852091:CJS852303 CTO852091:CTO852303 DDK852091:DDK852303 DNG852091:DNG852303 DXC852091:DXC852303 EGY852091:EGY852303 EQU852091:EQU852303 FAQ852091:FAQ852303 FKM852091:FKM852303 FUI852091:FUI852303 GEE852091:GEE852303 GOA852091:GOA852303 GXW852091:GXW852303 HHS852091:HHS852303 HRO852091:HRO852303 IBK852091:IBK852303 ILG852091:ILG852303 IVC852091:IVC852303 JEY852091:JEY852303 JOU852091:JOU852303 JYQ852091:JYQ852303 KIM852091:KIM852303 KSI852091:KSI852303 LCE852091:LCE852303 LMA852091:LMA852303 LVW852091:LVW852303 MFS852091:MFS852303 MPO852091:MPO852303 MZK852091:MZK852303 NJG852091:NJG852303 NTC852091:NTC852303 OCY852091:OCY852303 OMU852091:OMU852303 OWQ852091:OWQ852303 PGM852091:PGM852303 PQI852091:PQI852303 QAE852091:QAE852303 QKA852091:QKA852303 QTW852091:QTW852303 RDS852091:RDS852303 RNO852091:RNO852303 RXK852091:RXK852303 SHG852091:SHG852303 SRC852091:SRC852303 TAY852091:TAY852303 TKU852091:TKU852303 TUQ852091:TUQ852303 UEM852091:UEM852303 UOI852091:UOI852303 UYE852091:UYE852303 VIA852091:VIA852303 VRW852091:VRW852303 WBS852091:WBS852303 WLO852091:WLO852303 WVK852091:WVK852303 C917627:C917839 IY917627:IY917839 SU917627:SU917839 ACQ917627:ACQ917839 AMM917627:AMM917839 AWI917627:AWI917839 BGE917627:BGE917839 BQA917627:BQA917839 BZW917627:BZW917839 CJS917627:CJS917839 CTO917627:CTO917839 DDK917627:DDK917839 DNG917627:DNG917839 DXC917627:DXC917839 EGY917627:EGY917839 EQU917627:EQU917839 FAQ917627:FAQ917839 FKM917627:FKM917839 FUI917627:FUI917839 GEE917627:GEE917839 GOA917627:GOA917839 GXW917627:GXW917839 HHS917627:HHS917839 HRO917627:HRO917839 IBK917627:IBK917839 ILG917627:ILG917839 IVC917627:IVC917839 JEY917627:JEY917839 JOU917627:JOU917839 JYQ917627:JYQ917839 KIM917627:KIM917839 KSI917627:KSI917839 LCE917627:LCE917839 LMA917627:LMA917839 LVW917627:LVW917839 MFS917627:MFS917839 MPO917627:MPO917839 MZK917627:MZK917839 NJG917627:NJG917839 NTC917627:NTC917839 OCY917627:OCY917839 OMU917627:OMU917839 OWQ917627:OWQ917839 PGM917627:PGM917839 PQI917627:PQI917839 QAE917627:QAE917839 QKA917627:QKA917839 QTW917627:QTW917839 RDS917627:RDS917839 RNO917627:RNO917839 RXK917627:RXK917839 SHG917627:SHG917839 SRC917627:SRC917839 TAY917627:TAY917839 TKU917627:TKU917839 TUQ917627:TUQ917839 UEM917627:UEM917839 UOI917627:UOI917839 UYE917627:UYE917839 VIA917627:VIA917839 VRW917627:VRW917839 WBS917627:WBS917839 WLO917627:WLO917839 WVK917627:WVK917839 C983163:C983375 IY983163:IY983375 SU983163:SU983375 ACQ983163:ACQ983375 AMM983163:AMM983375 AWI983163:AWI983375 BGE983163:BGE983375 BQA983163:BQA983375 BZW983163:BZW983375 CJS983163:CJS983375 CTO983163:CTO983375 DDK983163:DDK983375 DNG983163:DNG983375 DXC983163:DXC983375 EGY983163:EGY983375 EQU983163:EQU983375 FAQ983163:FAQ983375 FKM983163:FKM983375 FUI983163:FUI983375 GEE983163:GEE983375 GOA983163:GOA983375 GXW983163:GXW983375 HHS983163:HHS983375 HRO983163:HRO983375 IBK983163:IBK983375 ILG983163:ILG983375 IVC983163:IVC983375 JEY983163:JEY983375 JOU983163:JOU983375 JYQ983163:JYQ983375 KIM983163:KIM983375 KSI983163:KSI983375 LCE983163:LCE983375 LMA983163:LMA983375 LVW983163:LVW983375 MFS983163:MFS983375 MPO983163:MPO983375 MZK983163:MZK983375 NJG983163:NJG983375 NTC983163:NTC983375 OCY983163:OCY983375 OMU983163:OMU983375 OWQ983163:OWQ983375 PGM983163:PGM983375 PQI983163:PQI983375 QAE983163:QAE983375 QKA983163:QKA983375 QTW983163:QTW983375 RDS983163:RDS983375 RNO983163:RNO983375 RXK983163:RXK983375 SHG983163:SHG983375 SRC983163:SRC983375 TAY983163:TAY983375 TKU983163:TKU983375 TUQ983163:TUQ983375 UEM983163:UEM983375 UOI983163:UOI983375 UYE983163:UYE983375 VIA983163:VIA983375 VRW983163:VRW983375 WBS983163:WBS983375 WLO983163:WLO983375 WVK983163:WVK983375 WVK122:WVK335 WLO122:WLO335 WBS122:WBS335 VRW122:VRW335 VIA122:VIA335 UYE122:UYE335 UOI122:UOI335 UEM122:UEM335 TUQ122:TUQ335 TKU122:TKU335 TAY122:TAY335 SRC122:SRC335 SHG122:SHG335 RXK122:RXK335 RNO122:RNO335 RDS122:RDS335 QTW122:QTW335 QKA122:QKA335 QAE122:QAE335 PQI122:PQI335 PGM122:PGM335 OWQ122:OWQ335 OMU122:OMU335 OCY122:OCY335 NTC122:NTC335 NJG122:NJG335 MZK122:MZK335 MPO122:MPO335 MFS122:MFS335 LVW122:LVW335 LMA122:LMA335 LCE122:LCE335 KSI122:KSI335 KIM122:KIM335 JYQ122:JYQ335 JOU122:JOU335 JEY122:JEY335 IVC122:IVC335 ILG122:ILG335 IBK122:IBK335 HRO122:HRO335 HHS122:HHS335 GXW122:GXW335 GOA122:GOA335 GEE122:GEE335 FUI122:FUI335 FKM122:FKM335 FAQ122:FAQ335 EQU122:EQU335 EGY122:EGY335 DXC122:DXC335 DNG122:DNG335 DDK122:DDK335 CTO122:CTO335 CJS122:CJS335 BZW122:BZW335 BQA122:BQA335 BGE122:BGE335 AWI122:AWI335 AMM122:AMM335 ACQ122:ACQ335 SU122:SU335 IY122:IY335 C122:C335">
      <formula1>$M$123:$M$125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E152"/>
  <sheetViews>
    <sheetView workbookViewId="0"/>
  </sheetViews>
  <sheetFormatPr defaultRowHeight="15" x14ac:dyDescent="0.25"/>
  <cols>
    <col min="3" max="3" width="11.28515625" style="76" customWidth="1"/>
    <col min="6" max="6" width="9.140625" style="76"/>
    <col min="9" max="9" width="9.140625" style="96"/>
  </cols>
  <sheetData>
    <row r="1" spans="1:31" s="79" customFormat="1" ht="63.75" x14ac:dyDescent="0.25">
      <c r="A1" s="73" t="s">
        <v>146</v>
      </c>
      <c r="B1" s="73" t="s">
        <v>151</v>
      </c>
      <c r="C1" s="73" t="s">
        <v>155</v>
      </c>
      <c r="D1" s="73" t="s">
        <v>0</v>
      </c>
      <c r="E1" s="73" t="s">
        <v>1</v>
      </c>
      <c r="F1" s="73" t="s">
        <v>3</v>
      </c>
      <c r="G1" s="73" t="s">
        <v>2</v>
      </c>
      <c r="H1" s="73" t="s">
        <v>4</v>
      </c>
      <c r="I1" s="95" t="s">
        <v>5</v>
      </c>
      <c r="J1" s="73" t="s">
        <v>6</v>
      </c>
      <c r="K1" s="73" t="s">
        <v>430</v>
      </c>
      <c r="L1" s="73" t="s">
        <v>7</v>
      </c>
      <c r="M1" s="73" t="s">
        <v>429</v>
      </c>
      <c r="N1" s="73" t="s">
        <v>8</v>
      </c>
      <c r="O1" s="73" t="s">
        <v>428</v>
      </c>
      <c r="P1" s="73" t="s">
        <v>427</v>
      </c>
      <c r="Q1" s="73" t="s">
        <v>391</v>
      </c>
      <c r="R1" s="73" t="s">
        <v>426</v>
      </c>
      <c r="S1" s="73" t="s">
        <v>392</v>
      </c>
      <c r="T1" s="73" t="s">
        <v>425</v>
      </c>
      <c r="U1" s="73" t="s">
        <v>424</v>
      </c>
      <c r="V1" s="73" t="s">
        <v>9</v>
      </c>
      <c r="W1" s="73" t="s">
        <v>423</v>
      </c>
      <c r="X1" s="73" t="s">
        <v>10</v>
      </c>
      <c r="Y1" s="73" t="s">
        <v>422</v>
      </c>
      <c r="Z1" s="73" t="s">
        <v>421</v>
      </c>
      <c r="AA1" s="73" t="s">
        <v>420</v>
      </c>
      <c r="AB1" s="73" t="s">
        <v>1704</v>
      </c>
      <c r="AC1" s="73" t="s">
        <v>419</v>
      </c>
      <c r="AD1" s="73" t="s">
        <v>418</v>
      </c>
      <c r="AE1" s="73" t="s">
        <v>417</v>
      </c>
    </row>
    <row r="2" spans="1:31" x14ac:dyDescent="0.25">
      <c r="A2" s="76">
        <v>2011</v>
      </c>
      <c r="B2" s="76" t="s">
        <v>380</v>
      </c>
      <c r="C2" s="76" t="s">
        <v>381</v>
      </c>
      <c r="D2">
        <v>104</v>
      </c>
      <c r="E2">
        <v>2</v>
      </c>
      <c r="F2" s="76" t="s">
        <v>35</v>
      </c>
      <c r="G2">
        <v>1</v>
      </c>
      <c r="H2">
        <v>0</v>
      </c>
      <c r="I2" s="96" t="s">
        <v>11</v>
      </c>
      <c r="J2">
        <v>5.5</v>
      </c>
      <c r="K2" s="77">
        <v>17.843948166528811</v>
      </c>
      <c r="L2" s="77">
        <v>44.646999999999998</v>
      </c>
      <c r="M2" s="77">
        <v>7.9667875379101183</v>
      </c>
      <c r="N2" s="77">
        <v>0.60099999999999998</v>
      </c>
      <c r="O2" s="77">
        <v>0.10724212848083815</v>
      </c>
      <c r="P2" s="77">
        <v>7.5341114480899432</v>
      </c>
      <c r="Q2" s="77">
        <v>47.259</v>
      </c>
      <c r="R2" s="77">
        <v>3.5605457292528264</v>
      </c>
      <c r="S2" s="77">
        <v>1.0780000000000001</v>
      </c>
      <c r="T2" s="77">
        <v>8.1217721410409602E-2</v>
      </c>
      <c r="U2" s="78">
        <v>0</v>
      </c>
      <c r="V2" s="78">
        <v>0</v>
      </c>
      <c r="W2" s="78">
        <v>0</v>
      </c>
      <c r="X2" s="78">
        <v>0</v>
      </c>
      <c r="Y2" s="78">
        <v>0</v>
      </c>
      <c r="Z2" s="77">
        <v>25.378059614618756</v>
      </c>
      <c r="AA2" s="77">
        <v>11.527333267162945</v>
      </c>
      <c r="AB2" s="77">
        <v>0.18845984989124775</v>
      </c>
      <c r="AC2" s="77">
        <f>SUM(U2,Z2)</f>
        <v>25.378059614618756</v>
      </c>
      <c r="AD2" s="77">
        <f t="shared" ref="AD2:AE2" si="0">SUM(V2,AA2)</f>
        <v>11.527333267162945</v>
      </c>
      <c r="AE2" s="77">
        <f t="shared" si="0"/>
        <v>0.18845984989124775</v>
      </c>
    </row>
    <row r="3" spans="1:31" x14ac:dyDescent="0.25">
      <c r="A3" s="76">
        <v>2011</v>
      </c>
      <c r="B3" s="76" t="s">
        <v>380</v>
      </c>
      <c r="C3" s="76" t="s">
        <v>381</v>
      </c>
      <c r="D3">
        <v>104</v>
      </c>
      <c r="E3">
        <v>2</v>
      </c>
      <c r="F3" s="76" t="s">
        <v>35</v>
      </c>
      <c r="G3">
        <v>1</v>
      </c>
      <c r="H3">
        <v>0</v>
      </c>
      <c r="I3" s="96" t="s">
        <v>12</v>
      </c>
      <c r="J3">
        <v>11</v>
      </c>
      <c r="K3" s="77">
        <v>451.60508083140883</v>
      </c>
      <c r="L3" s="77">
        <v>45.728999999999999</v>
      </c>
      <c r="M3" s="77">
        <v>206.51448741339493</v>
      </c>
      <c r="N3" s="77">
        <v>0.57699999999999996</v>
      </c>
      <c r="O3" s="77">
        <v>2.6057613163972291</v>
      </c>
      <c r="P3" s="77">
        <v>15.256928406466514</v>
      </c>
      <c r="Q3" s="77">
        <v>48.408999999999999</v>
      </c>
      <c r="R3" s="77">
        <v>7.3857264722863745</v>
      </c>
      <c r="S3" s="77">
        <v>0.79700000000000004</v>
      </c>
      <c r="T3" s="77">
        <v>0.12159771939953812</v>
      </c>
      <c r="U3" s="78">
        <v>0</v>
      </c>
      <c r="V3" s="78">
        <v>0</v>
      </c>
      <c r="W3" s="78">
        <v>0</v>
      </c>
      <c r="X3" s="78">
        <v>0</v>
      </c>
      <c r="Y3" s="78">
        <v>0</v>
      </c>
      <c r="Z3" s="77">
        <v>466.86200923787533</v>
      </c>
      <c r="AA3" s="77">
        <v>213.9002138856813</v>
      </c>
      <c r="AB3" s="77">
        <v>2.7273590357967672</v>
      </c>
      <c r="AC3" s="77">
        <f t="shared" ref="AC3:AC66" si="1">SUM(U3,Z3)</f>
        <v>466.86200923787533</v>
      </c>
      <c r="AD3" s="77">
        <f t="shared" ref="AD3:AD66" si="2">SUM(V3,AA3)</f>
        <v>213.9002138856813</v>
      </c>
      <c r="AE3" s="77">
        <f t="shared" ref="AE3:AE66" si="3">SUM(W3,AB3)</f>
        <v>2.7273590357967672</v>
      </c>
    </row>
    <row r="4" spans="1:31" x14ac:dyDescent="0.25">
      <c r="A4" s="76">
        <v>2011</v>
      </c>
      <c r="B4" s="76" t="s">
        <v>380</v>
      </c>
      <c r="C4" s="76" t="s">
        <v>381</v>
      </c>
      <c r="D4">
        <v>104</v>
      </c>
      <c r="E4">
        <v>4</v>
      </c>
      <c r="F4" s="76" t="s">
        <v>35</v>
      </c>
      <c r="G4">
        <v>1</v>
      </c>
      <c r="H4">
        <v>0</v>
      </c>
      <c r="I4" s="96" t="s">
        <v>11</v>
      </c>
      <c r="J4">
        <v>5.25</v>
      </c>
      <c r="K4" s="78">
        <v>0</v>
      </c>
      <c r="L4" s="78">
        <v>0</v>
      </c>
      <c r="M4" s="78">
        <v>0</v>
      </c>
      <c r="N4" s="78">
        <v>0</v>
      </c>
      <c r="O4" s="78">
        <v>0</v>
      </c>
      <c r="P4" s="77">
        <v>130.68919403763985</v>
      </c>
      <c r="Q4" s="77">
        <v>50.036999999999999</v>
      </c>
      <c r="R4" s="77">
        <v>65.392952020613848</v>
      </c>
      <c r="S4" s="77">
        <v>0.438</v>
      </c>
      <c r="T4" s="77">
        <v>0.57241866988486256</v>
      </c>
      <c r="U4" s="77">
        <v>105.20891092338304</v>
      </c>
      <c r="V4" s="77">
        <v>48</v>
      </c>
      <c r="W4" s="77">
        <v>50.500277243223856</v>
      </c>
      <c r="X4" s="77">
        <v>0.5</v>
      </c>
      <c r="Y4" s="77">
        <v>0.25250138621611928</v>
      </c>
      <c r="Z4" s="77">
        <v>130.68919403763985</v>
      </c>
      <c r="AA4" s="77">
        <v>65.392952020613848</v>
      </c>
      <c r="AB4" s="77">
        <v>0.57241866988486256</v>
      </c>
      <c r="AC4" s="77">
        <f t="shared" si="1"/>
        <v>235.89810496102291</v>
      </c>
      <c r="AD4" s="77">
        <f t="shared" si="2"/>
        <v>113.39295202061385</v>
      </c>
      <c r="AE4" s="77">
        <f t="shared" si="3"/>
        <v>51.072695913108717</v>
      </c>
    </row>
    <row r="5" spans="1:31" x14ac:dyDescent="0.25">
      <c r="A5" s="76">
        <v>2011</v>
      </c>
      <c r="B5" s="76" t="s">
        <v>380</v>
      </c>
      <c r="C5" s="76" t="s">
        <v>381</v>
      </c>
      <c r="D5">
        <v>104</v>
      </c>
      <c r="E5">
        <v>4</v>
      </c>
      <c r="F5" s="76" t="s">
        <v>35</v>
      </c>
      <c r="G5">
        <v>1</v>
      </c>
      <c r="H5">
        <v>0</v>
      </c>
      <c r="I5" s="96" t="s">
        <v>12</v>
      </c>
      <c r="J5">
        <v>10.5</v>
      </c>
      <c r="K5" s="77">
        <v>409.00343178353404</v>
      </c>
      <c r="L5" s="77">
        <v>45.06</v>
      </c>
      <c r="M5" s="77">
        <v>184.29694636166045</v>
      </c>
      <c r="N5" s="77">
        <v>0.625</v>
      </c>
      <c r="O5" s="77">
        <v>2.5562714486470881</v>
      </c>
      <c r="P5" s="77">
        <v>2.558937008030453</v>
      </c>
      <c r="Q5" s="77">
        <v>44.344000000000001</v>
      </c>
      <c r="R5" s="77">
        <v>1.1347350268410241</v>
      </c>
      <c r="S5" s="77">
        <v>1.331</v>
      </c>
      <c r="T5" s="77">
        <v>3.4059451576885329E-2</v>
      </c>
      <c r="U5" s="78">
        <v>0</v>
      </c>
      <c r="V5" s="78">
        <v>0</v>
      </c>
      <c r="W5" s="78">
        <v>0</v>
      </c>
      <c r="X5" s="78">
        <v>0</v>
      </c>
      <c r="Y5" s="78">
        <v>0</v>
      </c>
      <c r="Z5" s="77">
        <v>411.5623687915645</v>
      </c>
      <c r="AA5" s="77">
        <v>185.43168138850146</v>
      </c>
      <c r="AB5" s="77">
        <v>2.5903309002239734</v>
      </c>
      <c r="AC5" s="77">
        <f t="shared" si="1"/>
        <v>411.5623687915645</v>
      </c>
      <c r="AD5" s="77">
        <f t="shared" si="2"/>
        <v>185.43168138850146</v>
      </c>
      <c r="AE5" s="77">
        <f t="shared" si="3"/>
        <v>2.5903309002239734</v>
      </c>
    </row>
    <row r="6" spans="1:31" x14ac:dyDescent="0.25">
      <c r="A6" s="76">
        <v>2011</v>
      </c>
      <c r="B6" s="76" t="s">
        <v>380</v>
      </c>
      <c r="C6" s="76" t="s">
        <v>381</v>
      </c>
      <c r="D6">
        <v>104</v>
      </c>
      <c r="E6">
        <v>4</v>
      </c>
      <c r="F6" s="76" t="s">
        <v>35</v>
      </c>
      <c r="G6">
        <v>1</v>
      </c>
      <c r="H6">
        <v>0</v>
      </c>
      <c r="I6" s="96" t="s">
        <v>13</v>
      </c>
      <c r="J6">
        <v>3.75</v>
      </c>
      <c r="K6" s="77">
        <v>89.357408390865658</v>
      </c>
      <c r="L6" s="77">
        <v>42.853000000000002</v>
      </c>
      <c r="M6" s="77">
        <v>38.292330217737664</v>
      </c>
      <c r="N6" s="77">
        <v>0.78200000000000003</v>
      </c>
      <c r="O6" s="77">
        <v>0.6987749336165695</v>
      </c>
      <c r="P6" s="77">
        <v>26.790582403965303</v>
      </c>
      <c r="Q6" s="77">
        <v>43.997999999999998</v>
      </c>
      <c r="R6" s="77">
        <v>11.787320446096654</v>
      </c>
      <c r="S6" s="77">
        <v>1.022</v>
      </c>
      <c r="T6" s="77">
        <v>0.27379975216852537</v>
      </c>
      <c r="U6" s="78">
        <v>0</v>
      </c>
      <c r="V6" s="78">
        <v>0</v>
      </c>
      <c r="W6" s="78">
        <v>0</v>
      </c>
      <c r="X6" s="78">
        <v>0</v>
      </c>
      <c r="Y6" s="78">
        <v>0</v>
      </c>
      <c r="Z6" s="77">
        <v>116.14799079483096</v>
      </c>
      <c r="AA6" s="77">
        <v>50.079650663834315</v>
      </c>
      <c r="AB6" s="77">
        <v>0.97257468578509487</v>
      </c>
      <c r="AC6" s="77">
        <f t="shared" si="1"/>
        <v>116.14799079483096</v>
      </c>
      <c r="AD6" s="77">
        <f t="shared" si="2"/>
        <v>50.079650663834315</v>
      </c>
      <c r="AE6" s="77">
        <f t="shared" si="3"/>
        <v>0.97257468578509487</v>
      </c>
    </row>
    <row r="7" spans="1:31" x14ac:dyDescent="0.25">
      <c r="A7" s="76">
        <v>2011</v>
      </c>
      <c r="B7" s="76" t="s">
        <v>380</v>
      </c>
      <c r="C7" s="76" t="s">
        <v>381</v>
      </c>
      <c r="D7">
        <v>104</v>
      </c>
      <c r="E7">
        <v>6</v>
      </c>
      <c r="F7" s="76" t="s">
        <v>35</v>
      </c>
      <c r="G7">
        <v>1</v>
      </c>
      <c r="H7">
        <v>0</v>
      </c>
      <c r="I7" s="96" t="s">
        <v>11</v>
      </c>
      <c r="J7">
        <v>5.25</v>
      </c>
      <c r="K7" s="77">
        <v>42.266353148976101</v>
      </c>
      <c r="L7" s="77">
        <v>46.706000000000003</v>
      </c>
      <c r="M7" s="77">
        <v>19.740922901760779</v>
      </c>
      <c r="N7" s="77">
        <v>0.48899999999999999</v>
      </c>
      <c r="O7" s="77">
        <v>0.20668246689849315</v>
      </c>
      <c r="P7" s="77">
        <v>12.460023182646134</v>
      </c>
      <c r="Q7" s="77">
        <v>49.613999999999997</v>
      </c>
      <c r="R7" s="77">
        <v>6.1819159018380523</v>
      </c>
      <c r="S7" s="77">
        <v>1.232</v>
      </c>
      <c r="T7" s="77">
        <v>0.15350748561020036</v>
      </c>
      <c r="U7" s="78">
        <v>0</v>
      </c>
      <c r="V7" s="78">
        <v>0</v>
      </c>
      <c r="W7" s="78">
        <v>0</v>
      </c>
      <c r="X7" s="78">
        <v>0</v>
      </c>
      <c r="Y7" s="78">
        <v>0</v>
      </c>
      <c r="Z7" s="77">
        <v>54.726376331622234</v>
      </c>
      <c r="AA7" s="77">
        <v>25.922838803598832</v>
      </c>
      <c r="AB7" s="77">
        <v>0.36018995250869351</v>
      </c>
      <c r="AC7" s="77">
        <f t="shared" si="1"/>
        <v>54.726376331622234</v>
      </c>
      <c r="AD7" s="77">
        <f t="shared" si="2"/>
        <v>25.922838803598832</v>
      </c>
      <c r="AE7" s="77">
        <f t="shared" si="3"/>
        <v>0.36018995250869351</v>
      </c>
    </row>
    <row r="8" spans="1:31" x14ac:dyDescent="0.25">
      <c r="A8" s="76">
        <v>2011</v>
      </c>
      <c r="B8" s="76" t="s">
        <v>380</v>
      </c>
      <c r="C8" s="76" t="s">
        <v>381</v>
      </c>
      <c r="D8">
        <v>104</v>
      </c>
      <c r="E8">
        <v>6</v>
      </c>
      <c r="F8" s="76" t="s">
        <v>35</v>
      </c>
      <c r="G8">
        <v>1</v>
      </c>
      <c r="H8">
        <v>0</v>
      </c>
      <c r="I8" s="96" t="s">
        <v>12</v>
      </c>
      <c r="J8">
        <v>9.75</v>
      </c>
      <c r="K8" s="77">
        <v>37.818116531509766</v>
      </c>
      <c r="L8" s="77">
        <v>46.264000000000003</v>
      </c>
      <c r="M8" s="77">
        <v>17.496173432137681</v>
      </c>
      <c r="N8" s="77">
        <v>0.50900000000000001</v>
      </c>
      <c r="O8" s="77">
        <v>0.1924942131453847</v>
      </c>
      <c r="P8" s="77">
        <v>10.692032946081294</v>
      </c>
      <c r="Q8" s="77">
        <v>49.44</v>
      </c>
      <c r="R8" s="77">
        <v>5.2861410885425917</v>
      </c>
      <c r="S8" s="77">
        <v>0.82899999999999996</v>
      </c>
      <c r="T8" s="77">
        <v>8.8636953123013923E-2</v>
      </c>
      <c r="U8" s="78">
        <v>0</v>
      </c>
      <c r="V8" s="78">
        <v>0</v>
      </c>
      <c r="W8" s="78">
        <v>0</v>
      </c>
      <c r="X8" s="78">
        <v>0</v>
      </c>
      <c r="Y8" s="78">
        <v>0</v>
      </c>
      <c r="Z8" s="77">
        <v>48.510149477591057</v>
      </c>
      <c r="AA8" s="77">
        <v>22.782314520680274</v>
      </c>
      <c r="AB8" s="77">
        <v>0.28113116626839862</v>
      </c>
      <c r="AC8" s="77">
        <f t="shared" si="1"/>
        <v>48.510149477591057</v>
      </c>
      <c r="AD8" s="77">
        <f t="shared" si="2"/>
        <v>22.782314520680274</v>
      </c>
      <c r="AE8" s="77">
        <f t="shared" si="3"/>
        <v>0.28113116626839862</v>
      </c>
    </row>
    <row r="9" spans="1:31" x14ac:dyDescent="0.25">
      <c r="A9" s="76">
        <v>2011</v>
      </c>
      <c r="B9" s="76" t="s">
        <v>380</v>
      </c>
      <c r="C9" s="76" t="s">
        <v>381</v>
      </c>
      <c r="D9">
        <v>104</v>
      </c>
      <c r="E9">
        <v>6</v>
      </c>
      <c r="F9" s="76" t="s">
        <v>35</v>
      </c>
      <c r="G9">
        <v>1</v>
      </c>
      <c r="H9">
        <v>0</v>
      </c>
      <c r="I9" s="96" t="s">
        <v>13</v>
      </c>
      <c r="J9">
        <v>3.75</v>
      </c>
      <c r="K9" s="77">
        <v>21.885359731936958</v>
      </c>
      <c r="L9" s="77">
        <v>44.110999999999997</v>
      </c>
      <c r="M9" s="77">
        <v>9.6538510313547103</v>
      </c>
      <c r="N9" s="77">
        <v>0.81299999999999994</v>
      </c>
      <c r="O9" s="77">
        <v>0.17792797462064747</v>
      </c>
      <c r="P9" s="78">
        <v>0</v>
      </c>
      <c r="Q9" s="78">
        <v>0</v>
      </c>
      <c r="R9" s="78">
        <v>0</v>
      </c>
      <c r="S9" s="78">
        <v>0</v>
      </c>
      <c r="T9" s="78">
        <v>0</v>
      </c>
      <c r="U9" s="78">
        <v>0</v>
      </c>
      <c r="V9" s="78">
        <v>0</v>
      </c>
      <c r="W9" s="78">
        <v>0</v>
      </c>
      <c r="X9" s="78">
        <v>0</v>
      </c>
      <c r="Y9" s="78">
        <v>0</v>
      </c>
      <c r="Z9" s="77">
        <v>21.885359731936958</v>
      </c>
      <c r="AA9" s="77">
        <v>9.6538510313547103</v>
      </c>
      <c r="AB9" s="77">
        <v>0.17792797462064747</v>
      </c>
      <c r="AC9" s="77">
        <f t="shared" si="1"/>
        <v>21.885359731936958</v>
      </c>
      <c r="AD9" s="77">
        <f t="shared" si="2"/>
        <v>9.6538510313547103</v>
      </c>
      <c r="AE9" s="77">
        <f t="shared" si="3"/>
        <v>0.17792797462064747</v>
      </c>
    </row>
    <row r="10" spans="1:31" x14ac:dyDescent="0.25">
      <c r="A10" s="76">
        <v>2011</v>
      </c>
      <c r="B10" s="76" t="s">
        <v>380</v>
      </c>
      <c r="C10" s="76" t="s">
        <v>381</v>
      </c>
      <c r="D10">
        <v>104</v>
      </c>
      <c r="E10">
        <v>8</v>
      </c>
      <c r="F10" s="76" t="s">
        <v>35</v>
      </c>
      <c r="G10">
        <v>0</v>
      </c>
      <c r="H10">
        <v>0</v>
      </c>
      <c r="I10" s="96" t="s">
        <v>11</v>
      </c>
      <c r="J10">
        <v>4.75</v>
      </c>
      <c r="K10" s="78">
        <v>0</v>
      </c>
      <c r="L10" s="78">
        <v>0</v>
      </c>
      <c r="M10" s="78">
        <v>0</v>
      </c>
      <c r="N10" s="78">
        <v>0</v>
      </c>
      <c r="O10" s="78">
        <v>0</v>
      </c>
      <c r="P10" s="77">
        <v>116.66986781497467</v>
      </c>
      <c r="Q10" s="77">
        <v>48.124000000000002</v>
      </c>
      <c r="R10" s="77">
        <v>56.146207187278407</v>
      </c>
      <c r="S10" s="77">
        <v>1.0069999999999999</v>
      </c>
      <c r="T10" s="77">
        <v>1.1748655688967948</v>
      </c>
      <c r="U10" s="78">
        <v>0</v>
      </c>
      <c r="V10" s="78">
        <v>0</v>
      </c>
      <c r="W10" s="78">
        <v>0</v>
      </c>
      <c r="X10" s="78">
        <v>0</v>
      </c>
      <c r="Y10" s="78">
        <v>0</v>
      </c>
      <c r="Z10" s="77">
        <v>116.66986781497467</v>
      </c>
      <c r="AA10" s="77">
        <v>56.146207187278407</v>
      </c>
      <c r="AB10" s="77">
        <v>1.1748655688967948</v>
      </c>
      <c r="AC10" s="77">
        <f t="shared" si="1"/>
        <v>116.66986781497467</v>
      </c>
      <c r="AD10" s="77">
        <f t="shared" si="2"/>
        <v>56.146207187278407</v>
      </c>
      <c r="AE10" s="77">
        <f t="shared" si="3"/>
        <v>1.1748655688967948</v>
      </c>
    </row>
    <row r="11" spans="1:31" x14ac:dyDescent="0.25">
      <c r="A11" s="76">
        <v>2011</v>
      </c>
      <c r="B11" s="76" t="s">
        <v>380</v>
      </c>
      <c r="C11" s="76" t="s">
        <v>381</v>
      </c>
      <c r="D11">
        <v>104</v>
      </c>
      <c r="E11">
        <v>10</v>
      </c>
      <c r="F11" s="76" t="s">
        <v>35</v>
      </c>
      <c r="G11">
        <v>1</v>
      </c>
      <c r="H11">
        <v>0</v>
      </c>
      <c r="I11" s="96" t="s">
        <v>11</v>
      </c>
      <c r="J11">
        <v>5.75</v>
      </c>
      <c r="K11" s="77">
        <v>41.839410875770582</v>
      </c>
      <c r="L11" s="77">
        <v>46.04</v>
      </c>
      <c r="M11" s="77">
        <v>19.262864767204775</v>
      </c>
      <c r="N11" s="77">
        <v>0.748</v>
      </c>
      <c r="O11" s="77">
        <v>0.31295879335076393</v>
      </c>
      <c r="P11" s="77">
        <v>68.30924224615606</v>
      </c>
      <c r="Q11" s="77">
        <v>48.847000000000001</v>
      </c>
      <c r="R11" s="77">
        <v>33.367015559979855</v>
      </c>
      <c r="S11" s="77">
        <v>1.026</v>
      </c>
      <c r="T11" s="77">
        <v>0.70085282544556116</v>
      </c>
      <c r="U11" s="78">
        <v>0</v>
      </c>
      <c r="V11" s="78">
        <v>0</v>
      </c>
      <c r="W11" s="78">
        <v>0</v>
      </c>
      <c r="X11" s="78">
        <v>0</v>
      </c>
      <c r="Y11" s="78">
        <v>0</v>
      </c>
      <c r="Z11" s="77">
        <v>110.14865312192664</v>
      </c>
      <c r="AA11" s="77">
        <v>52.62988032718463</v>
      </c>
      <c r="AB11" s="77">
        <v>1.0138116187963251</v>
      </c>
      <c r="AC11" s="77">
        <f t="shared" si="1"/>
        <v>110.14865312192664</v>
      </c>
      <c r="AD11" s="77">
        <f t="shared" si="2"/>
        <v>52.62988032718463</v>
      </c>
      <c r="AE11" s="77">
        <f t="shared" si="3"/>
        <v>1.0138116187963251</v>
      </c>
    </row>
    <row r="12" spans="1:31" x14ac:dyDescent="0.25">
      <c r="A12" s="76">
        <v>2011</v>
      </c>
      <c r="B12" s="76" t="s">
        <v>380</v>
      </c>
      <c r="C12" s="76" t="s">
        <v>381</v>
      </c>
      <c r="D12">
        <v>104</v>
      </c>
      <c r="E12">
        <v>10</v>
      </c>
      <c r="F12" s="76" t="s">
        <v>35</v>
      </c>
      <c r="G12">
        <v>1</v>
      </c>
      <c r="H12">
        <v>0</v>
      </c>
      <c r="I12" s="96" t="s">
        <v>12</v>
      </c>
      <c r="J12">
        <v>9.5</v>
      </c>
      <c r="K12" s="77">
        <v>109.1149247694599</v>
      </c>
      <c r="L12" s="77">
        <v>46.728999999999999</v>
      </c>
      <c r="M12" s="77">
        <v>50.988313195520917</v>
      </c>
      <c r="N12" s="77">
        <v>0.749</v>
      </c>
      <c r="O12" s="77">
        <v>0.81727078652325469</v>
      </c>
      <c r="P12" s="77">
        <v>4.9893504367745081</v>
      </c>
      <c r="Q12" s="77">
        <v>44.750999999999998</v>
      </c>
      <c r="R12" s="77">
        <v>2.2327842139609597</v>
      </c>
      <c r="S12" s="77">
        <v>0.52900000000000003</v>
      </c>
      <c r="T12" s="77">
        <v>2.6393663810537149E-2</v>
      </c>
      <c r="U12" s="78">
        <v>0</v>
      </c>
      <c r="V12" s="78">
        <v>0</v>
      </c>
      <c r="W12" s="78">
        <v>0</v>
      </c>
      <c r="X12" s="78">
        <v>0</v>
      </c>
      <c r="Y12" s="78">
        <v>0</v>
      </c>
      <c r="Z12" s="77">
        <v>114.10427520623441</v>
      </c>
      <c r="AA12" s="77">
        <v>53.221097409481878</v>
      </c>
      <c r="AB12" s="77">
        <v>0.84366445033379178</v>
      </c>
      <c r="AC12" s="77">
        <f t="shared" si="1"/>
        <v>114.10427520623441</v>
      </c>
      <c r="AD12" s="77">
        <f t="shared" si="2"/>
        <v>53.221097409481878</v>
      </c>
      <c r="AE12" s="77">
        <f t="shared" si="3"/>
        <v>0.84366445033379178</v>
      </c>
    </row>
    <row r="13" spans="1:31" x14ac:dyDescent="0.25">
      <c r="A13" s="76">
        <v>2011</v>
      </c>
      <c r="B13" s="76" t="s">
        <v>380</v>
      </c>
      <c r="C13" s="76" t="s">
        <v>381</v>
      </c>
      <c r="D13">
        <v>104</v>
      </c>
      <c r="E13">
        <v>10</v>
      </c>
      <c r="F13" s="76" t="s">
        <v>35</v>
      </c>
      <c r="G13">
        <v>1</v>
      </c>
      <c r="H13">
        <v>0</v>
      </c>
      <c r="I13" s="96" t="s">
        <v>13</v>
      </c>
      <c r="J13">
        <v>3.25</v>
      </c>
      <c r="K13" s="77">
        <v>76.303604698258397</v>
      </c>
      <c r="L13" s="77">
        <v>37.384</v>
      </c>
      <c r="M13" s="77">
        <v>28.525339580396921</v>
      </c>
      <c r="N13" s="77">
        <v>0.81</v>
      </c>
      <c r="O13" s="77">
        <v>0.61805919805589316</v>
      </c>
      <c r="P13" s="77">
        <v>12.154556500607532</v>
      </c>
      <c r="Q13" s="77">
        <v>30.68</v>
      </c>
      <c r="R13" s="77">
        <v>3.7290179343863912</v>
      </c>
      <c r="S13" s="77">
        <v>1.0329999999999999</v>
      </c>
      <c r="T13" s="77">
        <v>0.12555656865127579</v>
      </c>
      <c r="U13" s="78">
        <v>0</v>
      </c>
      <c r="V13" s="78">
        <v>0</v>
      </c>
      <c r="W13" s="78">
        <v>0</v>
      </c>
      <c r="X13" s="78">
        <v>0</v>
      </c>
      <c r="Y13" s="78">
        <v>0</v>
      </c>
      <c r="Z13" s="77">
        <v>88.458161198865923</v>
      </c>
      <c r="AA13" s="77">
        <v>32.254357514783308</v>
      </c>
      <c r="AB13" s="77">
        <v>0.743615766707169</v>
      </c>
      <c r="AC13" s="77">
        <f t="shared" si="1"/>
        <v>88.458161198865923</v>
      </c>
      <c r="AD13" s="77">
        <f t="shared" si="2"/>
        <v>32.254357514783308</v>
      </c>
      <c r="AE13" s="77">
        <f t="shared" si="3"/>
        <v>0.743615766707169</v>
      </c>
    </row>
    <row r="14" spans="1:31" x14ac:dyDescent="0.25">
      <c r="A14" s="76">
        <v>2011</v>
      </c>
      <c r="B14" s="76" t="s">
        <v>380</v>
      </c>
      <c r="C14" s="76" t="s">
        <v>14</v>
      </c>
      <c r="D14">
        <v>108</v>
      </c>
      <c r="E14">
        <v>2</v>
      </c>
      <c r="F14" s="76" t="s">
        <v>35</v>
      </c>
      <c r="G14">
        <v>0</v>
      </c>
      <c r="H14">
        <v>0</v>
      </c>
      <c r="I14" s="96" t="s">
        <v>11</v>
      </c>
      <c r="J14">
        <v>5.5</v>
      </c>
      <c r="K14" s="77">
        <v>59.445739445739456</v>
      </c>
      <c r="L14" s="77">
        <v>46.805999999999997</v>
      </c>
      <c r="M14" s="77">
        <v>27.824172804972807</v>
      </c>
      <c r="N14" s="77">
        <v>0.84499999999999997</v>
      </c>
      <c r="O14" s="77">
        <v>0.50231649831649838</v>
      </c>
      <c r="P14" s="77">
        <v>60.233100233100224</v>
      </c>
      <c r="Q14" s="77">
        <v>46.247999999999998</v>
      </c>
      <c r="R14" s="77">
        <v>27.856604195804191</v>
      </c>
      <c r="S14" s="77">
        <v>1.002</v>
      </c>
      <c r="T14" s="77">
        <v>0.60353566433566419</v>
      </c>
      <c r="U14" s="78">
        <v>0</v>
      </c>
      <c r="V14" s="78">
        <v>0</v>
      </c>
      <c r="W14" s="78">
        <v>0</v>
      </c>
      <c r="X14" s="78">
        <v>0</v>
      </c>
      <c r="Y14" s="78">
        <v>0</v>
      </c>
      <c r="Z14" s="77">
        <v>119.67883967883968</v>
      </c>
      <c r="AA14" s="77">
        <v>55.680777000776999</v>
      </c>
      <c r="AB14" s="77">
        <v>1.1058521626521625</v>
      </c>
      <c r="AC14" s="77">
        <f t="shared" si="1"/>
        <v>119.67883967883968</v>
      </c>
      <c r="AD14" s="77">
        <f t="shared" si="2"/>
        <v>55.680777000776999</v>
      </c>
      <c r="AE14" s="77">
        <f t="shared" si="3"/>
        <v>1.1058521626521625</v>
      </c>
    </row>
    <row r="15" spans="1:31" x14ac:dyDescent="0.25">
      <c r="A15" s="76">
        <v>2011</v>
      </c>
      <c r="B15" s="76" t="s">
        <v>380</v>
      </c>
      <c r="C15" s="76" t="s">
        <v>14</v>
      </c>
      <c r="D15">
        <v>108</v>
      </c>
      <c r="E15">
        <v>2</v>
      </c>
      <c r="F15" s="76" t="s">
        <v>35</v>
      </c>
      <c r="G15">
        <v>0</v>
      </c>
      <c r="H15">
        <v>0</v>
      </c>
      <c r="I15" s="96" t="s">
        <v>12</v>
      </c>
      <c r="J15">
        <v>6.5</v>
      </c>
      <c r="K15" s="77">
        <v>12.694946974422955</v>
      </c>
      <c r="L15" s="77">
        <v>46.805999999999997</v>
      </c>
      <c r="M15" s="77">
        <v>5.941996880848408</v>
      </c>
      <c r="N15" s="77">
        <v>0.84499999999999997</v>
      </c>
      <c r="O15" s="77">
        <v>0.10727230193387395</v>
      </c>
      <c r="P15" s="77">
        <v>100.53025577043041</v>
      </c>
      <c r="Q15" s="77">
        <v>48.235999999999997</v>
      </c>
      <c r="R15" s="77">
        <v>48.491774173424808</v>
      </c>
      <c r="S15" s="77">
        <v>1.075</v>
      </c>
      <c r="T15" s="77">
        <v>1.080700249532127</v>
      </c>
      <c r="U15" s="78">
        <v>0</v>
      </c>
      <c r="V15" s="78">
        <v>0</v>
      </c>
      <c r="W15" s="78">
        <v>0</v>
      </c>
      <c r="X15" s="78">
        <v>0</v>
      </c>
      <c r="Y15" s="78">
        <v>0</v>
      </c>
      <c r="Z15" s="77">
        <v>113.22520274485336</v>
      </c>
      <c r="AA15" s="77">
        <v>54.433771054273215</v>
      </c>
      <c r="AB15" s="77">
        <v>1.1879725514660009</v>
      </c>
      <c r="AC15" s="77">
        <f t="shared" si="1"/>
        <v>113.22520274485336</v>
      </c>
      <c r="AD15" s="77">
        <f t="shared" si="2"/>
        <v>54.433771054273215</v>
      </c>
      <c r="AE15" s="77">
        <f t="shared" si="3"/>
        <v>1.1879725514660009</v>
      </c>
    </row>
    <row r="16" spans="1:31" x14ac:dyDescent="0.25">
      <c r="A16" s="76">
        <v>2011</v>
      </c>
      <c r="B16" s="76" t="s">
        <v>380</v>
      </c>
      <c r="C16" s="76" t="s">
        <v>14</v>
      </c>
      <c r="D16">
        <v>108</v>
      </c>
      <c r="E16">
        <v>4</v>
      </c>
      <c r="F16" s="76" t="s">
        <v>35</v>
      </c>
      <c r="G16">
        <v>0</v>
      </c>
      <c r="H16">
        <v>0</v>
      </c>
      <c r="I16" s="96" t="s">
        <v>11</v>
      </c>
      <c r="J16">
        <v>5.75</v>
      </c>
      <c r="K16" s="78">
        <v>0</v>
      </c>
      <c r="L16" s="78">
        <v>0</v>
      </c>
      <c r="M16" s="78">
        <v>0</v>
      </c>
      <c r="N16" s="78">
        <v>0</v>
      </c>
      <c r="O16" s="78">
        <v>0</v>
      </c>
      <c r="P16" s="77">
        <v>49.734442376116306</v>
      </c>
      <c r="Q16" s="77">
        <v>48.131999999999998</v>
      </c>
      <c r="R16" s="77">
        <v>23.9381818044723</v>
      </c>
      <c r="S16" s="77">
        <v>1.0960000000000001</v>
      </c>
      <c r="T16" s="77">
        <v>0.54508948844223482</v>
      </c>
      <c r="U16" s="77">
        <v>113.03282358208253</v>
      </c>
      <c r="V16" s="77">
        <v>49.564999999999998</v>
      </c>
      <c r="W16" s="77">
        <v>56.024719008459201</v>
      </c>
      <c r="X16" s="77">
        <v>0.622</v>
      </c>
      <c r="Y16" s="77">
        <v>0.70306416268055327</v>
      </c>
      <c r="Z16" s="77">
        <v>49.734442376116306</v>
      </c>
      <c r="AA16" s="77">
        <v>23.9381818044723</v>
      </c>
      <c r="AB16" s="77">
        <v>0.54508948844223482</v>
      </c>
      <c r="AC16" s="77">
        <f t="shared" si="1"/>
        <v>162.76726595819883</v>
      </c>
      <c r="AD16" s="77">
        <f t="shared" si="2"/>
        <v>73.503181804472291</v>
      </c>
      <c r="AE16" s="77">
        <f t="shared" si="3"/>
        <v>56.569808496901437</v>
      </c>
    </row>
    <row r="17" spans="1:31" x14ac:dyDescent="0.25">
      <c r="A17" s="76">
        <v>2011</v>
      </c>
      <c r="B17" s="76" t="s">
        <v>380</v>
      </c>
      <c r="C17" s="76" t="s">
        <v>14</v>
      </c>
      <c r="D17">
        <v>108</v>
      </c>
      <c r="E17">
        <v>4</v>
      </c>
      <c r="F17" s="76" t="s">
        <v>35</v>
      </c>
      <c r="G17">
        <v>0</v>
      </c>
      <c r="H17">
        <v>0</v>
      </c>
      <c r="I17" s="96" t="s">
        <v>12</v>
      </c>
      <c r="J17">
        <v>10</v>
      </c>
      <c r="K17" s="77">
        <v>5.1579388353581903</v>
      </c>
      <c r="L17" s="77">
        <v>46.085999999999999</v>
      </c>
      <c r="M17" s="77">
        <v>2.3770876916631756</v>
      </c>
      <c r="N17" s="77">
        <v>1.8049999999999999</v>
      </c>
      <c r="O17" s="77">
        <v>9.3100795978215342E-2</v>
      </c>
      <c r="P17" s="77">
        <v>412.90657729367399</v>
      </c>
      <c r="Q17" s="77">
        <v>48.292999999999999</v>
      </c>
      <c r="R17" s="77">
        <v>199.40497337243397</v>
      </c>
      <c r="S17" s="77">
        <v>0.878</v>
      </c>
      <c r="T17" s="77">
        <v>3.6253197486384576</v>
      </c>
      <c r="U17" s="77">
        <v>304.58986175115211</v>
      </c>
      <c r="V17" s="77">
        <v>48.720999999999997</v>
      </c>
      <c r="W17" s="77">
        <v>148.39922654377881</v>
      </c>
      <c r="X17" s="77">
        <v>0.40500000000000003</v>
      </c>
      <c r="Y17" s="77">
        <v>1.2335889400921662</v>
      </c>
      <c r="Z17" s="77">
        <v>418.0645161290322</v>
      </c>
      <c r="AA17" s="77">
        <v>201.78206106409715</v>
      </c>
      <c r="AB17" s="77">
        <v>3.7184205446166732</v>
      </c>
      <c r="AC17" s="77">
        <f t="shared" si="1"/>
        <v>722.65437788018426</v>
      </c>
      <c r="AD17" s="77">
        <f t="shared" si="2"/>
        <v>250.50306106409715</v>
      </c>
      <c r="AE17" s="77">
        <f t="shared" si="3"/>
        <v>152.11764708839547</v>
      </c>
    </row>
    <row r="18" spans="1:31" x14ac:dyDescent="0.25">
      <c r="A18" s="76">
        <v>2011</v>
      </c>
      <c r="B18" s="76" t="s">
        <v>380</v>
      </c>
      <c r="C18" s="76" t="s">
        <v>14</v>
      </c>
      <c r="D18">
        <v>108</v>
      </c>
      <c r="E18">
        <v>4</v>
      </c>
      <c r="F18" s="76" t="s">
        <v>35</v>
      </c>
      <c r="G18">
        <v>0</v>
      </c>
      <c r="H18">
        <v>0</v>
      </c>
      <c r="I18" s="96" t="s">
        <v>13</v>
      </c>
      <c r="J18">
        <v>14.75</v>
      </c>
      <c r="K18" s="77">
        <v>72.281079146911935</v>
      </c>
      <c r="L18" s="77">
        <v>42.9</v>
      </c>
      <c r="M18" s="77">
        <v>31.008582954025218</v>
      </c>
      <c r="N18" s="77">
        <v>1.726</v>
      </c>
      <c r="O18" s="77">
        <v>1.2475714260757</v>
      </c>
      <c r="P18" s="77">
        <v>261.4758163675175</v>
      </c>
      <c r="Q18" s="77">
        <v>44.801000000000002</v>
      </c>
      <c r="R18" s="77">
        <v>117.14378049081152</v>
      </c>
      <c r="S18" s="77">
        <v>1.599</v>
      </c>
      <c r="T18" s="77">
        <v>4.1809983037166045</v>
      </c>
      <c r="U18" s="78">
        <v>0</v>
      </c>
      <c r="V18" s="78">
        <v>0</v>
      </c>
      <c r="W18" s="78">
        <v>0</v>
      </c>
      <c r="X18" s="78">
        <v>0</v>
      </c>
      <c r="Y18" s="78">
        <v>0</v>
      </c>
      <c r="Z18" s="77">
        <v>333.7568955144294</v>
      </c>
      <c r="AA18" s="77">
        <v>148.15236344483674</v>
      </c>
      <c r="AB18" s="77">
        <v>5.4285697297923043</v>
      </c>
      <c r="AC18" s="77">
        <f t="shared" si="1"/>
        <v>333.7568955144294</v>
      </c>
      <c r="AD18" s="77">
        <f t="shared" si="2"/>
        <v>148.15236344483674</v>
      </c>
      <c r="AE18" s="77">
        <f t="shared" si="3"/>
        <v>5.4285697297923043</v>
      </c>
    </row>
    <row r="19" spans="1:31" x14ac:dyDescent="0.25">
      <c r="A19" s="76">
        <v>2011</v>
      </c>
      <c r="B19" s="76" t="s">
        <v>380</v>
      </c>
      <c r="C19" s="76" t="s">
        <v>14</v>
      </c>
      <c r="D19">
        <v>108</v>
      </c>
      <c r="E19">
        <v>6</v>
      </c>
      <c r="F19" s="76" t="s">
        <v>35</v>
      </c>
      <c r="G19">
        <v>0</v>
      </c>
      <c r="H19">
        <v>0</v>
      </c>
      <c r="I19" s="96" t="s">
        <v>11</v>
      </c>
      <c r="J19">
        <v>5.75</v>
      </c>
      <c r="K19" s="78">
        <v>0</v>
      </c>
      <c r="L19" s="78">
        <v>0</v>
      </c>
      <c r="M19" s="78">
        <v>0</v>
      </c>
      <c r="N19" s="78">
        <v>0</v>
      </c>
      <c r="O19" s="78">
        <v>0</v>
      </c>
      <c r="P19" s="77">
        <v>55.896076352067873</v>
      </c>
      <c r="Q19" s="77">
        <v>49.393000000000001</v>
      </c>
      <c r="R19" s="77">
        <v>27.608748992576881</v>
      </c>
      <c r="S19" s="77">
        <v>0.77900000000000003</v>
      </c>
      <c r="T19" s="77">
        <v>0.43543043478260873</v>
      </c>
      <c r="U19" s="77">
        <v>119.77730646871687</v>
      </c>
      <c r="V19" s="77">
        <v>50.003999999999998</v>
      </c>
      <c r="W19" s="77">
        <v>59.893444326617178</v>
      </c>
      <c r="X19" s="77">
        <v>0.43</v>
      </c>
      <c r="Y19" s="77">
        <v>0.51504241781548254</v>
      </c>
      <c r="Z19" s="77">
        <v>55.896076352067873</v>
      </c>
      <c r="AA19" s="77">
        <v>27.608748992576881</v>
      </c>
      <c r="AB19" s="77">
        <v>0.43543043478260873</v>
      </c>
      <c r="AC19" s="77">
        <f t="shared" si="1"/>
        <v>175.67338282078475</v>
      </c>
      <c r="AD19" s="77">
        <f t="shared" si="2"/>
        <v>77.612748992576883</v>
      </c>
      <c r="AE19" s="77">
        <f t="shared" si="3"/>
        <v>60.328874761399788</v>
      </c>
    </row>
    <row r="20" spans="1:31" x14ac:dyDescent="0.25">
      <c r="A20" s="76">
        <v>2011</v>
      </c>
      <c r="B20" s="76" t="s">
        <v>380</v>
      </c>
      <c r="C20" s="76" t="s">
        <v>14</v>
      </c>
      <c r="D20">
        <v>108</v>
      </c>
      <c r="E20">
        <v>6</v>
      </c>
      <c r="F20" s="76" t="s">
        <v>35</v>
      </c>
      <c r="G20">
        <v>0</v>
      </c>
      <c r="H20">
        <v>0</v>
      </c>
      <c r="I20" s="96" t="s">
        <v>12</v>
      </c>
      <c r="J20">
        <v>8.5</v>
      </c>
      <c r="K20" s="77">
        <v>3.9365360055015222</v>
      </c>
      <c r="L20" s="77">
        <v>44.162999999999997</v>
      </c>
      <c r="M20" s="77">
        <v>1.738492396109637</v>
      </c>
      <c r="N20" s="77">
        <v>1.448</v>
      </c>
      <c r="O20" s="77">
        <v>5.7001041359662039E-2</v>
      </c>
      <c r="P20" s="77">
        <v>172.7155172413793</v>
      </c>
      <c r="Q20" s="77">
        <v>49.302</v>
      </c>
      <c r="R20" s="77">
        <v>85.152204310344828</v>
      </c>
      <c r="S20" s="77">
        <v>1.0329999999999999</v>
      </c>
      <c r="T20" s="77">
        <v>1.784151293103448</v>
      </c>
      <c r="U20" s="78">
        <v>0</v>
      </c>
      <c r="V20" s="78">
        <v>0</v>
      </c>
      <c r="W20" s="78">
        <v>0</v>
      </c>
      <c r="X20" s="78">
        <v>0</v>
      </c>
      <c r="Y20" s="78">
        <v>0</v>
      </c>
      <c r="Z20" s="77">
        <v>176.65205324688083</v>
      </c>
      <c r="AA20" s="77">
        <v>86.890696706454463</v>
      </c>
      <c r="AB20" s="77">
        <v>1.84115233446311</v>
      </c>
      <c r="AC20" s="77">
        <f t="shared" si="1"/>
        <v>176.65205324688083</v>
      </c>
      <c r="AD20" s="77">
        <f t="shared" si="2"/>
        <v>86.890696706454463</v>
      </c>
      <c r="AE20" s="77">
        <f t="shared" si="3"/>
        <v>1.84115233446311</v>
      </c>
    </row>
    <row r="21" spans="1:31" x14ac:dyDescent="0.25">
      <c r="A21" s="76">
        <v>2011</v>
      </c>
      <c r="B21" s="76" t="s">
        <v>380</v>
      </c>
      <c r="C21" s="76" t="s">
        <v>14</v>
      </c>
      <c r="D21">
        <v>108</v>
      </c>
      <c r="E21">
        <v>6</v>
      </c>
      <c r="F21" s="76" t="s">
        <v>35</v>
      </c>
      <c r="G21">
        <v>0</v>
      </c>
      <c r="H21">
        <v>0</v>
      </c>
      <c r="I21" s="96" t="s">
        <v>13</v>
      </c>
      <c r="J21">
        <v>4.75</v>
      </c>
      <c r="K21" s="77">
        <v>1.9962111967272174</v>
      </c>
      <c r="L21" s="77">
        <v>42.457999999999998</v>
      </c>
      <c r="M21" s="77">
        <v>0.84755134990644188</v>
      </c>
      <c r="N21" s="77">
        <v>2.839</v>
      </c>
      <c r="O21" s="77">
        <v>5.6672435875085699E-2</v>
      </c>
      <c r="P21" s="77">
        <v>13.973478377090522</v>
      </c>
      <c r="Q21" s="77">
        <v>46.12</v>
      </c>
      <c r="R21" s="77">
        <v>6.4445682275141492</v>
      </c>
      <c r="S21" s="77">
        <v>1.9079999999999999</v>
      </c>
      <c r="T21" s="77">
        <v>0.26661396743488719</v>
      </c>
      <c r="U21" s="78">
        <v>0</v>
      </c>
      <c r="V21" s="78">
        <v>0</v>
      </c>
      <c r="W21" s="78">
        <v>0</v>
      </c>
      <c r="X21" s="78">
        <v>0</v>
      </c>
      <c r="Y21" s="78">
        <v>0</v>
      </c>
      <c r="Z21" s="77">
        <v>15.969689573817739</v>
      </c>
      <c r="AA21" s="77">
        <v>7.2921195774205909</v>
      </c>
      <c r="AB21" s="77">
        <v>0.32328640330997288</v>
      </c>
      <c r="AC21" s="77">
        <f t="shared" si="1"/>
        <v>15.969689573817739</v>
      </c>
      <c r="AD21" s="77">
        <f t="shared" si="2"/>
        <v>7.2921195774205909</v>
      </c>
      <c r="AE21" s="77">
        <f t="shared" si="3"/>
        <v>0.32328640330997288</v>
      </c>
    </row>
    <row r="22" spans="1:31" x14ac:dyDescent="0.25">
      <c r="A22" s="76">
        <v>2011</v>
      </c>
      <c r="B22" s="76" t="s">
        <v>380</v>
      </c>
      <c r="C22" s="76" t="s">
        <v>14</v>
      </c>
      <c r="D22">
        <v>108</v>
      </c>
      <c r="E22">
        <v>8</v>
      </c>
      <c r="F22" s="76" t="s">
        <v>35</v>
      </c>
      <c r="G22">
        <v>0</v>
      </c>
      <c r="H22">
        <v>0</v>
      </c>
      <c r="I22" s="96" t="s">
        <v>11</v>
      </c>
      <c r="J22">
        <v>4.5</v>
      </c>
      <c r="K22" s="77">
        <v>5.2777411267977312</v>
      </c>
      <c r="L22" s="77">
        <v>44.023000000000003</v>
      </c>
      <c r="M22" s="77">
        <v>2.3234199762501651</v>
      </c>
      <c r="N22" s="77">
        <v>1.54</v>
      </c>
      <c r="O22" s="77">
        <v>8.1277213352685063E-2</v>
      </c>
      <c r="P22" s="77">
        <v>21.374851563530811</v>
      </c>
      <c r="Q22" s="77">
        <v>49.584000000000003</v>
      </c>
      <c r="R22" s="77">
        <v>10.598506399261119</v>
      </c>
      <c r="S22" s="77">
        <v>1.347</v>
      </c>
      <c r="T22" s="77">
        <v>0.28791925056076001</v>
      </c>
      <c r="U22" s="77">
        <v>787.17508906188152</v>
      </c>
      <c r="V22" s="77">
        <v>49.542999999999999</v>
      </c>
      <c r="W22" s="77">
        <v>389.99015437392796</v>
      </c>
      <c r="X22" s="77">
        <v>0.53600000000000003</v>
      </c>
      <c r="Y22" s="77">
        <v>4.2192584773716852</v>
      </c>
      <c r="Z22" s="77">
        <v>26.652592690328543</v>
      </c>
      <c r="AA22" s="77">
        <v>12.921926375511283</v>
      </c>
      <c r="AB22" s="77">
        <v>0.36919646391344507</v>
      </c>
      <c r="AC22" s="77">
        <f t="shared" si="1"/>
        <v>813.82768175221008</v>
      </c>
      <c r="AD22" s="77">
        <f t="shared" si="2"/>
        <v>62.464926375511283</v>
      </c>
      <c r="AE22" s="77">
        <f t="shared" si="3"/>
        <v>390.35935083784142</v>
      </c>
    </row>
    <row r="23" spans="1:31" x14ac:dyDescent="0.25">
      <c r="A23" s="76">
        <v>2011</v>
      </c>
      <c r="B23" s="76" t="s">
        <v>380</v>
      </c>
      <c r="C23" s="76" t="s">
        <v>14</v>
      </c>
      <c r="D23">
        <v>108</v>
      </c>
      <c r="E23">
        <v>8</v>
      </c>
      <c r="F23" s="76" t="s">
        <v>35</v>
      </c>
      <c r="G23">
        <v>0</v>
      </c>
      <c r="H23">
        <v>0</v>
      </c>
      <c r="I23" s="96" t="s">
        <v>12</v>
      </c>
      <c r="J23">
        <v>9.5</v>
      </c>
      <c r="K23" s="77">
        <v>9.2240791268758517</v>
      </c>
      <c r="L23" s="77">
        <v>44.023000000000003</v>
      </c>
      <c r="M23" s="77">
        <v>4.0607163540245566</v>
      </c>
      <c r="N23" s="77">
        <v>1.54</v>
      </c>
      <c r="O23" s="77">
        <v>0.14205081855388813</v>
      </c>
      <c r="P23" s="77">
        <v>55.60069918144611</v>
      </c>
      <c r="Q23" s="77">
        <v>44.579000000000001</v>
      </c>
      <c r="R23" s="77">
        <v>24.786235688096863</v>
      </c>
      <c r="S23" s="77">
        <v>1.5509999999999999</v>
      </c>
      <c r="T23" s="77">
        <v>0.86236684430422916</v>
      </c>
      <c r="U23" s="78">
        <v>0</v>
      </c>
      <c r="V23" s="78">
        <v>0</v>
      </c>
      <c r="W23" s="78">
        <v>0</v>
      </c>
      <c r="X23" s="78">
        <v>0</v>
      </c>
      <c r="Y23" s="78">
        <v>0</v>
      </c>
      <c r="Z23" s="77">
        <v>64.824778308321967</v>
      </c>
      <c r="AA23" s="77">
        <v>28.846952042121419</v>
      </c>
      <c r="AB23" s="77">
        <v>1.0044176628581174</v>
      </c>
      <c r="AC23" s="77">
        <f t="shared" si="1"/>
        <v>64.824778308321967</v>
      </c>
      <c r="AD23" s="77">
        <f t="shared" si="2"/>
        <v>28.846952042121419</v>
      </c>
      <c r="AE23" s="77">
        <f t="shared" si="3"/>
        <v>1.0044176628581174</v>
      </c>
    </row>
    <row r="24" spans="1:31" x14ac:dyDescent="0.25">
      <c r="A24" s="76">
        <v>2011</v>
      </c>
      <c r="B24" s="76" t="s">
        <v>380</v>
      </c>
      <c r="C24" s="76" t="s">
        <v>14</v>
      </c>
      <c r="D24">
        <v>108</v>
      </c>
      <c r="E24">
        <v>10</v>
      </c>
      <c r="F24" s="76" t="s">
        <v>35</v>
      </c>
      <c r="G24">
        <v>0</v>
      </c>
      <c r="H24">
        <v>0</v>
      </c>
      <c r="I24" s="96" t="s">
        <v>11</v>
      </c>
      <c r="J24">
        <v>5</v>
      </c>
      <c r="K24" s="77">
        <v>1.2074536821983066</v>
      </c>
      <c r="L24" s="77">
        <v>45.414500000000004</v>
      </c>
      <c r="M24" s="77">
        <v>0.54835905250194994</v>
      </c>
      <c r="N24" s="77">
        <v>1.1924999999999999</v>
      </c>
      <c r="O24" s="77">
        <v>1.4398885160214803E-2</v>
      </c>
      <c r="P24" s="77">
        <v>120.50387748339099</v>
      </c>
      <c r="Q24" s="77">
        <v>49.555</v>
      </c>
      <c r="R24" s="77">
        <v>59.715696486894409</v>
      </c>
      <c r="S24" s="77">
        <v>0.83699999999999997</v>
      </c>
      <c r="T24" s="77">
        <v>1.0086174545359825</v>
      </c>
      <c r="U24" s="77">
        <v>231.58961624563523</v>
      </c>
      <c r="V24" s="77">
        <v>50.094000000000001</v>
      </c>
      <c r="W24" s="77">
        <v>116.01250236208853</v>
      </c>
      <c r="X24" s="77">
        <v>0.46500000000000002</v>
      </c>
      <c r="Y24" s="77">
        <v>1.076891715542204</v>
      </c>
      <c r="Z24" s="77">
        <v>121.7113311655893</v>
      </c>
      <c r="AA24" s="77">
        <v>60.26405553939636</v>
      </c>
      <c r="AB24" s="77">
        <v>1.0230163396961973</v>
      </c>
      <c r="AC24" s="77">
        <f t="shared" si="1"/>
        <v>353.30094741122451</v>
      </c>
      <c r="AD24" s="77">
        <f t="shared" si="2"/>
        <v>110.35805553939636</v>
      </c>
      <c r="AE24" s="77">
        <f t="shared" si="3"/>
        <v>117.03551870178472</v>
      </c>
    </row>
    <row r="25" spans="1:31" x14ac:dyDescent="0.25">
      <c r="A25" s="76">
        <v>2011</v>
      </c>
      <c r="B25" s="76" t="s">
        <v>380</v>
      </c>
      <c r="C25" s="76" t="s">
        <v>14</v>
      </c>
      <c r="D25">
        <v>108</v>
      </c>
      <c r="E25">
        <v>10</v>
      </c>
      <c r="F25" s="76" t="s">
        <v>35</v>
      </c>
      <c r="G25">
        <v>0</v>
      </c>
      <c r="H25">
        <v>0</v>
      </c>
      <c r="I25" s="96" t="s">
        <v>12</v>
      </c>
      <c r="J25">
        <v>11.25</v>
      </c>
      <c r="K25" s="78">
        <v>0</v>
      </c>
      <c r="L25" s="78">
        <v>0</v>
      </c>
      <c r="M25" s="78">
        <v>0</v>
      </c>
      <c r="N25" s="78">
        <v>0</v>
      </c>
      <c r="O25" s="78">
        <v>0</v>
      </c>
      <c r="P25" s="77">
        <v>183.7612041265009</v>
      </c>
      <c r="Q25" s="77">
        <v>48.906999999999996</v>
      </c>
      <c r="R25" s="77">
        <v>89.872092102147789</v>
      </c>
      <c r="S25" s="77">
        <v>0.93899999999999995</v>
      </c>
      <c r="T25" s="77">
        <v>1.7255177067478433</v>
      </c>
      <c r="U25" s="78">
        <v>0</v>
      </c>
      <c r="V25" s="78">
        <v>0</v>
      </c>
      <c r="W25" s="78">
        <v>0</v>
      </c>
      <c r="X25" s="78">
        <v>0</v>
      </c>
      <c r="Y25" s="78">
        <v>0</v>
      </c>
      <c r="Z25" s="77">
        <v>183.7612041265009</v>
      </c>
      <c r="AA25" s="77">
        <v>89.872092102147789</v>
      </c>
      <c r="AB25" s="77">
        <v>1.7255177067478433</v>
      </c>
      <c r="AC25" s="77">
        <f t="shared" si="1"/>
        <v>183.7612041265009</v>
      </c>
      <c r="AD25" s="77">
        <f t="shared" si="2"/>
        <v>89.872092102147789</v>
      </c>
      <c r="AE25" s="77">
        <f t="shared" si="3"/>
        <v>1.7255177067478433</v>
      </c>
    </row>
    <row r="26" spans="1:31" x14ac:dyDescent="0.25">
      <c r="A26" s="76">
        <v>2011</v>
      </c>
      <c r="B26" s="76" t="s">
        <v>380</v>
      </c>
      <c r="C26" s="76" t="s">
        <v>381</v>
      </c>
      <c r="D26">
        <v>103</v>
      </c>
      <c r="E26">
        <v>2</v>
      </c>
      <c r="F26" s="76" t="s">
        <v>35</v>
      </c>
      <c r="G26">
        <v>0</v>
      </c>
      <c r="H26">
        <v>0</v>
      </c>
      <c r="I26" s="96" t="s">
        <v>11</v>
      </c>
      <c r="J26">
        <v>5.25</v>
      </c>
      <c r="K26" s="78">
        <v>0</v>
      </c>
      <c r="L26" s="78">
        <v>0</v>
      </c>
      <c r="M26" s="78">
        <v>0</v>
      </c>
      <c r="N26" s="78">
        <v>0</v>
      </c>
      <c r="O26" s="78">
        <v>0</v>
      </c>
      <c r="P26" s="77">
        <v>15.392528274755964</v>
      </c>
      <c r="Q26" s="77">
        <v>51.96</v>
      </c>
      <c r="R26" s="77">
        <v>7.9979576915632</v>
      </c>
      <c r="S26" s="77">
        <v>1.038</v>
      </c>
      <c r="T26" s="77">
        <v>0.1597744434919669</v>
      </c>
      <c r="U26" s="77">
        <v>65.653845090285628</v>
      </c>
      <c r="V26" s="77">
        <v>50.820999999999998</v>
      </c>
      <c r="W26" s="77">
        <v>33.365940613334054</v>
      </c>
      <c r="X26" s="77">
        <v>0.45600000000000002</v>
      </c>
      <c r="Y26" s="77">
        <v>0.29938153361170244</v>
      </c>
      <c r="Z26" s="77">
        <v>15.392528274755964</v>
      </c>
      <c r="AA26" s="77">
        <v>7.9979576915632</v>
      </c>
      <c r="AB26" s="77">
        <v>0.1597744434919669</v>
      </c>
      <c r="AC26" s="77">
        <f t="shared" si="1"/>
        <v>81.046373365041589</v>
      </c>
      <c r="AD26" s="77">
        <f t="shared" si="2"/>
        <v>58.818957691563199</v>
      </c>
      <c r="AE26" s="77">
        <f t="shared" si="3"/>
        <v>33.525715056826023</v>
      </c>
    </row>
    <row r="27" spans="1:31" x14ac:dyDescent="0.25">
      <c r="A27" s="76">
        <v>2011</v>
      </c>
      <c r="B27" s="76" t="s">
        <v>380</v>
      </c>
      <c r="C27" s="76" t="s">
        <v>381</v>
      </c>
      <c r="D27">
        <v>103</v>
      </c>
      <c r="E27">
        <v>2</v>
      </c>
      <c r="F27" s="76" t="s">
        <v>35</v>
      </c>
      <c r="G27">
        <v>0</v>
      </c>
      <c r="H27">
        <v>0</v>
      </c>
      <c r="I27" s="96" t="s">
        <v>12</v>
      </c>
      <c r="J27">
        <v>10.75</v>
      </c>
      <c r="K27" s="78">
        <v>0</v>
      </c>
      <c r="L27" s="78">
        <v>0</v>
      </c>
      <c r="M27" s="78">
        <v>0</v>
      </c>
      <c r="N27" s="78">
        <v>0</v>
      </c>
      <c r="O27" s="78">
        <v>0</v>
      </c>
      <c r="P27" s="77">
        <v>13.653511731110965</v>
      </c>
      <c r="Q27" s="77">
        <v>45.09</v>
      </c>
      <c r="R27" s="77">
        <v>6.1563684395579346</v>
      </c>
      <c r="S27" s="77">
        <v>1.6879999999999999</v>
      </c>
      <c r="T27" s="77">
        <v>0.23047127802115308</v>
      </c>
      <c r="U27" s="78">
        <v>0</v>
      </c>
      <c r="V27" s="78">
        <v>0</v>
      </c>
      <c r="W27" s="78">
        <v>0</v>
      </c>
      <c r="X27" s="78">
        <v>0</v>
      </c>
      <c r="Y27" s="78">
        <v>0</v>
      </c>
      <c r="Z27" s="77">
        <v>13.653511731110965</v>
      </c>
      <c r="AA27" s="77">
        <v>6.1563684395579346</v>
      </c>
      <c r="AB27" s="77">
        <v>0.23047127802115308</v>
      </c>
      <c r="AC27" s="77">
        <f t="shared" si="1"/>
        <v>13.653511731110965</v>
      </c>
      <c r="AD27" s="77">
        <f t="shared" si="2"/>
        <v>6.1563684395579346</v>
      </c>
      <c r="AE27" s="77">
        <f t="shared" si="3"/>
        <v>0.23047127802115308</v>
      </c>
    </row>
    <row r="28" spans="1:31" x14ac:dyDescent="0.25">
      <c r="A28" s="76">
        <v>2011</v>
      </c>
      <c r="B28" s="76" t="s">
        <v>380</v>
      </c>
      <c r="C28" s="76" t="s">
        <v>381</v>
      </c>
      <c r="D28">
        <v>103</v>
      </c>
      <c r="E28">
        <v>2</v>
      </c>
      <c r="F28" s="76" t="s">
        <v>35</v>
      </c>
      <c r="G28">
        <v>0</v>
      </c>
      <c r="H28">
        <v>0</v>
      </c>
      <c r="I28" s="96" t="s">
        <v>13</v>
      </c>
      <c r="J28">
        <v>5.75</v>
      </c>
      <c r="K28" s="78">
        <v>0</v>
      </c>
      <c r="L28" s="78">
        <v>0</v>
      </c>
      <c r="M28" s="78">
        <v>0</v>
      </c>
      <c r="N28" s="78">
        <v>0</v>
      </c>
      <c r="O28" s="78">
        <v>0</v>
      </c>
      <c r="P28" s="77">
        <v>53.560409724793288</v>
      </c>
      <c r="Q28" s="77">
        <v>43.27</v>
      </c>
      <c r="R28" s="77">
        <v>23.175589287918058</v>
      </c>
      <c r="S28" s="77">
        <v>1.69</v>
      </c>
      <c r="T28" s="77">
        <v>0.90517092434900648</v>
      </c>
      <c r="U28" s="78">
        <v>0</v>
      </c>
      <c r="V28" s="78">
        <v>0</v>
      </c>
      <c r="W28" s="78">
        <v>0</v>
      </c>
      <c r="X28" s="78">
        <v>0</v>
      </c>
      <c r="Y28" s="78">
        <v>0</v>
      </c>
      <c r="Z28" s="77">
        <v>53.560409724793288</v>
      </c>
      <c r="AA28" s="77">
        <v>23.175589287918058</v>
      </c>
      <c r="AB28" s="77">
        <v>0.90517092434900648</v>
      </c>
      <c r="AC28" s="77">
        <f t="shared" si="1"/>
        <v>53.560409724793288</v>
      </c>
      <c r="AD28" s="77">
        <f t="shared" si="2"/>
        <v>23.175589287918058</v>
      </c>
      <c r="AE28" s="77">
        <f t="shared" si="3"/>
        <v>0.90517092434900648</v>
      </c>
    </row>
    <row r="29" spans="1:31" x14ac:dyDescent="0.25">
      <c r="A29" s="76">
        <v>2011</v>
      </c>
      <c r="B29" s="76" t="s">
        <v>380</v>
      </c>
      <c r="C29" s="76" t="s">
        <v>381</v>
      </c>
      <c r="D29">
        <v>103</v>
      </c>
      <c r="E29">
        <v>4</v>
      </c>
      <c r="F29" s="76" t="s">
        <v>35</v>
      </c>
      <c r="G29">
        <v>1</v>
      </c>
      <c r="H29">
        <v>0</v>
      </c>
      <c r="I29" s="96" t="s">
        <v>11</v>
      </c>
      <c r="J29">
        <v>4.5</v>
      </c>
      <c r="K29" s="77">
        <v>120.19007446753112</v>
      </c>
      <c r="L29" s="77">
        <v>46.792999999999999</v>
      </c>
      <c r="M29" s="77">
        <v>56.240541545591839</v>
      </c>
      <c r="N29" s="77">
        <v>0.52400000000000002</v>
      </c>
      <c r="O29" s="77">
        <v>0.6297959902098631</v>
      </c>
      <c r="P29" s="78">
        <v>0</v>
      </c>
      <c r="Q29" s="78">
        <v>0</v>
      </c>
      <c r="R29" s="78">
        <v>0</v>
      </c>
      <c r="S29" s="78">
        <v>0</v>
      </c>
      <c r="T29" s="78">
        <v>0</v>
      </c>
      <c r="U29" s="78">
        <v>0</v>
      </c>
      <c r="V29" s="78">
        <v>0</v>
      </c>
      <c r="W29" s="78">
        <v>0</v>
      </c>
      <c r="X29" s="78">
        <v>0</v>
      </c>
      <c r="Y29" s="78">
        <v>0</v>
      </c>
      <c r="Z29" s="77">
        <v>120.19007446753112</v>
      </c>
      <c r="AA29" s="77">
        <v>56.240541545591839</v>
      </c>
      <c r="AB29" s="77">
        <v>0.6297959902098631</v>
      </c>
      <c r="AC29" s="77">
        <f t="shared" si="1"/>
        <v>120.19007446753112</v>
      </c>
      <c r="AD29" s="77">
        <f t="shared" si="2"/>
        <v>56.240541545591839</v>
      </c>
      <c r="AE29" s="77">
        <f t="shared" si="3"/>
        <v>0.6297959902098631</v>
      </c>
    </row>
    <row r="30" spans="1:31" x14ac:dyDescent="0.25">
      <c r="A30" s="76">
        <v>2011</v>
      </c>
      <c r="B30" s="76" t="s">
        <v>380</v>
      </c>
      <c r="C30" s="76" t="s">
        <v>381</v>
      </c>
      <c r="D30">
        <v>103</v>
      </c>
      <c r="E30">
        <v>4</v>
      </c>
      <c r="F30" s="76" t="s">
        <v>35</v>
      </c>
      <c r="G30">
        <v>1</v>
      </c>
      <c r="H30">
        <v>0</v>
      </c>
      <c r="I30" s="96" t="s">
        <v>12</v>
      </c>
      <c r="J30">
        <v>6</v>
      </c>
      <c r="K30" s="77">
        <v>73.190504670767822</v>
      </c>
      <c r="L30" s="77">
        <v>44.63</v>
      </c>
      <c r="M30" s="77">
        <v>32.664922234563683</v>
      </c>
      <c r="N30" s="77">
        <v>0.46800000000000003</v>
      </c>
      <c r="O30" s="77">
        <v>0.34253156185919342</v>
      </c>
      <c r="P30" s="77">
        <v>23.777625882889037</v>
      </c>
      <c r="Q30" s="77">
        <v>51.314999999999998</v>
      </c>
      <c r="R30" s="77">
        <v>12.201488721804509</v>
      </c>
      <c r="S30" s="77">
        <v>0.69599999999999995</v>
      </c>
      <c r="T30" s="77">
        <v>0.16549227614490769</v>
      </c>
      <c r="U30" s="78">
        <v>0</v>
      </c>
      <c r="V30" s="78">
        <v>0</v>
      </c>
      <c r="W30" s="78">
        <v>0</v>
      </c>
      <c r="X30" s="78">
        <v>0</v>
      </c>
      <c r="Y30" s="78">
        <v>0</v>
      </c>
      <c r="Z30" s="77">
        <v>96.968130553656863</v>
      </c>
      <c r="AA30" s="77">
        <v>44.866410956368192</v>
      </c>
      <c r="AB30" s="77">
        <v>0.50802383800410111</v>
      </c>
      <c r="AC30" s="77">
        <f t="shared" si="1"/>
        <v>96.968130553656863</v>
      </c>
      <c r="AD30" s="77">
        <f t="shared" si="2"/>
        <v>44.866410956368192</v>
      </c>
      <c r="AE30" s="77">
        <f t="shared" si="3"/>
        <v>0.50802383800410111</v>
      </c>
    </row>
    <row r="31" spans="1:31" x14ac:dyDescent="0.25">
      <c r="A31" s="76">
        <v>2011</v>
      </c>
      <c r="B31" s="76" t="s">
        <v>380</v>
      </c>
      <c r="C31" s="76" t="s">
        <v>381</v>
      </c>
      <c r="D31">
        <v>103</v>
      </c>
      <c r="E31">
        <v>6</v>
      </c>
      <c r="F31" s="76" t="s">
        <v>35</v>
      </c>
      <c r="G31">
        <v>1</v>
      </c>
      <c r="H31">
        <v>0</v>
      </c>
      <c r="I31" s="96" t="s">
        <v>11</v>
      </c>
      <c r="J31">
        <v>5.25</v>
      </c>
      <c r="K31" s="77">
        <v>9.6942587744936084</v>
      </c>
      <c r="L31" s="77">
        <v>45.411999999999999</v>
      </c>
      <c r="M31" s="77">
        <v>4.4023567946730369</v>
      </c>
      <c r="N31" s="77">
        <v>0.59099999999999997</v>
      </c>
      <c r="O31" s="77">
        <v>5.7293069357257219E-2</v>
      </c>
      <c r="P31" s="77">
        <v>55.857395795891726</v>
      </c>
      <c r="Q31" s="77">
        <v>47.74</v>
      </c>
      <c r="R31" s="77">
        <v>26.666320752958711</v>
      </c>
      <c r="S31" s="77">
        <v>1.149</v>
      </c>
      <c r="T31" s="77">
        <v>0.6418014776947959</v>
      </c>
      <c r="U31" s="78">
        <v>0</v>
      </c>
      <c r="V31" s="78">
        <v>0</v>
      </c>
      <c r="W31" s="78">
        <v>0</v>
      </c>
      <c r="X31" s="78">
        <v>0</v>
      </c>
      <c r="Y31" s="78">
        <v>0</v>
      </c>
      <c r="Z31" s="77">
        <v>65.551654570385338</v>
      </c>
      <c r="AA31" s="77">
        <v>31.068677547631747</v>
      </c>
      <c r="AB31" s="77">
        <v>0.69909454705205309</v>
      </c>
      <c r="AC31" s="77">
        <f t="shared" si="1"/>
        <v>65.551654570385338</v>
      </c>
      <c r="AD31" s="77">
        <f t="shared" si="2"/>
        <v>31.068677547631747</v>
      </c>
      <c r="AE31" s="77">
        <f t="shared" si="3"/>
        <v>0.69909454705205309</v>
      </c>
    </row>
    <row r="32" spans="1:31" x14ac:dyDescent="0.25">
      <c r="A32" s="76">
        <v>2011</v>
      </c>
      <c r="B32" s="76" t="s">
        <v>380</v>
      </c>
      <c r="C32" s="76" t="s">
        <v>381</v>
      </c>
      <c r="D32">
        <v>103</v>
      </c>
      <c r="E32">
        <v>6</v>
      </c>
      <c r="F32" s="76" t="s">
        <v>35</v>
      </c>
      <c r="G32">
        <v>1</v>
      </c>
      <c r="H32">
        <v>0</v>
      </c>
      <c r="I32" s="96" t="s">
        <v>12</v>
      </c>
      <c r="J32">
        <v>7.25</v>
      </c>
      <c r="K32" s="77">
        <v>22.368813618813622</v>
      </c>
      <c r="L32" s="77">
        <v>45.981000000000002</v>
      </c>
      <c r="M32" s="77">
        <v>10.285404190066691</v>
      </c>
      <c r="N32" s="77">
        <v>0.83699999999999997</v>
      </c>
      <c r="O32" s="77">
        <v>0.18722696998947</v>
      </c>
      <c r="P32" s="77">
        <v>118.4231309231309</v>
      </c>
      <c r="Q32" s="77">
        <v>48.69</v>
      </c>
      <c r="R32" s="77">
        <v>57.660222446472432</v>
      </c>
      <c r="S32" s="77">
        <v>0.71</v>
      </c>
      <c r="T32" s="77">
        <v>0.84080422955422929</v>
      </c>
      <c r="U32" s="78">
        <v>0</v>
      </c>
      <c r="V32" s="78">
        <v>0</v>
      </c>
      <c r="W32" s="78">
        <v>0</v>
      </c>
      <c r="X32" s="78">
        <v>0</v>
      </c>
      <c r="Y32" s="78">
        <v>0</v>
      </c>
      <c r="Z32" s="77">
        <v>140.79194454194453</v>
      </c>
      <c r="AA32" s="77">
        <v>67.945626636539117</v>
      </c>
      <c r="AB32" s="77">
        <v>1.0280311995436993</v>
      </c>
      <c r="AC32" s="77">
        <f t="shared" si="1"/>
        <v>140.79194454194453</v>
      </c>
      <c r="AD32" s="77">
        <f t="shared" si="2"/>
        <v>67.945626636539117</v>
      </c>
      <c r="AE32" s="77">
        <f t="shared" si="3"/>
        <v>1.0280311995436993</v>
      </c>
    </row>
    <row r="33" spans="1:31" x14ac:dyDescent="0.25">
      <c r="A33" s="76">
        <v>2011</v>
      </c>
      <c r="B33" s="76" t="s">
        <v>380</v>
      </c>
      <c r="C33" s="76" t="s">
        <v>381</v>
      </c>
      <c r="D33">
        <v>103</v>
      </c>
      <c r="E33">
        <v>8</v>
      </c>
      <c r="F33" s="76" t="s">
        <v>35</v>
      </c>
      <c r="G33">
        <v>1</v>
      </c>
      <c r="H33">
        <v>0</v>
      </c>
      <c r="I33" s="96" t="s">
        <v>11</v>
      </c>
      <c r="J33">
        <v>6</v>
      </c>
      <c r="K33" s="78">
        <v>0</v>
      </c>
      <c r="L33" s="78">
        <v>0</v>
      </c>
      <c r="M33" s="78">
        <v>0</v>
      </c>
      <c r="N33" s="78">
        <v>0</v>
      </c>
      <c r="O33" s="78">
        <v>0</v>
      </c>
      <c r="P33" s="77">
        <v>25.764705882352938</v>
      </c>
      <c r="Q33" s="77">
        <v>46.884999999999998</v>
      </c>
      <c r="R33" s="77">
        <v>12.079782352941175</v>
      </c>
      <c r="S33" s="77">
        <v>0.84399999999999997</v>
      </c>
      <c r="T33" s="77">
        <v>0.2174541176470588</v>
      </c>
      <c r="U33" s="78">
        <v>0</v>
      </c>
      <c r="V33" s="78">
        <v>0</v>
      </c>
      <c r="W33" s="78">
        <v>0</v>
      </c>
      <c r="X33" s="78">
        <v>0</v>
      </c>
      <c r="Y33" s="78">
        <v>0</v>
      </c>
      <c r="Z33" s="77">
        <v>25.764705882352938</v>
      </c>
      <c r="AA33" s="77">
        <v>12.079782352941175</v>
      </c>
      <c r="AB33" s="77">
        <v>0.2174541176470588</v>
      </c>
      <c r="AC33" s="77">
        <f t="shared" si="1"/>
        <v>25.764705882352938</v>
      </c>
      <c r="AD33" s="77">
        <f t="shared" si="2"/>
        <v>12.079782352941175</v>
      </c>
      <c r="AE33" s="77">
        <f t="shared" si="3"/>
        <v>0.2174541176470588</v>
      </c>
    </row>
    <row r="34" spans="1:31" x14ac:dyDescent="0.25">
      <c r="A34" s="76">
        <v>2011</v>
      </c>
      <c r="B34" s="76" t="s">
        <v>380</v>
      </c>
      <c r="C34" s="76" t="s">
        <v>381</v>
      </c>
      <c r="D34">
        <v>103</v>
      </c>
      <c r="E34">
        <v>8</v>
      </c>
      <c r="F34" s="76" t="s">
        <v>35</v>
      </c>
      <c r="G34">
        <v>1</v>
      </c>
      <c r="H34">
        <v>0</v>
      </c>
      <c r="I34" s="96" t="s">
        <v>12</v>
      </c>
      <c r="J34">
        <v>9.25</v>
      </c>
      <c r="K34" s="77">
        <v>17.128812016385982</v>
      </c>
      <c r="L34" s="77">
        <v>46.704000000000001</v>
      </c>
      <c r="M34" s="77">
        <v>7.9998403641329094</v>
      </c>
      <c r="N34" s="77">
        <v>0.52900000000000003</v>
      </c>
      <c r="O34" s="77">
        <v>9.0611415566681855E-2</v>
      </c>
      <c r="P34" s="77">
        <v>46.492489758761955</v>
      </c>
      <c r="Q34" s="77">
        <v>36.079000000000001</v>
      </c>
      <c r="R34" s="77">
        <v>16.774025380063726</v>
      </c>
      <c r="S34" s="77">
        <v>0.63800000000000001</v>
      </c>
      <c r="T34" s="77">
        <v>0.29662208466090129</v>
      </c>
      <c r="U34" s="78">
        <v>0</v>
      </c>
      <c r="V34" s="78">
        <v>0</v>
      </c>
      <c r="W34" s="78">
        <v>0</v>
      </c>
      <c r="X34" s="78">
        <v>0</v>
      </c>
      <c r="Y34" s="78">
        <v>0</v>
      </c>
      <c r="Z34" s="77">
        <v>63.621301775147941</v>
      </c>
      <c r="AA34" s="77">
        <v>24.773865744196634</v>
      </c>
      <c r="AB34" s="77">
        <v>0.38723350022758313</v>
      </c>
      <c r="AC34" s="77">
        <f t="shared" si="1"/>
        <v>63.621301775147941</v>
      </c>
      <c r="AD34" s="77">
        <f t="shared" si="2"/>
        <v>24.773865744196634</v>
      </c>
      <c r="AE34" s="77">
        <f t="shared" si="3"/>
        <v>0.38723350022758313</v>
      </c>
    </row>
    <row r="35" spans="1:31" x14ac:dyDescent="0.25">
      <c r="A35" s="76">
        <v>2011</v>
      </c>
      <c r="B35" s="76" t="s">
        <v>380</v>
      </c>
      <c r="C35" s="76" t="s">
        <v>381</v>
      </c>
      <c r="D35">
        <v>103</v>
      </c>
      <c r="E35">
        <v>8</v>
      </c>
      <c r="F35" s="76" t="s">
        <v>35</v>
      </c>
      <c r="G35">
        <v>1</v>
      </c>
      <c r="H35">
        <v>0</v>
      </c>
      <c r="I35" s="96" t="s">
        <v>13</v>
      </c>
      <c r="J35">
        <v>4</v>
      </c>
      <c r="K35" s="77">
        <v>44.26046280581199</v>
      </c>
      <c r="L35" s="77">
        <v>46.180999999999997</v>
      </c>
      <c r="M35" s="77">
        <v>20.439924328352035</v>
      </c>
      <c r="N35" s="77">
        <v>0.72399999999999998</v>
      </c>
      <c r="O35" s="77">
        <v>0.32044575071407883</v>
      </c>
      <c r="P35" s="77">
        <v>104.91368961377657</v>
      </c>
      <c r="Q35" s="77">
        <v>43.421999999999997</v>
      </c>
      <c r="R35" s="77">
        <v>45.555622304094058</v>
      </c>
      <c r="S35" s="77">
        <v>0.79200000000000004</v>
      </c>
      <c r="T35" s="77">
        <v>0.83091642174111047</v>
      </c>
      <c r="U35" s="77">
        <v>327.30885457631337</v>
      </c>
      <c r="V35" s="77">
        <v>50.552</v>
      </c>
      <c r="W35" s="77">
        <v>165.46117216541793</v>
      </c>
      <c r="X35" s="77">
        <v>0.40899999999999997</v>
      </c>
      <c r="Y35" s="77">
        <v>1.3386932152171216</v>
      </c>
      <c r="Z35" s="77">
        <v>149.17415241958855</v>
      </c>
      <c r="AA35" s="77">
        <v>65.995546632446093</v>
      </c>
      <c r="AB35" s="77">
        <v>1.1513621724551892</v>
      </c>
      <c r="AC35" s="77">
        <f t="shared" si="1"/>
        <v>476.48300699590192</v>
      </c>
      <c r="AD35" s="77">
        <f t="shared" si="2"/>
        <v>116.54754663244609</v>
      </c>
      <c r="AE35" s="77">
        <f t="shared" si="3"/>
        <v>166.61253433787311</v>
      </c>
    </row>
    <row r="36" spans="1:31" x14ac:dyDescent="0.25">
      <c r="A36" s="76">
        <v>2011</v>
      </c>
      <c r="B36" s="76" t="s">
        <v>380</v>
      </c>
      <c r="C36" s="76" t="s">
        <v>381</v>
      </c>
      <c r="D36">
        <v>103</v>
      </c>
      <c r="E36">
        <v>10</v>
      </c>
      <c r="F36" s="76" t="s">
        <v>35</v>
      </c>
      <c r="G36">
        <v>0</v>
      </c>
      <c r="H36">
        <v>0</v>
      </c>
      <c r="I36" s="96" t="s">
        <v>11</v>
      </c>
      <c r="J36">
        <v>4.75</v>
      </c>
      <c r="K36" s="78">
        <v>0</v>
      </c>
      <c r="L36" s="78">
        <v>0</v>
      </c>
      <c r="M36" s="78">
        <v>0</v>
      </c>
      <c r="N36" s="78">
        <v>0</v>
      </c>
      <c r="O36" s="78">
        <v>0</v>
      </c>
      <c r="P36" s="77">
        <v>0.36494597839135656</v>
      </c>
      <c r="Q36" s="77">
        <v>45.23</v>
      </c>
      <c r="R36" s="77">
        <v>0.16506506602641058</v>
      </c>
      <c r="S36" s="77">
        <v>1.236</v>
      </c>
      <c r="T36" s="77">
        <v>4.510732292917167E-3</v>
      </c>
      <c r="U36" s="78">
        <v>0</v>
      </c>
      <c r="V36" s="78">
        <v>0</v>
      </c>
      <c r="W36" s="78">
        <v>0</v>
      </c>
      <c r="X36" s="78">
        <v>0</v>
      </c>
      <c r="Y36" s="78">
        <v>0</v>
      </c>
      <c r="Z36" s="77">
        <v>0.36494597839135656</v>
      </c>
      <c r="AA36" s="77">
        <v>0.16506506602641058</v>
      </c>
      <c r="AB36" s="77">
        <v>4.510732292917167E-3</v>
      </c>
      <c r="AC36" s="77">
        <f t="shared" si="1"/>
        <v>0.36494597839135656</v>
      </c>
      <c r="AD36" s="77">
        <f t="shared" si="2"/>
        <v>0.16506506602641058</v>
      </c>
      <c r="AE36" s="77">
        <f t="shared" si="3"/>
        <v>4.510732292917167E-3</v>
      </c>
    </row>
    <row r="37" spans="1:31" x14ac:dyDescent="0.25">
      <c r="A37" s="76">
        <v>2011</v>
      </c>
      <c r="B37" s="76" t="s">
        <v>380</v>
      </c>
      <c r="C37" s="76" t="s">
        <v>381</v>
      </c>
      <c r="D37">
        <v>103</v>
      </c>
      <c r="E37">
        <v>10</v>
      </c>
      <c r="F37" s="76" t="s">
        <v>35</v>
      </c>
      <c r="G37">
        <v>0</v>
      </c>
      <c r="H37">
        <v>0</v>
      </c>
      <c r="I37" s="96" t="s">
        <v>12</v>
      </c>
      <c r="J37">
        <v>7.5</v>
      </c>
      <c r="K37" s="77">
        <v>1.4925906088198537</v>
      </c>
      <c r="L37" s="77">
        <v>45.771666666666668</v>
      </c>
      <c r="M37" s="77">
        <v>0.68318359816699403</v>
      </c>
      <c r="N37" s="77">
        <v>0.6113333333333334</v>
      </c>
      <c r="O37" s="77">
        <v>9.1247039219187077E-3</v>
      </c>
      <c r="P37" s="77">
        <v>18.508123549366186</v>
      </c>
      <c r="Q37" s="77">
        <v>45.361333333333334</v>
      </c>
      <c r="R37" s="77">
        <v>8.3955316169731606</v>
      </c>
      <c r="S37" s="77">
        <v>0.68133333333333324</v>
      </c>
      <c r="T37" s="77">
        <v>0.12610201511634828</v>
      </c>
      <c r="U37" s="78">
        <v>0</v>
      </c>
      <c r="V37" s="78">
        <v>0</v>
      </c>
      <c r="W37" s="78">
        <v>0</v>
      </c>
      <c r="X37" s="78">
        <v>0</v>
      </c>
      <c r="Y37" s="78">
        <v>0</v>
      </c>
      <c r="Z37" s="77">
        <v>20.000714158186039</v>
      </c>
      <c r="AA37" s="77">
        <v>9.0787152151401553</v>
      </c>
      <c r="AB37" s="77">
        <v>0.135226719038267</v>
      </c>
      <c r="AC37" s="77">
        <f t="shared" si="1"/>
        <v>20.000714158186039</v>
      </c>
      <c r="AD37" s="77">
        <f t="shared" si="2"/>
        <v>9.0787152151401553</v>
      </c>
      <c r="AE37" s="77">
        <f t="shared" si="3"/>
        <v>0.135226719038267</v>
      </c>
    </row>
    <row r="38" spans="1:31" x14ac:dyDescent="0.25">
      <c r="A38" s="76">
        <v>2011</v>
      </c>
      <c r="B38" s="76" t="s">
        <v>380</v>
      </c>
      <c r="C38" s="76" t="s">
        <v>382</v>
      </c>
      <c r="D38">
        <v>101</v>
      </c>
      <c r="E38">
        <v>2</v>
      </c>
      <c r="F38" s="76" t="s">
        <v>35</v>
      </c>
      <c r="G38">
        <v>0</v>
      </c>
      <c r="H38">
        <v>0</v>
      </c>
      <c r="I38" s="96" t="s">
        <v>11</v>
      </c>
      <c r="J38">
        <v>5.5</v>
      </c>
      <c r="K38" s="77">
        <v>12.110739125696028</v>
      </c>
      <c r="L38" s="77">
        <v>43</v>
      </c>
      <c r="M38" s="77">
        <v>5.2076178240492919</v>
      </c>
      <c r="N38" s="77">
        <v>2</v>
      </c>
      <c r="O38" s="77">
        <v>0.24221478251392056</v>
      </c>
      <c r="P38" s="78">
        <v>0</v>
      </c>
      <c r="Q38" s="78">
        <v>0</v>
      </c>
      <c r="R38" s="78">
        <v>0</v>
      </c>
      <c r="S38" s="78">
        <v>0</v>
      </c>
      <c r="T38" s="78">
        <v>0</v>
      </c>
      <c r="U38" s="78">
        <v>0</v>
      </c>
      <c r="V38" s="78">
        <v>0</v>
      </c>
      <c r="W38" s="78">
        <v>0</v>
      </c>
      <c r="X38" s="78">
        <v>0</v>
      </c>
      <c r="Y38" s="78">
        <v>0</v>
      </c>
      <c r="Z38" s="77">
        <v>12.110739125696028</v>
      </c>
      <c r="AA38" s="77">
        <v>5.2076178240492919</v>
      </c>
      <c r="AB38" s="77">
        <v>0.24221478251392056</v>
      </c>
      <c r="AC38" s="77">
        <f t="shared" si="1"/>
        <v>12.110739125696028</v>
      </c>
      <c r="AD38" s="77">
        <f t="shared" si="2"/>
        <v>5.2076178240492919</v>
      </c>
      <c r="AE38" s="77">
        <f t="shared" si="3"/>
        <v>0.24221478251392056</v>
      </c>
    </row>
    <row r="39" spans="1:31" x14ac:dyDescent="0.25">
      <c r="A39" s="76">
        <v>2011</v>
      </c>
      <c r="B39" s="76" t="s">
        <v>380</v>
      </c>
      <c r="C39" s="76" t="s">
        <v>382</v>
      </c>
      <c r="D39">
        <v>101</v>
      </c>
      <c r="E39">
        <v>4</v>
      </c>
      <c r="F39" s="76" t="s">
        <v>35</v>
      </c>
      <c r="G39">
        <v>0</v>
      </c>
      <c r="H39">
        <v>0</v>
      </c>
      <c r="I39" s="96" t="s">
        <v>11</v>
      </c>
      <c r="J39">
        <v>4</v>
      </c>
      <c r="K39" s="78">
        <v>0</v>
      </c>
      <c r="L39" s="78">
        <v>0</v>
      </c>
      <c r="M39" s="78">
        <v>0</v>
      </c>
      <c r="N39" s="78">
        <v>0</v>
      </c>
      <c r="O39" s="78">
        <v>0</v>
      </c>
      <c r="P39" s="77">
        <v>33.133057506785541</v>
      </c>
      <c r="Q39" s="77">
        <v>45.734000000000002</v>
      </c>
      <c r="R39" s="77">
        <v>15.1530725201533</v>
      </c>
      <c r="S39" s="77">
        <v>1.131</v>
      </c>
      <c r="T39" s="77">
        <v>0.37473488040174446</v>
      </c>
      <c r="U39" s="78">
        <v>0</v>
      </c>
      <c r="V39" s="78">
        <v>0</v>
      </c>
      <c r="W39" s="78">
        <v>0</v>
      </c>
      <c r="X39" s="78">
        <v>0</v>
      </c>
      <c r="Y39" s="78">
        <v>0</v>
      </c>
      <c r="Z39" s="77">
        <v>33.133057506785541</v>
      </c>
      <c r="AA39" s="77">
        <v>15.1530725201533</v>
      </c>
      <c r="AB39" s="77">
        <v>0.37473488040174446</v>
      </c>
      <c r="AC39" s="77">
        <f t="shared" si="1"/>
        <v>33.133057506785541</v>
      </c>
      <c r="AD39" s="77">
        <f t="shared" si="2"/>
        <v>15.1530725201533</v>
      </c>
      <c r="AE39" s="77">
        <f t="shared" si="3"/>
        <v>0.37473488040174446</v>
      </c>
    </row>
    <row r="40" spans="1:31" x14ac:dyDescent="0.25">
      <c r="A40" s="76">
        <v>2011</v>
      </c>
      <c r="B40" s="76" t="s">
        <v>380</v>
      </c>
      <c r="C40" s="76" t="s">
        <v>382</v>
      </c>
      <c r="D40">
        <v>101</v>
      </c>
      <c r="E40">
        <v>4</v>
      </c>
      <c r="F40" s="76" t="s">
        <v>35</v>
      </c>
      <c r="G40">
        <v>0</v>
      </c>
      <c r="H40">
        <v>0</v>
      </c>
      <c r="I40" s="96" t="s">
        <v>12</v>
      </c>
      <c r="J40">
        <v>9.75</v>
      </c>
      <c r="K40" s="77">
        <v>1.0158279220779221</v>
      </c>
      <c r="L40" s="77">
        <v>43</v>
      </c>
      <c r="M40" s="77">
        <v>0.43680600649350648</v>
      </c>
      <c r="N40" s="77">
        <v>2</v>
      </c>
      <c r="O40" s="77">
        <v>2.0316558441558441E-2</v>
      </c>
      <c r="P40" s="77">
        <v>36.344065656565661</v>
      </c>
      <c r="Q40" s="77">
        <v>46.683</v>
      </c>
      <c r="R40" s="77">
        <v>16.966500170454548</v>
      </c>
      <c r="S40" s="77">
        <v>0.72599999999999998</v>
      </c>
      <c r="T40" s="77">
        <v>0.26385791666666669</v>
      </c>
      <c r="U40" s="78">
        <v>0</v>
      </c>
      <c r="V40" s="78">
        <v>0</v>
      </c>
      <c r="W40" s="78">
        <v>0</v>
      </c>
      <c r="X40" s="78">
        <v>0</v>
      </c>
      <c r="Y40" s="78">
        <v>0</v>
      </c>
      <c r="Z40" s="77">
        <v>37.359893578643586</v>
      </c>
      <c r="AA40" s="77">
        <v>17.403306176948053</v>
      </c>
      <c r="AB40" s="77">
        <v>0.28417447510822513</v>
      </c>
      <c r="AC40" s="77">
        <f t="shared" si="1"/>
        <v>37.359893578643586</v>
      </c>
      <c r="AD40" s="77">
        <f t="shared" si="2"/>
        <v>17.403306176948053</v>
      </c>
      <c r="AE40" s="77">
        <f t="shared" si="3"/>
        <v>0.28417447510822513</v>
      </c>
    </row>
    <row r="41" spans="1:31" x14ac:dyDescent="0.25">
      <c r="A41" s="76">
        <v>2011</v>
      </c>
      <c r="B41" s="76" t="s">
        <v>380</v>
      </c>
      <c r="C41" s="76" t="s">
        <v>382</v>
      </c>
      <c r="D41">
        <v>101</v>
      </c>
      <c r="E41">
        <v>6</v>
      </c>
      <c r="F41" s="76" t="s">
        <v>35</v>
      </c>
      <c r="G41">
        <v>0</v>
      </c>
      <c r="H41">
        <v>0</v>
      </c>
      <c r="I41" s="96" t="s">
        <v>11</v>
      </c>
      <c r="J41">
        <v>4.5</v>
      </c>
      <c r="K41" s="78">
        <v>0</v>
      </c>
      <c r="L41" s="78">
        <v>0</v>
      </c>
      <c r="M41" s="78">
        <v>0</v>
      </c>
      <c r="N41" s="78">
        <v>0</v>
      </c>
      <c r="O41" s="78">
        <v>0</v>
      </c>
      <c r="P41" s="77">
        <v>20.793461023836663</v>
      </c>
      <c r="Q41" s="77">
        <v>48.45</v>
      </c>
      <c r="R41" s="77">
        <v>10.074431866048863</v>
      </c>
      <c r="S41" s="77">
        <v>1.1910000000000001</v>
      </c>
      <c r="T41" s="77">
        <v>0.24765012079389467</v>
      </c>
      <c r="U41" s="78">
        <v>0</v>
      </c>
      <c r="V41" s="78">
        <v>0</v>
      </c>
      <c r="W41" s="78">
        <v>0</v>
      </c>
      <c r="X41" s="78">
        <v>0</v>
      </c>
      <c r="Y41" s="78">
        <v>0</v>
      </c>
      <c r="Z41" s="77">
        <v>20.793461023836663</v>
      </c>
      <c r="AA41" s="77">
        <v>10.074431866048863</v>
      </c>
      <c r="AB41" s="77">
        <v>0.24765012079389467</v>
      </c>
      <c r="AC41" s="77">
        <f t="shared" si="1"/>
        <v>20.793461023836663</v>
      </c>
      <c r="AD41" s="77">
        <f t="shared" si="2"/>
        <v>10.074431866048863</v>
      </c>
      <c r="AE41" s="77">
        <f t="shared" si="3"/>
        <v>0.24765012079389467</v>
      </c>
    </row>
    <row r="42" spans="1:31" x14ac:dyDescent="0.25">
      <c r="A42" s="76">
        <v>2011</v>
      </c>
      <c r="B42" s="76" t="s">
        <v>380</v>
      </c>
      <c r="C42" s="76" t="s">
        <v>382</v>
      </c>
      <c r="D42">
        <v>101</v>
      </c>
      <c r="E42">
        <v>6</v>
      </c>
      <c r="F42" s="76" t="s">
        <v>35</v>
      </c>
      <c r="G42">
        <v>0</v>
      </c>
      <c r="H42">
        <v>0</v>
      </c>
      <c r="I42" s="96" t="s">
        <v>12</v>
      </c>
      <c r="J42">
        <v>10</v>
      </c>
      <c r="K42" s="78">
        <v>0</v>
      </c>
      <c r="L42" s="78">
        <v>0</v>
      </c>
      <c r="M42" s="78">
        <v>0</v>
      </c>
      <c r="N42" s="78">
        <v>0</v>
      </c>
      <c r="O42" s="78">
        <v>0</v>
      </c>
      <c r="P42" s="78">
        <v>0</v>
      </c>
      <c r="Q42" s="78">
        <v>0</v>
      </c>
      <c r="R42" s="78">
        <v>0</v>
      </c>
      <c r="S42" s="78">
        <v>0</v>
      </c>
      <c r="T42" s="78">
        <v>0</v>
      </c>
      <c r="U42" s="78">
        <v>0</v>
      </c>
      <c r="V42" s="78">
        <v>0</v>
      </c>
      <c r="W42" s="78">
        <v>0</v>
      </c>
      <c r="X42" s="78">
        <v>0</v>
      </c>
      <c r="Y42" s="78">
        <v>0</v>
      </c>
      <c r="Z42" s="78">
        <v>0</v>
      </c>
      <c r="AA42" s="78">
        <v>0</v>
      </c>
      <c r="AB42" s="78">
        <v>0</v>
      </c>
      <c r="AC42" s="77">
        <f t="shared" si="1"/>
        <v>0</v>
      </c>
      <c r="AD42" s="77">
        <f t="shared" si="2"/>
        <v>0</v>
      </c>
      <c r="AE42" s="77">
        <f t="shared" si="3"/>
        <v>0</v>
      </c>
    </row>
    <row r="43" spans="1:31" x14ac:dyDescent="0.25">
      <c r="A43" s="76">
        <v>2011</v>
      </c>
      <c r="B43" s="76" t="s">
        <v>380</v>
      </c>
      <c r="C43" s="76" t="s">
        <v>382</v>
      </c>
      <c r="D43">
        <v>101</v>
      </c>
      <c r="E43">
        <v>6</v>
      </c>
      <c r="F43" s="76" t="s">
        <v>35</v>
      </c>
      <c r="G43">
        <v>0</v>
      </c>
      <c r="H43">
        <v>0</v>
      </c>
      <c r="I43" s="96" t="s">
        <v>13</v>
      </c>
      <c r="J43">
        <v>6</v>
      </c>
      <c r="K43" s="78">
        <v>0</v>
      </c>
      <c r="L43" s="78">
        <v>0</v>
      </c>
      <c r="M43" s="78">
        <v>0</v>
      </c>
      <c r="N43" s="78">
        <v>0</v>
      </c>
      <c r="O43" s="78">
        <v>0</v>
      </c>
      <c r="P43" s="78">
        <v>0</v>
      </c>
      <c r="Q43" s="78">
        <v>0</v>
      </c>
      <c r="R43" s="78">
        <v>0</v>
      </c>
      <c r="S43" s="78">
        <v>0</v>
      </c>
      <c r="T43" s="78">
        <v>0</v>
      </c>
      <c r="U43" s="78">
        <v>0</v>
      </c>
      <c r="V43" s="78">
        <v>0</v>
      </c>
      <c r="W43" s="78">
        <v>0</v>
      </c>
      <c r="X43" s="78">
        <v>0</v>
      </c>
      <c r="Y43" s="78">
        <v>0</v>
      </c>
      <c r="Z43" s="78">
        <v>0</v>
      </c>
      <c r="AA43" s="78">
        <v>0</v>
      </c>
      <c r="AB43" s="78">
        <v>0</v>
      </c>
      <c r="AC43" s="77">
        <f t="shared" si="1"/>
        <v>0</v>
      </c>
      <c r="AD43" s="77">
        <f t="shared" si="2"/>
        <v>0</v>
      </c>
      <c r="AE43" s="77">
        <f t="shared" si="3"/>
        <v>0</v>
      </c>
    </row>
    <row r="44" spans="1:31" x14ac:dyDescent="0.25">
      <c r="A44" s="76">
        <v>2011</v>
      </c>
      <c r="B44" s="76" t="s">
        <v>380</v>
      </c>
      <c r="C44" s="76" t="s">
        <v>382</v>
      </c>
      <c r="D44">
        <v>101</v>
      </c>
      <c r="E44">
        <v>8</v>
      </c>
      <c r="F44" s="76" t="s">
        <v>35</v>
      </c>
      <c r="G44">
        <v>1</v>
      </c>
      <c r="H44">
        <v>0</v>
      </c>
      <c r="I44" s="96" t="s">
        <v>11</v>
      </c>
      <c r="J44">
        <v>5.75</v>
      </c>
      <c r="K44" s="77">
        <v>51.33846153846153</v>
      </c>
      <c r="L44" s="77">
        <v>43.393000000000001</v>
      </c>
      <c r="M44" s="77">
        <v>22.277298615384613</v>
      </c>
      <c r="N44" s="77">
        <v>2.052</v>
      </c>
      <c r="O44" s="77">
        <v>1.0534652307692307</v>
      </c>
      <c r="P44" s="78">
        <v>0</v>
      </c>
      <c r="Q44" s="78">
        <v>0</v>
      </c>
      <c r="R44" s="78">
        <v>0</v>
      </c>
      <c r="S44" s="78">
        <v>0</v>
      </c>
      <c r="T44" s="78">
        <v>0</v>
      </c>
      <c r="U44" s="78">
        <v>0</v>
      </c>
      <c r="V44" s="78">
        <v>0</v>
      </c>
      <c r="W44" s="78">
        <v>0</v>
      </c>
      <c r="X44" s="78">
        <v>0</v>
      </c>
      <c r="Y44" s="78">
        <v>0</v>
      </c>
      <c r="Z44" s="77">
        <v>51.33846153846153</v>
      </c>
      <c r="AA44" s="77">
        <v>22.277298615384613</v>
      </c>
      <c r="AB44" s="77">
        <v>1.0534652307692307</v>
      </c>
      <c r="AC44" s="77">
        <f t="shared" si="1"/>
        <v>51.33846153846153</v>
      </c>
      <c r="AD44" s="77">
        <f t="shared" si="2"/>
        <v>22.277298615384613</v>
      </c>
      <c r="AE44" s="77">
        <f t="shared" si="3"/>
        <v>1.0534652307692307</v>
      </c>
    </row>
    <row r="45" spans="1:31" x14ac:dyDescent="0.25">
      <c r="A45" s="76">
        <v>2011</v>
      </c>
      <c r="B45" s="76" t="s">
        <v>380</v>
      </c>
      <c r="C45" s="76" t="s">
        <v>382</v>
      </c>
      <c r="D45">
        <v>101</v>
      </c>
      <c r="E45">
        <v>8</v>
      </c>
      <c r="F45" s="76" t="s">
        <v>35</v>
      </c>
      <c r="G45">
        <v>1</v>
      </c>
      <c r="H45">
        <v>0</v>
      </c>
      <c r="I45" s="96" t="s">
        <v>12</v>
      </c>
      <c r="J45">
        <v>9.75</v>
      </c>
      <c r="K45" s="77">
        <v>19.805296765414006</v>
      </c>
      <c r="L45" s="77">
        <v>43.573</v>
      </c>
      <c r="M45" s="77">
        <v>8.6297619595938446</v>
      </c>
      <c r="N45" s="77">
        <v>2.6120000000000001</v>
      </c>
      <c r="O45" s="77">
        <v>0.51731435151261385</v>
      </c>
      <c r="P45" s="78">
        <v>0</v>
      </c>
      <c r="Q45" s="78">
        <v>0</v>
      </c>
      <c r="R45" s="78">
        <v>0</v>
      </c>
      <c r="S45" s="78">
        <v>0</v>
      </c>
      <c r="T45" s="78">
        <v>0</v>
      </c>
      <c r="U45" s="78">
        <v>0</v>
      </c>
      <c r="V45" s="78">
        <v>0</v>
      </c>
      <c r="W45" s="78">
        <v>0</v>
      </c>
      <c r="X45" s="78">
        <v>0</v>
      </c>
      <c r="Y45" s="78">
        <v>0</v>
      </c>
      <c r="Z45" s="77">
        <v>19.805296765414006</v>
      </c>
      <c r="AA45" s="77">
        <v>8.6297619595938446</v>
      </c>
      <c r="AB45" s="77">
        <v>0.51731435151261385</v>
      </c>
      <c r="AC45" s="77">
        <f t="shared" si="1"/>
        <v>19.805296765414006</v>
      </c>
      <c r="AD45" s="77">
        <f t="shared" si="2"/>
        <v>8.6297619595938446</v>
      </c>
      <c r="AE45" s="77">
        <f t="shared" si="3"/>
        <v>0.51731435151261385</v>
      </c>
    </row>
    <row r="46" spans="1:31" x14ac:dyDescent="0.25">
      <c r="A46" s="76">
        <v>2011</v>
      </c>
      <c r="B46" s="76" t="s">
        <v>380</v>
      </c>
      <c r="C46" s="76" t="s">
        <v>382</v>
      </c>
      <c r="D46">
        <v>101</v>
      </c>
      <c r="E46">
        <v>10</v>
      </c>
      <c r="F46" s="76" t="s">
        <v>35</v>
      </c>
      <c r="G46">
        <v>0</v>
      </c>
      <c r="H46">
        <v>0</v>
      </c>
      <c r="I46" s="96" t="s">
        <v>11</v>
      </c>
      <c r="J46">
        <v>5.75</v>
      </c>
      <c r="K46" s="78">
        <v>0</v>
      </c>
      <c r="L46" s="78">
        <v>0</v>
      </c>
      <c r="M46" s="78">
        <v>0</v>
      </c>
      <c r="N46" s="78">
        <v>0</v>
      </c>
      <c r="O46" s="78">
        <v>0</v>
      </c>
      <c r="P46" s="77">
        <v>10.292974588938716</v>
      </c>
      <c r="Q46" s="77">
        <v>47.024999999999999</v>
      </c>
      <c r="R46" s="77">
        <v>4.840271300448431</v>
      </c>
      <c r="S46" s="77">
        <v>0.83299999999999996</v>
      </c>
      <c r="T46" s="77">
        <v>8.5740478325859487E-2</v>
      </c>
      <c r="U46" s="78">
        <v>0</v>
      </c>
      <c r="V46" s="78">
        <v>0</v>
      </c>
      <c r="W46" s="78">
        <v>0</v>
      </c>
      <c r="X46" s="78">
        <v>0</v>
      </c>
      <c r="Y46" s="78">
        <v>0</v>
      </c>
      <c r="Z46" s="77">
        <v>10.292974588938716</v>
      </c>
      <c r="AA46" s="77">
        <v>4.840271300448431</v>
      </c>
      <c r="AB46" s="77">
        <v>8.5740478325859487E-2</v>
      </c>
      <c r="AC46" s="77">
        <f t="shared" si="1"/>
        <v>10.292974588938716</v>
      </c>
      <c r="AD46" s="77">
        <f t="shared" si="2"/>
        <v>4.840271300448431</v>
      </c>
      <c r="AE46" s="77">
        <f t="shared" si="3"/>
        <v>8.5740478325859487E-2</v>
      </c>
    </row>
    <row r="47" spans="1:31" x14ac:dyDescent="0.25">
      <c r="A47" s="76">
        <v>2011</v>
      </c>
      <c r="B47" s="76" t="s">
        <v>380</v>
      </c>
      <c r="C47" s="76" t="s">
        <v>382</v>
      </c>
      <c r="D47">
        <v>111</v>
      </c>
      <c r="E47">
        <v>2</v>
      </c>
      <c r="F47" s="76" t="s">
        <v>35</v>
      </c>
      <c r="G47">
        <v>0</v>
      </c>
      <c r="H47">
        <v>0</v>
      </c>
      <c r="I47" s="96" t="s">
        <v>11</v>
      </c>
      <c r="J47">
        <v>5</v>
      </c>
      <c r="K47" s="78">
        <v>0</v>
      </c>
      <c r="L47" s="78">
        <v>0</v>
      </c>
      <c r="M47" s="78">
        <v>0</v>
      </c>
      <c r="N47" s="78">
        <v>0</v>
      </c>
      <c r="O47" s="78">
        <v>0</v>
      </c>
      <c r="P47" s="78">
        <v>0</v>
      </c>
      <c r="Q47" s="78">
        <v>0</v>
      </c>
      <c r="R47" s="78">
        <v>0</v>
      </c>
      <c r="S47" s="78">
        <v>0</v>
      </c>
      <c r="T47" s="78">
        <v>0</v>
      </c>
      <c r="U47" s="78">
        <v>0</v>
      </c>
      <c r="V47" s="78">
        <v>0</v>
      </c>
      <c r="W47" s="78">
        <v>0</v>
      </c>
      <c r="X47" s="78">
        <v>0</v>
      </c>
      <c r="Y47" s="78">
        <v>0</v>
      </c>
      <c r="Z47" s="78">
        <v>0</v>
      </c>
      <c r="AA47" s="78">
        <v>0</v>
      </c>
      <c r="AB47" s="78">
        <v>0</v>
      </c>
      <c r="AC47" s="77">
        <f t="shared" si="1"/>
        <v>0</v>
      </c>
      <c r="AD47" s="77">
        <f t="shared" si="2"/>
        <v>0</v>
      </c>
      <c r="AE47" s="77">
        <f t="shared" si="3"/>
        <v>0</v>
      </c>
    </row>
    <row r="48" spans="1:31" x14ac:dyDescent="0.25">
      <c r="A48" s="76">
        <v>2011</v>
      </c>
      <c r="B48" s="76" t="s">
        <v>380</v>
      </c>
      <c r="C48" s="76" t="s">
        <v>382</v>
      </c>
      <c r="D48">
        <v>114</v>
      </c>
      <c r="E48">
        <v>2</v>
      </c>
      <c r="F48" s="76" t="s">
        <v>35</v>
      </c>
      <c r="G48">
        <v>0</v>
      </c>
      <c r="H48">
        <v>0</v>
      </c>
      <c r="I48" s="96" t="s">
        <v>12</v>
      </c>
      <c r="J48">
        <v>3.5</v>
      </c>
      <c r="K48" s="78">
        <v>0</v>
      </c>
      <c r="L48" s="78">
        <v>0</v>
      </c>
      <c r="M48" s="78">
        <v>0</v>
      </c>
      <c r="N48" s="78">
        <v>0</v>
      </c>
      <c r="O48" s="78">
        <v>0</v>
      </c>
      <c r="P48" s="78">
        <v>0</v>
      </c>
      <c r="Q48" s="78">
        <v>0</v>
      </c>
      <c r="R48" s="78">
        <v>0</v>
      </c>
      <c r="S48" s="78">
        <v>0</v>
      </c>
      <c r="T48" s="78">
        <v>0</v>
      </c>
      <c r="U48" s="78">
        <v>0</v>
      </c>
      <c r="V48" s="78">
        <v>0</v>
      </c>
      <c r="W48" s="78">
        <v>0</v>
      </c>
      <c r="X48" s="78">
        <v>0</v>
      </c>
      <c r="Y48" s="78">
        <v>0</v>
      </c>
      <c r="Z48" s="78">
        <v>0</v>
      </c>
      <c r="AA48" s="78">
        <v>0</v>
      </c>
      <c r="AB48" s="78">
        <v>0</v>
      </c>
      <c r="AC48" s="77">
        <f t="shared" si="1"/>
        <v>0</v>
      </c>
      <c r="AD48" s="77">
        <f t="shared" si="2"/>
        <v>0</v>
      </c>
      <c r="AE48" s="77">
        <f t="shared" si="3"/>
        <v>0</v>
      </c>
    </row>
    <row r="49" spans="1:31" x14ac:dyDescent="0.25">
      <c r="A49" s="76">
        <v>2011</v>
      </c>
      <c r="B49" s="76" t="s">
        <v>380</v>
      </c>
      <c r="C49" s="76" t="s">
        <v>382</v>
      </c>
      <c r="D49">
        <v>114</v>
      </c>
      <c r="E49">
        <v>4</v>
      </c>
      <c r="F49" s="76" t="s">
        <v>35</v>
      </c>
      <c r="G49">
        <v>0</v>
      </c>
      <c r="H49">
        <v>0</v>
      </c>
      <c r="I49" s="96" t="s">
        <v>11</v>
      </c>
      <c r="J49">
        <v>5.25</v>
      </c>
      <c r="K49" s="78">
        <v>0</v>
      </c>
      <c r="L49" s="78">
        <v>0</v>
      </c>
      <c r="M49" s="78">
        <v>0</v>
      </c>
      <c r="N49" s="78">
        <v>0</v>
      </c>
      <c r="O49" s="78">
        <v>0</v>
      </c>
      <c r="P49" s="77">
        <v>2.3537525131510093</v>
      </c>
      <c r="Q49" s="77">
        <v>48.396999999999998</v>
      </c>
      <c r="R49" s="77">
        <v>1.1391456037896941</v>
      </c>
      <c r="S49" s="77">
        <v>1.206</v>
      </c>
      <c r="T49" s="77">
        <v>2.8386255308601172E-2</v>
      </c>
      <c r="U49" s="78">
        <v>0</v>
      </c>
      <c r="V49" s="78">
        <v>0</v>
      </c>
      <c r="W49" s="78">
        <v>0</v>
      </c>
      <c r="X49" s="78">
        <v>0</v>
      </c>
      <c r="Y49" s="78">
        <v>0</v>
      </c>
      <c r="Z49" s="77">
        <v>2.3537525131510093</v>
      </c>
      <c r="AA49" s="77">
        <v>1.1391456037896941</v>
      </c>
      <c r="AB49" s="77">
        <v>2.8386255308601172E-2</v>
      </c>
      <c r="AC49" s="77">
        <f t="shared" si="1"/>
        <v>2.3537525131510093</v>
      </c>
      <c r="AD49" s="77">
        <f t="shared" si="2"/>
        <v>1.1391456037896941</v>
      </c>
      <c r="AE49" s="77">
        <f t="shared" si="3"/>
        <v>2.8386255308601172E-2</v>
      </c>
    </row>
    <row r="50" spans="1:31" x14ac:dyDescent="0.25">
      <c r="A50" s="76">
        <v>2011</v>
      </c>
      <c r="B50" s="76" t="s">
        <v>380</v>
      </c>
      <c r="C50" s="76" t="s">
        <v>382</v>
      </c>
      <c r="D50">
        <v>114</v>
      </c>
      <c r="E50">
        <v>4</v>
      </c>
      <c r="F50" s="76" t="s">
        <v>35</v>
      </c>
      <c r="G50">
        <v>0</v>
      </c>
      <c r="H50">
        <v>0</v>
      </c>
      <c r="I50" s="96" t="s">
        <v>12</v>
      </c>
      <c r="J50">
        <v>9.5</v>
      </c>
      <c r="K50" s="78">
        <v>0</v>
      </c>
      <c r="L50" s="78">
        <v>0</v>
      </c>
      <c r="M50" s="78">
        <v>0</v>
      </c>
      <c r="N50" s="78">
        <v>0</v>
      </c>
      <c r="O50" s="78">
        <v>0</v>
      </c>
      <c r="P50" s="77">
        <v>4.9658392185055185</v>
      </c>
      <c r="Q50" s="77">
        <v>48.591000000000001</v>
      </c>
      <c r="R50" s="77">
        <v>2.4129509346640163</v>
      </c>
      <c r="S50" s="77">
        <v>0.81299999999999994</v>
      </c>
      <c r="T50" s="77">
        <v>4.0372272846449862E-2</v>
      </c>
      <c r="U50" s="78">
        <v>0</v>
      </c>
      <c r="V50" s="78">
        <v>0</v>
      </c>
      <c r="W50" s="78">
        <v>0</v>
      </c>
      <c r="X50" s="78">
        <v>0</v>
      </c>
      <c r="Y50" s="78">
        <v>0</v>
      </c>
      <c r="Z50" s="77">
        <v>4.9658392185055185</v>
      </c>
      <c r="AA50" s="77">
        <v>2.4129509346640163</v>
      </c>
      <c r="AB50" s="77">
        <v>4.0372272846449862E-2</v>
      </c>
      <c r="AC50" s="77">
        <f t="shared" si="1"/>
        <v>4.9658392185055185</v>
      </c>
      <c r="AD50" s="77">
        <f t="shared" si="2"/>
        <v>2.4129509346640163</v>
      </c>
      <c r="AE50" s="77">
        <f t="shared" si="3"/>
        <v>4.0372272846449862E-2</v>
      </c>
    </row>
    <row r="51" spans="1:31" x14ac:dyDescent="0.25">
      <c r="A51" s="76">
        <v>2011</v>
      </c>
      <c r="B51" s="76" t="s">
        <v>380</v>
      </c>
      <c r="C51" s="76" t="s">
        <v>382</v>
      </c>
      <c r="D51">
        <v>114</v>
      </c>
      <c r="E51">
        <v>4</v>
      </c>
      <c r="F51" s="76" t="s">
        <v>35</v>
      </c>
      <c r="G51">
        <v>0</v>
      </c>
      <c r="H51">
        <v>0</v>
      </c>
      <c r="I51" s="96" t="s">
        <v>13</v>
      </c>
      <c r="J51">
        <v>3.5</v>
      </c>
      <c r="K51" s="78">
        <v>0</v>
      </c>
      <c r="L51" s="78">
        <v>0</v>
      </c>
      <c r="M51" s="78">
        <v>0</v>
      </c>
      <c r="N51" s="78">
        <v>0</v>
      </c>
      <c r="O51" s="78">
        <v>0</v>
      </c>
      <c r="P51" s="78">
        <v>0</v>
      </c>
      <c r="Q51" s="78">
        <v>0</v>
      </c>
      <c r="R51" s="78">
        <v>0</v>
      </c>
      <c r="S51" s="78">
        <v>0</v>
      </c>
      <c r="T51" s="78">
        <v>0</v>
      </c>
      <c r="U51" s="78">
        <v>0</v>
      </c>
      <c r="V51" s="78">
        <v>0</v>
      </c>
      <c r="W51" s="78">
        <v>0</v>
      </c>
      <c r="X51" s="78">
        <v>0</v>
      </c>
      <c r="Y51" s="78">
        <v>0</v>
      </c>
      <c r="Z51" s="78">
        <v>0</v>
      </c>
      <c r="AA51" s="78">
        <v>0</v>
      </c>
      <c r="AB51" s="78">
        <v>0</v>
      </c>
      <c r="AC51" s="77">
        <f t="shared" si="1"/>
        <v>0</v>
      </c>
      <c r="AD51" s="77">
        <f t="shared" si="2"/>
        <v>0</v>
      </c>
      <c r="AE51" s="77">
        <f t="shared" si="3"/>
        <v>0</v>
      </c>
    </row>
    <row r="52" spans="1:31" x14ac:dyDescent="0.25">
      <c r="A52" s="76">
        <v>2011</v>
      </c>
      <c r="B52" s="76" t="s">
        <v>380</v>
      </c>
      <c r="C52" s="76" t="s">
        <v>382</v>
      </c>
      <c r="D52">
        <v>114</v>
      </c>
      <c r="E52">
        <v>6</v>
      </c>
      <c r="F52" s="76" t="s">
        <v>35</v>
      </c>
      <c r="G52">
        <v>0</v>
      </c>
      <c r="H52">
        <v>0</v>
      </c>
      <c r="I52" s="96" t="s">
        <v>11</v>
      </c>
      <c r="J52">
        <v>3</v>
      </c>
      <c r="K52" s="78">
        <v>0</v>
      </c>
      <c r="L52" s="78">
        <v>0</v>
      </c>
      <c r="M52" s="78">
        <v>0</v>
      </c>
      <c r="N52" s="78">
        <v>0</v>
      </c>
      <c r="O52" s="78">
        <v>0</v>
      </c>
      <c r="P52" s="78">
        <v>0</v>
      </c>
      <c r="Q52" s="78">
        <v>0</v>
      </c>
      <c r="R52" s="78">
        <v>0</v>
      </c>
      <c r="S52" s="78">
        <v>0</v>
      </c>
      <c r="T52" s="78">
        <v>0</v>
      </c>
      <c r="U52" s="78">
        <v>0</v>
      </c>
      <c r="V52" s="78">
        <v>0</v>
      </c>
      <c r="W52" s="78">
        <v>0</v>
      </c>
      <c r="X52" s="78">
        <v>0</v>
      </c>
      <c r="Y52" s="78">
        <v>0</v>
      </c>
      <c r="Z52" s="78">
        <v>0</v>
      </c>
      <c r="AA52" s="78">
        <v>0</v>
      </c>
      <c r="AB52" s="78">
        <v>0</v>
      </c>
      <c r="AC52" s="77">
        <f t="shared" si="1"/>
        <v>0</v>
      </c>
      <c r="AD52" s="77">
        <f t="shared" si="2"/>
        <v>0</v>
      </c>
      <c r="AE52" s="77">
        <f t="shared" si="3"/>
        <v>0</v>
      </c>
    </row>
    <row r="53" spans="1:31" x14ac:dyDescent="0.25">
      <c r="A53" s="76">
        <v>2011</v>
      </c>
      <c r="B53" s="76" t="s">
        <v>380</v>
      </c>
      <c r="C53" s="76" t="s">
        <v>382</v>
      </c>
      <c r="D53">
        <v>114</v>
      </c>
      <c r="E53">
        <v>8</v>
      </c>
      <c r="F53" s="76" t="s">
        <v>35</v>
      </c>
      <c r="G53">
        <v>1</v>
      </c>
      <c r="H53">
        <v>0</v>
      </c>
      <c r="I53" s="96" t="s">
        <v>11</v>
      </c>
      <c r="J53">
        <v>9</v>
      </c>
      <c r="K53" s="78">
        <v>0</v>
      </c>
      <c r="L53" s="78">
        <v>0</v>
      </c>
      <c r="M53" s="78">
        <v>0</v>
      </c>
      <c r="N53" s="78">
        <v>0</v>
      </c>
      <c r="O53" s="78">
        <v>0</v>
      </c>
      <c r="P53" s="77">
        <v>16.097844318411731</v>
      </c>
      <c r="Q53" s="77">
        <v>49.091999999999999</v>
      </c>
      <c r="R53" s="77">
        <v>7.9027537327946868</v>
      </c>
      <c r="S53" s="77">
        <v>1.0169999999999999</v>
      </c>
      <c r="T53" s="77">
        <v>0.16371507671824728</v>
      </c>
      <c r="U53" s="78">
        <v>0</v>
      </c>
      <c r="V53" s="78">
        <v>0</v>
      </c>
      <c r="W53" s="78">
        <v>0</v>
      </c>
      <c r="X53" s="78">
        <v>0</v>
      </c>
      <c r="Y53" s="78">
        <v>0</v>
      </c>
      <c r="Z53" s="77">
        <v>16.097844318411731</v>
      </c>
      <c r="AA53" s="77">
        <v>7.9027537327946868</v>
      </c>
      <c r="AB53" s="77">
        <v>0.16371507671824728</v>
      </c>
      <c r="AC53" s="77">
        <f t="shared" si="1"/>
        <v>16.097844318411731</v>
      </c>
      <c r="AD53" s="77">
        <f t="shared" si="2"/>
        <v>7.9027537327946868</v>
      </c>
      <c r="AE53" s="77">
        <f t="shared" si="3"/>
        <v>0.16371507671824728</v>
      </c>
    </row>
    <row r="54" spans="1:31" x14ac:dyDescent="0.25">
      <c r="A54" s="76">
        <v>2011</v>
      </c>
      <c r="B54" s="76" t="s">
        <v>380</v>
      </c>
      <c r="C54" s="76" t="s">
        <v>382</v>
      </c>
      <c r="D54">
        <v>114</v>
      </c>
      <c r="E54">
        <v>10</v>
      </c>
      <c r="F54" s="76" t="s">
        <v>35</v>
      </c>
      <c r="G54">
        <v>1</v>
      </c>
      <c r="H54">
        <v>0</v>
      </c>
      <c r="I54" s="96" t="s">
        <v>11</v>
      </c>
      <c r="J54">
        <v>4.75</v>
      </c>
      <c r="K54" s="78">
        <v>0</v>
      </c>
      <c r="L54" s="78">
        <v>0</v>
      </c>
      <c r="M54" s="78">
        <v>0</v>
      </c>
      <c r="N54" s="78">
        <v>0</v>
      </c>
      <c r="O54" s="78">
        <v>0</v>
      </c>
      <c r="P54" s="78">
        <v>0</v>
      </c>
      <c r="Q54" s="78">
        <v>0</v>
      </c>
      <c r="R54" s="78">
        <v>0</v>
      </c>
      <c r="S54" s="78">
        <v>0</v>
      </c>
      <c r="T54" s="78">
        <v>0</v>
      </c>
      <c r="U54" s="78">
        <v>0</v>
      </c>
      <c r="V54" s="78">
        <v>0</v>
      </c>
      <c r="W54" s="78">
        <v>0</v>
      </c>
      <c r="X54" s="78">
        <v>0</v>
      </c>
      <c r="Y54" s="78">
        <v>0</v>
      </c>
      <c r="Z54" s="78">
        <v>0</v>
      </c>
      <c r="AA54" s="78">
        <v>0</v>
      </c>
      <c r="AB54" s="78">
        <v>0</v>
      </c>
      <c r="AC54" s="77">
        <f t="shared" si="1"/>
        <v>0</v>
      </c>
      <c r="AD54" s="77">
        <f t="shared" si="2"/>
        <v>0</v>
      </c>
      <c r="AE54" s="77">
        <f t="shared" si="3"/>
        <v>0</v>
      </c>
    </row>
    <row r="55" spans="1:31" x14ac:dyDescent="0.25">
      <c r="A55" s="76">
        <v>2011</v>
      </c>
      <c r="B55" s="76" t="s">
        <v>380</v>
      </c>
      <c r="C55" s="76" t="s">
        <v>382</v>
      </c>
      <c r="D55">
        <v>114</v>
      </c>
      <c r="E55">
        <v>10</v>
      </c>
      <c r="F55" s="76" t="s">
        <v>35</v>
      </c>
      <c r="G55">
        <v>1</v>
      </c>
      <c r="H55">
        <v>0</v>
      </c>
      <c r="I55" s="96" t="s">
        <v>12</v>
      </c>
      <c r="J55">
        <v>6</v>
      </c>
      <c r="K55" s="77">
        <v>5.9659903700330927</v>
      </c>
      <c r="L55" s="77">
        <v>45.999000000000002</v>
      </c>
      <c r="M55" s="77">
        <v>2.7442959103115223</v>
      </c>
      <c r="N55" s="77">
        <v>0.57299999999999995</v>
      </c>
      <c r="O55" s="77">
        <v>3.4185124820289618E-2</v>
      </c>
      <c r="P55" s="78">
        <v>0</v>
      </c>
      <c r="Q55" s="78">
        <v>0</v>
      </c>
      <c r="R55" s="78">
        <v>0</v>
      </c>
      <c r="S55" s="78">
        <v>0</v>
      </c>
      <c r="T55" s="78">
        <v>0</v>
      </c>
      <c r="U55" s="78">
        <v>0</v>
      </c>
      <c r="V55" s="78">
        <v>0</v>
      </c>
      <c r="W55" s="78">
        <v>0</v>
      </c>
      <c r="X55" s="78">
        <v>0</v>
      </c>
      <c r="Y55" s="78">
        <v>0</v>
      </c>
      <c r="Z55" s="77">
        <v>5.9659903700330927</v>
      </c>
      <c r="AA55" s="77">
        <v>2.7442959103115223</v>
      </c>
      <c r="AB55" s="77">
        <v>3.4185124820289618E-2</v>
      </c>
      <c r="AC55" s="77">
        <f t="shared" si="1"/>
        <v>5.9659903700330927</v>
      </c>
      <c r="AD55" s="77">
        <f t="shared" si="2"/>
        <v>2.7442959103115223</v>
      </c>
      <c r="AE55" s="77">
        <f t="shared" si="3"/>
        <v>3.4185124820289618E-2</v>
      </c>
    </row>
    <row r="56" spans="1:31" x14ac:dyDescent="0.25">
      <c r="A56" s="76">
        <v>2011</v>
      </c>
      <c r="B56" s="76" t="s">
        <v>380</v>
      </c>
      <c r="C56" s="76" t="s">
        <v>382</v>
      </c>
      <c r="D56">
        <v>114</v>
      </c>
      <c r="E56">
        <v>10</v>
      </c>
      <c r="F56" s="76" t="s">
        <v>35</v>
      </c>
      <c r="G56">
        <v>1</v>
      </c>
      <c r="H56">
        <v>0</v>
      </c>
      <c r="I56" s="96" t="s">
        <v>13</v>
      </c>
      <c r="J56">
        <v>5.75</v>
      </c>
      <c r="K56" s="77">
        <v>4.5839768938937508</v>
      </c>
      <c r="L56" s="77">
        <v>44.23</v>
      </c>
      <c r="M56" s="77">
        <v>2.0274929801692059</v>
      </c>
      <c r="N56" s="77">
        <v>0.69</v>
      </c>
      <c r="O56" s="77">
        <v>3.162944056786688E-2</v>
      </c>
      <c r="P56" s="78">
        <v>0</v>
      </c>
      <c r="Q56" s="78">
        <v>0</v>
      </c>
      <c r="R56" s="78">
        <v>0</v>
      </c>
      <c r="S56" s="78">
        <v>0</v>
      </c>
      <c r="T56" s="78">
        <v>0</v>
      </c>
      <c r="U56" s="78">
        <v>0</v>
      </c>
      <c r="V56" s="78">
        <v>0</v>
      </c>
      <c r="W56" s="78">
        <v>0</v>
      </c>
      <c r="X56" s="78">
        <v>0</v>
      </c>
      <c r="Y56" s="78">
        <v>0</v>
      </c>
      <c r="Z56" s="77">
        <v>4.5839768938937508</v>
      </c>
      <c r="AA56" s="77">
        <v>2.0274929801692059</v>
      </c>
      <c r="AB56" s="77">
        <v>3.162944056786688E-2</v>
      </c>
      <c r="AC56" s="77">
        <f t="shared" si="1"/>
        <v>4.5839768938937508</v>
      </c>
      <c r="AD56" s="77">
        <f t="shared" si="2"/>
        <v>2.0274929801692059</v>
      </c>
      <c r="AE56" s="77">
        <f t="shared" si="3"/>
        <v>3.162944056786688E-2</v>
      </c>
    </row>
    <row r="57" spans="1:31" x14ac:dyDescent="0.25">
      <c r="A57" s="76">
        <v>2011</v>
      </c>
      <c r="B57" s="76" t="s">
        <v>380</v>
      </c>
      <c r="C57" s="76" t="s">
        <v>14</v>
      </c>
      <c r="D57">
        <v>109</v>
      </c>
      <c r="E57">
        <v>2</v>
      </c>
      <c r="F57" s="76" t="s">
        <v>35</v>
      </c>
      <c r="G57">
        <v>0</v>
      </c>
      <c r="H57">
        <v>0</v>
      </c>
      <c r="I57" s="96" t="s">
        <v>11</v>
      </c>
      <c r="J57">
        <v>3.75</v>
      </c>
      <c r="K57" s="78">
        <v>0</v>
      </c>
      <c r="L57" s="78">
        <v>0</v>
      </c>
      <c r="M57" s="78">
        <v>0</v>
      </c>
      <c r="N57" s="78">
        <v>0</v>
      </c>
      <c r="O57" s="78">
        <v>0</v>
      </c>
      <c r="P57" s="77">
        <v>90.786368330464697</v>
      </c>
      <c r="Q57" s="77">
        <v>49.68</v>
      </c>
      <c r="R57" s="77">
        <v>45.102667786574862</v>
      </c>
      <c r="S57" s="77">
        <v>0.66400000000000003</v>
      </c>
      <c r="T57" s="77">
        <v>0.60282148571428562</v>
      </c>
      <c r="U57" s="78">
        <v>0</v>
      </c>
      <c r="V57" s="78">
        <v>0</v>
      </c>
      <c r="W57" s="78">
        <v>0</v>
      </c>
      <c r="X57" s="78">
        <v>0</v>
      </c>
      <c r="Y57" s="78">
        <v>0</v>
      </c>
      <c r="Z57" s="77">
        <v>90.786368330464697</v>
      </c>
      <c r="AA57" s="77">
        <v>45.102667786574862</v>
      </c>
      <c r="AB57" s="77">
        <v>0.60282148571428562</v>
      </c>
      <c r="AC57" s="77">
        <f t="shared" si="1"/>
        <v>90.786368330464697</v>
      </c>
      <c r="AD57" s="77">
        <f t="shared" si="2"/>
        <v>45.102667786574862</v>
      </c>
      <c r="AE57" s="77">
        <f t="shared" si="3"/>
        <v>0.60282148571428562</v>
      </c>
    </row>
    <row r="58" spans="1:31" x14ac:dyDescent="0.25">
      <c r="A58" s="76">
        <v>2011</v>
      </c>
      <c r="B58" s="76" t="s">
        <v>380</v>
      </c>
      <c r="C58" s="76" t="s">
        <v>14</v>
      </c>
      <c r="D58">
        <v>109</v>
      </c>
      <c r="E58">
        <v>2</v>
      </c>
      <c r="F58" s="76" t="s">
        <v>35</v>
      </c>
      <c r="G58">
        <v>0</v>
      </c>
      <c r="H58">
        <v>0</v>
      </c>
      <c r="I58" s="96" t="s">
        <v>12</v>
      </c>
      <c r="J58">
        <v>10</v>
      </c>
      <c r="K58" s="78">
        <v>0</v>
      </c>
      <c r="L58" s="78">
        <v>0</v>
      </c>
      <c r="M58" s="78">
        <v>0</v>
      </c>
      <c r="N58" s="78">
        <v>0</v>
      </c>
      <c r="O58" s="78">
        <v>0</v>
      </c>
      <c r="P58" s="77">
        <v>193.25560978128954</v>
      </c>
      <c r="Q58" s="77">
        <v>48.996000000000002</v>
      </c>
      <c r="R58" s="77">
        <v>94.687518568440623</v>
      </c>
      <c r="S58" s="77">
        <v>0.84799999999999998</v>
      </c>
      <c r="T58" s="77">
        <v>1.6388075709453351</v>
      </c>
      <c r="U58" s="78">
        <v>0</v>
      </c>
      <c r="V58" s="78">
        <v>0</v>
      </c>
      <c r="W58" s="78">
        <v>0</v>
      </c>
      <c r="X58" s="78">
        <v>0</v>
      </c>
      <c r="Y58" s="78">
        <v>0</v>
      </c>
      <c r="Z58" s="77">
        <v>193.25560978128954</v>
      </c>
      <c r="AA58" s="77">
        <v>94.687518568440623</v>
      </c>
      <c r="AB58" s="77">
        <v>1.6388075709453351</v>
      </c>
      <c r="AC58" s="77">
        <f t="shared" si="1"/>
        <v>193.25560978128954</v>
      </c>
      <c r="AD58" s="77">
        <f t="shared" si="2"/>
        <v>94.687518568440623</v>
      </c>
      <c r="AE58" s="77">
        <f t="shared" si="3"/>
        <v>1.6388075709453351</v>
      </c>
    </row>
    <row r="59" spans="1:31" x14ac:dyDescent="0.25">
      <c r="A59" s="76">
        <v>2011</v>
      </c>
      <c r="B59" s="76" t="s">
        <v>380</v>
      </c>
      <c r="C59" s="76" t="s">
        <v>14</v>
      </c>
      <c r="D59">
        <v>109</v>
      </c>
      <c r="E59">
        <v>2</v>
      </c>
      <c r="F59" s="76" t="s">
        <v>35</v>
      </c>
      <c r="G59">
        <v>0</v>
      </c>
      <c r="H59">
        <v>0</v>
      </c>
      <c r="I59" s="96" t="s">
        <v>13</v>
      </c>
      <c r="J59">
        <v>4.75</v>
      </c>
      <c r="K59" s="77">
        <v>1.737991175563312</v>
      </c>
      <c r="L59" s="78">
        <v>0</v>
      </c>
      <c r="M59" s="78">
        <v>0</v>
      </c>
      <c r="N59" s="78">
        <v>0</v>
      </c>
      <c r="O59" s="78">
        <v>0</v>
      </c>
      <c r="P59" s="77">
        <v>82.264915643330085</v>
      </c>
      <c r="Q59" s="77">
        <v>50.156999999999996</v>
      </c>
      <c r="R59" s="77">
        <v>41.261613739225069</v>
      </c>
      <c r="S59" s="77">
        <v>0.80200000000000005</v>
      </c>
      <c r="T59" s="77">
        <v>0.65976462345950737</v>
      </c>
      <c r="U59" s="78">
        <v>0</v>
      </c>
      <c r="V59" s="78">
        <v>0</v>
      </c>
      <c r="W59" s="78">
        <v>0</v>
      </c>
      <c r="X59" s="78">
        <v>0</v>
      </c>
      <c r="Y59" s="78">
        <v>0</v>
      </c>
      <c r="Z59" s="77">
        <v>84.002906818893393</v>
      </c>
      <c r="AA59" s="77">
        <v>41.261613739225069</v>
      </c>
      <c r="AB59" s="77">
        <v>0.65976462345950737</v>
      </c>
      <c r="AC59" s="77">
        <f t="shared" si="1"/>
        <v>84.002906818893393</v>
      </c>
      <c r="AD59" s="77">
        <f t="shared" si="2"/>
        <v>41.261613739225069</v>
      </c>
      <c r="AE59" s="77">
        <f t="shared" si="3"/>
        <v>0.65976462345950737</v>
      </c>
    </row>
    <row r="60" spans="1:31" x14ac:dyDescent="0.25">
      <c r="A60" s="76">
        <v>2011</v>
      </c>
      <c r="B60" s="76" t="s">
        <v>380</v>
      </c>
      <c r="C60" s="76" t="s">
        <v>14</v>
      </c>
      <c r="D60">
        <v>109</v>
      </c>
      <c r="E60">
        <v>4</v>
      </c>
      <c r="F60" s="76" t="s">
        <v>35</v>
      </c>
      <c r="G60">
        <v>0</v>
      </c>
      <c r="H60">
        <v>0</v>
      </c>
      <c r="I60" s="96" t="s">
        <v>11</v>
      </c>
      <c r="J60">
        <v>5.25</v>
      </c>
      <c r="K60" s="77">
        <v>12.796290700496851</v>
      </c>
      <c r="L60" s="77">
        <v>45.529000000000003</v>
      </c>
      <c r="M60" s="77">
        <v>5.8260231930292115</v>
      </c>
      <c r="N60" s="77">
        <v>0.91200000000000003</v>
      </c>
      <c r="O60" s="77">
        <v>0.11670217118853127</v>
      </c>
      <c r="P60" s="77">
        <v>42.429806006910624</v>
      </c>
      <c r="Q60" s="77">
        <v>34.052999999999997</v>
      </c>
      <c r="R60" s="77">
        <v>14.448621839533274</v>
      </c>
      <c r="S60" s="77">
        <v>0.78700000000000003</v>
      </c>
      <c r="T60" s="77">
        <v>0.33392257327438662</v>
      </c>
      <c r="U60" s="78">
        <v>0</v>
      </c>
      <c r="V60" s="78">
        <v>0</v>
      </c>
      <c r="W60" s="78">
        <v>0</v>
      </c>
      <c r="X60" s="78">
        <v>0</v>
      </c>
      <c r="Y60" s="78">
        <v>0</v>
      </c>
      <c r="Z60" s="77">
        <v>55.226096707407478</v>
      </c>
      <c r="AA60" s="77">
        <v>20.274645032562486</v>
      </c>
      <c r="AB60" s="77">
        <v>0.45062474446291789</v>
      </c>
      <c r="AC60" s="77">
        <f t="shared" si="1"/>
        <v>55.226096707407478</v>
      </c>
      <c r="AD60" s="77">
        <f t="shared" si="2"/>
        <v>20.274645032562486</v>
      </c>
      <c r="AE60" s="77">
        <f t="shared" si="3"/>
        <v>0.45062474446291789</v>
      </c>
    </row>
    <row r="61" spans="1:31" x14ac:dyDescent="0.25">
      <c r="A61" s="76">
        <v>2011</v>
      </c>
      <c r="B61" s="76" t="s">
        <v>380</v>
      </c>
      <c r="C61" s="76" t="s">
        <v>14</v>
      </c>
      <c r="D61">
        <v>109</v>
      </c>
      <c r="E61">
        <v>6</v>
      </c>
      <c r="F61" s="76" t="s">
        <v>35</v>
      </c>
      <c r="G61">
        <v>1</v>
      </c>
      <c r="H61">
        <v>0</v>
      </c>
      <c r="I61" s="96" t="s">
        <v>11</v>
      </c>
      <c r="J61">
        <v>5</v>
      </c>
      <c r="K61" s="77">
        <v>44.756838235044491</v>
      </c>
      <c r="L61" s="77">
        <v>47.521999999999998</v>
      </c>
      <c r="M61" s="77">
        <v>21.26934466605784</v>
      </c>
      <c r="N61" s="77">
        <v>0.51800000000000002</v>
      </c>
      <c r="O61" s="77">
        <v>0.2318404220575305</v>
      </c>
      <c r="P61" s="78">
        <v>0</v>
      </c>
      <c r="Q61" s="78">
        <v>0</v>
      </c>
      <c r="R61" s="78">
        <v>0</v>
      </c>
      <c r="S61" s="78">
        <v>0</v>
      </c>
      <c r="T61" s="78">
        <v>0</v>
      </c>
      <c r="U61" s="78">
        <v>0</v>
      </c>
      <c r="V61" s="78">
        <v>0</v>
      </c>
      <c r="W61" s="78">
        <v>0</v>
      </c>
      <c r="X61" s="78">
        <v>0</v>
      </c>
      <c r="Y61" s="78">
        <v>0</v>
      </c>
      <c r="Z61" s="77">
        <v>44.756838235044491</v>
      </c>
      <c r="AA61" s="77">
        <v>21.26934466605784</v>
      </c>
      <c r="AB61" s="77">
        <v>0.2318404220575305</v>
      </c>
      <c r="AC61" s="77">
        <f t="shared" si="1"/>
        <v>44.756838235044491</v>
      </c>
      <c r="AD61" s="77">
        <f t="shared" si="2"/>
        <v>21.26934466605784</v>
      </c>
      <c r="AE61" s="77">
        <f t="shared" si="3"/>
        <v>0.2318404220575305</v>
      </c>
    </row>
    <row r="62" spans="1:31" x14ac:dyDescent="0.25">
      <c r="A62" s="76">
        <v>2011</v>
      </c>
      <c r="B62" s="76" t="s">
        <v>380</v>
      </c>
      <c r="C62" s="76" t="s">
        <v>14</v>
      </c>
      <c r="D62">
        <v>109</v>
      </c>
      <c r="E62">
        <v>6</v>
      </c>
      <c r="F62" s="76" t="s">
        <v>35</v>
      </c>
      <c r="G62">
        <v>1</v>
      </c>
      <c r="H62">
        <v>0</v>
      </c>
      <c r="I62" s="96" t="s">
        <v>12</v>
      </c>
      <c r="J62">
        <v>10.25</v>
      </c>
      <c r="K62" s="77">
        <v>18.442501237419563</v>
      </c>
      <c r="L62" s="77">
        <v>45.057000000000002</v>
      </c>
      <c r="M62" s="77">
        <v>8.309637782544133</v>
      </c>
      <c r="N62" s="77">
        <v>0.84899999999999998</v>
      </c>
      <c r="O62" s="77">
        <v>0.15657683550569207</v>
      </c>
      <c r="P62" s="77">
        <v>117.94093383930044</v>
      </c>
      <c r="Q62" s="77">
        <v>48.158000000000001</v>
      </c>
      <c r="R62" s="77">
        <v>56.797994918330311</v>
      </c>
      <c r="S62" s="77">
        <v>0.98499999999999999</v>
      </c>
      <c r="T62" s="77">
        <v>1.1617181983171092</v>
      </c>
      <c r="U62" s="78">
        <v>0</v>
      </c>
      <c r="V62" s="78">
        <v>0</v>
      </c>
      <c r="W62" s="78">
        <v>0</v>
      </c>
      <c r="X62" s="78">
        <v>0</v>
      </c>
      <c r="Y62" s="78">
        <v>0</v>
      </c>
      <c r="Z62" s="77">
        <v>136.38343507671999</v>
      </c>
      <c r="AA62" s="77">
        <v>65.107632700874447</v>
      </c>
      <c r="AB62" s="77">
        <v>1.3182950338228012</v>
      </c>
      <c r="AC62" s="77">
        <f t="shared" si="1"/>
        <v>136.38343507671999</v>
      </c>
      <c r="AD62" s="77">
        <f t="shared" si="2"/>
        <v>65.107632700874447</v>
      </c>
      <c r="AE62" s="77">
        <f t="shared" si="3"/>
        <v>1.3182950338228012</v>
      </c>
    </row>
    <row r="63" spans="1:31" x14ac:dyDescent="0.25">
      <c r="A63" s="76">
        <v>2011</v>
      </c>
      <c r="B63" s="76" t="s">
        <v>380</v>
      </c>
      <c r="C63" s="76" t="s">
        <v>14</v>
      </c>
      <c r="D63">
        <v>109</v>
      </c>
      <c r="E63">
        <v>6</v>
      </c>
      <c r="F63" s="76" t="s">
        <v>35</v>
      </c>
      <c r="G63">
        <v>1</v>
      </c>
      <c r="H63">
        <v>0</v>
      </c>
      <c r="I63" s="96" t="s">
        <v>13</v>
      </c>
      <c r="J63">
        <v>4</v>
      </c>
      <c r="K63" s="77">
        <v>8.023748939779475</v>
      </c>
      <c r="L63" s="77">
        <v>43.962000000000003</v>
      </c>
      <c r="M63" s="77">
        <v>3.5274005089058531</v>
      </c>
      <c r="N63" s="77">
        <v>1.0569999999999999</v>
      </c>
      <c r="O63" s="77">
        <v>8.4811026293469052E-2</v>
      </c>
      <c r="P63" s="77">
        <v>23.324851569126377</v>
      </c>
      <c r="Q63" s="77">
        <v>46.435000000000002</v>
      </c>
      <c r="R63" s="77">
        <v>10.830894826123835</v>
      </c>
      <c r="S63" s="77">
        <v>1.147</v>
      </c>
      <c r="T63" s="77">
        <v>0.26753604749787957</v>
      </c>
      <c r="U63" s="78">
        <v>0</v>
      </c>
      <c r="V63" s="78">
        <v>0</v>
      </c>
      <c r="W63" s="78">
        <v>0</v>
      </c>
      <c r="X63" s="78">
        <v>0</v>
      </c>
      <c r="Y63" s="78">
        <v>0</v>
      </c>
      <c r="Z63" s="77">
        <v>31.348600508905854</v>
      </c>
      <c r="AA63" s="77">
        <v>14.358295335029688</v>
      </c>
      <c r="AB63" s="77">
        <v>0.35234707379134861</v>
      </c>
      <c r="AC63" s="77">
        <f t="shared" si="1"/>
        <v>31.348600508905854</v>
      </c>
      <c r="AD63" s="77">
        <f t="shared" si="2"/>
        <v>14.358295335029688</v>
      </c>
      <c r="AE63" s="77">
        <f t="shared" si="3"/>
        <v>0.35234707379134861</v>
      </c>
    </row>
    <row r="64" spans="1:31" x14ac:dyDescent="0.25">
      <c r="A64" s="76">
        <v>2011</v>
      </c>
      <c r="B64" s="76" t="s">
        <v>380</v>
      </c>
      <c r="C64" s="76" t="s">
        <v>14</v>
      </c>
      <c r="D64">
        <v>109</v>
      </c>
      <c r="E64">
        <v>8</v>
      </c>
      <c r="F64" s="76" t="s">
        <v>35</v>
      </c>
      <c r="G64">
        <v>0</v>
      </c>
      <c r="H64">
        <v>0</v>
      </c>
      <c r="I64" s="96" t="s">
        <v>11</v>
      </c>
      <c r="J64">
        <v>4.25</v>
      </c>
      <c r="K64" s="78">
        <v>0</v>
      </c>
      <c r="L64" s="78">
        <v>0</v>
      </c>
      <c r="M64" s="78">
        <v>0</v>
      </c>
      <c r="N64" s="78">
        <v>0</v>
      </c>
      <c r="O64" s="78">
        <v>0</v>
      </c>
      <c r="P64" s="77">
        <v>35.966462270053803</v>
      </c>
      <c r="Q64" s="77">
        <v>49.514000000000003</v>
      </c>
      <c r="R64" s="77">
        <v>17.808434128394442</v>
      </c>
      <c r="S64" s="77">
        <v>0.79100000000000004</v>
      </c>
      <c r="T64" s="77">
        <v>0.28449471655612557</v>
      </c>
      <c r="U64" s="78">
        <v>0</v>
      </c>
      <c r="V64" s="78">
        <v>0</v>
      </c>
      <c r="W64" s="78">
        <v>0</v>
      </c>
      <c r="X64" s="78">
        <v>0</v>
      </c>
      <c r="Y64" s="78">
        <v>0</v>
      </c>
      <c r="Z64" s="77">
        <v>35.966462270053803</v>
      </c>
      <c r="AA64" s="77">
        <v>17.808434128394442</v>
      </c>
      <c r="AB64" s="77">
        <v>0.28449471655612557</v>
      </c>
      <c r="AC64" s="77">
        <f t="shared" si="1"/>
        <v>35.966462270053803</v>
      </c>
      <c r="AD64" s="77">
        <f t="shared" si="2"/>
        <v>17.808434128394442</v>
      </c>
      <c r="AE64" s="77">
        <f t="shared" si="3"/>
        <v>0.28449471655612557</v>
      </c>
    </row>
    <row r="65" spans="1:31" x14ac:dyDescent="0.25">
      <c r="A65" s="76">
        <v>2011</v>
      </c>
      <c r="B65" s="76" t="s">
        <v>380</v>
      </c>
      <c r="C65" s="76" t="s">
        <v>14</v>
      </c>
      <c r="D65">
        <v>109</v>
      </c>
      <c r="E65">
        <v>8</v>
      </c>
      <c r="F65" s="76" t="s">
        <v>35</v>
      </c>
      <c r="G65">
        <v>0</v>
      </c>
      <c r="H65">
        <v>0</v>
      </c>
      <c r="I65" s="96" t="s">
        <v>12</v>
      </c>
      <c r="J65">
        <v>8.75</v>
      </c>
      <c r="K65" s="78">
        <v>0</v>
      </c>
      <c r="L65" s="78">
        <v>0</v>
      </c>
      <c r="M65" s="78">
        <v>0</v>
      </c>
      <c r="N65" s="78">
        <v>0</v>
      </c>
      <c r="O65" s="78">
        <v>0</v>
      </c>
      <c r="P65" s="77">
        <v>163.05185475444094</v>
      </c>
      <c r="Q65" s="77">
        <v>48.914999999999999</v>
      </c>
      <c r="R65" s="77">
        <v>79.756814753134776</v>
      </c>
      <c r="S65" s="77">
        <v>0.76500000000000001</v>
      </c>
      <c r="T65" s="77">
        <v>1.2473466888714733</v>
      </c>
      <c r="U65" s="78">
        <v>0</v>
      </c>
      <c r="V65" s="78">
        <v>0</v>
      </c>
      <c r="W65" s="78">
        <v>0</v>
      </c>
      <c r="X65" s="78">
        <v>0</v>
      </c>
      <c r="Y65" s="78">
        <v>0</v>
      </c>
      <c r="Z65" s="77">
        <v>163.05185475444094</v>
      </c>
      <c r="AA65" s="77">
        <v>79.756814753134776</v>
      </c>
      <c r="AB65" s="77">
        <v>1.2473466888714733</v>
      </c>
      <c r="AC65" s="77">
        <f t="shared" si="1"/>
        <v>163.05185475444094</v>
      </c>
      <c r="AD65" s="77">
        <f t="shared" si="2"/>
        <v>79.756814753134776</v>
      </c>
      <c r="AE65" s="77">
        <f t="shared" si="3"/>
        <v>1.2473466888714733</v>
      </c>
    </row>
    <row r="66" spans="1:31" x14ac:dyDescent="0.25">
      <c r="A66" s="76">
        <v>2011</v>
      </c>
      <c r="B66" s="76" t="s">
        <v>380</v>
      </c>
      <c r="C66" s="76" t="s">
        <v>14</v>
      </c>
      <c r="D66">
        <v>109</v>
      </c>
      <c r="E66">
        <v>8</v>
      </c>
      <c r="F66" s="76" t="s">
        <v>35</v>
      </c>
      <c r="G66">
        <v>0</v>
      </c>
      <c r="H66">
        <v>0</v>
      </c>
      <c r="I66" s="96" t="s">
        <v>13</v>
      </c>
      <c r="J66">
        <v>3</v>
      </c>
      <c r="K66" s="78">
        <v>0</v>
      </c>
      <c r="L66" s="78">
        <v>0</v>
      </c>
      <c r="M66" s="78">
        <v>0</v>
      </c>
      <c r="N66" s="78">
        <v>0</v>
      </c>
      <c r="O66" s="78">
        <v>0</v>
      </c>
      <c r="P66" s="77">
        <v>17.251935412519355</v>
      </c>
      <c r="Q66" s="77">
        <v>46.405999999999999</v>
      </c>
      <c r="R66" s="77">
        <v>8.0059331475337316</v>
      </c>
      <c r="S66" s="77">
        <v>1.1719999999999999</v>
      </c>
      <c r="T66" s="77">
        <v>0.20219268303472684</v>
      </c>
      <c r="U66" s="78">
        <v>0</v>
      </c>
      <c r="V66" s="78">
        <v>0</v>
      </c>
      <c r="W66" s="78">
        <v>0</v>
      </c>
      <c r="X66" s="78">
        <v>0</v>
      </c>
      <c r="Y66" s="78">
        <v>0</v>
      </c>
      <c r="Z66" s="77">
        <v>17.251935412519355</v>
      </c>
      <c r="AA66" s="77">
        <v>8.0059331475337316</v>
      </c>
      <c r="AB66" s="77">
        <v>0.20219268303472684</v>
      </c>
      <c r="AC66" s="77">
        <f t="shared" si="1"/>
        <v>17.251935412519355</v>
      </c>
      <c r="AD66" s="77">
        <f t="shared" si="2"/>
        <v>8.0059331475337316</v>
      </c>
      <c r="AE66" s="77">
        <f t="shared" si="3"/>
        <v>0.20219268303472684</v>
      </c>
    </row>
    <row r="67" spans="1:31" x14ac:dyDescent="0.25">
      <c r="A67" s="76">
        <v>2011</v>
      </c>
      <c r="B67" s="76" t="s">
        <v>380</v>
      </c>
      <c r="C67" s="76" t="s">
        <v>14</v>
      </c>
      <c r="D67">
        <v>109</v>
      </c>
      <c r="E67">
        <v>10</v>
      </c>
      <c r="F67" s="76" t="s">
        <v>35</v>
      </c>
      <c r="G67">
        <v>0</v>
      </c>
      <c r="H67">
        <v>0</v>
      </c>
      <c r="I67" s="96" t="s">
        <v>11</v>
      </c>
      <c r="J67">
        <v>5.75</v>
      </c>
      <c r="K67" s="77">
        <v>37.744129408007929</v>
      </c>
      <c r="L67" s="77">
        <v>46.149000000000001</v>
      </c>
      <c r="M67" s="77">
        <v>17.418538280501579</v>
      </c>
      <c r="N67" s="77">
        <v>0.625</v>
      </c>
      <c r="O67" s="77">
        <v>0.23590080880004957</v>
      </c>
      <c r="P67" s="77">
        <v>60.20598902853439</v>
      </c>
      <c r="Q67" s="77">
        <v>50.225999999999999</v>
      </c>
      <c r="R67" s="77">
        <v>30.239060049471686</v>
      </c>
      <c r="S67" s="77">
        <v>0.65300000000000002</v>
      </c>
      <c r="T67" s="77">
        <v>0.3931451083563296</v>
      </c>
      <c r="U67" s="77">
        <v>10.871950318610979</v>
      </c>
      <c r="V67" s="77">
        <v>51.2</v>
      </c>
      <c r="W67" s="77">
        <v>5.5664385631288216</v>
      </c>
      <c r="X67" s="77">
        <v>0.47299999999999998</v>
      </c>
      <c r="Y67" s="77">
        <v>5.1424325007029932E-2</v>
      </c>
      <c r="Z67" s="77">
        <v>97.950118436542311</v>
      </c>
      <c r="AA67" s="77">
        <v>47.657598329973268</v>
      </c>
      <c r="AB67" s="77">
        <v>0.62904591715637914</v>
      </c>
      <c r="AC67" s="77">
        <f t="shared" ref="AC67:AC130" si="4">SUM(U67,Z67)</f>
        <v>108.8220687551533</v>
      </c>
      <c r="AD67" s="77">
        <f t="shared" ref="AD67:AD130" si="5">SUM(V67,AA67)</f>
        <v>98.857598329973271</v>
      </c>
      <c r="AE67" s="77">
        <f t="shared" ref="AE67:AE130" si="6">SUM(W67,AB67)</f>
        <v>6.1954844802852005</v>
      </c>
    </row>
    <row r="68" spans="1:31" x14ac:dyDescent="0.25">
      <c r="A68" s="76">
        <v>2011</v>
      </c>
      <c r="B68" s="76" t="s">
        <v>380</v>
      </c>
      <c r="C68" s="76" t="s">
        <v>14</v>
      </c>
      <c r="D68">
        <v>109</v>
      </c>
      <c r="E68">
        <v>10</v>
      </c>
      <c r="F68" s="76" t="s">
        <v>35</v>
      </c>
      <c r="G68">
        <v>0</v>
      </c>
      <c r="H68">
        <v>0</v>
      </c>
      <c r="I68" s="96" t="s">
        <v>12</v>
      </c>
      <c r="J68">
        <v>10</v>
      </c>
      <c r="K68" s="77">
        <v>85.017270281027223</v>
      </c>
      <c r="L68" s="77">
        <v>44.829000000000001</v>
      </c>
      <c r="M68" s="77">
        <v>38.112392094281695</v>
      </c>
      <c r="N68" s="77">
        <v>0.83299999999999996</v>
      </c>
      <c r="O68" s="77">
        <v>0.70819386144095664</v>
      </c>
      <c r="P68" s="77">
        <v>46.22026226151398</v>
      </c>
      <c r="Q68" s="77">
        <v>47.677999999999997</v>
      </c>
      <c r="R68" s="77">
        <v>22.036896641044635</v>
      </c>
      <c r="S68" s="77">
        <v>1.0669999999999999</v>
      </c>
      <c r="T68" s="77">
        <v>0.49317019833035414</v>
      </c>
      <c r="U68" s="78">
        <v>0</v>
      </c>
      <c r="V68" s="78">
        <v>0</v>
      </c>
      <c r="W68" s="78">
        <v>0</v>
      </c>
      <c r="X68" s="78">
        <v>0</v>
      </c>
      <c r="Y68" s="78">
        <v>0</v>
      </c>
      <c r="Z68" s="77">
        <v>131.2375325425412</v>
      </c>
      <c r="AA68" s="77">
        <v>60.14928873532633</v>
      </c>
      <c r="AB68" s="77">
        <v>1.2013640597713109</v>
      </c>
      <c r="AC68" s="77">
        <f t="shared" si="4"/>
        <v>131.2375325425412</v>
      </c>
      <c r="AD68" s="77">
        <f t="shared" si="5"/>
        <v>60.14928873532633</v>
      </c>
      <c r="AE68" s="77">
        <f t="shared" si="6"/>
        <v>1.2013640597713109</v>
      </c>
    </row>
    <row r="69" spans="1:31" x14ac:dyDescent="0.25">
      <c r="A69" s="76">
        <v>2011</v>
      </c>
      <c r="B69" s="76" t="s">
        <v>380</v>
      </c>
      <c r="C69" s="76" t="s">
        <v>14</v>
      </c>
      <c r="D69">
        <v>109</v>
      </c>
      <c r="E69">
        <v>10</v>
      </c>
      <c r="F69" s="76" t="s">
        <v>35</v>
      </c>
      <c r="G69">
        <v>0</v>
      </c>
      <c r="H69">
        <v>0</v>
      </c>
      <c r="I69" s="96" t="s">
        <v>13</v>
      </c>
      <c r="J69">
        <v>7.5</v>
      </c>
      <c r="K69" s="77">
        <v>5.3166116894782833</v>
      </c>
      <c r="L69" s="77">
        <v>42.466999999999999</v>
      </c>
      <c r="M69" s="77">
        <v>2.2578054861707426</v>
      </c>
      <c r="N69" s="77">
        <v>1.4610000000000001</v>
      </c>
      <c r="O69" s="77">
        <v>7.7675696783277723E-2</v>
      </c>
      <c r="P69" s="77">
        <v>308.1862576000911</v>
      </c>
      <c r="Q69" s="77">
        <v>43.304000000000002</v>
      </c>
      <c r="R69" s="77">
        <v>133.45697699114345</v>
      </c>
      <c r="S69" s="77">
        <v>1.232</v>
      </c>
      <c r="T69" s="77">
        <v>3.7968546936331222</v>
      </c>
      <c r="U69" s="78">
        <v>0</v>
      </c>
      <c r="V69" s="78">
        <v>0</v>
      </c>
      <c r="W69" s="78">
        <v>0</v>
      </c>
      <c r="X69" s="78">
        <v>0</v>
      </c>
      <c r="Y69" s="78">
        <v>0</v>
      </c>
      <c r="Z69" s="77">
        <v>313.50286928956939</v>
      </c>
      <c r="AA69" s="77">
        <v>135.7147824773142</v>
      </c>
      <c r="AB69" s="77">
        <v>3.8745303904164001</v>
      </c>
      <c r="AC69" s="77">
        <f t="shared" si="4"/>
        <v>313.50286928956939</v>
      </c>
      <c r="AD69" s="77">
        <f t="shared" si="5"/>
        <v>135.7147824773142</v>
      </c>
      <c r="AE69" s="77">
        <f t="shared" si="6"/>
        <v>3.8745303904164001</v>
      </c>
    </row>
    <row r="70" spans="1:31" x14ac:dyDescent="0.25">
      <c r="A70" s="76">
        <v>2011</v>
      </c>
      <c r="B70" s="76" t="s">
        <v>380</v>
      </c>
      <c r="C70" s="76" t="s">
        <v>381</v>
      </c>
      <c r="D70">
        <v>104</v>
      </c>
      <c r="E70">
        <v>2</v>
      </c>
      <c r="F70" s="76" t="s">
        <v>36</v>
      </c>
      <c r="G70">
        <v>1</v>
      </c>
      <c r="H70">
        <v>0</v>
      </c>
      <c r="I70" s="96" t="s">
        <v>11</v>
      </c>
      <c r="J70">
        <v>5</v>
      </c>
      <c r="K70" s="77">
        <v>8.0551889564877648</v>
      </c>
      <c r="L70" s="77">
        <v>36.057000000000002</v>
      </c>
      <c r="M70" s="77">
        <v>2.9044594820407932</v>
      </c>
      <c r="N70" s="77">
        <v>1.004</v>
      </c>
      <c r="O70" s="77">
        <v>8.0874097123137159E-2</v>
      </c>
      <c r="P70" s="78">
        <v>0</v>
      </c>
      <c r="Q70" s="78">
        <v>0</v>
      </c>
      <c r="R70" s="78">
        <v>0</v>
      </c>
      <c r="S70" s="78">
        <v>0</v>
      </c>
      <c r="T70" s="78">
        <v>0</v>
      </c>
      <c r="U70" s="78">
        <v>0</v>
      </c>
      <c r="V70" s="78">
        <v>0</v>
      </c>
      <c r="W70" s="78">
        <v>0</v>
      </c>
      <c r="X70" s="78">
        <v>0</v>
      </c>
      <c r="Y70" s="78">
        <v>0</v>
      </c>
      <c r="Z70" s="77">
        <v>8.0551889564877648</v>
      </c>
      <c r="AA70" s="77">
        <v>2.9044594820407932</v>
      </c>
      <c r="AB70" s="77">
        <v>8.0874097123137159E-2</v>
      </c>
      <c r="AC70" s="77">
        <f t="shared" si="4"/>
        <v>8.0551889564877648</v>
      </c>
      <c r="AD70" s="77">
        <f t="shared" si="5"/>
        <v>2.9044594820407932</v>
      </c>
      <c r="AE70" s="77">
        <f t="shared" si="6"/>
        <v>8.0874097123137159E-2</v>
      </c>
    </row>
    <row r="71" spans="1:31" x14ac:dyDescent="0.25">
      <c r="A71" s="76">
        <v>2011</v>
      </c>
      <c r="B71" s="76" t="s">
        <v>380</v>
      </c>
      <c r="C71" s="76" t="s">
        <v>381</v>
      </c>
      <c r="D71">
        <v>104</v>
      </c>
      <c r="E71">
        <v>2</v>
      </c>
      <c r="F71" s="76" t="s">
        <v>36</v>
      </c>
      <c r="G71">
        <v>1</v>
      </c>
      <c r="H71">
        <v>0</v>
      </c>
      <c r="I71" s="96" t="s">
        <v>12</v>
      </c>
      <c r="J71">
        <v>10</v>
      </c>
      <c r="K71" s="77">
        <v>0.77953441514397726</v>
      </c>
      <c r="L71" s="77">
        <v>34.774999999999999</v>
      </c>
      <c r="M71" s="78">
        <v>0</v>
      </c>
      <c r="N71" s="77">
        <v>1.1580000000000001</v>
      </c>
      <c r="O71" s="78">
        <v>0</v>
      </c>
      <c r="P71" s="77">
        <v>0.2598448050479924</v>
      </c>
      <c r="Q71" s="77">
        <v>41.436124999999997</v>
      </c>
      <c r="R71" s="77">
        <v>0.10766961822569243</v>
      </c>
      <c r="S71" s="77">
        <v>1.4036249999999999</v>
      </c>
      <c r="T71" s="77">
        <v>3.6472466448548829E-3</v>
      </c>
      <c r="U71" s="78">
        <v>0</v>
      </c>
      <c r="V71" s="78">
        <v>0</v>
      </c>
      <c r="W71" s="78">
        <v>0</v>
      </c>
      <c r="X71" s="78">
        <v>0</v>
      </c>
      <c r="Y71" s="78">
        <v>0</v>
      </c>
      <c r="Z71" s="77">
        <v>1.0393792201919696</v>
      </c>
      <c r="AA71" s="77">
        <v>0.10766961822569243</v>
      </c>
      <c r="AB71" s="77">
        <v>3.6472466448548829E-3</v>
      </c>
      <c r="AC71" s="77">
        <f t="shared" si="4"/>
        <v>1.0393792201919696</v>
      </c>
      <c r="AD71" s="77">
        <f t="shared" si="5"/>
        <v>0.10766961822569243</v>
      </c>
      <c r="AE71" s="77">
        <f t="shared" si="6"/>
        <v>3.6472466448548829E-3</v>
      </c>
    </row>
    <row r="72" spans="1:31" x14ac:dyDescent="0.25">
      <c r="A72" s="76">
        <v>2011</v>
      </c>
      <c r="B72" s="76" t="s">
        <v>380</v>
      </c>
      <c r="C72" s="76" t="s">
        <v>381</v>
      </c>
      <c r="D72">
        <v>104</v>
      </c>
      <c r="E72">
        <v>2</v>
      </c>
      <c r="F72" s="76" t="s">
        <v>36</v>
      </c>
      <c r="G72">
        <v>1</v>
      </c>
      <c r="H72">
        <v>1</v>
      </c>
      <c r="I72" s="96" t="s">
        <v>15</v>
      </c>
      <c r="J72">
        <v>13</v>
      </c>
      <c r="K72" s="77">
        <v>3.1729002538790101</v>
      </c>
      <c r="L72" s="77">
        <v>34.774999999999999</v>
      </c>
      <c r="M72" s="78">
        <v>0</v>
      </c>
      <c r="N72" s="77">
        <v>1.1580000000000001</v>
      </c>
      <c r="O72" s="78">
        <v>0</v>
      </c>
      <c r="P72" s="78">
        <v>0</v>
      </c>
      <c r="Q72" s="78">
        <v>0</v>
      </c>
      <c r="R72" s="78">
        <v>0</v>
      </c>
      <c r="S72" s="78">
        <v>0</v>
      </c>
      <c r="T72" s="78">
        <v>0</v>
      </c>
      <c r="U72" s="78">
        <v>0</v>
      </c>
      <c r="V72" s="78">
        <v>0</v>
      </c>
      <c r="W72" s="78">
        <v>0</v>
      </c>
      <c r="X72" s="78">
        <v>0</v>
      </c>
      <c r="Y72" s="78">
        <v>0</v>
      </c>
      <c r="Z72" s="77">
        <v>3.1729002538790101</v>
      </c>
      <c r="AA72" s="78">
        <v>0</v>
      </c>
      <c r="AB72" s="78">
        <v>0</v>
      </c>
      <c r="AC72" s="77">
        <f t="shared" si="4"/>
        <v>3.1729002538790101</v>
      </c>
      <c r="AD72" s="77">
        <f t="shared" si="5"/>
        <v>0</v>
      </c>
      <c r="AE72" s="77">
        <f t="shared" si="6"/>
        <v>0</v>
      </c>
    </row>
    <row r="73" spans="1:31" x14ac:dyDescent="0.25">
      <c r="A73" s="76">
        <v>2011</v>
      </c>
      <c r="B73" s="76" t="s">
        <v>380</v>
      </c>
      <c r="C73" s="76" t="s">
        <v>381</v>
      </c>
      <c r="D73">
        <v>104</v>
      </c>
      <c r="E73">
        <v>4</v>
      </c>
      <c r="F73" s="76" t="s">
        <v>36</v>
      </c>
      <c r="G73">
        <v>1</v>
      </c>
      <c r="H73">
        <v>0</v>
      </c>
      <c r="I73" s="96" t="s">
        <v>11</v>
      </c>
      <c r="J73">
        <v>5</v>
      </c>
      <c r="K73" s="77">
        <v>22.606498039175339</v>
      </c>
      <c r="L73" s="77">
        <v>40.642000000000003</v>
      </c>
      <c r="M73" s="77">
        <v>9.1877329330816409</v>
      </c>
      <c r="N73" s="77">
        <v>0.89200000000000002</v>
      </c>
      <c r="O73" s="77">
        <v>0.20164996250944403</v>
      </c>
      <c r="P73" s="77">
        <v>80.292044759829651</v>
      </c>
      <c r="Q73" s="77">
        <v>42.805</v>
      </c>
      <c r="R73" s="77">
        <v>34.369009759445078</v>
      </c>
      <c r="S73" s="77">
        <v>1.1559999999999999</v>
      </c>
      <c r="T73" s="77">
        <v>0.92817603742363064</v>
      </c>
      <c r="U73" s="78">
        <v>0</v>
      </c>
      <c r="V73" s="78">
        <v>0</v>
      </c>
      <c r="W73" s="78">
        <v>0</v>
      </c>
      <c r="X73" s="78">
        <v>0</v>
      </c>
      <c r="Y73" s="78">
        <v>0</v>
      </c>
      <c r="Z73" s="77">
        <v>102.89854279900499</v>
      </c>
      <c r="AA73" s="77">
        <v>43.556742692526718</v>
      </c>
      <c r="AB73" s="77">
        <v>1.1298259999330746</v>
      </c>
      <c r="AC73" s="77">
        <f t="shared" si="4"/>
        <v>102.89854279900499</v>
      </c>
      <c r="AD73" s="77">
        <f t="shared" si="5"/>
        <v>43.556742692526718</v>
      </c>
      <c r="AE73" s="77">
        <f t="shared" si="6"/>
        <v>1.1298259999330746</v>
      </c>
    </row>
    <row r="74" spans="1:31" x14ac:dyDescent="0.25">
      <c r="A74" s="76">
        <v>2011</v>
      </c>
      <c r="B74" s="76" t="s">
        <v>380</v>
      </c>
      <c r="C74" s="76" t="s">
        <v>381</v>
      </c>
      <c r="D74">
        <v>104</v>
      </c>
      <c r="E74">
        <v>4</v>
      </c>
      <c r="F74" s="76" t="s">
        <v>36</v>
      </c>
      <c r="G74">
        <v>1</v>
      </c>
      <c r="H74">
        <v>0</v>
      </c>
      <c r="I74" s="96" t="s">
        <v>12</v>
      </c>
      <c r="J74">
        <v>10</v>
      </c>
      <c r="K74" s="77">
        <v>14.031619472591588</v>
      </c>
      <c r="L74" s="77">
        <v>29.643000000000001</v>
      </c>
      <c r="M74" s="77">
        <v>4.159392960260325</v>
      </c>
      <c r="N74" s="77">
        <v>1.2989999999999999</v>
      </c>
      <c r="O74" s="77">
        <v>0.18227073694896473</v>
      </c>
      <c r="P74" s="77">
        <v>21.307274013935377</v>
      </c>
      <c r="Q74" s="77">
        <v>36.999000000000002</v>
      </c>
      <c r="R74" s="77">
        <v>7.8834783124159511</v>
      </c>
      <c r="S74" s="77">
        <v>1.1240000000000001</v>
      </c>
      <c r="T74" s="77">
        <v>0.23949375991663369</v>
      </c>
      <c r="U74" s="78">
        <v>0</v>
      </c>
      <c r="V74" s="78">
        <v>0</v>
      </c>
      <c r="W74" s="78">
        <v>0</v>
      </c>
      <c r="X74" s="78">
        <v>0</v>
      </c>
      <c r="Y74" s="78">
        <v>0</v>
      </c>
      <c r="Z74" s="77">
        <v>35.338893486526963</v>
      </c>
      <c r="AA74" s="77">
        <v>12.042871272676276</v>
      </c>
      <c r="AB74" s="77">
        <v>0.42176449686559842</v>
      </c>
      <c r="AC74" s="77">
        <f t="shared" si="4"/>
        <v>35.338893486526963</v>
      </c>
      <c r="AD74" s="77">
        <f t="shared" si="5"/>
        <v>12.042871272676276</v>
      </c>
      <c r="AE74" s="77">
        <f t="shared" si="6"/>
        <v>0.42176449686559842</v>
      </c>
    </row>
    <row r="75" spans="1:31" x14ac:dyDescent="0.25">
      <c r="A75" s="76">
        <v>2011</v>
      </c>
      <c r="B75" s="76" t="s">
        <v>380</v>
      </c>
      <c r="C75" s="76" t="s">
        <v>381</v>
      </c>
      <c r="D75">
        <v>104</v>
      </c>
      <c r="E75">
        <v>4</v>
      </c>
      <c r="F75" s="76" t="s">
        <v>36</v>
      </c>
      <c r="G75">
        <v>1</v>
      </c>
      <c r="H75">
        <v>1</v>
      </c>
      <c r="I75" s="96" t="s">
        <v>16</v>
      </c>
      <c r="J75">
        <v>10</v>
      </c>
      <c r="K75" s="78">
        <v>0</v>
      </c>
      <c r="L75" s="78">
        <v>0</v>
      </c>
      <c r="M75" s="78">
        <v>0</v>
      </c>
      <c r="N75" s="78">
        <v>0</v>
      </c>
      <c r="O75" s="78">
        <v>0</v>
      </c>
      <c r="P75" s="77">
        <v>4.0794431835587268</v>
      </c>
      <c r="Q75" s="77">
        <v>44.848999999999997</v>
      </c>
      <c r="R75" s="77">
        <v>1.8295894733942533</v>
      </c>
      <c r="S75" s="77">
        <v>1.415</v>
      </c>
      <c r="T75" s="77">
        <v>5.772412104735599E-2</v>
      </c>
      <c r="U75" s="78">
        <v>0</v>
      </c>
      <c r="V75" s="78">
        <v>0</v>
      </c>
      <c r="W75" s="78">
        <v>0</v>
      </c>
      <c r="X75" s="78">
        <v>0</v>
      </c>
      <c r="Y75" s="78">
        <v>0</v>
      </c>
      <c r="Z75" s="77">
        <v>4.0794431835587268</v>
      </c>
      <c r="AA75" s="77">
        <v>1.8295894733942533</v>
      </c>
      <c r="AB75" s="77">
        <v>5.772412104735599E-2</v>
      </c>
      <c r="AC75" s="77">
        <f t="shared" si="4"/>
        <v>4.0794431835587268</v>
      </c>
      <c r="AD75" s="77">
        <f t="shared" si="5"/>
        <v>1.8295894733942533</v>
      </c>
      <c r="AE75" s="77">
        <f t="shared" si="6"/>
        <v>5.772412104735599E-2</v>
      </c>
    </row>
    <row r="76" spans="1:31" x14ac:dyDescent="0.25">
      <c r="A76" s="76">
        <v>2011</v>
      </c>
      <c r="B76" s="76" t="s">
        <v>380</v>
      </c>
      <c r="C76" s="76" t="s">
        <v>381</v>
      </c>
      <c r="D76">
        <v>104</v>
      </c>
      <c r="E76">
        <v>6</v>
      </c>
      <c r="F76" s="76" t="s">
        <v>36</v>
      </c>
      <c r="G76">
        <v>1</v>
      </c>
      <c r="H76">
        <v>0</v>
      </c>
      <c r="I76" s="96" t="s">
        <v>11</v>
      </c>
      <c r="J76">
        <v>5</v>
      </c>
      <c r="K76" s="77">
        <v>29.622307775471135</v>
      </c>
      <c r="L76" s="77">
        <v>41.372</v>
      </c>
      <c r="M76" s="77">
        <v>12.255341172867917</v>
      </c>
      <c r="N76" s="77">
        <v>0.82099999999999995</v>
      </c>
      <c r="O76" s="77">
        <v>0.24319914683661803</v>
      </c>
      <c r="P76" s="77">
        <v>1.5590688302879545</v>
      </c>
      <c r="Q76" s="77">
        <v>42.588999999999999</v>
      </c>
      <c r="R76" s="77">
        <v>0.66399182413133695</v>
      </c>
      <c r="S76" s="77">
        <v>1.754</v>
      </c>
      <c r="T76" s="77">
        <v>2.7346067283250723E-2</v>
      </c>
      <c r="U76" s="78">
        <v>0</v>
      </c>
      <c r="V76" s="78">
        <v>0</v>
      </c>
      <c r="W76" s="78">
        <v>0</v>
      </c>
      <c r="X76" s="78">
        <v>0</v>
      </c>
      <c r="Y76" s="78">
        <v>0</v>
      </c>
      <c r="Z76" s="77">
        <v>31.181376605759091</v>
      </c>
      <c r="AA76" s="77">
        <v>12.919332996999254</v>
      </c>
      <c r="AB76" s="77">
        <v>0.27054521411986876</v>
      </c>
      <c r="AC76" s="77">
        <f t="shared" si="4"/>
        <v>31.181376605759091</v>
      </c>
      <c r="AD76" s="77">
        <f t="shared" si="5"/>
        <v>12.919332996999254</v>
      </c>
      <c r="AE76" s="77">
        <f t="shared" si="6"/>
        <v>0.27054521411986876</v>
      </c>
    </row>
    <row r="77" spans="1:31" x14ac:dyDescent="0.25">
      <c r="A77" s="76">
        <v>2011</v>
      </c>
      <c r="B77" s="76" t="s">
        <v>380</v>
      </c>
      <c r="C77" s="76" t="s">
        <v>381</v>
      </c>
      <c r="D77">
        <v>104</v>
      </c>
      <c r="E77">
        <v>6</v>
      </c>
      <c r="F77" s="76" t="s">
        <v>36</v>
      </c>
      <c r="G77">
        <v>1</v>
      </c>
      <c r="H77">
        <v>0</v>
      </c>
      <c r="I77" s="96" t="s">
        <v>12</v>
      </c>
      <c r="J77">
        <v>10</v>
      </c>
      <c r="K77" s="77">
        <v>29.622307775471135</v>
      </c>
      <c r="L77" s="77">
        <v>28.722000000000001</v>
      </c>
      <c r="M77" s="77">
        <v>8.5081192392708207</v>
      </c>
      <c r="N77" s="77">
        <v>0.84599999999999997</v>
      </c>
      <c r="O77" s="77">
        <v>0.25060472378048582</v>
      </c>
      <c r="P77" s="77">
        <v>3.3779824656239015</v>
      </c>
      <c r="Q77" s="77">
        <v>41.436124999999997</v>
      </c>
      <c r="R77" s="77">
        <v>1.3997050369340016</v>
      </c>
      <c r="S77" s="77">
        <v>1.4036249999999999</v>
      </c>
      <c r="T77" s="77">
        <v>4.7414206383113479E-2</v>
      </c>
      <c r="U77" s="78">
        <v>0</v>
      </c>
      <c r="V77" s="78">
        <v>0</v>
      </c>
      <c r="W77" s="78">
        <v>0</v>
      </c>
      <c r="X77" s="78">
        <v>0</v>
      </c>
      <c r="Y77" s="78">
        <v>0</v>
      </c>
      <c r="Z77" s="77">
        <v>33.000290241095037</v>
      </c>
      <c r="AA77" s="77">
        <v>9.9078242762048223</v>
      </c>
      <c r="AB77" s="77">
        <v>0.29801893016359932</v>
      </c>
      <c r="AC77" s="77">
        <f t="shared" si="4"/>
        <v>33.000290241095037</v>
      </c>
      <c r="AD77" s="77">
        <f t="shared" si="5"/>
        <v>9.9078242762048223</v>
      </c>
      <c r="AE77" s="77">
        <f t="shared" si="6"/>
        <v>0.29801893016359932</v>
      </c>
    </row>
    <row r="78" spans="1:31" x14ac:dyDescent="0.25">
      <c r="A78" s="76">
        <v>2011</v>
      </c>
      <c r="B78" s="76" t="s">
        <v>380</v>
      </c>
      <c r="C78" s="76" t="s">
        <v>381</v>
      </c>
      <c r="D78">
        <v>104</v>
      </c>
      <c r="E78">
        <v>6</v>
      </c>
      <c r="F78" s="76" t="s">
        <v>36</v>
      </c>
      <c r="G78">
        <v>1</v>
      </c>
      <c r="H78">
        <v>1</v>
      </c>
      <c r="I78" s="96" t="s">
        <v>17</v>
      </c>
      <c r="J78">
        <v>11</v>
      </c>
      <c r="K78" s="77">
        <v>5.8925290429181612</v>
      </c>
      <c r="L78" s="77">
        <v>31.901</v>
      </c>
      <c r="M78" s="77">
        <v>1.8797756899813227</v>
      </c>
      <c r="N78" s="77">
        <v>1.6120000000000001</v>
      </c>
      <c r="O78" s="77">
        <v>9.4987568171840772E-2</v>
      </c>
      <c r="P78" s="78">
        <v>0</v>
      </c>
      <c r="Q78" s="78">
        <v>0</v>
      </c>
      <c r="R78" s="78">
        <v>0</v>
      </c>
      <c r="S78" s="78">
        <v>0</v>
      </c>
      <c r="T78" s="78">
        <v>0</v>
      </c>
      <c r="U78" s="78">
        <v>0</v>
      </c>
      <c r="V78" s="78">
        <v>0</v>
      </c>
      <c r="W78" s="78">
        <v>0</v>
      </c>
      <c r="X78" s="78">
        <v>0</v>
      </c>
      <c r="Y78" s="78">
        <v>0</v>
      </c>
      <c r="Z78" s="77">
        <v>5.8925290429181612</v>
      </c>
      <c r="AA78" s="77">
        <v>1.8797756899813227</v>
      </c>
      <c r="AB78" s="77">
        <v>9.4987568171840772E-2</v>
      </c>
      <c r="AC78" s="77">
        <f t="shared" si="4"/>
        <v>5.8925290429181612</v>
      </c>
      <c r="AD78" s="77">
        <f t="shared" si="5"/>
        <v>1.8797756899813227</v>
      </c>
      <c r="AE78" s="77">
        <f t="shared" si="6"/>
        <v>9.4987568171840772E-2</v>
      </c>
    </row>
    <row r="79" spans="1:31" x14ac:dyDescent="0.25">
      <c r="A79" s="76">
        <v>2011</v>
      </c>
      <c r="B79" s="76" t="s">
        <v>380</v>
      </c>
      <c r="C79" s="76" t="s">
        <v>381</v>
      </c>
      <c r="D79">
        <v>104</v>
      </c>
      <c r="E79">
        <v>8</v>
      </c>
      <c r="F79" s="76" t="s">
        <v>36</v>
      </c>
      <c r="G79">
        <v>0</v>
      </c>
      <c r="H79">
        <v>0</v>
      </c>
      <c r="I79" s="96" t="s">
        <v>11</v>
      </c>
      <c r="J79">
        <v>5</v>
      </c>
      <c r="K79" s="77">
        <v>0.5196896100959848</v>
      </c>
      <c r="L79" s="77">
        <v>34.774999999999999</v>
      </c>
      <c r="M79" s="78">
        <v>0</v>
      </c>
      <c r="N79" s="77">
        <v>1.1580000000000001</v>
      </c>
      <c r="O79" s="78">
        <v>0</v>
      </c>
      <c r="P79" s="77">
        <v>7.7953441514397719</v>
      </c>
      <c r="Q79" s="77">
        <v>45.128999999999998</v>
      </c>
      <c r="R79" s="77">
        <v>3.5179608621032545</v>
      </c>
      <c r="S79" s="77">
        <v>1.4910000000000001</v>
      </c>
      <c r="T79" s="77">
        <v>0.11622858129796701</v>
      </c>
      <c r="U79" s="78">
        <v>0</v>
      </c>
      <c r="V79" s="78">
        <v>0</v>
      </c>
      <c r="W79" s="78">
        <v>0</v>
      </c>
      <c r="X79" s="78">
        <v>0</v>
      </c>
      <c r="Y79" s="78">
        <v>0</v>
      </c>
      <c r="Z79" s="77">
        <v>8.3150337615357568</v>
      </c>
      <c r="AA79" s="77">
        <v>3.5179608621032545</v>
      </c>
      <c r="AB79" s="77">
        <v>0.11622858129796701</v>
      </c>
      <c r="AC79" s="77">
        <f t="shared" si="4"/>
        <v>8.3150337615357568</v>
      </c>
      <c r="AD79" s="77">
        <f t="shared" si="5"/>
        <v>3.5179608621032545</v>
      </c>
      <c r="AE79" s="77">
        <f t="shared" si="6"/>
        <v>0.11622858129796701</v>
      </c>
    </row>
    <row r="80" spans="1:31" x14ac:dyDescent="0.25">
      <c r="A80" s="76">
        <v>2011</v>
      </c>
      <c r="B80" s="76" t="s">
        <v>380</v>
      </c>
      <c r="C80" s="76" t="s">
        <v>381</v>
      </c>
      <c r="D80">
        <v>104</v>
      </c>
      <c r="E80">
        <v>8</v>
      </c>
      <c r="F80" s="76" t="s">
        <v>36</v>
      </c>
      <c r="G80">
        <v>0</v>
      </c>
      <c r="H80">
        <v>0</v>
      </c>
      <c r="I80" s="96" t="s">
        <v>12</v>
      </c>
      <c r="J80">
        <v>10</v>
      </c>
      <c r="K80" s="78">
        <v>0</v>
      </c>
      <c r="L80" s="78">
        <v>0</v>
      </c>
      <c r="M80" s="78">
        <v>0</v>
      </c>
      <c r="N80" s="78">
        <v>0</v>
      </c>
      <c r="O80" s="78">
        <v>0</v>
      </c>
      <c r="P80" s="77">
        <v>7.0158097362957941</v>
      </c>
      <c r="Q80" s="77">
        <v>40.896999999999998</v>
      </c>
      <c r="R80" s="77">
        <v>2.8692557078528909</v>
      </c>
      <c r="S80" s="77">
        <v>1.359</v>
      </c>
      <c r="T80" s="77">
        <v>9.5344854316259844E-2</v>
      </c>
      <c r="U80" s="78">
        <v>0</v>
      </c>
      <c r="V80" s="78">
        <v>0</v>
      </c>
      <c r="W80" s="78">
        <v>0</v>
      </c>
      <c r="X80" s="78">
        <v>0</v>
      </c>
      <c r="Y80" s="78">
        <v>0</v>
      </c>
      <c r="Z80" s="77">
        <v>7.0158097362957941</v>
      </c>
      <c r="AA80" s="77">
        <v>2.8692557078528909</v>
      </c>
      <c r="AB80" s="77">
        <v>9.5344854316259844E-2</v>
      </c>
      <c r="AC80" s="77">
        <f t="shared" si="4"/>
        <v>7.0158097362957941</v>
      </c>
      <c r="AD80" s="77">
        <f t="shared" si="5"/>
        <v>2.8692557078528909</v>
      </c>
      <c r="AE80" s="77">
        <f t="shared" si="6"/>
        <v>9.5344854316259844E-2</v>
      </c>
    </row>
    <row r="81" spans="1:31" x14ac:dyDescent="0.25">
      <c r="A81" s="76">
        <v>2011</v>
      </c>
      <c r="B81" s="76" t="s">
        <v>380</v>
      </c>
      <c r="C81" s="76" t="s">
        <v>381</v>
      </c>
      <c r="D81">
        <v>104</v>
      </c>
      <c r="E81">
        <v>8</v>
      </c>
      <c r="F81" s="76" t="s">
        <v>36</v>
      </c>
      <c r="G81">
        <v>0</v>
      </c>
      <c r="H81">
        <v>0</v>
      </c>
      <c r="I81" s="96" t="s">
        <v>18</v>
      </c>
      <c r="J81">
        <v>23</v>
      </c>
      <c r="K81" s="77">
        <v>6.345800507758022</v>
      </c>
      <c r="L81" s="77">
        <v>29.035</v>
      </c>
      <c r="M81" s="77">
        <v>1.8425031774275415</v>
      </c>
      <c r="N81" s="77">
        <v>1.32</v>
      </c>
      <c r="O81" s="77">
        <v>8.3764566702405896E-2</v>
      </c>
      <c r="P81" s="78">
        <v>0</v>
      </c>
      <c r="Q81" s="78">
        <v>0</v>
      </c>
      <c r="R81" s="78">
        <v>0</v>
      </c>
      <c r="S81" s="78">
        <v>0</v>
      </c>
      <c r="T81" s="78">
        <v>0</v>
      </c>
      <c r="U81" s="78">
        <v>0</v>
      </c>
      <c r="V81" s="78">
        <v>0</v>
      </c>
      <c r="W81" s="78">
        <v>0</v>
      </c>
      <c r="X81" s="78">
        <v>0</v>
      </c>
      <c r="Y81" s="78">
        <v>0</v>
      </c>
      <c r="Z81" s="77">
        <v>6.345800507758022</v>
      </c>
      <c r="AA81" s="77">
        <v>1.8425031774275415</v>
      </c>
      <c r="AB81" s="77">
        <v>8.3764566702405896E-2</v>
      </c>
      <c r="AC81" s="77">
        <f t="shared" si="4"/>
        <v>6.345800507758022</v>
      </c>
      <c r="AD81" s="77">
        <f t="shared" si="5"/>
        <v>1.8425031774275415</v>
      </c>
      <c r="AE81" s="77">
        <f t="shared" si="6"/>
        <v>8.3764566702405896E-2</v>
      </c>
    </row>
    <row r="82" spans="1:31" x14ac:dyDescent="0.25">
      <c r="A82" s="76">
        <v>2011</v>
      </c>
      <c r="B82" s="76" t="s">
        <v>380</v>
      </c>
      <c r="C82" s="76" t="s">
        <v>381</v>
      </c>
      <c r="D82">
        <v>104</v>
      </c>
      <c r="E82">
        <v>10</v>
      </c>
      <c r="F82" s="76" t="s">
        <v>36</v>
      </c>
      <c r="G82">
        <v>1</v>
      </c>
      <c r="H82">
        <v>0</v>
      </c>
      <c r="I82" s="96" t="s">
        <v>19</v>
      </c>
      <c r="J82">
        <v>6</v>
      </c>
      <c r="K82" s="78">
        <v>0</v>
      </c>
      <c r="L82" s="78">
        <v>0</v>
      </c>
      <c r="M82" s="78">
        <v>0</v>
      </c>
      <c r="N82" s="78">
        <v>0</v>
      </c>
      <c r="O82" s="78">
        <v>0</v>
      </c>
      <c r="P82" s="78">
        <v>0</v>
      </c>
      <c r="Q82" s="78">
        <v>0</v>
      </c>
      <c r="R82" s="78">
        <v>0</v>
      </c>
      <c r="S82" s="78">
        <v>0</v>
      </c>
      <c r="T82" s="78">
        <v>0</v>
      </c>
      <c r="U82" s="78">
        <v>0</v>
      </c>
      <c r="V82" s="78">
        <v>0</v>
      </c>
      <c r="W82" s="78">
        <v>0</v>
      </c>
      <c r="X82" s="78">
        <v>0</v>
      </c>
      <c r="Y82" s="78">
        <v>0</v>
      </c>
      <c r="Z82" s="78">
        <v>0</v>
      </c>
      <c r="AA82" s="78">
        <v>0</v>
      </c>
      <c r="AB82" s="78">
        <v>0</v>
      </c>
      <c r="AC82" s="77">
        <f t="shared" si="4"/>
        <v>0</v>
      </c>
      <c r="AD82" s="77">
        <f t="shared" si="5"/>
        <v>0</v>
      </c>
      <c r="AE82" s="77">
        <f t="shared" si="6"/>
        <v>0</v>
      </c>
    </row>
    <row r="83" spans="1:31" x14ac:dyDescent="0.25">
      <c r="A83" s="76">
        <v>2011</v>
      </c>
      <c r="B83" s="76" t="s">
        <v>380</v>
      </c>
      <c r="C83" s="76" t="s">
        <v>381</v>
      </c>
      <c r="D83">
        <v>104</v>
      </c>
      <c r="E83">
        <v>10</v>
      </c>
      <c r="F83" s="76" t="s">
        <v>36</v>
      </c>
      <c r="G83">
        <v>1</v>
      </c>
      <c r="H83">
        <v>0</v>
      </c>
      <c r="I83" s="96" t="s">
        <v>20</v>
      </c>
      <c r="J83">
        <v>10</v>
      </c>
      <c r="K83" s="78">
        <v>0</v>
      </c>
      <c r="L83" s="78">
        <v>0</v>
      </c>
      <c r="M83" s="78">
        <v>0</v>
      </c>
      <c r="N83" s="78">
        <v>0</v>
      </c>
      <c r="O83" s="78">
        <v>0</v>
      </c>
      <c r="P83" s="77">
        <v>10.133947396871704</v>
      </c>
      <c r="Q83" s="77">
        <v>39.271999999999998</v>
      </c>
      <c r="R83" s="77">
        <v>3.9798038216994551</v>
      </c>
      <c r="S83" s="77">
        <v>1.302</v>
      </c>
      <c r="T83" s="77">
        <v>0.13194399510726959</v>
      </c>
      <c r="U83" s="78">
        <v>0</v>
      </c>
      <c r="V83" s="78">
        <v>0</v>
      </c>
      <c r="W83" s="78">
        <v>0</v>
      </c>
      <c r="X83" s="78">
        <v>0</v>
      </c>
      <c r="Y83" s="78">
        <v>0</v>
      </c>
      <c r="Z83" s="77">
        <v>10.133947396871704</v>
      </c>
      <c r="AA83" s="77">
        <v>3.9798038216994551</v>
      </c>
      <c r="AB83" s="77">
        <v>0.13194399510726959</v>
      </c>
      <c r="AC83" s="77">
        <f t="shared" si="4"/>
        <v>10.133947396871704</v>
      </c>
      <c r="AD83" s="77">
        <f t="shared" si="5"/>
        <v>3.9798038216994551</v>
      </c>
      <c r="AE83" s="77">
        <f t="shared" si="6"/>
        <v>0.13194399510726959</v>
      </c>
    </row>
    <row r="84" spans="1:31" x14ac:dyDescent="0.25">
      <c r="A84" s="76">
        <v>2011</v>
      </c>
      <c r="B84" s="76" t="s">
        <v>380</v>
      </c>
      <c r="C84" s="76" t="s">
        <v>381</v>
      </c>
      <c r="D84">
        <v>104</v>
      </c>
      <c r="E84">
        <v>10</v>
      </c>
      <c r="F84" s="76" t="s">
        <v>36</v>
      </c>
      <c r="G84">
        <v>1</v>
      </c>
      <c r="H84">
        <v>1</v>
      </c>
      <c r="I84" s="96" t="s">
        <v>21</v>
      </c>
      <c r="J84">
        <v>22</v>
      </c>
      <c r="K84" s="78">
        <v>0</v>
      </c>
      <c r="L84" s="78">
        <v>0</v>
      </c>
      <c r="M84" s="78">
        <v>0</v>
      </c>
      <c r="N84" s="78">
        <v>0</v>
      </c>
      <c r="O84" s="78">
        <v>0</v>
      </c>
      <c r="P84" s="77">
        <v>7.2523434374377391</v>
      </c>
      <c r="Q84" s="77">
        <v>38.948999999999998</v>
      </c>
      <c r="R84" s="77">
        <v>2.8247152454476252</v>
      </c>
      <c r="S84" s="77">
        <v>1.6279999999999999</v>
      </c>
      <c r="T84" s="77">
        <v>0.11806815116148639</v>
      </c>
      <c r="U84" s="78">
        <v>0</v>
      </c>
      <c r="V84" s="78">
        <v>0</v>
      </c>
      <c r="W84" s="78">
        <v>0</v>
      </c>
      <c r="X84" s="78">
        <v>0</v>
      </c>
      <c r="Y84" s="78">
        <v>0</v>
      </c>
      <c r="Z84" s="77">
        <v>7.2523434374377391</v>
      </c>
      <c r="AA84" s="77">
        <v>2.8247152454476252</v>
      </c>
      <c r="AB84" s="77">
        <v>0.11806815116148639</v>
      </c>
      <c r="AC84" s="77">
        <f t="shared" si="4"/>
        <v>7.2523434374377391</v>
      </c>
      <c r="AD84" s="77">
        <f t="shared" si="5"/>
        <v>2.8247152454476252</v>
      </c>
      <c r="AE84" s="77">
        <f t="shared" si="6"/>
        <v>0.11806815116148639</v>
      </c>
    </row>
    <row r="85" spans="1:31" x14ac:dyDescent="0.25">
      <c r="A85" s="76">
        <v>2011</v>
      </c>
      <c r="B85" s="76" t="s">
        <v>380</v>
      </c>
      <c r="C85" s="76" t="s">
        <v>14</v>
      </c>
      <c r="D85">
        <v>108</v>
      </c>
      <c r="E85">
        <v>2</v>
      </c>
      <c r="F85" s="76" t="s">
        <v>36</v>
      </c>
      <c r="G85">
        <v>0</v>
      </c>
      <c r="H85">
        <v>0</v>
      </c>
      <c r="I85" s="96" t="s">
        <v>11</v>
      </c>
      <c r="J85">
        <v>5</v>
      </c>
      <c r="K85" s="77">
        <v>6.755964931247803</v>
      </c>
      <c r="L85" s="77">
        <v>41.081000000000003</v>
      </c>
      <c r="M85" s="77">
        <v>2.7754179534059098</v>
      </c>
      <c r="N85" s="77">
        <v>1.4319999999999999</v>
      </c>
      <c r="O85" s="77">
        <v>9.674541781546854E-2</v>
      </c>
      <c r="P85" s="77">
        <v>87.048009691077453</v>
      </c>
      <c r="Q85" s="77">
        <v>42.829000000000001</v>
      </c>
      <c r="R85" s="77">
        <v>37.281792070591564</v>
      </c>
      <c r="S85" s="77">
        <v>1.571</v>
      </c>
      <c r="T85" s="77">
        <v>1.3675242322468266</v>
      </c>
      <c r="U85" s="78">
        <v>0</v>
      </c>
      <c r="V85" s="78">
        <v>0</v>
      </c>
      <c r="W85" s="78">
        <v>0</v>
      </c>
      <c r="X85" s="78">
        <v>0</v>
      </c>
      <c r="Y85" s="78">
        <v>0</v>
      </c>
      <c r="Z85" s="77">
        <v>93.803974622325256</v>
      </c>
      <c r="AA85" s="77">
        <v>40.05721002399747</v>
      </c>
      <c r="AB85" s="77">
        <v>1.4642696500622951</v>
      </c>
      <c r="AC85" s="77">
        <f t="shared" si="4"/>
        <v>93.803974622325256</v>
      </c>
      <c r="AD85" s="77">
        <f t="shared" si="5"/>
        <v>40.05721002399747</v>
      </c>
      <c r="AE85" s="77">
        <f t="shared" si="6"/>
        <v>1.4642696500622951</v>
      </c>
    </row>
    <row r="86" spans="1:31" x14ac:dyDescent="0.25">
      <c r="A86" s="76">
        <v>2011</v>
      </c>
      <c r="B86" s="76" t="s">
        <v>380</v>
      </c>
      <c r="C86" s="76" t="s">
        <v>14</v>
      </c>
      <c r="D86">
        <v>108</v>
      </c>
      <c r="E86">
        <v>2</v>
      </c>
      <c r="F86" s="76" t="s">
        <v>36</v>
      </c>
      <c r="G86">
        <v>0</v>
      </c>
      <c r="H86">
        <v>0</v>
      </c>
      <c r="I86" s="96" t="s">
        <v>12</v>
      </c>
      <c r="J86">
        <v>10</v>
      </c>
      <c r="K86" s="77">
        <v>2.3386032454319317</v>
      </c>
      <c r="L86" s="77">
        <v>38.881500000000003</v>
      </c>
      <c r="M86" s="77">
        <v>0.90928402087261651</v>
      </c>
      <c r="N86" s="77">
        <v>1.6174999999999999</v>
      </c>
      <c r="O86" s="77">
        <v>3.7826907494861492E-2</v>
      </c>
      <c r="P86" s="77">
        <v>19.748205183647421</v>
      </c>
      <c r="Q86" s="77">
        <v>42.167999999999999</v>
      </c>
      <c r="R86" s="77">
        <v>8.3274231618404446</v>
      </c>
      <c r="S86" s="77">
        <v>1.17</v>
      </c>
      <c r="T86" s="77">
        <v>0.23105400064867479</v>
      </c>
      <c r="U86" s="78">
        <v>0</v>
      </c>
      <c r="V86" s="78">
        <v>0</v>
      </c>
      <c r="W86" s="78">
        <v>0</v>
      </c>
      <c r="X86" s="78">
        <v>0</v>
      </c>
      <c r="Y86" s="78">
        <v>0</v>
      </c>
      <c r="Z86" s="77">
        <v>22.086808429079355</v>
      </c>
      <c r="AA86" s="77">
        <v>9.2367071827130616</v>
      </c>
      <c r="AB86" s="77">
        <v>0.26888090814353627</v>
      </c>
      <c r="AC86" s="77">
        <f t="shared" si="4"/>
        <v>22.086808429079355</v>
      </c>
      <c r="AD86" s="77">
        <f t="shared" si="5"/>
        <v>9.2367071827130616</v>
      </c>
      <c r="AE86" s="77">
        <f t="shared" si="6"/>
        <v>0.26888090814353627</v>
      </c>
    </row>
    <row r="87" spans="1:31" x14ac:dyDescent="0.25">
      <c r="A87" s="76">
        <v>2011</v>
      </c>
      <c r="B87" s="76" t="s">
        <v>380</v>
      </c>
      <c r="C87" s="76" t="s">
        <v>14</v>
      </c>
      <c r="D87">
        <v>108</v>
      </c>
      <c r="E87">
        <v>2</v>
      </c>
      <c r="F87" s="76" t="s">
        <v>36</v>
      </c>
      <c r="G87">
        <v>0</v>
      </c>
      <c r="H87">
        <v>1</v>
      </c>
      <c r="I87" s="96" t="s">
        <v>21</v>
      </c>
      <c r="J87">
        <v>22</v>
      </c>
      <c r="K87" s="77">
        <v>3.6261717187188696</v>
      </c>
      <c r="L87" s="77">
        <v>38.881500000000003</v>
      </c>
      <c r="M87" s="77">
        <v>1.4099099568136773</v>
      </c>
      <c r="N87" s="77">
        <v>1.6174999999999999</v>
      </c>
      <c r="O87" s="77">
        <v>5.865332755027771E-2</v>
      </c>
      <c r="P87" s="77">
        <v>9.5187007616370298</v>
      </c>
      <c r="Q87" s="77">
        <v>33.531999999999996</v>
      </c>
      <c r="R87" s="77">
        <v>3.1918107393921282</v>
      </c>
      <c r="S87" s="77">
        <v>1.1619999999999999</v>
      </c>
      <c r="T87" s="77">
        <v>0.11060730285022227</v>
      </c>
      <c r="U87" s="78">
        <v>0</v>
      </c>
      <c r="V87" s="78">
        <v>0</v>
      </c>
      <c r="W87" s="78">
        <v>0</v>
      </c>
      <c r="X87" s="78">
        <v>0</v>
      </c>
      <c r="Y87" s="78">
        <v>0</v>
      </c>
      <c r="Z87" s="77">
        <v>13.1448724803559</v>
      </c>
      <c r="AA87" s="77">
        <v>4.6017206962058053</v>
      </c>
      <c r="AB87" s="77">
        <v>0.16926063040049999</v>
      </c>
      <c r="AC87" s="77">
        <f t="shared" si="4"/>
        <v>13.1448724803559</v>
      </c>
      <c r="AD87" s="77">
        <f t="shared" si="5"/>
        <v>4.6017206962058053</v>
      </c>
      <c r="AE87" s="77">
        <f t="shared" si="6"/>
        <v>0.16926063040049999</v>
      </c>
    </row>
    <row r="88" spans="1:31" x14ac:dyDescent="0.25">
      <c r="A88" s="76">
        <v>2011</v>
      </c>
      <c r="B88" s="76" t="s">
        <v>380</v>
      </c>
      <c r="C88" s="76" t="s">
        <v>14</v>
      </c>
      <c r="D88">
        <v>108</v>
      </c>
      <c r="E88">
        <v>4</v>
      </c>
      <c r="F88" s="76" t="s">
        <v>36</v>
      </c>
      <c r="G88">
        <v>0</v>
      </c>
      <c r="H88">
        <v>0</v>
      </c>
      <c r="I88" s="96" t="s">
        <v>11</v>
      </c>
      <c r="J88">
        <v>5</v>
      </c>
      <c r="K88" s="77">
        <v>16.630067523071514</v>
      </c>
      <c r="L88" s="77">
        <v>36.682000000000002</v>
      </c>
      <c r="M88" s="77">
        <v>6.1002413688130934</v>
      </c>
      <c r="N88" s="77">
        <v>1.8029999999999999</v>
      </c>
      <c r="O88" s="77">
        <v>0.29984011744097938</v>
      </c>
      <c r="P88" s="77">
        <v>16.889912328119504</v>
      </c>
      <c r="Q88" s="77">
        <v>32.220999999999997</v>
      </c>
      <c r="R88" s="77">
        <v>5.4420986512433842</v>
      </c>
      <c r="S88" s="77">
        <v>1.393</v>
      </c>
      <c r="T88" s="77">
        <v>0.23527647873070467</v>
      </c>
      <c r="U88" s="78">
        <v>0</v>
      </c>
      <c r="V88" s="78">
        <v>0</v>
      </c>
      <c r="W88" s="78">
        <v>0</v>
      </c>
      <c r="X88" s="78">
        <v>0</v>
      </c>
      <c r="Y88" s="78">
        <v>0</v>
      </c>
      <c r="Z88" s="77">
        <v>33.519979851191017</v>
      </c>
      <c r="AA88" s="77">
        <v>11.542340020056479</v>
      </c>
      <c r="AB88" s="77">
        <v>0.53511659617168406</v>
      </c>
      <c r="AC88" s="77">
        <f t="shared" si="4"/>
        <v>33.519979851191017</v>
      </c>
      <c r="AD88" s="77">
        <f t="shared" si="5"/>
        <v>11.542340020056479</v>
      </c>
      <c r="AE88" s="77">
        <f t="shared" si="6"/>
        <v>0.53511659617168406</v>
      </c>
    </row>
    <row r="89" spans="1:31" x14ac:dyDescent="0.25">
      <c r="A89" s="76">
        <v>2011</v>
      </c>
      <c r="B89" s="76" t="s">
        <v>380</v>
      </c>
      <c r="C89" s="76" t="s">
        <v>14</v>
      </c>
      <c r="D89">
        <v>108</v>
      </c>
      <c r="E89">
        <v>4</v>
      </c>
      <c r="F89" s="76" t="s">
        <v>36</v>
      </c>
      <c r="G89">
        <v>0</v>
      </c>
      <c r="H89">
        <v>1</v>
      </c>
      <c r="I89" s="96" t="s">
        <v>12</v>
      </c>
      <c r="J89">
        <v>10</v>
      </c>
      <c r="K89" s="77">
        <v>1.5590688302879545</v>
      </c>
      <c r="L89" s="77">
        <v>38.881500000000003</v>
      </c>
      <c r="M89" s="77">
        <v>0.60618934724841111</v>
      </c>
      <c r="N89" s="77">
        <v>1.6174999999999999</v>
      </c>
      <c r="O89" s="77">
        <v>2.5217938329907662E-2</v>
      </c>
      <c r="P89" s="77">
        <v>4.9370512959118553</v>
      </c>
      <c r="Q89" s="77">
        <v>42.716999999999999</v>
      </c>
      <c r="R89" s="77">
        <v>2.1089602020746674</v>
      </c>
      <c r="S89" s="77">
        <v>1.298</v>
      </c>
      <c r="T89" s="77">
        <v>6.4082925820935888E-2</v>
      </c>
      <c r="U89" s="78">
        <v>0</v>
      </c>
      <c r="V89" s="78">
        <v>0</v>
      </c>
      <c r="W89" s="78">
        <v>0</v>
      </c>
      <c r="X89" s="78">
        <v>0</v>
      </c>
      <c r="Y89" s="78">
        <v>0</v>
      </c>
      <c r="Z89" s="77">
        <v>6.4961201261998101</v>
      </c>
      <c r="AA89" s="77">
        <v>2.7151495493230784</v>
      </c>
      <c r="AB89" s="77">
        <v>8.9300864150843554E-2</v>
      </c>
      <c r="AC89" s="77">
        <f t="shared" si="4"/>
        <v>6.4961201261998101</v>
      </c>
      <c r="AD89" s="77">
        <f t="shared" si="5"/>
        <v>2.7151495493230784</v>
      </c>
      <c r="AE89" s="77">
        <f t="shared" si="6"/>
        <v>8.9300864150843554E-2</v>
      </c>
    </row>
    <row r="90" spans="1:31" x14ac:dyDescent="0.25">
      <c r="A90" s="76">
        <v>2011</v>
      </c>
      <c r="B90" s="76" t="s">
        <v>380</v>
      </c>
      <c r="C90" s="76" t="s">
        <v>14</v>
      </c>
      <c r="D90">
        <v>108</v>
      </c>
      <c r="E90">
        <v>6</v>
      </c>
      <c r="F90" s="76" t="s">
        <v>36</v>
      </c>
      <c r="G90">
        <v>0</v>
      </c>
      <c r="H90">
        <v>1</v>
      </c>
      <c r="I90" s="96" t="s">
        <v>11</v>
      </c>
      <c r="J90">
        <v>5</v>
      </c>
      <c r="K90" s="77">
        <v>0.2598448050479924</v>
      </c>
      <c r="L90" s="77">
        <v>38.881500000000003</v>
      </c>
      <c r="M90" s="77">
        <v>0.10103155787473517</v>
      </c>
      <c r="N90" s="77">
        <v>1.6174999999999999</v>
      </c>
      <c r="O90" s="77">
        <v>4.2029897216512768E-3</v>
      </c>
      <c r="P90" s="77">
        <v>10.133947396871704</v>
      </c>
      <c r="Q90" s="77">
        <v>37.781999999999996</v>
      </c>
      <c r="R90" s="77">
        <v>3.8288080054860671</v>
      </c>
      <c r="S90" s="77">
        <v>1.6830000000000001</v>
      </c>
      <c r="T90" s="77">
        <v>0.1705543346893508</v>
      </c>
      <c r="U90" s="78">
        <v>0</v>
      </c>
      <c r="V90" s="78">
        <v>0</v>
      </c>
      <c r="W90" s="78">
        <v>0</v>
      </c>
      <c r="X90" s="78">
        <v>0</v>
      </c>
      <c r="Y90" s="78">
        <v>0</v>
      </c>
      <c r="Z90" s="77">
        <v>10.393792201919696</v>
      </c>
      <c r="AA90" s="77">
        <v>3.9298395633608023</v>
      </c>
      <c r="AB90" s="77">
        <v>0.17475732441100209</v>
      </c>
      <c r="AC90" s="77">
        <f t="shared" si="4"/>
        <v>10.393792201919696</v>
      </c>
      <c r="AD90" s="77">
        <f t="shared" si="5"/>
        <v>3.9298395633608023</v>
      </c>
      <c r="AE90" s="77">
        <f t="shared" si="6"/>
        <v>0.17475732441100209</v>
      </c>
    </row>
    <row r="91" spans="1:31" x14ac:dyDescent="0.25">
      <c r="A91" s="76">
        <v>2011</v>
      </c>
      <c r="B91" s="76" t="s">
        <v>380</v>
      </c>
      <c r="C91" s="76" t="s">
        <v>14</v>
      </c>
      <c r="D91">
        <v>108</v>
      </c>
      <c r="E91">
        <v>6</v>
      </c>
      <c r="F91" s="76" t="s">
        <v>36</v>
      </c>
      <c r="G91">
        <v>0</v>
      </c>
      <c r="H91">
        <v>1</v>
      </c>
      <c r="I91" s="96" t="s">
        <v>12</v>
      </c>
      <c r="J91">
        <v>10</v>
      </c>
      <c r="K91" s="78">
        <v>0</v>
      </c>
      <c r="L91" s="78">
        <v>0</v>
      </c>
      <c r="M91" s="78">
        <v>0</v>
      </c>
      <c r="N91" s="78">
        <v>0</v>
      </c>
      <c r="O91" s="78">
        <v>0</v>
      </c>
      <c r="P91" s="77">
        <v>0.4532714648398587</v>
      </c>
      <c r="Q91" s="77">
        <v>39.670124999999999</v>
      </c>
      <c r="R91" s="77">
        <v>0.17981335669130299</v>
      </c>
      <c r="S91" s="77">
        <v>1.4837499999999999</v>
      </c>
      <c r="T91" s="77">
        <v>6.7254153595614026E-3</v>
      </c>
      <c r="U91" s="78">
        <v>0</v>
      </c>
      <c r="V91" s="78">
        <v>0</v>
      </c>
      <c r="W91" s="78">
        <v>0</v>
      </c>
      <c r="X91" s="78">
        <v>0</v>
      </c>
      <c r="Y91" s="78">
        <v>0</v>
      </c>
      <c r="Z91" s="77">
        <v>0.4532714648398587</v>
      </c>
      <c r="AA91" s="77">
        <v>0.17981335669130299</v>
      </c>
      <c r="AB91" s="77">
        <v>6.7254153595614026E-3</v>
      </c>
      <c r="AC91" s="77">
        <f t="shared" si="4"/>
        <v>0.4532714648398587</v>
      </c>
      <c r="AD91" s="77">
        <f t="shared" si="5"/>
        <v>0.17981335669130299</v>
      </c>
      <c r="AE91" s="77">
        <f t="shared" si="6"/>
        <v>6.7254153595614026E-3</v>
      </c>
    </row>
    <row r="92" spans="1:31" x14ac:dyDescent="0.25">
      <c r="A92" s="76">
        <v>2011</v>
      </c>
      <c r="B92" s="76" t="s">
        <v>380</v>
      </c>
      <c r="C92" s="76" t="s">
        <v>14</v>
      </c>
      <c r="D92">
        <v>108</v>
      </c>
      <c r="E92">
        <v>8</v>
      </c>
      <c r="F92" s="76" t="s">
        <v>36</v>
      </c>
      <c r="G92">
        <v>0</v>
      </c>
      <c r="H92">
        <v>0</v>
      </c>
      <c r="I92" s="96" t="s">
        <v>11</v>
      </c>
      <c r="J92">
        <v>5</v>
      </c>
      <c r="K92" s="77">
        <v>0.12004829993217249</v>
      </c>
      <c r="L92" s="77">
        <v>38.881500000000003</v>
      </c>
      <c r="M92" s="77">
        <v>4.6676579738127652E-2</v>
      </c>
      <c r="N92" s="77">
        <v>1.6174999999999999</v>
      </c>
      <c r="O92" s="77">
        <v>1.9417812514028899E-3</v>
      </c>
      <c r="P92" s="77">
        <v>7.7953441514397719</v>
      </c>
      <c r="Q92" s="77">
        <v>42.082000000000001</v>
      </c>
      <c r="R92" s="77">
        <v>3.2804367258088849</v>
      </c>
      <c r="S92" s="77">
        <v>1.7190000000000001</v>
      </c>
      <c r="T92" s="77">
        <v>0.13400196596324968</v>
      </c>
      <c r="U92" s="78">
        <v>0</v>
      </c>
      <c r="V92" s="78">
        <v>0</v>
      </c>
      <c r="W92" s="78">
        <v>0</v>
      </c>
      <c r="X92" s="78">
        <v>0</v>
      </c>
      <c r="Y92" s="78">
        <v>0</v>
      </c>
      <c r="Z92" s="77">
        <v>7.915392451371944</v>
      </c>
      <c r="AA92" s="77">
        <v>3.3271133055470123</v>
      </c>
      <c r="AB92" s="77">
        <v>0.13594374721465258</v>
      </c>
      <c r="AC92" s="77">
        <f t="shared" si="4"/>
        <v>7.915392451371944</v>
      </c>
      <c r="AD92" s="77">
        <f t="shared" si="5"/>
        <v>3.3271133055470123</v>
      </c>
      <c r="AE92" s="77">
        <f t="shared" si="6"/>
        <v>0.13594374721465258</v>
      </c>
    </row>
    <row r="93" spans="1:31" x14ac:dyDescent="0.25">
      <c r="A93" s="76">
        <v>2011</v>
      </c>
      <c r="B93" s="76" t="s">
        <v>380</v>
      </c>
      <c r="C93" s="76" t="s">
        <v>14</v>
      </c>
      <c r="D93">
        <v>108</v>
      </c>
      <c r="E93">
        <v>8</v>
      </c>
      <c r="F93" s="76" t="s">
        <v>36</v>
      </c>
      <c r="G93">
        <v>0</v>
      </c>
      <c r="H93">
        <v>0</v>
      </c>
      <c r="I93" s="96" t="s">
        <v>12</v>
      </c>
      <c r="J93">
        <v>10</v>
      </c>
      <c r="K93" s="78">
        <v>0</v>
      </c>
      <c r="L93" s="78">
        <v>0</v>
      </c>
      <c r="M93" s="78">
        <v>0</v>
      </c>
      <c r="N93" s="78">
        <v>0</v>
      </c>
      <c r="O93" s="78">
        <v>0</v>
      </c>
      <c r="P93" s="77">
        <v>1.2992240252399621</v>
      </c>
      <c r="Q93" s="77">
        <v>39.670124999999999</v>
      </c>
      <c r="R93" s="77">
        <v>0.51540379484272447</v>
      </c>
      <c r="S93" s="77">
        <v>1.4837499999999999</v>
      </c>
      <c r="T93" s="77">
        <v>1.9277236474497934E-2</v>
      </c>
      <c r="U93" s="78">
        <v>0</v>
      </c>
      <c r="V93" s="78">
        <v>0</v>
      </c>
      <c r="W93" s="78">
        <v>0</v>
      </c>
      <c r="X93" s="78">
        <v>0</v>
      </c>
      <c r="Y93" s="78">
        <v>0</v>
      </c>
      <c r="Z93" s="77">
        <v>1.2992240252399621</v>
      </c>
      <c r="AA93" s="77">
        <v>0.51540379484272447</v>
      </c>
      <c r="AB93" s="77">
        <v>1.9277236474497934E-2</v>
      </c>
      <c r="AC93" s="77">
        <f t="shared" si="4"/>
        <v>1.2992240252399621</v>
      </c>
      <c r="AD93" s="77">
        <f t="shared" si="5"/>
        <v>0.51540379484272447</v>
      </c>
      <c r="AE93" s="77">
        <f t="shared" si="6"/>
        <v>1.9277236474497934E-2</v>
      </c>
    </row>
    <row r="94" spans="1:31" x14ac:dyDescent="0.25">
      <c r="A94" s="76">
        <v>2011</v>
      </c>
      <c r="B94" s="76" t="s">
        <v>380</v>
      </c>
      <c r="C94" s="76" t="s">
        <v>14</v>
      </c>
      <c r="D94">
        <v>108</v>
      </c>
      <c r="E94">
        <v>8</v>
      </c>
      <c r="F94" s="76" t="s">
        <v>36</v>
      </c>
      <c r="G94">
        <v>0</v>
      </c>
      <c r="H94">
        <v>1</v>
      </c>
      <c r="I94" s="96" t="s">
        <v>16</v>
      </c>
      <c r="J94">
        <v>10</v>
      </c>
      <c r="K94" s="77">
        <v>1.359814394519576</v>
      </c>
      <c r="L94" s="77">
        <v>38.881500000000003</v>
      </c>
      <c r="M94" s="77">
        <v>0.528716233805129</v>
      </c>
      <c r="N94" s="77">
        <v>1.6174999999999999</v>
      </c>
      <c r="O94" s="77">
        <v>2.1994997831354141E-2</v>
      </c>
      <c r="P94" s="77">
        <v>1.359814394519576</v>
      </c>
      <c r="Q94" s="77">
        <v>39.670124999999999</v>
      </c>
      <c r="R94" s="77">
        <v>0.53944007007390893</v>
      </c>
      <c r="S94" s="77">
        <v>1.4837499999999999</v>
      </c>
      <c r="T94" s="77">
        <v>2.0176246078684207E-2</v>
      </c>
      <c r="U94" s="78">
        <v>0</v>
      </c>
      <c r="V94" s="78">
        <v>0</v>
      </c>
      <c r="W94" s="78">
        <v>0</v>
      </c>
      <c r="X94" s="78">
        <v>0</v>
      </c>
      <c r="Y94" s="78">
        <v>0</v>
      </c>
      <c r="Z94" s="77">
        <v>2.719628789039152</v>
      </c>
      <c r="AA94" s="77">
        <v>1.068156303879038</v>
      </c>
      <c r="AB94" s="77">
        <v>4.2171243910038347E-2</v>
      </c>
      <c r="AC94" s="77">
        <f t="shared" si="4"/>
        <v>2.719628789039152</v>
      </c>
      <c r="AD94" s="77">
        <f t="shared" si="5"/>
        <v>1.068156303879038</v>
      </c>
      <c r="AE94" s="77">
        <f t="shared" si="6"/>
        <v>4.2171243910038347E-2</v>
      </c>
    </row>
    <row r="95" spans="1:31" x14ac:dyDescent="0.25">
      <c r="A95" s="76">
        <v>2011</v>
      </c>
      <c r="B95" s="76" t="s">
        <v>380</v>
      </c>
      <c r="C95" s="76" t="s">
        <v>14</v>
      </c>
      <c r="D95">
        <v>108</v>
      </c>
      <c r="E95">
        <v>10</v>
      </c>
      <c r="F95" s="76" t="s">
        <v>36</v>
      </c>
      <c r="G95">
        <v>0</v>
      </c>
      <c r="H95">
        <v>0</v>
      </c>
      <c r="I95" s="96" t="s">
        <v>11</v>
      </c>
      <c r="J95">
        <v>5</v>
      </c>
      <c r="K95" s="77">
        <v>3.8976720757198859</v>
      </c>
      <c r="L95" s="77">
        <v>38.881500000000003</v>
      </c>
      <c r="M95" s="77">
        <v>1.5154733681210275</v>
      </c>
      <c r="N95" s="77">
        <v>1.6174999999999999</v>
      </c>
      <c r="O95" s="77">
        <v>6.3044845824769144E-2</v>
      </c>
      <c r="P95" s="77">
        <v>5.9764305161038251</v>
      </c>
      <c r="Q95" s="77">
        <v>39.670124999999999</v>
      </c>
      <c r="R95" s="77">
        <v>2.3708574562765325</v>
      </c>
      <c r="S95" s="77">
        <v>1.4837499999999999</v>
      </c>
      <c r="T95" s="77">
        <v>8.8675287782690501E-2</v>
      </c>
      <c r="U95" s="78">
        <v>0</v>
      </c>
      <c r="V95" s="78">
        <v>0</v>
      </c>
      <c r="W95" s="78">
        <v>0</v>
      </c>
      <c r="X95" s="78">
        <v>0</v>
      </c>
      <c r="Y95" s="78">
        <v>0</v>
      </c>
      <c r="Z95" s="77">
        <v>9.8741025918237106</v>
      </c>
      <c r="AA95" s="77">
        <v>3.8863308243975601</v>
      </c>
      <c r="AB95" s="77">
        <v>0.15172013360745965</v>
      </c>
      <c r="AC95" s="77">
        <f t="shared" si="4"/>
        <v>9.8741025918237106</v>
      </c>
      <c r="AD95" s="77">
        <f t="shared" si="5"/>
        <v>3.8863308243975601</v>
      </c>
      <c r="AE95" s="77">
        <f t="shared" si="6"/>
        <v>0.15172013360745965</v>
      </c>
    </row>
    <row r="96" spans="1:31" x14ac:dyDescent="0.25">
      <c r="A96" s="76">
        <v>2011</v>
      </c>
      <c r="B96" s="76" t="s">
        <v>380</v>
      </c>
      <c r="C96" s="76" t="s">
        <v>14</v>
      </c>
      <c r="D96">
        <v>108</v>
      </c>
      <c r="E96">
        <v>10</v>
      </c>
      <c r="F96" s="76" t="s">
        <v>36</v>
      </c>
      <c r="G96">
        <v>0</v>
      </c>
      <c r="H96">
        <v>1</v>
      </c>
      <c r="I96" s="96" t="s">
        <v>22</v>
      </c>
      <c r="J96">
        <v>8</v>
      </c>
      <c r="K96" s="77">
        <v>0.77953441514397737</v>
      </c>
      <c r="L96" s="77">
        <v>38.881500000000003</v>
      </c>
      <c r="M96" s="77">
        <v>0.30309467362420556</v>
      </c>
      <c r="N96" s="77">
        <v>1.6174999999999999</v>
      </c>
      <c r="O96" s="77">
        <v>1.2608969164953833E-2</v>
      </c>
      <c r="P96" s="77">
        <v>14.811153887735568</v>
      </c>
      <c r="Q96" s="77">
        <v>44.03</v>
      </c>
      <c r="R96" s="77">
        <v>6.5213510567699711</v>
      </c>
      <c r="S96" s="77">
        <v>1.8740000000000001</v>
      </c>
      <c r="T96" s="77">
        <v>0.27756102385616455</v>
      </c>
      <c r="U96" s="78">
        <v>0</v>
      </c>
      <c r="V96" s="78">
        <v>0</v>
      </c>
      <c r="W96" s="78">
        <v>0</v>
      </c>
      <c r="X96" s="78">
        <v>0</v>
      </c>
      <c r="Y96" s="78">
        <v>0</v>
      </c>
      <c r="Z96" s="77">
        <v>15.590688302879546</v>
      </c>
      <c r="AA96" s="77">
        <v>6.824445730394177</v>
      </c>
      <c r="AB96" s="77">
        <v>0.2901699930211184</v>
      </c>
      <c r="AC96" s="77">
        <f t="shared" si="4"/>
        <v>15.590688302879546</v>
      </c>
      <c r="AD96" s="77">
        <f t="shared" si="5"/>
        <v>6.824445730394177</v>
      </c>
      <c r="AE96" s="77">
        <f t="shared" si="6"/>
        <v>0.2901699930211184</v>
      </c>
    </row>
    <row r="97" spans="1:31" x14ac:dyDescent="0.25">
      <c r="A97" s="76">
        <v>2011</v>
      </c>
      <c r="B97" s="76" t="s">
        <v>380</v>
      </c>
      <c r="C97" s="76" t="s">
        <v>381</v>
      </c>
      <c r="D97">
        <v>103</v>
      </c>
      <c r="E97">
        <v>2</v>
      </c>
      <c r="F97" s="76" t="s">
        <v>36</v>
      </c>
      <c r="G97">
        <v>0</v>
      </c>
      <c r="H97">
        <v>1</v>
      </c>
      <c r="I97" s="96" t="s">
        <v>11</v>
      </c>
      <c r="J97">
        <v>5</v>
      </c>
      <c r="K97" s="78">
        <v>0</v>
      </c>
      <c r="L97" s="78">
        <v>0</v>
      </c>
      <c r="M97" s="78">
        <v>0</v>
      </c>
      <c r="N97" s="78">
        <v>0</v>
      </c>
      <c r="O97" s="78">
        <v>0</v>
      </c>
      <c r="P97" s="77">
        <v>3.118137660575909</v>
      </c>
      <c r="Q97" s="77">
        <v>47.183</v>
      </c>
      <c r="R97" s="77">
        <v>1.471230892389531</v>
      </c>
      <c r="S97" s="77">
        <v>1.5580000000000001</v>
      </c>
      <c r="T97" s="77">
        <v>4.8580584751772661E-2</v>
      </c>
      <c r="U97" s="78">
        <v>0</v>
      </c>
      <c r="V97" s="78">
        <v>0</v>
      </c>
      <c r="W97" s="78">
        <v>0</v>
      </c>
      <c r="X97" s="78">
        <v>0</v>
      </c>
      <c r="Y97" s="78">
        <v>0</v>
      </c>
      <c r="Z97" s="77">
        <v>3.118137660575909</v>
      </c>
      <c r="AA97" s="77">
        <v>1.471230892389531</v>
      </c>
      <c r="AB97" s="77">
        <v>4.8580584751772661E-2</v>
      </c>
      <c r="AC97" s="77">
        <f t="shared" si="4"/>
        <v>3.118137660575909</v>
      </c>
      <c r="AD97" s="77">
        <f t="shared" si="5"/>
        <v>1.471230892389531</v>
      </c>
      <c r="AE97" s="77">
        <f t="shared" si="6"/>
        <v>4.8580584751772661E-2</v>
      </c>
    </row>
    <row r="98" spans="1:31" x14ac:dyDescent="0.25">
      <c r="A98" s="76">
        <v>2011</v>
      </c>
      <c r="B98" s="76" t="s">
        <v>380</v>
      </c>
      <c r="C98" s="76" t="s">
        <v>381</v>
      </c>
      <c r="D98">
        <v>103</v>
      </c>
      <c r="E98">
        <v>4</v>
      </c>
      <c r="F98" s="76" t="s">
        <v>36</v>
      </c>
      <c r="G98">
        <v>1</v>
      </c>
      <c r="H98">
        <v>0</v>
      </c>
      <c r="I98" s="96" t="s">
        <v>11</v>
      </c>
      <c r="J98">
        <v>5</v>
      </c>
      <c r="K98" s="77">
        <v>10.653637006967688</v>
      </c>
      <c r="L98" s="77">
        <v>40.332000000000001</v>
      </c>
      <c r="M98" s="77">
        <v>4.2968248776502085</v>
      </c>
      <c r="N98" s="77">
        <v>0.56000000000000005</v>
      </c>
      <c r="O98" s="77">
        <v>5.9660367239019067E-2</v>
      </c>
      <c r="P98" s="77">
        <v>4.9370512959118553</v>
      </c>
      <c r="Q98" s="77">
        <v>42.637999999999998</v>
      </c>
      <c r="R98" s="77">
        <v>2.1050599315508967</v>
      </c>
      <c r="S98" s="77">
        <v>1.236</v>
      </c>
      <c r="T98" s="77">
        <v>6.1021954017470528E-2</v>
      </c>
      <c r="U98" s="78">
        <v>0</v>
      </c>
      <c r="V98" s="78">
        <v>0</v>
      </c>
      <c r="W98" s="78">
        <v>0</v>
      </c>
      <c r="X98" s="78">
        <v>0</v>
      </c>
      <c r="Y98" s="78">
        <v>0</v>
      </c>
      <c r="Z98" s="77">
        <v>15.590688302879544</v>
      </c>
      <c r="AA98" s="77">
        <v>6.4018848092011051</v>
      </c>
      <c r="AB98" s="77">
        <v>0.12068232125648959</v>
      </c>
      <c r="AC98" s="77">
        <f t="shared" si="4"/>
        <v>15.590688302879544</v>
      </c>
      <c r="AD98" s="77">
        <f t="shared" si="5"/>
        <v>6.4018848092011051</v>
      </c>
      <c r="AE98" s="77">
        <f t="shared" si="6"/>
        <v>0.12068232125648959</v>
      </c>
    </row>
    <row r="99" spans="1:31" x14ac:dyDescent="0.25">
      <c r="A99" s="76">
        <v>2011</v>
      </c>
      <c r="B99" s="76" t="s">
        <v>380</v>
      </c>
      <c r="C99" s="76" t="s">
        <v>381</v>
      </c>
      <c r="D99">
        <v>103</v>
      </c>
      <c r="E99">
        <v>4</v>
      </c>
      <c r="F99" s="76" t="s">
        <v>36</v>
      </c>
      <c r="G99">
        <v>1</v>
      </c>
      <c r="H99">
        <v>0</v>
      </c>
      <c r="I99" s="96" t="s">
        <v>12</v>
      </c>
      <c r="J99">
        <v>10</v>
      </c>
      <c r="K99" s="77">
        <v>3.6378272706718935</v>
      </c>
      <c r="L99" s="77">
        <v>35.853000000000002</v>
      </c>
      <c r="M99" s="77">
        <v>1.3042702113539941</v>
      </c>
      <c r="N99" s="77">
        <v>0.72699999999999998</v>
      </c>
      <c r="O99" s="77">
        <v>2.6447004257784665E-2</v>
      </c>
      <c r="P99" s="77">
        <v>1.5590688302879545</v>
      </c>
      <c r="Q99" s="77">
        <v>44.665666666666674</v>
      </c>
      <c r="R99" s="77">
        <v>0.69636848684031694</v>
      </c>
      <c r="S99" s="77">
        <v>1.2789999999999999</v>
      </c>
      <c r="T99" s="77">
        <v>1.9940490339382937E-2</v>
      </c>
      <c r="U99" s="78">
        <v>0</v>
      </c>
      <c r="V99" s="78">
        <v>0</v>
      </c>
      <c r="W99" s="78">
        <v>0</v>
      </c>
      <c r="X99" s="78">
        <v>0</v>
      </c>
      <c r="Y99" s="78">
        <v>0</v>
      </c>
      <c r="Z99" s="77">
        <v>5.1968961009598482</v>
      </c>
      <c r="AA99" s="77">
        <v>2.0006386981943112</v>
      </c>
      <c r="AB99" s="77">
        <v>4.6387494597167601E-2</v>
      </c>
      <c r="AC99" s="77">
        <f t="shared" si="4"/>
        <v>5.1968961009598482</v>
      </c>
      <c r="AD99" s="77">
        <f t="shared" si="5"/>
        <v>2.0006386981943112</v>
      </c>
      <c r="AE99" s="77">
        <f t="shared" si="6"/>
        <v>4.6387494597167601E-2</v>
      </c>
    </row>
    <row r="100" spans="1:31" x14ac:dyDescent="0.25">
      <c r="A100" s="76">
        <v>2011</v>
      </c>
      <c r="B100" s="76" t="s">
        <v>380</v>
      </c>
      <c r="C100" s="76" t="s">
        <v>381</v>
      </c>
      <c r="D100">
        <v>103</v>
      </c>
      <c r="E100">
        <v>4</v>
      </c>
      <c r="F100" s="76" t="s">
        <v>36</v>
      </c>
      <c r="G100">
        <v>1</v>
      </c>
      <c r="H100">
        <v>1</v>
      </c>
      <c r="I100" s="96" t="s">
        <v>21</v>
      </c>
      <c r="J100">
        <v>22</v>
      </c>
      <c r="K100" s="77">
        <v>12.69160101551604</v>
      </c>
      <c r="L100" s="77">
        <v>33.1</v>
      </c>
      <c r="M100" s="77">
        <v>4.2009199361358096</v>
      </c>
      <c r="N100" s="77">
        <v>1.2789999999999999</v>
      </c>
      <c r="O100" s="77">
        <v>0.16232557698845015</v>
      </c>
      <c r="P100" s="77">
        <v>4.0794431835587268</v>
      </c>
      <c r="Q100" s="77">
        <v>44.665666666666674</v>
      </c>
      <c r="R100" s="77">
        <v>1.8221104942243962</v>
      </c>
      <c r="S100" s="77">
        <v>1.2789999999999999</v>
      </c>
      <c r="T100" s="77">
        <v>5.2176078317716111E-2</v>
      </c>
      <c r="U100" s="78">
        <v>0</v>
      </c>
      <c r="V100" s="78">
        <v>0</v>
      </c>
      <c r="W100" s="78">
        <v>0</v>
      </c>
      <c r="X100" s="78">
        <v>0</v>
      </c>
      <c r="Y100" s="78">
        <v>0</v>
      </c>
      <c r="Z100" s="77">
        <v>16.771044199074765</v>
      </c>
      <c r="AA100" s="77">
        <v>6.0230304303602056</v>
      </c>
      <c r="AB100" s="77">
        <v>0.21450165530616627</v>
      </c>
      <c r="AC100" s="77">
        <f t="shared" si="4"/>
        <v>16.771044199074765</v>
      </c>
      <c r="AD100" s="77">
        <f t="shared" si="5"/>
        <v>6.0230304303602056</v>
      </c>
      <c r="AE100" s="77">
        <f t="shared" si="6"/>
        <v>0.21450165530616627</v>
      </c>
    </row>
    <row r="101" spans="1:31" x14ac:dyDescent="0.25">
      <c r="A101" s="76">
        <v>2011</v>
      </c>
      <c r="B101" s="76" t="s">
        <v>380</v>
      </c>
      <c r="C101" s="76" t="s">
        <v>381</v>
      </c>
      <c r="D101">
        <v>103</v>
      </c>
      <c r="E101">
        <v>6</v>
      </c>
      <c r="F101" s="76" t="s">
        <v>36</v>
      </c>
      <c r="G101">
        <v>1</v>
      </c>
      <c r="H101">
        <v>0</v>
      </c>
      <c r="I101" s="96" t="s">
        <v>11</v>
      </c>
      <c r="J101">
        <v>5</v>
      </c>
      <c r="K101" s="77">
        <v>9.0945681766797346</v>
      </c>
      <c r="L101" s="77">
        <v>28.8</v>
      </c>
      <c r="M101" s="77">
        <v>2.619235634883764</v>
      </c>
      <c r="N101" s="77">
        <v>0.94699999999999995</v>
      </c>
      <c r="O101" s="77">
        <v>8.6125560633157086E-2</v>
      </c>
      <c r="P101" s="77">
        <v>3.8976720757198859</v>
      </c>
      <c r="Q101" s="77">
        <v>44.176000000000002</v>
      </c>
      <c r="R101" s="77">
        <v>1.721835616170017</v>
      </c>
      <c r="S101" s="77">
        <v>1.0429999999999999</v>
      </c>
      <c r="T101" s="77">
        <v>4.0652719749758412E-2</v>
      </c>
      <c r="U101" s="78">
        <v>0</v>
      </c>
      <c r="V101" s="78">
        <v>0</v>
      </c>
      <c r="W101" s="78">
        <v>0</v>
      </c>
      <c r="X101" s="78">
        <v>0</v>
      </c>
      <c r="Y101" s="78">
        <v>0</v>
      </c>
      <c r="Z101" s="77">
        <v>12.99224025239962</v>
      </c>
      <c r="AA101" s="77">
        <v>4.3410712510537808</v>
      </c>
      <c r="AB101" s="77">
        <v>0.1267782803829155</v>
      </c>
      <c r="AC101" s="77">
        <f t="shared" si="4"/>
        <v>12.99224025239962</v>
      </c>
      <c r="AD101" s="77">
        <f t="shared" si="5"/>
        <v>4.3410712510537808</v>
      </c>
      <c r="AE101" s="77">
        <f t="shared" si="6"/>
        <v>0.1267782803829155</v>
      </c>
    </row>
    <row r="102" spans="1:31" x14ac:dyDescent="0.25">
      <c r="A102" s="76">
        <v>2011</v>
      </c>
      <c r="B102" s="76" t="s">
        <v>380</v>
      </c>
      <c r="C102" s="76" t="s">
        <v>381</v>
      </c>
      <c r="D102">
        <v>103</v>
      </c>
      <c r="E102">
        <v>6</v>
      </c>
      <c r="F102" s="76" t="s">
        <v>36</v>
      </c>
      <c r="G102">
        <v>1</v>
      </c>
      <c r="H102">
        <v>0</v>
      </c>
      <c r="I102" s="96" t="s">
        <v>12</v>
      </c>
      <c r="J102">
        <v>10</v>
      </c>
      <c r="K102" s="77">
        <v>4.6772064908638633</v>
      </c>
      <c r="L102" s="77">
        <v>29.637</v>
      </c>
      <c r="M102" s="77">
        <v>1.3861836876973233</v>
      </c>
      <c r="N102" s="77">
        <v>1.9259999999999999</v>
      </c>
      <c r="O102" s="77">
        <v>9.0082997014038005E-2</v>
      </c>
      <c r="P102" s="78">
        <v>0</v>
      </c>
      <c r="Q102" s="78">
        <v>0</v>
      </c>
      <c r="R102" s="78">
        <v>0</v>
      </c>
      <c r="S102" s="78">
        <v>0</v>
      </c>
      <c r="T102" s="78">
        <v>0</v>
      </c>
      <c r="U102" s="78">
        <v>0</v>
      </c>
      <c r="V102" s="78">
        <v>0</v>
      </c>
      <c r="W102" s="78">
        <v>0</v>
      </c>
      <c r="X102" s="78">
        <v>0</v>
      </c>
      <c r="Y102" s="78">
        <v>0</v>
      </c>
      <c r="Z102" s="77">
        <v>4.6772064908638633</v>
      </c>
      <c r="AA102" s="77">
        <v>1.3861836876973233</v>
      </c>
      <c r="AB102" s="77">
        <v>9.0082997014038005E-2</v>
      </c>
      <c r="AC102" s="77">
        <f t="shared" si="4"/>
        <v>4.6772064908638633</v>
      </c>
      <c r="AD102" s="77">
        <f t="shared" si="5"/>
        <v>1.3861836876973233</v>
      </c>
      <c r="AE102" s="77">
        <f t="shared" si="6"/>
        <v>9.0082997014038005E-2</v>
      </c>
    </row>
    <row r="103" spans="1:31" x14ac:dyDescent="0.25">
      <c r="A103" s="76">
        <v>2011</v>
      </c>
      <c r="B103" s="76" t="s">
        <v>380</v>
      </c>
      <c r="C103" s="76" t="s">
        <v>381</v>
      </c>
      <c r="D103">
        <v>103</v>
      </c>
      <c r="E103">
        <v>6</v>
      </c>
      <c r="F103" s="76" t="s">
        <v>36</v>
      </c>
      <c r="G103">
        <v>1</v>
      </c>
      <c r="H103">
        <v>1</v>
      </c>
      <c r="I103" s="96" t="s">
        <v>23</v>
      </c>
      <c r="J103">
        <v>15</v>
      </c>
      <c r="K103" s="77">
        <v>2.2663573241992929</v>
      </c>
      <c r="L103" s="77">
        <v>32.977000000000004</v>
      </c>
      <c r="M103" s="77">
        <v>0.74737665480120097</v>
      </c>
      <c r="N103" s="77">
        <v>2.0145</v>
      </c>
      <c r="O103" s="77">
        <v>4.5655768295994756E-2</v>
      </c>
      <c r="P103" s="77">
        <v>0.90654292967971717</v>
      </c>
      <c r="Q103" s="77">
        <v>44.665666666666674</v>
      </c>
      <c r="R103" s="77">
        <v>0.40491344316097694</v>
      </c>
      <c r="S103" s="77">
        <v>1.2789999999999999</v>
      </c>
      <c r="T103" s="77">
        <v>1.1594684070603581E-2</v>
      </c>
      <c r="U103" s="78">
        <v>0</v>
      </c>
      <c r="V103" s="78">
        <v>0</v>
      </c>
      <c r="W103" s="78">
        <v>0</v>
      </c>
      <c r="X103" s="78">
        <v>0</v>
      </c>
      <c r="Y103" s="78">
        <v>0</v>
      </c>
      <c r="Z103" s="77">
        <v>3.1729002538790101</v>
      </c>
      <c r="AA103" s="77">
        <v>1.152290097962178</v>
      </c>
      <c r="AB103" s="77">
        <v>5.7250452366598335E-2</v>
      </c>
      <c r="AC103" s="77">
        <f t="shared" si="4"/>
        <v>3.1729002538790101</v>
      </c>
      <c r="AD103" s="77">
        <f t="shared" si="5"/>
        <v>1.152290097962178</v>
      </c>
      <c r="AE103" s="77">
        <f t="shared" si="6"/>
        <v>5.7250452366598335E-2</v>
      </c>
    </row>
    <row r="104" spans="1:31" x14ac:dyDescent="0.25">
      <c r="A104" s="76">
        <v>2011</v>
      </c>
      <c r="B104" s="76" t="s">
        <v>380</v>
      </c>
      <c r="C104" s="76" t="s">
        <v>381</v>
      </c>
      <c r="D104">
        <v>103</v>
      </c>
      <c r="E104">
        <v>8</v>
      </c>
      <c r="F104" s="76" t="s">
        <v>36</v>
      </c>
      <c r="G104">
        <v>1</v>
      </c>
      <c r="H104">
        <v>0</v>
      </c>
      <c r="I104" s="96" t="s">
        <v>11</v>
      </c>
      <c r="J104">
        <v>5</v>
      </c>
      <c r="K104" s="77">
        <v>6.18430636014222E-2</v>
      </c>
      <c r="L104" s="77">
        <v>31.198666666666668</v>
      </c>
      <c r="M104" s="77">
        <v>1.9294211269462375E-2</v>
      </c>
      <c r="N104" s="77">
        <v>0.80966666666666676</v>
      </c>
      <c r="O104" s="77">
        <v>5.0072267162618175E-4</v>
      </c>
      <c r="P104" s="77">
        <v>1.2992240252399621</v>
      </c>
      <c r="Q104" s="77">
        <v>44.665666666666674</v>
      </c>
      <c r="R104" s="77">
        <v>0.5803070723669308</v>
      </c>
      <c r="S104" s="77">
        <v>1.2789999999999999</v>
      </c>
      <c r="T104" s="77">
        <v>1.6617075282819114E-2</v>
      </c>
      <c r="U104" s="78">
        <v>0</v>
      </c>
      <c r="V104" s="78">
        <v>0</v>
      </c>
      <c r="W104" s="78">
        <v>0</v>
      </c>
      <c r="X104" s="78">
        <v>0</v>
      </c>
      <c r="Y104" s="78">
        <v>0</v>
      </c>
      <c r="Z104" s="77">
        <v>1.3610670888413843</v>
      </c>
      <c r="AA104" s="77">
        <v>0.5996012836363932</v>
      </c>
      <c r="AB104" s="77">
        <v>1.7117797954445294E-2</v>
      </c>
      <c r="AC104" s="77">
        <f t="shared" si="4"/>
        <v>1.3610670888413843</v>
      </c>
      <c r="AD104" s="77">
        <f t="shared" si="5"/>
        <v>0.5996012836363932</v>
      </c>
      <c r="AE104" s="77">
        <f t="shared" si="6"/>
        <v>1.7117797954445294E-2</v>
      </c>
    </row>
    <row r="105" spans="1:31" x14ac:dyDescent="0.25">
      <c r="A105" s="76">
        <v>2011</v>
      </c>
      <c r="B105" s="76" t="s">
        <v>380</v>
      </c>
      <c r="C105" s="76" t="s">
        <v>381</v>
      </c>
      <c r="D105">
        <v>103</v>
      </c>
      <c r="E105">
        <v>8</v>
      </c>
      <c r="F105" s="76" t="s">
        <v>36</v>
      </c>
      <c r="G105">
        <v>1</v>
      </c>
      <c r="H105">
        <v>0</v>
      </c>
      <c r="I105" s="96" t="s">
        <v>12</v>
      </c>
      <c r="J105">
        <v>10</v>
      </c>
      <c r="K105" s="78">
        <v>0</v>
      </c>
      <c r="L105" s="78">
        <v>0</v>
      </c>
      <c r="M105" s="78">
        <v>0</v>
      </c>
      <c r="N105" s="78">
        <v>0</v>
      </c>
      <c r="O105" s="78">
        <v>0</v>
      </c>
      <c r="P105" s="78">
        <v>0</v>
      </c>
      <c r="Q105" s="78">
        <v>0</v>
      </c>
      <c r="R105" s="78">
        <v>0</v>
      </c>
      <c r="S105" s="78">
        <v>0</v>
      </c>
      <c r="T105" s="78">
        <v>0</v>
      </c>
      <c r="U105" s="78">
        <v>0</v>
      </c>
      <c r="V105" s="78">
        <v>0</v>
      </c>
      <c r="W105" s="78">
        <v>0</v>
      </c>
      <c r="X105" s="78">
        <v>0</v>
      </c>
      <c r="Y105" s="78">
        <v>0</v>
      </c>
      <c r="Z105" s="78">
        <v>0</v>
      </c>
      <c r="AA105" s="78">
        <v>0</v>
      </c>
      <c r="AB105" s="78">
        <v>0</v>
      </c>
      <c r="AC105" s="77">
        <f t="shared" si="4"/>
        <v>0</v>
      </c>
      <c r="AD105" s="77">
        <f t="shared" si="5"/>
        <v>0</v>
      </c>
      <c r="AE105" s="77">
        <f t="shared" si="6"/>
        <v>0</v>
      </c>
    </row>
    <row r="106" spans="1:31" x14ac:dyDescent="0.25">
      <c r="A106" s="76">
        <v>2011</v>
      </c>
      <c r="B106" s="76" t="s">
        <v>380</v>
      </c>
      <c r="C106" s="76" t="s">
        <v>381</v>
      </c>
      <c r="D106">
        <v>103</v>
      </c>
      <c r="E106">
        <v>8</v>
      </c>
      <c r="F106" s="76" t="s">
        <v>36</v>
      </c>
      <c r="G106">
        <v>1</v>
      </c>
      <c r="H106">
        <v>1</v>
      </c>
      <c r="I106" s="96" t="s">
        <v>24</v>
      </c>
      <c r="J106">
        <v>24</v>
      </c>
      <c r="K106" s="77">
        <v>4.9859861132384449</v>
      </c>
      <c r="L106" s="77">
        <v>32.977000000000004</v>
      </c>
      <c r="M106" s="77">
        <v>1.6442286405626423</v>
      </c>
      <c r="N106" s="77">
        <v>2.0145</v>
      </c>
      <c r="O106" s="77">
        <v>0.10044269025118847</v>
      </c>
      <c r="P106" s="78">
        <v>0</v>
      </c>
      <c r="Q106" s="78">
        <v>0</v>
      </c>
      <c r="R106" s="78">
        <v>0</v>
      </c>
      <c r="S106" s="78">
        <v>0</v>
      </c>
      <c r="T106" s="78">
        <v>0</v>
      </c>
      <c r="U106" s="78">
        <v>0</v>
      </c>
      <c r="V106" s="78">
        <v>0</v>
      </c>
      <c r="W106" s="78">
        <v>0</v>
      </c>
      <c r="X106" s="78">
        <v>0</v>
      </c>
      <c r="Y106" s="78">
        <v>0</v>
      </c>
      <c r="Z106" s="77">
        <v>4.9859861132384449</v>
      </c>
      <c r="AA106" s="77">
        <v>1.6442286405626423</v>
      </c>
      <c r="AB106" s="77">
        <v>0.10044269025118847</v>
      </c>
      <c r="AC106" s="77">
        <f t="shared" si="4"/>
        <v>4.9859861132384449</v>
      </c>
      <c r="AD106" s="77">
        <f t="shared" si="5"/>
        <v>1.6442286405626423</v>
      </c>
      <c r="AE106" s="77">
        <f t="shared" si="6"/>
        <v>0.10044269025118847</v>
      </c>
    </row>
    <row r="107" spans="1:31" x14ac:dyDescent="0.25">
      <c r="A107" s="76">
        <v>2011</v>
      </c>
      <c r="B107" s="76" t="s">
        <v>380</v>
      </c>
      <c r="C107" s="76" t="s">
        <v>381</v>
      </c>
      <c r="D107">
        <v>103</v>
      </c>
      <c r="E107">
        <v>10</v>
      </c>
      <c r="F107" s="76" t="s">
        <v>36</v>
      </c>
      <c r="G107">
        <v>0</v>
      </c>
      <c r="H107">
        <v>0</v>
      </c>
      <c r="I107" s="96" t="s">
        <v>11</v>
      </c>
      <c r="J107">
        <v>5</v>
      </c>
      <c r="K107" s="77">
        <v>7.0158097362957941</v>
      </c>
      <c r="L107" s="77">
        <v>24.463999999999999</v>
      </c>
      <c r="M107" s="77">
        <v>1.7163476938874029</v>
      </c>
      <c r="N107" s="77">
        <v>0.92200000000000004</v>
      </c>
      <c r="O107" s="77">
        <v>6.4685765768647221E-2</v>
      </c>
      <c r="P107" s="77">
        <v>0.2598448050479924</v>
      </c>
      <c r="Q107" s="77">
        <v>44.665666666666674</v>
      </c>
      <c r="R107" s="77">
        <v>0.11606141447338615</v>
      </c>
      <c r="S107" s="77">
        <v>1.2789999999999999</v>
      </c>
      <c r="T107" s="77">
        <v>3.3234150565638228E-3</v>
      </c>
      <c r="U107" s="78">
        <v>0</v>
      </c>
      <c r="V107" s="78">
        <v>0</v>
      </c>
      <c r="W107" s="78">
        <v>0</v>
      </c>
      <c r="X107" s="78">
        <v>0</v>
      </c>
      <c r="Y107" s="78">
        <v>0</v>
      </c>
      <c r="Z107" s="77">
        <v>7.2756545413437861</v>
      </c>
      <c r="AA107" s="77">
        <v>1.8324091083607892</v>
      </c>
      <c r="AB107" s="77">
        <v>6.8009180825211041E-2</v>
      </c>
      <c r="AC107" s="77">
        <f t="shared" si="4"/>
        <v>7.2756545413437861</v>
      </c>
      <c r="AD107" s="77">
        <f t="shared" si="5"/>
        <v>1.8324091083607892</v>
      </c>
      <c r="AE107" s="77">
        <f t="shared" si="6"/>
        <v>6.8009180825211041E-2</v>
      </c>
    </row>
    <row r="108" spans="1:31" x14ac:dyDescent="0.25">
      <c r="A108" s="76">
        <v>2011</v>
      </c>
      <c r="B108" s="76" t="s">
        <v>380</v>
      </c>
      <c r="C108" s="76" t="s">
        <v>381</v>
      </c>
      <c r="D108">
        <v>103</v>
      </c>
      <c r="E108">
        <v>10</v>
      </c>
      <c r="F108" s="76" t="s">
        <v>36</v>
      </c>
      <c r="G108">
        <v>0</v>
      </c>
      <c r="H108">
        <v>0</v>
      </c>
      <c r="I108" s="96" t="s">
        <v>12</v>
      </c>
      <c r="J108">
        <v>10</v>
      </c>
      <c r="K108" s="77">
        <v>6.236275321151818</v>
      </c>
      <c r="L108" s="77">
        <v>27.341999999999999</v>
      </c>
      <c r="M108" s="77">
        <v>1.70512239830933</v>
      </c>
      <c r="N108" s="77">
        <v>1.153</v>
      </c>
      <c r="O108" s="77">
        <v>7.190425445288047E-2</v>
      </c>
      <c r="P108" s="77">
        <v>0.18397012197397861</v>
      </c>
      <c r="Q108" s="77">
        <v>44.665666666666674</v>
      </c>
      <c r="R108" s="77">
        <v>8.2171481447157385E-2</v>
      </c>
      <c r="S108" s="77">
        <v>1.2789999999999999</v>
      </c>
      <c r="T108" s="77">
        <v>2.3529778600471863E-3</v>
      </c>
      <c r="U108" s="78">
        <v>0</v>
      </c>
      <c r="V108" s="78">
        <v>0</v>
      </c>
      <c r="W108" s="78">
        <v>0</v>
      </c>
      <c r="X108" s="78">
        <v>0</v>
      </c>
      <c r="Y108" s="78">
        <v>0</v>
      </c>
      <c r="Z108" s="77">
        <v>6.4202454431257969</v>
      </c>
      <c r="AA108" s="77">
        <v>1.7872938797564875</v>
      </c>
      <c r="AB108" s="77">
        <v>7.4257232312927662E-2</v>
      </c>
      <c r="AC108" s="77">
        <f t="shared" si="4"/>
        <v>6.4202454431257969</v>
      </c>
      <c r="AD108" s="77">
        <f t="shared" si="5"/>
        <v>1.7872938797564875</v>
      </c>
      <c r="AE108" s="77">
        <f t="shared" si="6"/>
        <v>7.4257232312927662E-2</v>
      </c>
    </row>
    <row r="109" spans="1:31" x14ac:dyDescent="0.25">
      <c r="A109" s="76">
        <v>2011</v>
      </c>
      <c r="B109" s="76" t="s">
        <v>380</v>
      </c>
      <c r="C109" s="76" t="s">
        <v>381</v>
      </c>
      <c r="D109">
        <v>103</v>
      </c>
      <c r="E109">
        <v>10</v>
      </c>
      <c r="F109" s="76" t="s">
        <v>36</v>
      </c>
      <c r="G109">
        <v>0</v>
      </c>
      <c r="H109">
        <v>1</v>
      </c>
      <c r="I109" s="96" t="s">
        <v>25</v>
      </c>
      <c r="J109">
        <v>9</v>
      </c>
      <c r="K109" s="77">
        <v>5.892529042918162</v>
      </c>
      <c r="L109" s="77">
        <v>32.853999999999999</v>
      </c>
      <c r="M109" s="77">
        <v>1.935931491760333</v>
      </c>
      <c r="N109" s="77">
        <v>2.75</v>
      </c>
      <c r="O109" s="77">
        <v>0.16204454868024945</v>
      </c>
      <c r="P109" s="78">
        <v>0</v>
      </c>
      <c r="Q109" s="78">
        <v>0</v>
      </c>
      <c r="R109" s="78">
        <v>0</v>
      </c>
      <c r="S109" s="78">
        <v>0</v>
      </c>
      <c r="T109" s="78">
        <v>0</v>
      </c>
      <c r="U109" s="78">
        <v>0</v>
      </c>
      <c r="V109" s="78">
        <v>0</v>
      </c>
      <c r="W109" s="78">
        <v>0</v>
      </c>
      <c r="X109" s="78">
        <v>0</v>
      </c>
      <c r="Y109" s="78">
        <v>0</v>
      </c>
      <c r="Z109" s="77">
        <v>5.892529042918162</v>
      </c>
      <c r="AA109" s="77">
        <v>1.935931491760333</v>
      </c>
      <c r="AB109" s="77">
        <v>0.16204454868024945</v>
      </c>
      <c r="AC109" s="77">
        <f t="shared" si="4"/>
        <v>5.892529042918162</v>
      </c>
      <c r="AD109" s="77">
        <f t="shared" si="5"/>
        <v>1.935931491760333</v>
      </c>
      <c r="AE109" s="77">
        <f t="shared" si="6"/>
        <v>0.16204454868024945</v>
      </c>
    </row>
    <row r="110" spans="1:31" x14ac:dyDescent="0.25">
      <c r="A110" s="76">
        <v>2011</v>
      </c>
      <c r="B110" s="76" t="s">
        <v>380</v>
      </c>
      <c r="C110" s="76" t="s">
        <v>382</v>
      </c>
      <c r="D110">
        <v>101</v>
      </c>
      <c r="E110">
        <v>2</v>
      </c>
      <c r="F110" s="76" t="s">
        <v>36</v>
      </c>
      <c r="G110">
        <v>0</v>
      </c>
      <c r="H110">
        <v>0</v>
      </c>
      <c r="I110" s="96" t="s">
        <v>11</v>
      </c>
      <c r="J110">
        <v>5</v>
      </c>
      <c r="K110" s="78">
        <v>0</v>
      </c>
      <c r="L110" s="78">
        <v>0</v>
      </c>
      <c r="M110" s="78">
        <v>0</v>
      </c>
      <c r="N110" s="78">
        <v>0</v>
      </c>
      <c r="O110" s="78">
        <v>0</v>
      </c>
      <c r="P110" s="77">
        <v>3.3779824656239015</v>
      </c>
      <c r="Q110" s="77">
        <v>38.829000000000001</v>
      </c>
      <c r="R110" s="77">
        <v>1.3116368115771049</v>
      </c>
      <c r="S110" s="77">
        <v>0.96199999999999997</v>
      </c>
      <c r="T110" s="77">
        <v>3.2496191319301933E-2</v>
      </c>
      <c r="U110" s="78">
        <v>0</v>
      </c>
      <c r="V110" s="78">
        <v>0</v>
      </c>
      <c r="W110" s="78">
        <v>0</v>
      </c>
      <c r="X110" s="78">
        <v>0</v>
      </c>
      <c r="Y110" s="78">
        <v>0</v>
      </c>
      <c r="Z110" s="77">
        <v>3.3779824656239015</v>
      </c>
      <c r="AA110" s="77">
        <v>1.3116368115771049</v>
      </c>
      <c r="AB110" s="77">
        <v>3.2496191319301933E-2</v>
      </c>
      <c r="AC110" s="77">
        <f t="shared" si="4"/>
        <v>3.3779824656239015</v>
      </c>
      <c r="AD110" s="77">
        <f t="shared" si="5"/>
        <v>1.3116368115771049</v>
      </c>
      <c r="AE110" s="77">
        <f t="shared" si="6"/>
        <v>3.2496191319301933E-2</v>
      </c>
    </row>
    <row r="111" spans="1:31" x14ac:dyDescent="0.25">
      <c r="A111" s="76">
        <v>2011</v>
      </c>
      <c r="B111" s="76" t="s">
        <v>380</v>
      </c>
      <c r="C111" s="76" t="s">
        <v>382</v>
      </c>
      <c r="D111">
        <v>101</v>
      </c>
      <c r="E111">
        <v>2</v>
      </c>
      <c r="F111" s="76" t="s">
        <v>36</v>
      </c>
      <c r="G111">
        <v>0</v>
      </c>
      <c r="H111">
        <v>0</v>
      </c>
      <c r="I111" s="96" t="s">
        <v>12</v>
      </c>
      <c r="J111">
        <v>10</v>
      </c>
      <c r="K111" s="78">
        <v>0</v>
      </c>
      <c r="L111" s="78">
        <v>0</v>
      </c>
      <c r="M111" s="78">
        <v>0</v>
      </c>
      <c r="N111" s="78">
        <v>0</v>
      </c>
      <c r="O111" s="78">
        <v>0</v>
      </c>
      <c r="P111" s="77">
        <v>3.3779824656239015</v>
      </c>
      <c r="Q111" s="77">
        <v>37.643999999999998</v>
      </c>
      <c r="R111" s="77">
        <v>1.2716077193594615</v>
      </c>
      <c r="S111" s="77">
        <v>1.157</v>
      </c>
      <c r="T111" s="77">
        <v>3.9083257127268539E-2</v>
      </c>
      <c r="U111" s="78">
        <v>0</v>
      </c>
      <c r="V111" s="78">
        <v>0</v>
      </c>
      <c r="W111" s="78">
        <v>0</v>
      </c>
      <c r="X111" s="78">
        <v>0</v>
      </c>
      <c r="Y111" s="78">
        <v>0</v>
      </c>
      <c r="Z111" s="77">
        <v>3.3779824656239015</v>
      </c>
      <c r="AA111" s="77">
        <v>1.2716077193594615</v>
      </c>
      <c r="AB111" s="77">
        <v>3.9083257127268539E-2</v>
      </c>
      <c r="AC111" s="77">
        <f t="shared" si="4"/>
        <v>3.3779824656239015</v>
      </c>
      <c r="AD111" s="77">
        <f t="shared" si="5"/>
        <v>1.2716077193594615</v>
      </c>
      <c r="AE111" s="77">
        <f t="shared" si="6"/>
        <v>3.9083257127268539E-2</v>
      </c>
    </row>
    <row r="112" spans="1:31" x14ac:dyDescent="0.25">
      <c r="A112" s="76">
        <v>2011</v>
      </c>
      <c r="B112" s="76" t="s">
        <v>380</v>
      </c>
      <c r="C112" s="76" t="s">
        <v>382</v>
      </c>
      <c r="D112">
        <v>101</v>
      </c>
      <c r="E112">
        <v>2</v>
      </c>
      <c r="F112" s="76" t="s">
        <v>36</v>
      </c>
      <c r="G112">
        <v>0</v>
      </c>
      <c r="H112">
        <v>1</v>
      </c>
      <c r="I112" s="96" t="s">
        <v>24</v>
      </c>
      <c r="J112">
        <v>24</v>
      </c>
      <c r="K112" s="77">
        <v>3.1729002538790101</v>
      </c>
      <c r="L112" s="77">
        <v>34.631</v>
      </c>
      <c r="M112" s="77">
        <v>1.0988070869208399</v>
      </c>
      <c r="N112" s="77">
        <v>0.88200000000000001</v>
      </c>
      <c r="O112" s="77">
        <v>2.7984980239212868E-2</v>
      </c>
      <c r="P112" s="77">
        <v>4.0794431835587268</v>
      </c>
      <c r="Q112" s="77">
        <v>42.871000000000002</v>
      </c>
      <c r="R112" s="77">
        <v>1.7488980872234619</v>
      </c>
      <c r="S112" s="77">
        <v>1.276</v>
      </c>
      <c r="T112" s="77">
        <v>5.2053695022209356E-2</v>
      </c>
      <c r="U112" s="78">
        <v>0</v>
      </c>
      <c r="V112" s="78">
        <v>0</v>
      </c>
      <c r="W112" s="78">
        <v>0</v>
      </c>
      <c r="X112" s="78">
        <v>0</v>
      </c>
      <c r="Y112" s="78">
        <v>0</v>
      </c>
      <c r="Z112" s="77">
        <v>7.2523434374377374</v>
      </c>
      <c r="AA112" s="77">
        <v>2.847705174144302</v>
      </c>
      <c r="AB112" s="77">
        <v>8.0038675261422221E-2</v>
      </c>
      <c r="AC112" s="77">
        <f t="shared" si="4"/>
        <v>7.2523434374377374</v>
      </c>
      <c r="AD112" s="77">
        <f t="shared" si="5"/>
        <v>2.847705174144302</v>
      </c>
      <c r="AE112" s="77">
        <f t="shared" si="6"/>
        <v>8.0038675261422221E-2</v>
      </c>
    </row>
    <row r="113" spans="1:31" x14ac:dyDescent="0.25">
      <c r="A113" s="76">
        <v>2011</v>
      </c>
      <c r="B113" s="76" t="s">
        <v>380</v>
      </c>
      <c r="C113" s="76" t="s">
        <v>382</v>
      </c>
      <c r="D113">
        <v>101</v>
      </c>
      <c r="E113">
        <v>4</v>
      </c>
      <c r="F113" s="76" t="s">
        <v>36</v>
      </c>
      <c r="G113">
        <v>0</v>
      </c>
      <c r="H113">
        <v>0</v>
      </c>
      <c r="I113" s="96" t="s">
        <v>11</v>
      </c>
      <c r="J113">
        <v>5</v>
      </c>
      <c r="K113" s="77">
        <v>0.2598448050479924</v>
      </c>
      <c r="L113" s="77">
        <v>37.648499999999999</v>
      </c>
      <c r="M113" s="77">
        <v>9.7827671428493412E-2</v>
      </c>
      <c r="N113" s="77">
        <v>0.73324999999999996</v>
      </c>
      <c r="O113" s="77">
        <v>1.9053120330144041E-3</v>
      </c>
      <c r="P113" s="77">
        <v>182.41105314369065</v>
      </c>
      <c r="Q113" s="77">
        <v>40.277000000000001</v>
      </c>
      <c r="R113" s="77">
        <v>73.469699874684281</v>
      </c>
      <c r="S113" s="77">
        <v>1.048</v>
      </c>
      <c r="T113" s="77">
        <v>1.9116678369458779</v>
      </c>
      <c r="U113" s="78">
        <v>0</v>
      </c>
      <c r="V113" s="78">
        <v>0</v>
      </c>
      <c r="W113" s="78">
        <v>0</v>
      </c>
      <c r="X113" s="78">
        <v>0</v>
      </c>
      <c r="Y113" s="78">
        <v>0</v>
      </c>
      <c r="Z113" s="77">
        <v>182.67089794873866</v>
      </c>
      <c r="AA113" s="77">
        <v>73.567527546112771</v>
      </c>
      <c r="AB113" s="77">
        <v>1.9135731489788923</v>
      </c>
      <c r="AC113" s="77">
        <f t="shared" si="4"/>
        <v>182.67089794873866</v>
      </c>
      <c r="AD113" s="77">
        <f t="shared" si="5"/>
        <v>73.567527546112771</v>
      </c>
      <c r="AE113" s="77">
        <f t="shared" si="6"/>
        <v>1.9135731489788923</v>
      </c>
    </row>
    <row r="114" spans="1:31" x14ac:dyDescent="0.25">
      <c r="A114" s="76">
        <v>2011</v>
      </c>
      <c r="B114" s="76" t="s">
        <v>380</v>
      </c>
      <c r="C114" s="76" t="s">
        <v>382</v>
      </c>
      <c r="D114">
        <v>101</v>
      </c>
      <c r="E114">
        <v>4</v>
      </c>
      <c r="F114" s="76" t="s">
        <v>36</v>
      </c>
      <c r="G114">
        <v>0</v>
      </c>
      <c r="H114">
        <v>0</v>
      </c>
      <c r="I114" s="96" t="s">
        <v>12</v>
      </c>
      <c r="J114">
        <v>10</v>
      </c>
      <c r="K114" s="77">
        <v>3.118137660575909</v>
      </c>
      <c r="L114" s="77">
        <v>37.648499999999999</v>
      </c>
      <c r="M114" s="77">
        <v>1.1739320571419209</v>
      </c>
      <c r="N114" s="77">
        <v>0.73324999999999996</v>
      </c>
      <c r="O114" s="77">
        <v>2.2863744396172853E-2</v>
      </c>
      <c r="P114" s="77">
        <v>110.17419734034877</v>
      </c>
      <c r="Q114" s="77">
        <v>42.405999999999999</v>
      </c>
      <c r="R114" s="77">
        <v>46.720470124148299</v>
      </c>
      <c r="S114" s="77">
        <v>1.0549999999999999</v>
      </c>
      <c r="T114" s="77">
        <v>1.1623377819406793</v>
      </c>
      <c r="U114" s="78">
        <v>0</v>
      </c>
      <c r="V114" s="78">
        <v>0</v>
      </c>
      <c r="W114" s="78">
        <v>0</v>
      </c>
      <c r="X114" s="78">
        <v>0</v>
      </c>
      <c r="Y114" s="78">
        <v>0</v>
      </c>
      <c r="Z114" s="77">
        <v>113.29233500092468</v>
      </c>
      <c r="AA114" s="77">
        <v>47.894402181290218</v>
      </c>
      <c r="AB114" s="77">
        <v>1.1852015263368521</v>
      </c>
      <c r="AC114" s="77">
        <f t="shared" si="4"/>
        <v>113.29233500092468</v>
      </c>
      <c r="AD114" s="77">
        <f t="shared" si="5"/>
        <v>47.894402181290218</v>
      </c>
      <c r="AE114" s="77">
        <f t="shared" si="6"/>
        <v>1.1852015263368521</v>
      </c>
    </row>
    <row r="115" spans="1:31" x14ac:dyDescent="0.25">
      <c r="A115" s="76">
        <v>2011</v>
      </c>
      <c r="B115" s="76" t="s">
        <v>380</v>
      </c>
      <c r="C115" s="76" t="s">
        <v>382</v>
      </c>
      <c r="D115">
        <v>101</v>
      </c>
      <c r="E115">
        <v>4</v>
      </c>
      <c r="F115" s="76" t="s">
        <v>36</v>
      </c>
      <c r="G115">
        <v>0</v>
      </c>
      <c r="H115">
        <v>1</v>
      </c>
      <c r="I115" s="96" t="s">
        <v>26</v>
      </c>
      <c r="J115">
        <v>16</v>
      </c>
      <c r="K115" s="77">
        <v>2.7196287890391515</v>
      </c>
      <c r="L115" s="77">
        <v>37.648499999999999</v>
      </c>
      <c r="M115" s="77">
        <v>1.0238994446414049</v>
      </c>
      <c r="N115" s="77">
        <v>0.73324999999999996</v>
      </c>
      <c r="O115" s="77">
        <v>1.9941678095629578E-2</v>
      </c>
      <c r="P115" s="77">
        <v>33.088816933309673</v>
      </c>
      <c r="Q115" s="77">
        <v>40.668999999999997</v>
      </c>
      <c r="R115" s="77">
        <v>13.45689095860771</v>
      </c>
      <c r="S115" s="77">
        <v>1.2230000000000001</v>
      </c>
      <c r="T115" s="77">
        <v>0.40467623109437734</v>
      </c>
      <c r="U115" s="78">
        <v>0</v>
      </c>
      <c r="V115" s="78">
        <v>0</v>
      </c>
      <c r="W115" s="78">
        <v>0</v>
      </c>
      <c r="X115" s="78">
        <v>0</v>
      </c>
      <c r="Y115" s="78">
        <v>0</v>
      </c>
      <c r="Z115" s="77">
        <v>35.808445722348822</v>
      </c>
      <c r="AA115" s="77">
        <v>14.480790403249115</v>
      </c>
      <c r="AB115" s="77">
        <v>0.42461790919000691</v>
      </c>
      <c r="AC115" s="77">
        <f t="shared" si="4"/>
        <v>35.808445722348822</v>
      </c>
      <c r="AD115" s="77">
        <f t="shared" si="5"/>
        <v>14.480790403249115</v>
      </c>
      <c r="AE115" s="77">
        <f t="shared" si="6"/>
        <v>0.42461790919000691</v>
      </c>
    </row>
    <row r="116" spans="1:31" x14ac:dyDescent="0.25">
      <c r="A116" s="76">
        <v>2011</v>
      </c>
      <c r="B116" s="76" t="s">
        <v>380</v>
      </c>
      <c r="C116" s="76" t="s">
        <v>382</v>
      </c>
      <c r="D116">
        <v>101</v>
      </c>
      <c r="E116">
        <v>6</v>
      </c>
      <c r="F116" s="76" t="s">
        <v>36</v>
      </c>
      <c r="G116">
        <v>0</v>
      </c>
      <c r="H116">
        <v>0</v>
      </c>
      <c r="I116" s="96" t="s">
        <v>11</v>
      </c>
      <c r="J116">
        <v>5</v>
      </c>
      <c r="K116" s="78">
        <v>0</v>
      </c>
      <c r="L116" s="78">
        <v>0</v>
      </c>
      <c r="M116" s="78">
        <v>0</v>
      </c>
      <c r="N116" s="78">
        <v>0</v>
      </c>
      <c r="O116" s="78">
        <v>0</v>
      </c>
      <c r="P116" s="77">
        <v>50.929581789406505</v>
      </c>
      <c r="Q116" s="77">
        <v>42.823</v>
      </c>
      <c r="R116" s="77">
        <v>21.809574809677549</v>
      </c>
      <c r="S116" s="77">
        <v>1.2649999999999999</v>
      </c>
      <c r="T116" s="77">
        <v>0.64425920963599226</v>
      </c>
      <c r="U116" s="78">
        <v>0</v>
      </c>
      <c r="V116" s="78">
        <v>0</v>
      </c>
      <c r="W116" s="78">
        <v>0</v>
      </c>
      <c r="X116" s="78">
        <v>0</v>
      </c>
      <c r="Y116" s="78">
        <v>0</v>
      </c>
      <c r="Z116" s="77">
        <v>50.929581789406505</v>
      </c>
      <c r="AA116" s="77">
        <v>21.809574809677549</v>
      </c>
      <c r="AB116" s="77">
        <v>0.64425920963599226</v>
      </c>
      <c r="AC116" s="77">
        <f t="shared" si="4"/>
        <v>50.929581789406505</v>
      </c>
      <c r="AD116" s="77">
        <f t="shared" si="5"/>
        <v>21.809574809677549</v>
      </c>
      <c r="AE116" s="77">
        <f t="shared" si="6"/>
        <v>0.64425920963599226</v>
      </c>
    </row>
    <row r="117" spans="1:31" x14ac:dyDescent="0.25">
      <c r="A117" s="76">
        <v>2011</v>
      </c>
      <c r="B117" s="76" t="s">
        <v>380</v>
      </c>
      <c r="C117" s="76" t="s">
        <v>382</v>
      </c>
      <c r="D117">
        <v>101</v>
      </c>
      <c r="E117">
        <v>6</v>
      </c>
      <c r="F117" s="76" t="s">
        <v>36</v>
      </c>
      <c r="G117">
        <v>0</v>
      </c>
      <c r="H117">
        <v>0</v>
      </c>
      <c r="I117" s="96" t="s">
        <v>12</v>
      </c>
      <c r="J117">
        <v>10</v>
      </c>
      <c r="K117" s="78">
        <v>0</v>
      </c>
      <c r="L117" s="78">
        <v>0</v>
      </c>
      <c r="M117" s="78">
        <v>0</v>
      </c>
      <c r="N117" s="78">
        <v>0</v>
      </c>
      <c r="O117" s="78">
        <v>0</v>
      </c>
      <c r="P117" s="77">
        <v>7.0158097362957941</v>
      </c>
      <c r="Q117" s="77">
        <v>42.348999999999997</v>
      </c>
      <c r="R117" s="77">
        <v>2.9711252652239057</v>
      </c>
      <c r="S117" s="77">
        <v>1.2889999999999999</v>
      </c>
      <c r="T117" s="77">
        <v>9.0433787500852778E-2</v>
      </c>
      <c r="U117" s="78">
        <v>0</v>
      </c>
      <c r="V117" s="78">
        <v>0</v>
      </c>
      <c r="W117" s="78">
        <v>0</v>
      </c>
      <c r="X117" s="78">
        <v>0</v>
      </c>
      <c r="Y117" s="78">
        <v>0</v>
      </c>
      <c r="Z117" s="77">
        <v>7.0158097362957941</v>
      </c>
      <c r="AA117" s="77">
        <v>2.9711252652239057</v>
      </c>
      <c r="AB117" s="77">
        <v>9.0433787500852778E-2</v>
      </c>
      <c r="AC117" s="77">
        <f t="shared" si="4"/>
        <v>7.0158097362957941</v>
      </c>
      <c r="AD117" s="77">
        <f t="shared" si="5"/>
        <v>2.9711252652239057</v>
      </c>
      <c r="AE117" s="77">
        <f t="shared" si="6"/>
        <v>9.0433787500852778E-2</v>
      </c>
    </row>
    <row r="118" spans="1:31" x14ac:dyDescent="0.25">
      <c r="A118" s="76">
        <v>2011</v>
      </c>
      <c r="B118" s="76" t="s">
        <v>380</v>
      </c>
      <c r="C118" s="76" t="s">
        <v>382</v>
      </c>
      <c r="D118">
        <v>101</v>
      </c>
      <c r="E118">
        <v>6</v>
      </c>
      <c r="F118" s="76" t="s">
        <v>36</v>
      </c>
      <c r="G118">
        <v>0</v>
      </c>
      <c r="H118">
        <v>1</v>
      </c>
      <c r="I118" s="96" t="s">
        <v>27</v>
      </c>
      <c r="J118">
        <v>6</v>
      </c>
      <c r="K118" s="78">
        <v>0</v>
      </c>
      <c r="L118" s="78">
        <v>0</v>
      </c>
      <c r="M118" s="78">
        <v>0</v>
      </c>
      <c r="N118" s="78">
        <v>0</v>
      </c>
      <c r="O118" s="78">
        <v>0</v>
      </c>
      <c r="P118" s="77">
        <v>1.8130858593594343</v>
      </c>
      <c r="Q118" s="77">
        <v>40.983499999999992</v>
      </c>
      <c r="R118" s="77">
        <v>0.74306604317057368</v>
      </c>
      <c r="S118" s="77">
        <v>1.1593749999999998</v>
      </c>
      <c r="T118" s="77">
        <v>2.1020464181948438E-2</v>
      </c>
      <c r="U118" s="78">
        <v>0</v>
      </c>
      <c r="V118" s="78">
        <v>0</v>
      </c>
      <c r="W118" s="78">
        <v>0</v>
      </c>
      <c r="X118" s="78">
        <v>0</v>
      </c>
      <c r="Y118" s="78">
        <v>0</v>
      </c>
      <c r="Z118" s="77">
        <v>1.8130858593594343</v>
      </c>
      <c r="AA118" s="77">
        <v>0.74306604317057368</v>
      </c>
      <c r="AB118" s="77">
        <v>2.1020464181948438E-2</v>
      </c>
      <c r="AC118" s="77">
        <f t="shared" si="4"/>
        <v>1.8130858593594343</v>
      </c>
      <c r="AD118" s="77">
        <f t="shared" si="5"/>
        <v>0.74306604317057368</v>
      </c>
      <c r="AE118" s="77">
        <f t="shared" si="6"/>
        <v>2.1020464181948438E-2</v>
      </c>
    </row>
    <row r="119" spans="1:31" x14ac:dyDescent="0.25">
      <c r="A119" s="76">
        <v>2011</v>
      </c>
      <c r="B119" s="76" t="s">
        <v>380</v>
      </c>
      <c r="C119" s="76" t="s">
        <v>382</v>
      </c>
      <c r="D119">
        <v>101</v>
      </c>
      <c r="E119">
        <v>8</v>
      </c>
      <c r="F119" s="76" t="s">
        <v>36</v>
      </c>
      <c r="G119">
        <v>1</v>
      </c>
      <c r="H119">
        <v>0</v>
      </c>
      <c r="I119" s="96" t="s">
        <v>11</v>
      </c>
      <c r="J119">
        <v>5</v>
      </c>
      <c r="K119" s="77">
        <v>7.7953441514397719</v>
      </c>
      <c r="L119" s="77">
        <v>40.335000000000001</v>
      </c>
      <c r="M119" s="77">
        <v>3.1442520634832318</v>
      </c>
      <c r="N119" s="77">
        <v>0.318</v>
      </c>
      <c r="O119" s="77">
        <v>2.4789194401578476E-2</v>
      </c>
      <c r="P119" s="77">
        <v>8.5748785665837488</v>
      </c>
      <c r="Q119" s="77">
        <v>39.673000000000002</v>
      </c>
      <c r="R119" s="77">
        <v>3.401911573720771</v>
      </c>
      <c r="S119" s="77">
        <v>0.41799999999999998</v>
      </c>
      <c r="T119" s="77">
        <v>3.5842992408320069E-2</v>
      </c>
      <c r="U119" s="78">
        <v>0</v>
      </c>
      <c r="V119" s="78">
        <v>0</v>
      </c>
      <c r="W119" s="78">
        <v>0</v>
      </c>
      <c r="X119" s="78">
        <v>0</v>
      </c>
      <c r="Y119" s="78">
        <v>0</v>
      </c>
      <c r="Z119" s="77">
        <v>16.37022271802352</v>
      </c>
      <c r="AA119" s="77">
        <v>6.5461636372040033</v>
      </c>
      <c r="AB119" s="77">
        <v>6.0632186809898542E-2</v>
      </c>
      <c r="AC119" s="77">
        <f t="shared" si="4"/>
        <v>16.37022271802352</v>
      </c>
      <c r="AD119" s="77">
        <f t="shared" si="5"/>
        <v>6.5461636372040033</v>
      </c>
      <c r="AE119" s="77">
        <f t="shared" si="6"/>
        <v>6.0632186809898542E-2</v>
      </c>
    </row>
    <row r="120" spans="1:31" x14ac:dyDescent="0.25">
      <c r="A120" s="76">
        <v>2011</v>
      </c>
      <c r="B120" s="76" t="s">
        <v>380</v>
      </c>
      <c r="C120" s="76" t="s">
        <v>382</v>
      </c>
      <c r="D120">
        <v>101</v>
      </c>
      <c r="E120">
        <v>8</v>
      </c>
      <c r="F120" s="76" t="s">
        <v>36</v>
      </c>
      <c r="G120">
        <v>1</v>
      </c>
      <c r="H120">
        <v>0</v>
      </c>
      <c r="I120" s="96" t="s">
        <v>12</v>
      </c>
      <c r="J120">
        <v>10</v>
      </c>
      <c r="K120" s="77">
        <v>4.1575168807678784</v>
      </c>
      <c r="L120" s="77">
        <v>36.515999999999998</v>
      </c>
      <c r="M120" s="77">
        <v>1.5181588641811985</v>
      </c>
      <c r="N120" s="77">
        <v>0.77500000000000002</v>
      </c>
      <c r="O120" s="77">
        <v>3.2220755825951054E-2</v>
      </c>
      <c r="P120" s="77">
        <v>8.8347233716317426</v>
      </c>
      <c r="Q120" s="77">
        <v>40.307000000000002</v>
      </c>
      <c r="R120" s="77">
        <v>3.561011949403607</v>
      </c>
      <c r="S120" s="77">
        <v>0.78400000000000003</v>
      </c>
      <c r="T120" s="77">
        <v>6.9264231233592863E-2</v>
      </c>
      <c r="U120" s="78">
        <v>0</v>
      </c>
      <c r="V120" s="78">
        <v>0</v>
      </c>
      <c r="W120" s="78">
        <v>0</v>
      </c>
      <c r="X120" s="78">
        <v>0</v>
      </c>
      <c r="Y120" s="78">
        <v>0</v>
      </c>
      <c r="Z120" s="77">
        <v>12.992240252399622</v>
      </c>
      <c r="AA120" s="77">
        <v>5.0791708135848053</v>
      </c>
      <c r="AB120" s="77">
        <v>0.10148498705954392</v>
      </c>
      <c r="AC120" s="77">
        <f t="shared" si="4"/>
        <v>12.992240252399622</v>
      </c>
      <c r="AD120" s="77">
        <f t="shared" si="5"/>
        <v>5.0791708135848053</v>
      </c>
      <c r="AE120" s="77">
        <f t="shared" si="6"/>
        <v>0.10148498705954392</v>
      </c>
    </row>
    <row r="121" spans="1:31" x14ac:dyDescent="0.25">
      <c r="A121" s="76">
        <v>2011</v>
      </c>
      <c r="B121" s="76" t="s">
        <v>380</v>
      </c>
      <c r="C121" s="76" t="s">
        <v>382</v>
      </c>
      <c r="D121">
        <v>101</v>
      </c>
      <c r="E121">
        <v>8</v>
      </c>
      <c r="F121" s="76" t="s">
        <v>36</v>
      </c>
      <c r="G121">
        <v>1</v>
      </c>
      <c r="H121">
        <v>1</v>
      </c>
      <c r="I121" s="96" t="s">
        <v>28</v>
      </c>
      <c r="J121">
        <v>21</v>
      </c>
      <c r="K121" s="77">
        <v>53.032761386263459</v>
      </c>
      <c r="L121" s="77">
        <v>39.112000000000002</v>
      </c>
      <c r="M121" s="77">
        <v>20.742173633395364</v>
      </c>
      <c r="N121" s="77">
        <v>0.95799999999999996</v>
      </c>
      <c r="O121" s="77">
        <v>0.50805385408040393</v>
      </c>
      <c r="P121" s="77">
        <v>6.7990719725978783</v>
      </c>
      <c r="Q121" s="77">
        <v>40.983499999999992</v>
      </c>
      <c r="R121" s="77">
        <v>2.7864976618896513</v>
      </c>
      <c r="S121" s="77">
        <v>1.1593749999999998</v>
      </c>
      <c r="T121" s="77">
        <v>7.8826740682306634E-2</v>
      </c>
      <c r="U121" s="78">
        <v>0</v>
      </c>
      <c r="V121" s="78">
        <v>0</v>
      </c>
      <c r="W121" s="78">
        <v>0</v>
      </c>
      <c r="X121" s="78">
        <v>0</v>
      </c>
      <c r="Y121" s="78">
        <v>0</v>
      </c>
      <c r="Z121" s="77">
        <v>59.831833358861338</v>
      </c>
      <c r="AA121" s="77">
        <v>23.528671295285015</v>
      </c>
      <c r="AB121" s="77">
        <v>0.58688059476271059</v>
      </c>
      <c r="AC121" s="77">
        <f t="shared" si="4"/>
        <v>59.831833358861338</v>
      </c>
      <c r="AD121" s="77">
        <f t="shared" si="5"/>
        <v>23.528671295285015</v>
      </c>
      <c r="AE121" s="77">
        <f t="shared" si="6"/>
        <v>0.58688059476271059</v>
      </c>
    </row>
    <row r="122" spans="1:31" x14ac:dyDescent="0.25">
      <c r="A122" s="76">
        <v>2011</v>
      </c>
      <c r="B122" s="76" t="s">
        <v>380</v>
      </c>
      <c r="C122" s="76" t="s">
        <v>382</v>
      </c>
      <c r="D122">
        <v>101</v>
      </c>
      <c r="E122">
        <v>10</v>
      </c>
      <c r="F122" s="76" t="s">
        <v>36</v>
      </c>
      <c r="G122">
        <v>0</v>
      </c>
      <c r="H122">
        <v>0</v>
      </c>
      <c r="I122" s="96" t="s">
        <v>11</v>
      </c>
      <c r="J122">
        <v>5</v>
      </c>
      <c r="K122" s="77">
        <v>0.5196896100959848</v>
      </c>
      <c r="L122" s="77">
        <v>37.648499999999999</v>
      </c>
      <c r="M122" s="77">
        <v>0.19565534285698682</v>
      </c>
      <c r="N122" s="77">
        <v>0.73324999999999996</v>
      </c>
      <c r="O122" s="77">
        <v>3.8106240660288082E-3</v>
      </c>
      <c r="P122" s="77">
        <v>5.4567409060078402</v>
      </c>
      <c r="Q122" s="77">
        <v>41.350999999999999</v>
      </c>
      <c r="R122" s="77">
        <v>2.2564169320433018</v>
      </c>
      <c r="S122" s="77">
        <v>1.0469999999999999</v>
      </c>
      <c r="T122" s="77">
        <v>5.713207728590209E-2</v>
      </c>
      <c r="U122" s="78">
        <v>0</v>
      </c>
      <c r="V122" s="78">
        <v>0</v>
      </c>
      <c r="W122" s="78">
        <v>0</v>
      </c>
      <c r="X122" s="78">
        <v>0</v>
      </c>
      <c r="Y122" s="78">
        <v>0</v>
      </c>
      <c r="Z122" s="77">
        <v>5.9764305161038251</v>
      </c>
      <c r="AA122" s="77">
        <v>2.4520722749002886</v>
      </c>
      <c r="AB122" s="77">
        <v>6.0942701351930896E-2</v>
      </c>
      <c r="AC122" s="77">
        <f t="shared" si="4"/>
        <v>5.9764305161038251</v>
      </c>
      <c r="AD122" s="77">
        <f t="shared" si="5"/>
        <v>2.4520722749002886</v>
      </c>
      <c r="AE122" s="77">
        <f t="shared" si="6"/>
        <v>6.0942701351930896E-2</v>
      </c>
    </row>
    <row r="123" spans="1:31" x14ac:dyDescent="0.25">
      <c r="A123" s="76">
        <v>2011</v>
      </c>
      <c r="B123" s="76" t="s">
        <v>380</v>
      </c>
      <c r="C123" s="76" t="s">
        <v>382</v>
      </c>
      <c r="D123">
        <v>101</v>
      </c>
      <c r="E123">
        <v>10</v>
      </c>
      <c r="F123" s="76" t="s">
        <v>36</v>
      </c>
      <c r="G123">
        <v>0</v>
      </c>
      <c r="H123">
        <v>0</v>
      </c>
      <c r="I123" s="96" t="s">
        <v>22</v>
      </c>
      <c r="J123">
        <v>10</v>
      </c>
      <c r="K123" s="77">
        <v>3.8976720757198859</v>
      </c>
      <c r="L123" s="77">
        <v>42.271999999999998</v>
      </c>
      <c r="M123" s="77">
        <v>1.6476239398483101</v>
      </c>
      <c r="N123" s="77">
        <v>0.42499999999999999</v>
      </c>
      <c r="O123" s="77">
        <v>1.6565106321809516E-2</v>
      </c>
      <c r="P123" s="77">
        <v>18.448981158407456</v>
      </c>
      <c r="Q123" s="77">
        <v>44.173999999999999</v>
      </c>
      <c r="R123" s="77">
        <v>8.1496529369149098</v>
      </c>
      <c r="S123" s="77">
        <v>0.97399999999999998</v>
      </c>
      <c r="T123" s="77">
        <v>0.17969307648288863</v>
      </c>
      <c r="U123" s="78">
        <v>0</v>
      </c>
      <c r="V123" s="78">
        <v>0</v>
      </c>
      <c r="W123" s="78">
        <v>0</v>
      </c>
      <c r="X123" s="78">
        <v>0</v>
      </c>
      <c r="Y123" s="78">
        <v>0</v>
      </c>
      <c r="Z123" s="77">
        <v>22.346653234127341</v>
      </c>
      <c r="AA123" s="77">
        <v>9.7972768767632203</v>
      </c>
      <c r="AB123" s="77">
        <v>0.19625818280469814</v>
      </c>
      <c r="AC123" s="77">
        <f t="shared" si="4"/>
        <v>22.346653234127341</v>
      </c>
      <c r="AD123" s="77">
        <f t="shared" si="5"/>
        <v>9.7972768767632203</v>
      </c>
      <c r="AE123" s="77">
        <f t="shared" si="6"/>
        <v>0.19625818280469814</v>
      </c>
    </row>
    <row r="124" spans="1:31" x14ac:dyDescent="0.25">
      <c r="A124" s="76">
        <v>2011</v>
      </c>
      <c r="B124" s="76" t="s">
        <v>380</v>
      </c>
      <c r="C124" s="76" t="s">
        <v>382</v>
      </c>
      <c r="D124">
        <v>101</v>
      </c>
      <c r="E124">
        <v>10</v>
      </c>
      <c r="F124" s="76" t="s">
        <v>36</v>
      </c>
      <c r="G124">
        <v>0</v>
      </c>
      <c r="H124">
        <v>1</v>
      </c>
      <c r="I124" s="96" t="s">
        <v>29</v>
      </c>
      <c r="J124">
        <v>15</v>
      </c>
      <c r="K124" s="77">
        <v>0.90654292967971717</v>
      </c>
      <c r="L124" s="77">
        <v>37.648499999999999</v>
      </c>
      <c r="M124" s="77">
        <v>0.34129981488046829</v>
      </c>
      <c r="N124" s="77">
        <v>0.73324999999999996</v>
      </c>
      <c r="O124" s="77">
        <v>6.6472260318765257E-3</v>
      </c>
      <c r="P124" s="77">
        <v>3.6261717187188687</v>
      </c>
      <c r="Q124" s="77">
        <v>41.6</v>
      </c>
      <c r="R124" s="77">
        <v>1.5084874349870494</v>
      </c>
      <c r="S124" s="77">
        <v>1.1140000000000001</v>
      </c>
      <c r="T124" s="77">
        <v>4.0395552946528197E-2</v>
      </c>
      <c r="U124" s="78">
        <v>0</v>
      </c>
      <c r="V124" s="78">
        <v>0</v>
      </c>
      <c r="W124" s="78">
        <v>0</v>
      </c>
      <c r="X124" s="78">
        <v>0</v>
      </c>
      <c r="Y124" s="78">
        <v>0</v>
      </c>
      <c r="Z124" s="77">
        <v>4.5327146483985858</v>
      </c>
      <c r="AA124" s="77">
        <v>1.8497872498675176</v>
      </c>
      <c r="AB124" s="77">
        <v>4.7042778978404726E-2</v>
      </c>
      <c r="AC124" s="77">
        <f t="shared" si="4"/>
        <v>4.5327146483985858</v>
      </c>
      <c r="AD124" s="77">
        <f t="shared" si="5"/>
        <v>1.8497872498675176</v>
      </c>
      <c r="AE124" s="77">
        <f t="shared" si="6"/>
        <v>4.7042778978404726E-2</v>
      </c>
    </row>
    <row r="125" spans="1:31" x14ac:dyDescent="0.25">
      <c r="A125" s="76">
        <v>2011</v>
      </c>
      <c r="B125" s="76" t="s">
        <v>380</v>
      </c>
      <c r="C125" s="76" t="s">
        <v>382</v>
      </c>
      <c r="D125">
        <v>114</v>
      </c>
      <c r="E125">
        <v>2</v>
      </c>
      <c r="F125" s="76" t="s">
        <v>36</v>
      </c>
      <c r="G125">
        <v>0</v>
      </c>
      <c r="H125">
        <v>0</v>
      </c>
      <c r="I125" s="96" t="s">
        <v>11</v>
      </c>
      <c r="J125">
        <v>5</v>
      </c>
      <c r="K125" s="78">
        <v>0</v>
      </c>
      <c r="L125" s="78">
        <v>0</v>
      </c>
      <c r="M125" s="78">
        <v>0</v>
      </c>
      <c r="N125" s="78">
        <v>0</v>
      </c>
      <c r="O125" s="78">
        <v>0</v>
      </c>
      <c r="P125" s="78">
        <v>0</v>
      </c>
      <c r="Q125" s="78">
        <v>0</v>
      </c>
      <c r="R125" s="78">
        <v>0</v>
      </c>
      <c r="S125" s="78">
        <v>0</v>
      </c>
      <c r="T125" s="78">
        <v>0</v>
      </c>
      <c r="U125" s="78">
        <v>0</v>
      </c>
      <c r="V125" s="78">
        <v>0</v>
      </c>
      <c r="W125" s="78">
        <v>0</v>
      </c>
      <c r="X125" s="78">
        <v>0</v>
      </c>
      <c r="Y125" s="78">
        <v>0</v>
      </c>
      <c r="Z125" s="78">
        <v>0</v>
      </c>
      <c r="AA125" s="78">
        <v>0</v>
      </c>
      <c r="AB125" s="78">
        <v>0</v>
      </c>
      <c r="AC125" s="77">
        <f t="shared" si="4"/>
        <v>0</v>
      </c>
      <c r="AD125" s="77">
        <f t="shared" si="5"/>
        <v>0</v>
      </c>
      <c r="AE125" s="77">
        <f t="shared" si="6"/>
        <v>0</v>
      </c>
    </row>
    <row r="126" spans="1:31" x14ac:dyDescent="0.25">
      <c r="A126" s="76">
        <v>2011</v>
      </c>
      <c r="B126" s="76" t="s">
        <v>380</v>
      </c>
      <c r="C126" s="76" t="s">
        <v>382</v>
      </c>
      <c r="D126">
        <v>114</v>
      </c>
      <c r="E126">
        <v>2</v>
      </c>
      <c r="F126" s="76" t="s">
        <v>36</v>
      </c>
      <c r="G126">
        <v>0</v>
      </c>
      <c r="H126">
        <v>0</v>
      </c>
      <c r="I126" s="96" t="s">
        <v>12</v>
      </c>
      <c r="J126">
        <v>10</v>
      </c>
      <c r="K126" s="78">
        <v>0</v>
      </c>
      <c r="L126" s="78">
        <v>0</v>
      </c>
      <c r="M126" s="78">
        <v>0</v>
      </c>
      <c r="N126" s="78">
        <v>0</v>
      </c>
      <c r="O126" s="78">
        <v>0</v>
      </c>
      <c r="P126" s="78">
        <v>0</v>
      </c>
      <c r="Q126" s="78">
        <v>0</v>
      </c>
      <c r="R126" s="78">
        <v>0</v>
      </c>
      <c r="S126" s="78">
        <v>0</v>
      </c>
      <c r="T126" s="78">
        <v>0</v>
      </c>
      <c r="U126" s="78">
        <v>0</v>
      </c>
      <c r="V126" s="78">
        <v>0</v>
      </c>
      <c r="W126" s="78">
        <v>0</v>
      </c>
      <c r="X126" s="78">
        <v>0</v>
      </c>
      <c r="Y126" s="78">
        <v>0</v>
      </c>
      <c r="Z126" s="78">
        <v>0</v>
      </c>
      <c r="AA126" s="78">
        <v>0</v>
      </c>
      <c r="AB126" s="78">
        <v>0</v>
      </c>
      <c r="AC126" s="77">
        <f t="shared" si="4"/>
        <v>0</v>
      </c>
      <c r="AD126" s="77">
        <f t="shared" si="5"/>
        <v>0</v>
      </c>
      <c r="AE126" s="77">
        <f t="shared" si="6"/>
        <v>0</v>
      </c>
    </row>
    <row r="127" spans="1:31" x14ac:dyDescent="0.25">
      <c r="A127" s="76">
        <v>2011</v>
      </c>
      <c r="B127" s="76" t="s">
        <v>380</v>
      </c>
      <c r="C127" s="76" t="s">
        <v>382</v>
      </c>
      <c r="D127">
        <v>114</v>
      </c>
      <c r="E127">
        <v>2</v>
      </c>
      <c r="F127" s="76" t="s">
        <v>36</v>
      </c>
      <c r="G127">
        <v>0</v>
      </c>
      <c r="H127">
        <v>1</v>
      </c>
      <c r="I127" s="96" t="s">
        <v>30</v>
      </c>
      <c r="J127">
        <v>18</v>
      </c>
      <c r="K127" s="77">
        <v>2.7196287890391515</v>
      </c>
      <c r="L127" s="77">
        <v>42</v>
      </c>
      <c r="M127" s="77">
        <v>1.1422440913964436</v>
      </c>
      <c r="N127" s="77">
        <v>0.83</v>
      </c>
      <c r="O127" s="77">
        <v>2.2572918949024957E-2</v>
      </c>
      <c r="P127" s="78">
        <v>0</v>
      </c>
      <c r="Q127" s="78">
        <v>0</v>
      </c>
      <c r="R127" s="78">
        <v>0</v>
      </c>
      <c r="S127" s="78">
        <v>0</v>
      </c>
      <c r="T127" s="78">
        <v>0</v>
      </c>
      <c r="U127" s="78">
        <v>0</v>
      </c>
      <c r="V127" s="78">
        <v>0</v>
      </c>
      <c r="W127" s="78">
        <v>0</v>
      </c>
      <c r="X127" s="78">
        <v>0</v>
      </c>
      <c r="Y127" s="78">
        <v>0</v>
      </c>
      <c r="Z127" s="77">
        <v>2.7196287890391515</v>
      </c>
      <c r="AA127" s="77">
        <v>1.1422440913964436</v>
      </c>
      <c r="AB127" s="77">
        <v>2.2572918949024957E-2</v>
      </c>
      <c r="AC127" s="77">
        <f t="shared" si="4"/>
        <v>2.7196287890391515</v>
      </c>
      <c r="AD127" s="77">
        <f t="shared" si="5"/>
        <v>1.1422440913964436</v>
      </c>
      <c r="AE127" s="77">
        <f t="shared" si="6"/>
        <v>2.2572918949024957E-2</v>
      </c>
    </row>
    <row r="128" spans="1:31" x14ac:dyDescent="0.25">
      <c r="A128" s="76">
        <v>2011</v>
      </c>
      <c r="B128" s="76" t="s">
        <v>380</v>
      </c>
      <c r="C128" s="76" t="s">
        <v>382</v>
      </c>
      <c r="D128">
        <v>114</v>
      </c>
      <c r="E128">
        <v>4</v>
      </c>
      <c r="F128" s="76" t="s">
        <v>36</v>
      </c>
      <c r="G128">
        <v>0</v>
      </c>
      <c r="H128">
        <v>0</v>
      </c>
      <c r="I128" s="96" t="s">
        <v>11</v>
      </c>
      <c r="J128">
        <v>5</v>
      </c>
      <c r="K128" s="78">
        <v>0</v>
      </c>
      <c r="L128" s="78">
        <v>0</v>
      </c>
      <c r="M128" s="78">
        <v>0</v>
      </c>
      <c r="N128" s="78">
        <v>0</v>
      </c>
      <c r="O128" s="78">
        <v>0</v>
      </c>
      <c r="P128" s="78">
        <v>0</v>
      </c>
      <c r="Q128" s="78">
        <v>0</v>
      </c>
      <c r="R128" s="78">
        <v>0</v>
      </c>
      <c r="S128" s="78">
        <v>0</v>
      </c>
      <c r="T128" s="78">
        <v>0</v>
      </c>
      <c r="U128" s="78">
        <v>0</v>
      </c>
      <c r="V128" s="78">
        <v>0</v>
      </c>
      <c r="W128" s="78">
        <v>0</v>
      </c>
      <c r="X128" s="78">
        <v>0</v>
      </c>
      <c r="Y128" s="78">
        <v>0</v>
      </c>
      <c r="Z128" s="78">
        <v>0</v>
      </c>
      <c r="AA128" s="78">
        <v>0</v>
      </c>
      <c r="AB128" s="78">
        <v>0</v>
      </c>
      <c r="AC128" s="77">
        <f t="shared" si="4"/>
        <v>0</v>
      </c>
      <c r="AD128" s="77">
        <f t="shared" si="5"/>
        <v>0</v>
      </c>
      <c r="AE128" s="77">
        <f t="shared" si="6"/>
        <v>0</v>
      </c>
    </row>
    <row r="129" spans="1:31" x14ac:dyDescent="0.25">
      <c r="A129" s="76">
        <v>2011</v>
      </c>
      <c r="B129" s="76" t="s">
        <v>380</v>
      </c>
      <c r="C129" s="76" t="s">
        <v>382</v>
      </c>
      <c r="D129">
        <v>114</v>
      </c>
      <c r="E129">
        <v>4</v>
      </c>
      <c r="F129" s="76" t="s">
        <v>36</v>
      </c>
      <c r="G129">
        <v>0</v>
      </c>
      <c r="H129">
        <v>0</v>
      </c>
      <c r="I129" s="96" t="s">
        <v>12</v>
      </c>
      <c r="J129">
        <v>10</v>
      </c>
      <c r="K129" s="78">
        <v>0</v>
      </c>
      <c r="L129" s="78">
        <v>0</v>
      </c>
      <c r="M129" s="78">
        <v>0</v>
      </c>
      <c r="N129" s="78">
        <v>0</v>
      </c>
      <c r="O129" s="78">
        <v>0</v>
      </c>
      <c r="P129" s="78">
        <v>0</v>
      </c>
      <c r="Q129" s="78">
        <v>0</v>
      </c>
      <c r="R129" s="78">
        <v>0</v>
      </c>
      <c r="S129" s="78">
        <v>0</v>
      </c>
      <c r="T129" s="78">
        <v>0</v>
      </c>
      <c r="U129" s="78">
        <v>0</v>
      </c>
      <c r="V129" s="78">
        <v>0</v>
      </c>
      <c r="W129" s="78">
        <v>0</v>
      </c>
      <c r="X129" s="78">
        <v>0</v>
      </c>
      <c r="Y129" s="78">
        <v>0</v>
      </c>
      <c r="Z129" s="78">
        <v>0</v>
      </c>
      <c r="AA129" s="78">
        <v>0</v>
      </c>
      <c r="AB129" s="78">
        <v>0</v>
      </c>
      <c r="AC129" s="77">
        <f t="shared" si="4"/>
        <v>0</v>
      </c>
      <c r="AD129" s="77">
        <f t="shared" si="5"/>
        <v>0</v>
      </c>
      <c r="AE129" s="77">
        <f t="shared" si="6"/>
        <v>0</v>
      </c>
    </row>
    <row r="130" spans="1:31" x14ac:dyDescent="0.25">
      <c r="A130" s="76">
        <v>2011</v>
      </c>
      <c r="B130" s="76" t="s">
        <v>380</v>
      </c>
      <c r="C130" s="76" t="s">
        <v>382</v>
      </c>
      <c r="D130">
        <v>114</v>
      </c>
      <c r="E130">
        <v>4</v>
      </c>
      <c r="F130" s="76" t="s">
        <v>36</v>
      </c>
      <c r="G130">
        <v>0</v>
      </c>
      <c r="H130">
        <v>1</v>
      </c>
      <c r="I130" s="96" t="s">
        <v>17</v>
      </c>
      <c r="J130">
        <v>11</v>
      </c>
      <c r="K130" s="78">
        <v>0</v>
      </c>
      <c r="L130" s="78">
        <v>0</v>
      </c>
      <c r="M130" s="78">
        <v>0</v>
      </c>
      <c r="N130" s="78">
        <v>0</v>
      </c>
      <c r="O130" s="78">
        <v>0</v>
      </c>
      <c r="P130" s="78">
        <v>0</v>
      </c>
      <c r="Q130" s="78">
        <v>0</v>
      </c>
      <c r="R130" s="78">
        <v>0</v>
      </c>
      <c r="S130" s="78">
        <v>0</v>
      </c>
      <c r="T130" s="78">
        <v>0</v>
      </c>
      <c r="U130" s="78">
        <v>0</v>
      </c>
      <c r="V130" s="78">
        <v>0</v>
      </c>
      <c r="W130" s="78">
        <v>0</v>
      </c>
      <c r="X130" s="78">
        <v>0</v>
      </c>
      <c r="Y130" s="78">
        <v>0</v>
      </c>
      <c r="Z130" s="78">
        <v>0</v>
      </c>
      <c r="AA130" s="78">
        <v>0</v>
      </c>
      <c r="AB130" s="78">
        <v>0</v>
      </c>
      <c r="AC130" s="77">
        <f t="shared" si="4"/>
        <v>0</v>
      </c>
      <c r="AD130" s="77">
        <f t="shared" si="5"/>
        <v>0</v>
      </c>
      <c r="AE130" s="77">
        <f t="shared" si="6"/>
        <v>0</v>
      </c>
    </row>
    <row r="131" spans="1:31" x14ac:dyDescent="0.25">
      <c r="A131" s="76">
        <v>2011</v>
      </c>
      <c r="B131" s="76" t="s">
        <v>380</v>
      </c>
      <c r="C131" s="76" t="s">
        <v>382</v>
      </c>
      <c r="D131">
        <v>114</v>
      </c>
      <c r="E131">
        <v>6</v>
      </c>
      <c r="F131" s="76" t="s">
        <v>36</v>
      </c>
      <c r="G131">
        <v>0</v>
      </c>
      <c r="H131">
        <v>0</v>
      </c>
      <c r="I131" s="96" t="s">
        <v>11</v>
      </c>
      <c r="J131">
        <v>5</v>
      </c>
      <c r="K131" s="78">
        <v>0</v>
      </c>
      <c r="L131" s="78">
        <v>0</v>
      </c>
      <c r="M131" s="78">
        <v>0</v>
      </c>
      <c r="N131" s="78">
        <v>0</v>
      </c>
      <c r="O131" s="78">
        <v>0</v>
      </c>
      <c r="P131" s="78">
        <v>0</v>
      </c>
      <c r="Q131" s="78">
        <v>0</v>
      </c>
      <c r="R131" s="78">
        <v>0</v>
      </c>
      <c r="S131" s="78">
        <v>0</v>
      </c>
      <c r="T131" s="78">
        <v>0</v>
      </c>
      <c r="U131" s="78">
        <v>0</v>
      </c>
      <c r="V131" s="78">
        <v>0</v>
      </c>
      <c r="W131" s="78">
        <v>0</v>
      </c>
      <c r="X131" s="78">
        <v>0</v>
      </c>
      <c r="Y131" s="78">
        <v>0</v>
      </c>
      <c r="Z131" s="78">
        <v>0</v>
      </c>
      <c r="AA131" s="78">
        <v>0</v>
      </c>
      <c r="AB131" s="78">
        <v>0</v>
      </c>
      <c r="AC131" s="77">
        <f t="shared" ref="AC131:AC152" si="7">SUM(U131,Z131)</f>
        <v>0</v>
      </c>
      <c r="AD131" s="77">
        <f t="shared" ref="AD131:AD152" si="8">SUM(V131,AA131)</f>
        <v>0</v>
      </c>
      <c r="AE131" s="77">
        <f t="shared" ref="AE131:AE152" si="9">SUM(W131,AB131)</f>
        <v>0</v>
      </c>
    </row>
    <row r="132" spans="1:31" x14ac:dyDescent="0.25">
      <c r="A132" s="76">
        <v>2011</v>
      </c>
      <c r="B132" s="76" t="s">
        <v>380</v>
      </c>
      <c r="C132" s="76" t="s">
        <v>382</v>
      </c>
      <c r="D132">
        <v>114</v>
      </c>
      <c r="E132">
        <v>6</v>
      </c>
      <c r="F132" s="76" t="s">
        <v>36</v>
      </c>
      <c r="G132">
        <v>0</v>
      </c>
      <c r="H132">
        <v>0</v>
      </c>
      <c r="I132" s="96" t="s">
        <v>12</v>
      </c>
      <c r="J132">
        <v>10</v>
      </c>
      <c r="K132" s="78">
        <v>0</v>
      </c>
      <c r="L132" s="78">
        <v>0</v>
      </c>
      <c r="M132" s="78">
        <v>0</v>
      </c>
      <c r="N132" s="78">
        <v>0</v>
      </c>
      <c r="O132" s="78">
        <v>0</v>
      </c>
      <c r="P132" s="77">
        <v>0.5196896100959848</v>
      </c>
      <c r="Q132" s="77">
        <v>43</v>
      </c>
      <c r="R132" s="77">
        <v>0.22346653234127345</v>
      </c>
      <c r="S132" s="77">
        <v>1.38</v>
      </c>
      <c r="T132" s="77">
        <v>7.1717166193245897E-3</v>
      </c>
      <c r="U132" s="78">
        <v>0</v>
      </c>
      <c r="V132" s="78">
        <v>0</v>
      </c>
      <c r="W132" s="78">
        <v>0</v>
      </c>
      <c r="X132" s="78">
        <v>0</v>
      </c>
      <c r="Y132" s="78">
        <v>0</v>
      </c>
      <c r="Z132" s="77">
        <v>0.5196896100959848</v>
      </c>
      <c r="AA132" s="77">
        <v>0.22346653234127345</v>
      </c>
      <c r="AB132" s="77">
        <v>7.1717166193245897E-3</v>
      </c>
      <c r="AC132" s="77">
        <f t="shared" si="7"/>
        <v>0.5196896100959848</v>
      </c>
      <c r="AD132" s="77">
        <f t="shared" si="8"/>
        <v>0.22346653234127345</v>
      </c>
      <c r="AE132" s="77">
        <f t="shared" si="9"/>
        <v>7.1717166193245897E-3</v>
      </c>
    </row>
    <row r="133" spans="1:31" x14ac:dyDescent="0.25">
      <c r="A133" s="76">
        <v>2011</v>
      </c>
      <c r="B133" s="76" t="s">
        <v>380</v>
      </c>
      <c r="C133" s="76" t="s">
        <v>382</v>
      </c>
      <c r="D133">
        <v>114</v>
      </c>
      <c r="E133">
        <v>6</v>
      </c>
      <c r="F133" s="76" t="s">
        <v>36</v>
      </c>
      <c r="G133">
        <v>0</v>
      </c>
      <c r="H133">
        <v>1</v>
      </c>
      <c r="I133" s="96" t="s">
        <v>23</v>
      </c>
      <c r="J133">
        <v>15</v>
      </c>
      <c r="K133" s="78">
        <v>0</v>
      </c>
      <c r="L133" s="78">
        <v>0</v>
      </c>
      <c r="M133" s="78">
        <v>0</v>
      </c>
      <c r="N133" s="78">
        <v>0</v>
      </c>
      <c r="O133" s="78">
        <v>0</v>
      </c>
      <c r="P133" s="78">
        <v>0</v>
      </c>
      <c r="Q133" s="78">
        <v>0</v>
      </c>
      <c r="R133" s="78">
        <v>0</v>
      </c>
      <c r="S133" s="78">
        <v>0</v>
      </c>
      <c r="T133" s="78">
        <v>0</v>
      </c>
      <c r="U133" s="78">
        <v>0</v>
      </c>
      <c r="V133" s="78">
        <v>0</v>
      </c>
      <c r="W133" s="78">
        <v>0</v>
      </c>
      <c r="X133" s="78">
        <v>0</v>
      </c>
      <c r="Y133" s="78">
        <v>0</v>
      </c>
      <c r="Z133" s="78">
        <v>0</v>
      </c>
      <c r="AA133" s="78">
        <v>0</v>
      </c>
      <c r="AB133" s="78">
        <v>0</v>
      </c>
      <c r="AC133" s="77">
        <f t="shared" si="7"/>
        <v>0</v>
      </c>
      <c r="AD133" s="77">
        <f t="shared" si="8"/>
        <v>0</v>
      </c>
      <c r="AE133" s="77">
        <f t="shared" si="9"/>
        <v>0</v>
      </c>
    </row>
    <row r="134" spans="1:31" x14ac:dyDescent="0.25">
      <c r="A134" s="76">
        <v>2011</v>
      </c>
      <c r="B134" s="76" t="s">
        <v>380</v>
      </c>
      <c r="C134" s="76" t="s">
        <v>382</v>
      </c>
      <c r="D134">
        <v>114</v>
      </c>
      <c r="E134">
        <v>8</v>
      </c>
      <c r="F134" s="76" t="s">
        <v>36</v>
      </c>
      <c r="G134">
        <v>1</v>
      </c>
      <c r="H134">
        <v>0</v>
      </c>
      <c r="I134" s="96" t="s">
        <v>11</v>
      </c>
      <c r="J134">
        <v>5</v>
      </c>
      <c r="K134" s="77">
        <v>0.24243520310977693</v>
      </c>
      <c r="L134" s="77">
        <v>42</v>
      </c>
      <c r="M134" s="77">
        <v>0.10182278530610631</v>
      </c>
      <c r="N134" s="77">
        <v>0.83</v>
      </c>
      <c r="O134" s="77">
        <v>2.0122121858111484E-3</v>
      </c>
      <c r="P134" s="77">
        <v>85.488940860789484</v>
      </c>
      <c r="Q134" s="77">
        <v>46.048000000000002</v>
      </c>
      <c r="R134" s="77">
        <v>39.365947487576342</v>
      </c>
      <c r="S134" s="77">
        <v>1.1220000000000001</v>
      </c>
      <c r="T134" s="77">
        <v>0.95918591645805806</v>
      </c>
      <c r="U134" s="78">
        <v>0</v>
      </c>
      <c r="V134" s="78">
        <v>0</v>
      </c>
      <c r="W134" s="78">
        <v>0</v>
      </c>
      <c r="X134" s="78">
        <v>0</v>
      </c>
      <c r="Y134" s="78">
        <v>0</v>
      </c>
      <c r="Z134" s="77">
        <v>85.731376063899262</v>
      </c>
      <c r="AA134" s="77">
        <v>39.467770272882447</v>
      </c>
      <c r="AB134" s="77">
        <v>0.96119812864386922</v>
      </c>
      <c r="AC134" s="77">
        <f t="shared" si="7"/>
        <v>85.731376063899262</v>
      </c>
      <c r="AD134" s="77">
        <f t="shared" si="8"/>
        <v>39.467770272882447</v>
      </c>
      <c r="AE134" s="77">
        <f t="shared" si="9"/>
        <v>0.96119812864386922</v>
      </c>
    </row>
    <row r="135" spans="1:31" x14ac:dyDescent="0.25">
      <c r="A135" s="76">
        <v>2011</v>
      </c>
      <c r="B135" s="76" t="s">
        <v>380</v>
      </c>
      <c r="C135" s="76" t="s">
        <v>382</v>
      </c>
      <c r="D135">
        <v>114</v>
      </c>
      <c r="E135">
        <v>8</v>
      </c>
      <c r="F135" s="76" t="s">
        <v>36</v>
      </c>
      <c r="G135">
        <v>1</v>
      </c>
      <c r="H135">
        <v>0</v>
      </c>
      <c r="I135" s="96" t="s">
        <v>12</v>
      </c>
      <c r="J135">
        <v>10</v>
      </c>
      <c r="K135" s="77">
        <v>2.5984480504799241</v>
      </c>
      <c r="L135" s="77">
        <v>42</v>
      </c>
      <c r="M135" s="77">
        <v>1.0913481812015682</v>
      </c>
      <c r="N135" s="77">
        <v>0.83</v>
      </c>
      <c r="O135" s="77">
        <v>2.156711881898337E-2</v>
      </c>
      <c r="P135" s="77">
        <v>11.433171422111666</v>
      </c>
      <c r="Q135" s="77">
        <v>45.32</v>
      </c>
      <c r="R135" s="77">
        <v>5.1815132885010069</v>
      </c>
      <c r="S135" s="77">
        <v>1.506</v>
      </c>
      <c r="T135" s="77">
        <v>0.17218356161700171</v>
      </c>
      <c r="U135" s="78">
        <v>0</v>
      </c>
      <c r="V135" s="78">
        <v>0</v>
      </c>
      <c r="W135" s="78">
        <v>0</v>
      </c>
      <c r="X135" s="78">
        <v>0</v>
      </c>
      <c r="Y135" s="78">
        <v>0</v>
      </c>
      <c r="Z135" s="77">
        <v>14.03161947259159</v>
      </c>
      <c r="AA135" s="77">
        <v>6.2728614697025753</v>
      </c>
      <c r="AB135" s="77">
        <v>0.19375068043598509</v>
      </c>
      <c r="AC135" s="77">
        <f t="shared" si="7"/>
        <v>14.03161947259159</v>
      </c>
      <c r="AD135" s="77">
        <f t="shared" si="8"/>
        <v>6.2728614697025753</v>
      </c>
      <c r="AE135" s="77">
        <f t="shared" si="9"/>
        <v>0.19375068043598509</v>
      </c>
    </row>
    <row r="136" spans="1:31" x14ac:dyDescent="0.25">
      <c r="A136" s="76">
        <v>2011</v>
      </c>
      <c r="B136" s="76" t="s">
        <v>380</v>
      </c>
      <c r="C136" s="76" t="s">
        <v>382</v>
      </c>
      <c r="D136">
        <v>114</v>
      </c>
      <c r="E136">
        <v>8</v>
      </c>
      <c r="F136" s="76" t="s">
        <v>36</v>
      </c>
      <c r="G136">
        <v>1</v>
      </c>
      <c r="H136">
        <v>1</v>
      </c>
      <c r="I136" s="96" t="s">
        <v>31</v>
      </c>
      <c r="J136">
        <v>12</v>
      </c>
      <c r="K136" s="77">
        <v>2.2663573241992929</v>
      </c>
      <c r="L136" s="77">
        <v>42</v>
      </c>
      <c r="M136" s="77">
        <v>0.95187007616370301</v>
      </c>
      <c r="N136" s="77">
        <v>0.83</v>
      </c>
      <c r="O136" s="77">
        <v>1.8810765790854132E-2</v>
      </c>
      <c r="P136" s="77">
        <v>2.2663573241992929</v>
      </c>
      <c r="Q136" s="77">
        <v>43</v>
      </c>
      <c r="R136" s="77">
        <v>0.97453364940569598</v>
      </c>
      <c r="S136" s="77">
        <v>1.38</v>
      </c>
      <c r="T136" s="77">
        <v>3.1275731073950243E-2</v>
      </c>
      <c r="U136" s="78">
        <v>0</v>
      </c>
      <c r="V136" s="78">
        <v>0</v>
      </c>
      <c r="W136" s="78">
        <v>0</v>
      </c>
      <c r="X136" s="78">
        <v>0</v>
      </c>
      <c r="Y136" s="78">
        <v>0</v>
      </c>
      <c r="Z136" s="77">
        <v>4.5327146483985858</v>
      </c>
      <c r="AA136" s="77">
        <v>1.9264037255693989</v>
      </c>
      <c r="AB136" s="77">
        <v>5.0086496864804375E-2</v>
      </c>
      <c r="AC136" s="77">
        <f t="shared" si="7"/>
        <v>4.5327146483985858</v>
      </c>
      <c r="AD136" s="77">
        <f t="shared" si="8"/>
        <v>1.9264037255693989</v>
      </c>
      <c r="AE136" s="77">
        <f t="shared" si="9"/>
        <v>5.0086496864804375E-2</v>
      </c>
    </row>
    <row r="137" spans="1:31" x14ac:dyDescent="0.25">
      <c r="A137" s="76">
        <v>2011</v>
      </c>
      <c r="B137" s="76" t="s">
        <v>380</v>
      </c>
      <c r="C137" s="76" t="s">
        <v>382</v>
      </c>
      <c r="D137">
        <v>114</v>
      </c>
      <c r="E137">
        <v>10</v>
      </c>
      <c r="F137" s="76" t="s">
        <v>36</v>
      </c>
      <c r="G137">
        <v>1</v>
      </c>
      <c r="H137">
        <v>0</v>
      </c>
      <c r="I137" s="96" t="s">
        <v>11</v>
      </c>
      <c r="J137">
        <v>5</v>
      </c>
      <c r="K137" s="77">
        <v>4.9370512959118553</v>
      </c>
      <c r="L137" s="77">
        <v>41.534999999999997</v>
      </c>
      <c r="M137" s="77">
        <v>2.0506042557569888</v>
      </c>
      <c r="N137" s="77">
        <v>0.77400000000000002</v>
      </c>
      <c r="O137" s="77">
        <v>3.8212777030357761E-2</v>
      </c>
      <c r="P137" s="77">
        <v>5.7165857110558331</v>
      </c>
      <c r="Q137" s="77">
        <v>40.031999999999996</v>
      </c>
      <c r="R137" s="77">
        <v>2.288463591849871</v>
      </c>
      <c r="S137" s="77">
        <v>1.292</v>
      </c>
      <c r="T137" s="77">
        <v>7.3858287386841373E-2</v>
      </c>
      <c r="U137" s="78">
        <v>0</v>
      </c>
      <c r="V137" s="78">
        <v>0</v>
      </c>
      <c r="W137" s="78">
        <v>0</v>
      </c>
      <c r="X137" s="78">
        <v>0</v>
      </c>
      <c r="Y137" s="78">
        <v>0</v>
      </c>
      <c r="Z137" s="77">
        <v>10.653637006967688</v>
      </c>
      <c r="AA137" s="77">
        <v>4.3390678476068594</v>
      </c>
      <c r="AB137" s="77">
        <v>0.11207106441719913</v>
      </c>
      <c r="AC137" s="77">
        <f t="shared" si="7"/>
        <v>10.653637006967688</v>
      </c>
      <c r="AD137" s="77">
        <f t="shared" si="8"/>
        <v>4.3390678476068594</v>
      </c>
      <c r="AE137" s="77">
        <f t="shared" si="9"/>
        <v>0.11207106441719913</v>
      </c>
    </row>
    <row r="138" spans="1:31" x14ac:dyDescent="0.25">
      <c r="A138" s="76">
        <v>2011</v>
      </c>
      <c r="B138" s="76" t="s">
        <v>380</v>
      </c>
      <c r="C138" s="76" t="s">
        <v>382</v>
      </c>
      <c r="D138">
        <v>114</v>
      </c>
      <c r="E138">
        <v>10</v>
      </c>
      <c r="F138" s="76" t="s">
        <v>36</v>
      </c>
      <c r="G138">
        <v>1</v>
      </c>
      <c r="H138">
        <v>0</v>
      </c>
      <c r="I138" s="96" t="s">
        <v>12</v>
      </c>
      <c r="J138">
        <v>10</v>
      </c>
      <c r="K138" s="77">
        <v>8.0551889564877648</v>
      </c>
      <c r="L138" s="77">
        <v>42.448999999999998</v>
      </c>
      <c r="M138" s="77">
        <v>3.4193471601394911</v>
      </c>
      <c r="N138" s="77">
        <v>0.89500000000000002</v>
      </c>
      <c r="O138" s="77">
        <v>7.2093941160565486E-2</v>
      </c>
      <c r="P138" s="77">
        <v>1.0393792201919696</v>
      </c>
      <c r="Q138" s="77">
        <v>43</v>
      </c>
      <c r="R138" s="77">
        <v>0.4469330646825469</v>
      </c>
      <c r="S138" s="77">
        <v>1.38</v>
      </c>
      <c r="T138" s="77">
        <v>1.4343433238649179E-2</v>
      </c>
      <c r="U138" s="78">
        <v>0</v>
      </c>
      <c r="V138" s="78">
        <v>0</v>
      </c>
      <c r="W138" s="78">
        <v>0</v>
      </c>
      <c r="X138" s="78">
        <v>0</v>
      </c>
      <c r="Y138" s="78">
        <v>0</v>
      </c>
      <c r="Z138" s="77">
        <v>9.0945681766797346</v>
      </c>
      <c r="AA138" s="77">
        <v>3.866280224822038</v>
      </c>
      <c r="AB138" s="77">
        <v>8.6437374399214673E-2</v>
      </c>
      <c r="AC138" s="77">
        <f t="shared" si="7"/>
        <v>9.0945681766797346</v>
      </c>
      <c r="AD138" s="77">
        <f t="shared" si="8"/>
        <v>3.866280224822038</v>
      </c>
      <c r="AE138" s="77">
        <f t="shared" si="9"/>
        <v>8.6437374399214673E-2</v>
      </c>
    </row>
    <row r="139" spans="1:31" x14ac:dyDescent="0.25">
      <c r="A139" s="76">
        <v>2011</v>
      </c>
      <c r="B139" s="76" t="s">
        <v>380</v>
      </c>
      <c r="C139" s="76" t="s">
        <v>382</v>
      </c>
      <c r="D139">
        <v>114</v>
      </c>
      <c r="E139">
        <v>10</v>
      </c>
      <c r="F139" s="76" t="s">
        <v>36</v>
      </c>
      <c r="G139">
        <v>1</v>
      </c>
      <c r="H139">
        <v>1</v>
      </c>
      <c r="I139" s="96" t="s">
        <v>32</v>
      </c>
      <c r="J139">
        <v>20</v>
      </c>
      <c r="K139" s="77">
        <v>4.9859861132384431</v>
      </c>
      <c r="L139" s="77">
        <v>42</v>
      </c>
      <c r="M139" s="77">
        <v>2.094114167560146</v>
      </c>
      <c r="N139" s="77">
        <v>0.83</v>
      </c>
      <c r="O139" s="77">
        <v>4.1383684739879079E-2</v>
      </c>
      <c r="P139" s="77">
        <v>1.359814394519576</v>
      </c>
      <c r="Q139" s="77">
        <v>43</v>
      </c>
      <c r="R139" s="77">
        <v>0.58472018964341765</v>
      </c>
      <c r="S139" s="77">
        <v>1.38</v>
      </c>
      <c r="T139" s="77">
        <v>1.876543864437015E-2</v>
      </c>
      <c r="U139" s="78">
        <v>0</v>
      </c>
      <c r="V139" s="78">
        <v>0</v>
      </c>
      <c r="W139" s="78">
        <v>0</v>
      </c>
      <c r="X139" s="78">
        <v>0</v>
      </c>
      <c r="Y139" s="78">
        <v>0</v>
      </c>
      <c r="Z139" s="77">
        <v>6.3458005077580193</v>
      </c>
      <c r="AA139" s="77">
        <v>2.6788343572035638</v>
      </c>
      <c r="AB139" s="77">
        <v>6.0149123384249228E-2</v>
      </c>
      <c r="AC139" s="77">
        <f t="shared" si="7"/>
        <v>6.3458005077580193</v>
      </c>
      <c r="AD139" s="77">
        <f t="shared" si="8"/>
        <v>2.6788343572035638</v>
      </c>
      <c r="AE139" s="77">
        <f t="shared" si="9"/>
        <v>6.0149123384249228E-2</v>
      </c>
    </row>
    <row r="140" spans="1:31" x14ac:dyDescent="0.25">
      <c r="A140" s="76">
        <v>2011</v>
      </c>
      <c r="B140" s="76" t="s">
        <v>380</v>
      </c>
      <c r="C140" s="76" t="s">
        <v>14</v>
      </c>
      <c r="D140">
        <v>109</v>
      </c>
      <c r="E140">
        <v>2</v>
      </c>
      <c r="F140" s="76" t="s">
        <v>36</v>
      </c>
      <c r="G140">
        <v>0</v>
      </c>
      <c r="H140">
        <v>0</v>
      </c>
      <c r="I140" s="96" t="s">
        <v>11</v>
      </c>
      <c r="J140">
        <v>5</v>
      </c>
      <c r="K140" s="78">
        <v>0</v>
      </c>
      <c r="L140" s="78">
        <v>0</v>
      </c>
      <c r="M140" s="78">
        <v>0</v>
      </c>
      <c r="N140" s="78">
        <v>0</v>
      </c>
      <c r="O140" s="78">
        <v>0</v>
      </c>
      <c r="P140" s="78">
        <v>0</v>
      </c>
      <c r="Q140" s="78">
        <v>0</v>
      </c>
      <c r="R140" s="78">
        <v>0</v>
      </c>
      <c r="S140" s="78">
        <v>0</v>
      </c>
      <c r="T140" s="78">
        <v>0</v>
      </c>
      <c r="U140" s="78">
        <v>0</v>
      </c>
      <c r="V140" s="78">
        <v>0</v>
      </c>
      <c r="W140" s="78">
        <v>0</v>
      </c>
      <c r="X140" s="78">
        <v>0</v>
      </c>
      <c r="Y140" s="78">
        <v>0</v>
      </c>
      <c r="Z140" s="78">
        <v>0</v>
      </c>
      <c r="AA140" s="78">
        <v>0</v>
      </c>
      <c r="AB140" s="78">
        <v>0</v>
      </c>
      <c r="AC140" s="77">
        <f t="shared" si="7"/>
        <v>0</v>
      </c>
      <c r="AD140" s="77">
        <f t="shared" si="8"/>
        <v>0</v>
      </c>
      <c r="AE140" s="77">
        <f t="shared" si="9"/>
        <v>0</v>
      </c>
    </row>
    <row r="141" spans="1:31" x14ac:dyDescent="0.25">
      <c r="A141" s="76">
        <v>2011</v>
      </c>
      <c r="B141" s="76" t="s">
        <v>380</v>
      </c>
      <c r="C141" s="76" t="s">
        <v>14</v>
      </c>
      <c r="D141">
        <v>109</v>
      </c>
      <c r="E141">
        <v>2</v>
      </c>
      <c r="F141" s="76" t="s">
        <v>36</v>
      </c>
      <c r="G141">
        <v>0</v>
      </c>
      <c r="H141">
        <v>0</v>
      </c>
      <c r="I141" s="96" t="s">
        <v>12</v>
      </c>
      <c r="J141">
        <v>10</v>
      </c>
      <c r="K141" s="77">
        <v>14.811153887735568</v>
      </c>
      <c r="L141" s="77">
        <v>31.366</v>
      </c>
      <c r="M141" s="77">
        <v>4.6456665284271379</v>
      </c>
      <c r="N141" s="77">
        <v>1.526</v>
      </c>
      <c r="O141" s="77">
        <v>0.22601820832684477</v>
      </c>
      <c r="P141" s="78">
        <v>0</v>
      </c>
      <c r="Q141" s="78">
        <v>0</v>
      </c>
      <c r="R141" s="78">
        <v>0</v>
      </c>
      <c r="S141" s="78">
        <v>0</v>
      </c>
      <c r="T141" s="78">
        <v>0</v>
      </c>
      <c r="U141" s="78">
        <v>0</v>
      </c>
      <c r="V141" s="78">
        <v>0</v>
      </c>
      <c r="W141" s="78">
        <v>0</v>
      </c>
      <c r="X141" s="78">
        <v>0</v>
      </c>
      <c r="Y141" s="78">
        <v>0</v>
      </c>
      <c r="Z141" s="77">
        <v>14.811153887735568</v>
      </c>
      <c r="AA141" s="77">
        <v>4.6456665284271379</v>
      </c>
      <c r="AB141" s="77">
        <v>0.22601820832684477</v>
      </c>
      <c r="AC141" s="77">
        <f t="shared" si="7"/>
        <v>14.811153887735568</v>
      </c>
      <c r="AD141" s="77">
        <f t="shared" si="8"/>
        <v>4.6456665284271379</v>
      </c>
      <c r="AE141" s="77">
        <f t="shared" si="9"/>
        <v>0.22601820832684477</v>
      </c>
    </row>
    <row r="142" spans="1:31" x14ac:dyDescent="0.25">
      <c r="A142" s="76">
        <v>2011</v>
      </c>
      <c r="B142" s="76" t="s">
        <v>380</v>
      </c>
      <c r="C142" s="76" t="s">
        <v>14</v>
      </c>
      <c r="D142">
        <v>109</v>
      </c>
      <c r="E142">
        <v>2</v>
      </c>
      <c r="F142" s="76" t="s">
        <v>36</v>
      </c>
      <c r="G142">
        <v>0</v>
      </c>
      <c r="H142">
        <v>1</v>
      </c>
      <c r="I142" s="96" t="s">
        <v>28</v>
      </c>
      <c r="J142">
        <v>21</v>
      </c>
      <c r="K142" s="77">
        <v>8.6121578319573118</v>
      </c>
      <c r="L142" s="77">
        <v>29.769000000000002</v>
      </c>
      <c r="M142" s="77">
        <v>2.563753264995372</v>
      </c>
      <c r="N142" s="77">
        <v>1.3180000000000003</v>
      </c>
      <c r="O142" s="77">
        <v>0.11350824022519738</v>
      </c>
      <c r="P142" s="77">
        <v>1.8130858593594348</v>
      </c>
      <c r="Q142" s="77">
        <v>40</v>
      </c>
      <c r="R142" s="77">
        <v>0.72523434374377393</v>
      </c>
      <c r="S142" s="77">
        <v>1</v>
      </c>
      <c r="T142" s="77">
        <v>1.8130858593594347E-2</v>
      </c>
      <c r="U142" s="78">
        <v>0</v>
      </c>
      <c r="V142" s="78">
        <v>0</v>
      </c>
      <c r="W142" s="78">
        <v>0</v>
      </c>
      <c r="X142" s="78">
        <v>0</v>
      </c>
      <c r="Y142" s="78">
        <v>0</v>
      </c>
      <c r="Z142" s="77">
        <v>10.425243691316746</v>
      </c>
      <c r="AA142" s="77">
        <v>3.2889876087391459</v>
      </c>
      <c r="AB142" s="77">
        <v>0.13163909881879174</v>
      </c>
      <c r="AC142" s="77">
        <f t="shared" si="7"/>
        <v>10.425243691316746</v>
      </c>
      <c r="AD142" s="77">
        <f t="shared" si="8"/>
        <v>3.2889876087391459</v>
      </c>
      <c r="AE142" s="77">
        <f t="shared" si="9"/>
        <v>0.13163909881879174</v>
      </c>
    </row>
    <row r="143" spans="1:31" x14ac:dyDescent="0.25">
      <c r="A143" s="76">
        <v>2011</v>
      </c>
      <c r="B143" s="76" t="s">
        <v>380</v>
      </c>
      <c r="C143" s="76" t="s">
        <v>14</v>
      </c>
      <c r="D143">
        <v>109</v>
      </c>
      <c r="E143">
        <v>4</v>
      </c>
      <c r="F143" s="76" t="s">
        <v>36</v>
      </c>
      <c r="G143">
        <v>0</v>
      </c>
      <c r="H143">
        <v>0</v>
      </c>
      <c r="I143" s="96" t="s">
        <v>11</v>
      </c>
      <c r="J143">
        <v>5</v>
      </c>
      <c r="K143" s="77">
        <v>1.8189136353359467</v>
      </c>
      <c r="L143" s="77">
        <v>29.768999999999998</v>
      </c>
      <c r="M143" s="77">
        <v>0.541472400103158</v>
      </c>
      <c r="N143" s="77">
        <v>1.3180000000000001</v>
      </c>
      <c r="O143" s="77">
        <v>2.3973281713727781E-2</v>
      </c>
      <c r="P143" s="77">
        <v>1.8189136353359467</v>
      </c>
      <c r="Q143" s="77">
        <v>42.784999999999997</v>
      </c>
      <c r="R143" s="77">
        <v>0.77822219887848476</v>
      </c>
      <c r="S143" s="77">
        <v>1.194</v>
      </c>
      <c r="T143" s="77">
        <v>2.1717828805911204E-2</v>
      </c>
      <c r="U143" s="78">
        <v>0</v>
      </c>
      <c r="V143" s="78">
        <v>0</v>
      </c>
      <c r="W143" s="78">
        <v>0</v>
      </c>
      <c r="X143" s="78">
        <v>0</v>
      </c>
      <c r="Y143" s="78">
        <v>0</v>
      </c>
      <c r="Z143" s="77">
        <v>3.6378272706718935</v>
      </c>
      <c r="AA143" s="77">
        <v>1.3196945989816427</v>
      </c>
      <c r="AB143" s="77">
        <v>4.5691110519638985E-2</v>
      </c>
      <c r="AC143" s="77">
        <f t="shared" si="7"/>
        <v>3.6378272706718935</v>
      </c>
      <c r="AD143" s="77">
        <f t="shared" si="8"/>
        <v>1.3196945989816427</v>
      </c>
      <c r="AE143" s="77">
        <f t="shared" si="9"/>
        <v>4.5691110519638985E-2</v>
      </c>
    </row>
    <row r="144" spans="1:31" x14ac:dyDescent="0.25">
      <c r="A144" s="76">
        <v>2011</v>
      </c>
      <c r="B144" s="76" t="s">
        <v>380</v>
      </c>
      <c r="C144" s="76" t="s">
        <v>14</v>
      </c>
      <c r="D144">
        <v>109</v>
      </c>
      <c r="E144">
        <v>4</v>
      </c>
      <c r="F144" s="76" t="s">
        <v>36</v>
      </c>
      <c r="G144">
        <v>0</v>
      </c>
      <c r="H144">
        <v>0</v>
      </c>
      <c r="I144" s="96" t="s">
        <v>12</v>
      </c>
      <c r="J144">
        <v>10</v>
      </c>
      <c r="K144" s="78">
        <v>0</v>
      </c>
      <c r="L144" s="78">
        <v>0</v>
      </c>
      <c r="M144" s="78">
        <v>0</v>
      </c>
      <c r="N144" s="78">
        <v>0</v>
      </c>
      <c r="O144" s="78">
        <v>0</v>
      </c>
      <c r="P144" s="78">
        <v>0</v>
      </c>
      <c r="Q144" s="78">
        <v>0</v>
      </c>
      <c r="R144" s="78">
        <v>0</v>
      </c>
      <c r="S144" s="78">
        <v>0</v>
      </c>
      <c r="T144" s="78">
        <v>0</v>
      </c>
      <c r="U144" s="78">
        <v>0</v>
      </c>
      <c r="V144" s="78">
        <v>0</v>
      </c>
      <c r="W144" s="78">
        <v>0</v>
      </c>
      <c r="X144" s="78">
        <v>0</v>
      </c>
      <c r="Y144" s="78">
        <v>0</v>
      </c>
      <c r="Z144" s="78">
        <v>0</v>
      </c>
      <c r="AA144" s="78">
        <v>0</v>
      </c>
      <c r="AB144" s="78">
        <v>0</v>
      </c>
      <c r="AC144" s="77">
        <f t="shared" si="7"/>
        <v>0</v>
      </c>
      <c r="AD144" s="77">
        <f t="shared" si="8"/>
        <v>0</v>
      </c>
      <c r="AE144" s="77">
        <f t="shared" si="9"/>
        <v>0</v>
      </c>
    </row>
    <row r="145" spans="1:31" x14ac:dyDescent="0.25">
      <c r="A145" s="76">
        <v>2011</v>
      </c>
      <c r="B145" s="76" t="s">
        <v>380</v>
      </c>
      <c r="C145" s="76" t="s">
        <v>14</v>
      </c>
      <c r="D145">
        <v>109</v>
      </c>
      <c r="E145">
        <v>4</v>
      </c>
      <c r="F145" s="76" t="s">
        <v>36</v>
      </c>
      <c r="G145">
        <v>0</v>
      </c>
      <c r="H145">
        <v>1</v>
      </c>
      <c r="I145" s="96" t="s">
        <v>32</v>
      </c>
      <c r="J145">
        <v>20</v>
      </c>
      <c r="K145" s="77">
        <v>0.4532714648398587</v>
      </c>
      <c r="L145" s="77">
        <v>29.768999999999998</v>
      </c>
      <c r="M145" s="77">
        <v>0.13493438236817754</v>
      </c>
      <c r="N145" s="77">
        <v>1.3180000000000001</v>
      </c>
      <c r="O145" s="77">
        <v>5.9741179065893376E-3</v>
      </c>
      <c r="P145" s="78">
        <v>0</v>
      </c>
      <c r="Q145" s="78">
        <v>0</v>
      </c>
      <c r="R145" s="78">
        <v>0</v>
      </c>
      <c r="S145" s="78">
        <v>0</v>
      </c>
      <c r="T145" s="78">
        <v>0</v>
      </c>
      <c r="U145" s="78">
        <v>0</v>
      </c>
      <c r="V145" s="78">
        <v>0</v>
      </c>
      <c r="W145" s="78">
        <v>0</v>
      </c>
      <c r="X145" s="78">
        <v>0</v>
      </c>
      <c r="Y145" s="78">
        <v>0</v>
      </c>
      <c r="Z145" s="77">
        <v>0.4532714648398587</v>
      </c>
      <c r="AA145" s="77">
        <v>0.13493438236817754</v>
      </c>
      <c r="AB145" s="77">
        <v>5.9741179065893376E-3</v>
      </c>
      <c r="AC145" s="77">
        <f t="shared" si="7"/>
        <v>0.4532714648398587</v>
      </c>
      <c r="AD145" s="77">
        <f t="shared" si="8"/>
        <v>0.13493438236817754</v>
      </c>
      <c r="AE145" s="77">
        <f t="shared" si="9"/>
        <v>5.9741179065893376E-3</v>
      </c>
    </row>
    <row r="146" spans="1:31" x14ac:dyDescent="0.25">
      <c r="A146" s="76">
        <v>2011</v>
      </c>
      <c r="B146" s="76" t="s">
        <v>380</v>
      </c>
      <c r="C146" s="76" t="s">
        <v>14</v>
      </c>
      <c r="D146">
        <v>109</v>
      </c>
      <c r="E146">
        <v>6</v>
      </c>
      <c r="F146" s="76" t="s">
        <v>36</v>
      </c>
      <c r="G146">
        <v>1</v>
      </c>
      <c r="H146">
        <v>0</v>
      </c>
      <c r="I146" s="96" t="s">
        <v>11</v>
      </c>
      <c r="J146">
        <v>5</v>
      </c>
      <c r="K146" s="77">
        <v>2.3386032454319317</v>
      </c>
      <c r="L146" s="77">
        <v>29.768999999999998</v>
      </c>
      <c r="M146" s="77">
        <v>0.69617880013263178</v>
      </c>
      <c r="N146" s="77">
        <v>1.3180000000000001</v>
      </c>
      <c r="O146" s="77">
        <v>3.0822790774792861E-2</v>
      </c>
      <c r="P146" s="77">
        <v>12.472550642303636</v>
      </c>
      <c r="Q146" s="77">
        <v>39.866999999999997</v>
      </c>
      <c r="R146" s="77">
        <v>4.9724317645671903</v>
      </c>
      <c r="S146" s="77">
        <v>0.98099999999999998</v>
      </c>
      <c r="T146" s="77">
        <v>0.12235572180099866</v>
      </c>
      <c r="U146" s="78">
        <v>0</v>
      </c>
      <c r="V146" s="78">
        <v>0</v>
      </c>
      <c r="W146" s="78">
        <v>0</v>
      </c>
      <c r="X146" s="78">
        <v>0</v>
      </c>
      <c r="Y146" s="78">
        <v>0</v>
      </c>
      <c r="Z146" s="77">
        <v>14.811153887735568</v>
      </c>
      <c r="AA146" s="77">
        <v>5.6686105646998222</v>
      </c>
      <c r="AB146" s="77">
        <v>0.15317851257579151</v>
      </c>
      <c r="AC146" s="77">
        <f t="shared" si="7"/>
        <v>14.811153887735568</v>
      </c>
      <c r="AD146" s="77">
        <f t="shared" si="8"/>
        <v>5.6686105646998222</v>
      </c>
      <c r="AE146" s="77">
        <f t="shared" si="9"/>
        <v>0.15317851257579151</v>
      </c>
    </row>
    <row r="147" spans="1:31" x14ac:dyDescent="0.25">
      <c r="A147" s="76">
        <v>2011</v>
      </c>
      <c r="B147" s="76" t="s">
        <v>380</v>
      </c>
      <c r="C147" s="76" t="s">
        <v>14</v>
      </c>
      <c r="D147">
        <v>109</v>
      </c>
      <c r="E147">
        <v>6</v>
      </c>
      <c r="F147" s="76" t="s">
        <v>36</v>
      </c>
      <c r="G147">
        <v>1</v>
      </c>
      <c r="H147">
        <v>1</v>
      </c>
      <c r="I147" s="96" t="s">
        <v>12</v>
      </c>
      <c r="J147">
        <v>10</v>
      </c>
      <c r="K147" s="77">
        <v>0.5196896100959848</v>
      </c>
      <c r="L147" s="77">
        <v>29.768999999999998</v>
      </c>
      <c r="M147" s="77">
        <v>0.15470640002947372</v>
      </c>
      <c r="N147" s="77">
        <v>1.3180000000000001</v>
      </c>
      <c r="O147" s="77">
        <v>6.8495090610650802E-3</v>
      </c>
      <c r="P147" s="78">
        <v>0</v>
      </c>
      <c r="Q147" s="78">
        <v>0</v>
      </c>
      <c r="R147" s="78">
        <v>0</v>
      </c>
      <c r="S147" s="78">
        <v>0</v>
      </c>
      <c r="T147" s="78">
        <v>0</v>
      </c>
      <c r="U147" s="78">
        <v>0</v>
      </c>
      <c r="V147" s="78">
        <v>0</v>
      </c>
      <c r="W147" s="78">
        <v>0</v>
      </c>
      <c r="X147" s="78">
        <v>0</v>
      </c>
      <c r="Y147" s="78">
        <v>0</v>
      </c>
      <c r="Z147" s="77">
        <v>0.5196896100959848</v>
      </c>
      <c r="AA147" s="77">
        <v>0.15470640002947372</v>
      </c>
      <c r="AB147" s="77">
        <v>6.8495090610650802E-3</v>
      </c>
      <c r="AC147" s="77">
        <f t="shared" si="7"/>
        <v>0.5196896100959848</v>
      </c>
      <c r="AD147" s="77">
        <f t="shared" si="8"/>
        <v>0.15470640002947372</v>
      </c>
      <c r="AE147" s="77">
        <f t="shared" si="9"/>
        <v>6.8495090610650802E-3</v>
      </c>
    </row>
    <row r="148" spans="1:31" x14ac:dyDescent="0.25">
      <c r="A148" s="76">
        <v>2011</v>
      </c>
      <c r="B148" s="76" t="s">
        <v>380</v>
      </c>
      <c r="C148" s="76" t="s">
        <v>14</v>
      </c>
      <c r="D148">
        <v>109</v>
      </c>
      <c r="E148">
        <v>8</v>
      </c>
      <c r="F148" s="76" t="s">
        <v>36</v>
      </c>
      <c r="G148">
        <v>0</v>
      </c>
      <c r="H148">
        <v>0</v>
      </c>
      <c r="I148" s="96" t="s">
        <v>11</v>
      </c>
      <c r="J148">
        <v>5</v>
      </c>
      <c r="K148" s="77">
        <v>7.275654541343787</v>
      </c>
      <c r="L148" s="77">
        <v>28.172000000000001</v>
      </c>
      <c r="M148" s="77">
        <v>2.049697397387372</v>
      </c>
      <c r="N148" s="77">
        <v>1.1100000000000001</v>
      </c>
      <c r="O148" s="77">
        <v>8.0759765408916037E-2</v>
      </c>
      <c r="P148" s="77">
        <v>1.5590688302879545</v>
      </c>
      <c r="Q148" s="77">
        <v>40</v>
      </c>
      <c r="R148" s="77">
        <v>0.62362753211518185</v>
      </c>
      <c r="S148" s="77">
        <v>1</v>
      </c>
      <c r="T148" s="77">
        <v>1.5590688302879546E-2</v>
      </c>
      <c r="U148" s="78">
        <v>0</v>
      </c>
      <c r="V148" s="78">
        <v>0</v>
      </c>
      <c r="W148" s="78">
        <v>0</v>
      </c>
      <c r="X148" s="78">
        <v>0</v>
      </c>
      <c r="Y148" s="78">
        <v>0</v>
      </c>
      <c r="Z148" s="77">
        <v>8.8347233716317408</v>
      </c>
      <c r="AA148" s="77">
        <v>2.6733249295025541</v>
      </c>
      <c r="AB148" s="77">
        <v>9.6350453711795583E-2</v>
      </c>
      <c r="AC148" s="77">
        <f t="shared" si="7"/>
        <v>8.8347233716317408</v>
      </c>
      <c r="AD148" s="77">
        <f t="shared" si="8"/>
        <v>2.6733249295025541</v>
      </c>
      <c r="AE148" s="77">
        <f t="shared" si="9"/>
        <v>9.6350453711795583E-2</v>
      </c>
    </row>
    <row r="149" spans="1:31" x14ac:dyDescent="0.25">
      <c r="A149" s="76">
        <v>2011</v>
      </c>
      <c r="B149" s="76" t="s">
        <v>380</v>
      </c>
      <c r="C149" s="76" t="s">
        <v>14</v>
      </c>
      <c r="D149">
        <v>109</v>
      </c>
      <c r="E149">
        <v>8</v>
      </c>
      <c r="F149" s="76" t="s">
        <v>36</v>
      </c>
      <c r="G149">
        <v>0</v>
      </c>
      <c r="H149">
        <v>0</v>
      </c>
      <c r="I149" s="96" t="s">
        <v>12</v>
      </c>
      <c r="J149">
        <v>10</v>
      </c>
      <c r="K149" s="77">
        <v>3.3779824656239015</v>
      </c>
      <c r="L149" s="77">
        <v>29.768999999999998</v>
      </c>
      <c r="M149" s="77">
        <v>1.0055916001915792</v>
      </c>
      <c r="N149" s="77">
        <v>1.3180000000000001</v>
      </c>
      <c r="O149" s="77">
        <v>4.4521808896923025E-2</v>
      </c>
      <c r="P149" s="77">
        <v>4.6772064908638633</v>
      </c>
      <c r="Q149" s="77">
        <v>38.552999999999997</v>
      </c>
      <c r="R149" s="77">
        <v>1.8032034184227452</v>
      </c>
      <c r="S149" s="77">
        <v>0.80400000000000005</v>
      </c>
      <c r="T149" s="77">
        <v>3.7604740186545464E-2</v>
      </c>
      <c r="U149" s="78">
        <v>0</v>
      </c>
      <c r="V149" s="78">
        <v>0</v>
      </c>
      <c r="W149" s="78">
        <v>0</v>
      </c>
      <c r="X149" s="78">
        <v>0</v>
      </c>
      <c r="Y149" s="78">
        <v>0</v>
      </c>
      <c r="Z149" s="77">
        <v>8.0551889564877648</v>
      </c>
      <c r="AA149" s="77">
        <v>2.8087950186143242</v>
      </c>
      <c r="AB149" s="77">
        <v>8.2126549083468489E-2</v>
      </c>
      <c r="AC149" s="77">
        <f t="shared" si="7"/>
        <v>8.0551889564877648</v>
      </c>
      <c r="AD149" s="77">
        <f t="shared" si="8"/>
        <v>2.8087950186143242</v>
      </c>
      <c r="AE149" s="77">
        <f t="shared" si="9"/>
        <v>8.2126549083468489E-2</v>
      </c>
    </row>
    <row r="150" spans="1:31" x14ac:dyDescent="0.25">
      <c r="A150" s="76">
        <v>2011</v>
      </c>
      <c r="B150" s="76" t="s">
        <v>380</v>
      </c>
      <c r="C150" s="76" t="s">
        <v>14</v>
      </c>
      <c r="D150">
        <v>109</v>
      </c>
      <c r="E150">
        <v>8</v>
      </c>
      <c r="F150" s="76" t="s">
        <v>36</v>
      </c>
      <c r="G150">
        <v>0</v>
      </c>
      <c r="H150">
        <v>1</v>
      </c>
      <c r="I150" s="96" t="s">
        <v>33</v>
      </c>
      <c r="J150">
        <v>7</v>
      </c>
      <c r="K150" s="78">
        <v>0</v>
      </c>
      <c r="L150" s="78">
        <v>0</v>
      </c>
      <c r="M150" s="78">
        <v>0</v>
      </c>
      <c r="N150" s="78">
        <v>0</v>
      </c>
      <c r="O150" s="78">
        <v>0</v>
      </c>
      <c r="P150" s="78">
        <v>0</v>
      </c>
      <c r="Q150" s="78">
        <v>0</v>
      </c>
      <c r="R150" s="78">
        <v>0</v>
      </c>
      <c r="S150" s="78">
        <v>0</v>
      </c>
      <c r="T150" s="78">
        <v>0</v>
      </c>
      <c r="U150" s="78">
        <v>0</v>
      </c>
      <c r="V150" s="78">
        <v>0</v>
      </c>
      <c r="W150" s="78">
        <v>0</v>
      </c>
      <c r="X150" s="78">
        <v>0</v>
      </c>
      <c r="Y150" s="78">
        <v>0</v>
      </c>
      <c r="Z150" s="78">
        <v>0</v>
      </c>
      <c r="AA150" s="78">
        <v>0</v>
      </c>
      <c r="AB150" s="78">
        <v>0</v>
      </c>
      <c r="AC150" s="77">
        <f t="shared" si="7"/>
        <v>0</v>
      </c>
      <c r="AD150" s="77">
        <f t="shared" si="8"/>
        <v>0</v>
      </c>
      <c r="AE150" s="77">
        <f t="shared" si="9"/>
        <v>0</v>
      </c>
    </row>
    <row r="151" spans="1:31" x14ac:dyDescent="0.25">
      <c r="A151" s="76">
        <v>2011</v>
      </c>
      <c r="B151" s="76" t="s">
        <v>380</v>
      </c>
      <c r="C151" s="76" t="s">
        <v>14</v>
      </c>
      <c r="D151">
        <v>109</v>
      </c>
      <c r="E151">
        <v>10</v>
      </c>
      <c r="F151" s="76" t="s">
        <v>36</v>
      </c>
      <c r="G151">
        <v>0</v>
      </c>
      <c r="H151">
        <v>0</v>
      </c>
      <c r="I151" s="96" t="s">
        <v>11</v>
      </c>
      <c r="J151">
        <v>5</v>
      </c>
      <c r="K151" s="78">
        <v>0</v>
      </c>
      <c r="L151" s="78">
        <v>0</v>
      </c>
      <c r="M151" s="78">
        <v>0</v>
      </c>
      <c r="N151" s="78">
        <v>0</v>
      </c>
      <c r="O151" s="78">
        <v>0</v>
      </c>
      <c r="P151" s="77">
        <v>48.590978543974579</v>
      </c>
      <c r="Q151" s="77">
        <v>40</v>
      </c>
      <c r="R151" s="77">
        <v>19.436391417589832</v>
      </c>
      <c r="S151" s="77">
        <v>1</v>
      </c>
      <c r="T151" s="77">
        <v>0.48590978543974578</v>
      </c>
      <c r="U151" s="78">
        <v>0</v>
      </c>
      <c r="V151" s="78">
        <v>0</v>
      </c>
      <c r="W151" s="78">
        <v>0</v>
      </c>
      <c r="X151" s="78">
        <v>0</v>
      </c>
      <c r="Y151" s="78">
        <v>0</v>
      </c>
      <c r="Z151" s="77">
        <v>48.590978543974579</v>
      </c>
      <c r="AA151" s="77">
        <v>19.436391417589832</v>
      </c>
      <c r="AB151" s="77">
        <v>0.48590978543974578</v>
      </c>
      <c r="AC151" s="77">
        <f t="shared" si="7"/>
        <v>48.590978543974579</v>
      </c>
      <c r="AD151" s="77">
        <f t="shared" si="8"/>
        <v>19.436391417589832</v>
      </c>
      <c r="AE151" s="77">
        <f t="shared" si="9"/>
        <v>0.48590978543974578</v>
      </c>
    </row>
    <row r="152" spans="1:31" x14ac:dyDescent="0.25">
      <c r="A152" s="76">
        <v>2011</v>
      </c>
      <c r="B152" s="76" t="s">
        <v>380</v>
      </c>
      <c r="C152" s="76" t="s">
        <v>14</v>
      </c>
      <c r="D152">
        <v>109</v>
      </c>
      <c r="E152">
        <v>10</v>
      </c>
      <c r="F152" s="76" t="s">
        <v>36</v>
      </c>
      <c r="G152">
        <v>0</v>
      </c>
      <c r="H152">
        <v>1</v>
      </c>
      <c r="I152" s="96" t="s">
        <v>34</v>
      </c>
      <c r="J152">
        <v>4.5</v>
      </c>
      <c r="K152" s="78">
        <v>0</v>
      </c>
      <c r="L152" s="78">
        <v>0</v>
      </c>
      <c r="M152" s="78">
        <v>0</v>
      </c>
      <c r="N152" s="78">
        <v>0</v>
      </c>
      <c r="O152" s="78">
        <v>0</v>
      </c>
      <c r="P152" s="77">
        <v>1.5590688302879547</v>
      </c>
      <c r="Q152" s="77">
        <v>40</v>
      </c>
      <c r="R152" s="77">
        <v>0.62362753211518196</v>
      </c>
      <c r="S152" s="77">
        <v>1</v>
      </c>
      <c r="T152" s="77">
        <v>1.5590688302879548E-2</v>
      </c>
      <c r="U152" s="78">
        <v>0</v>
      </c>
      <c r="V152" s="78">
        <v>0</v>
      </c>
      <c r="W152" s="78">
        <v>0</v>
      </c>
      <c r="X152" s="78">
        <v>0</v>
      </c>
      <c r="Y152" s="78">
        <v>0</v>
      </c>
      <c r="Z152" s="77">
        <v>1.5590688302879547</v>
      </c>
      <c r="AA152" s="77">
        <v>0.62362753211518196</v>
      </c>
      <c r="AB152" s="77">
        <v>1.5590688302879548E-2</v>
      </c>
      <c r="AC152" s="77">
        <f t="shared" si="7"/>
        <v>1.5590688302879547</v>
      </c>
      <c r="AD152" s="77">
        <f t="shared" si="8"/>
        <v>0.62362753211518196</v>
      </c>
      <c r="AE152" s="77">
        <f t="shared" si="9"/>
        <v>1.5590688302879548E-2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637"/>
  <sheetViews>
    <sheetView zoomScale="96" zoomScaleNormal="96" workbookViewId="0">
      <selection activeCell="C6" sqref="C6"/>
    </sheetView>
  </sheetViews>
  <sheetFormatPr defaultRowHeight="12.75" x14ac:dyDescent="0.2"/>
  <cols>
    <col min="1" max="1" width="9.140625" style="84"/>
    <col min="2" max="2" width="26.5703125" style="84" customWidth="1"/>
    <col min="3" max="3" width="51.85546875" style="84" customWidth="1"/>
    <col min="4" max="4" width="11.7109375" style="84" customWidth="1"/>
    <col min="5" max="5" width="13.85546875" style="84" customWidth="1"/>
    <col min="6" max="257" width="9.140625" style="84"/>
    <col min="258" max="258" width="26.5703125" style="84" customWidth="1"/>
    <col min="259" max="259" width="51.85546875" style="84" customWidth="1"/>
    <col min="260" max="260" width="11.7109375" style="84" customWidth="1"/>
    <col min="261" max="261" width="13.85546875" style="84" customWidth="1"/>
    <col min="262" max="513" width="9.140625" style="84"/>
    <col min="514" max="514" width="26.5703125" style="84" customWidth="1"/>
    <col min="515" max="515" width="51.85546875" style="84" customWidth="1"/>
    <col min="516" max="516" width="11.7109375" style="84" customWidth="1"/>
    <col min="517" max="517" width="13.85546875" style="84" customWidth="1"/>
    <col min="518" max="769" width="9.140625" style="84"/>
    <col min="770" max="770" width="26.5703125" style="84" customWidth="1"/>
    <col min="771" max="771" width="51.85546875" style="84" customWidth="1"/>
    <col min="772" max="772" width="11.7109375" style="84" customWidth="1"/>
    <col min="773" max="773" width="13.85546875" style="84" customWidth="1"/>
    <col min="774" max="1025" width="9.140625" style="84"/>
    <col min="1026" max="1026" width="26.5703125" style="84" customWidth="1"/>
    <col min="1027" max="1027" width="51.85546875" style="84" customWidth="1"/>
    <col min="1028" max="1028" width="11.7109375" style="84" customWidth="1"/>
    <col min="1029" max="1029" width="13.85546875" style="84" customWidth="1"/>
    <col min="1030" max="1281" width="9.140625" style="84"/>
    <col min="1282" max="1282" width="26.5703125" style="84" customWidth="1"/>
    <col min="1283" max="1283" width="51.85546875" style="84" customWidth="1"/>
    <col min="1284" max="1284" width="11.7109375" style="84" customWidth="1"/>
    <col min="1285" max="1285" width="13.85546875" style="84" customWidth="1"/>
    <col min="1286" max="1537" width="9.140625" style="84"/>
    <col min="1538" max="1538" width="26.5703125" style="84" customWidth="1"/>
    <col min="1539" max="1539" width="51.85546875" style="84" customWidth="1"/>
    <col min="1540" max="1540" width="11.7109375" style="84" customWidth="1"/>
    <col min="1541" max="1541" width="13.85546875" style="84" customWidth="1"/>
    <col min="1542" max="1793" width="9.140625" style="84"/>
    <col min="1794" max="1794" width="26.5703125" style="84" customWidth="1"/>
    <col min="1795" max="1795" width="51.85546875" style="84" customWidth="1"/>
    <col min="1796" max="1796" width="11.7109375" style="84" customWidth="1"/>
    <col min="1797" max="1797" width="13.85546875" style="84" customWidth="1"/>
    <col min="1798" max="2049" width="9.140625" style="84"/>
    <col min="2050" max="2050" width="26.5703125" style="84" customWidth="1"/>
    <col min="2051" max="2051" width="51.85546875" style="84" customWidth="1"/>
    <col min="2052" max="2052" width="11.7109375" style="84" customWidth="1"/>
    <col min="2053" max="2053" width="13.85546875" style="84" customWidth="1"/>
    <col min="2054" max="2305" width="9.140625" style="84"/>
    <col min="2306" max="2306" width="26.5703125" style="84" customWidth="1"/>
    <col min="2307" max="2307" width="51.85546875" style="84" customWidth="1"/>
    <col min="2308" max="2308" width="11.7109375" style="84" customWidth="1"/>
    <col min="2309" max="2309" width="13.85546875" style="84" customWidth="1"/>
    <col min="2310" max="2561" width="9.140625" style="84"/>
    <col min="2562" max="2562" width="26.5703125" style="84" customWidth="1"/>
    <col min="2563" max="2563" width="51.85546875" style="84" customWidth="1"/>
    <col min="2564" max="2564" width="11.7109375" style="84" customWidth="1"/>
    <col min="2565" max="2565" width="13.85546875" style="84" customWidth="1"/>
    <col min="2566" max="2817" width="9.140625" style="84"/>
    <col min="2818" max="2818" width="26.5703125" style="84" customWidth="1"/>
    <col min="2819" max="2819" width="51.85546875" style="84" customWidth="1"/>
    <col min="2820" max="2820" width="11.7109375" style="84" customWidth="1"/>
    <col min="2821" max="2821" width="13.85546875" style="84" customWidth="1"/>
    <col min="2822" max="3073" width="9.140625" style="84"/>
    <col min="3074" max="3074" width="26.5703125" style="84" customWidth="1"/>
    <col min="3075" max="3075" width="51.85546875" style="84" customWidth="1"/>
    <col min="3076" max="3076" width="11.7109375" style="84" customWidth="1"/>
    <col min="3077" max="3077" width="13.85546875" style="84" customWidth="1"/>
    <col min="3078" max="3329" width="9.140625" style="84"/>
    <col min="3330" max="3330" width="26.5703125" style="84" customWidth="1"/>
    <col min="3331" max="3331" width="51.85546875" style="84" customWidth="1"/>
    <col min="3332" max="3332" width="11.7109375" style="84" customWidth="1"/>
    <col min="3333" max="3333" width="13.85546875" style="84" customWidth="1"/>
    <col min="3334" max="3585" width="9.140625" style="84"/>
    <col min="3586" max="3586" width="26.5703125" style="84" customWidth="1"/>
    <col min="3587" max="3587" width="51.85546875" style="84" customWidth="1"/>
    <col min="3588" max="3588" width="11.7109375" style="84" customWidth="1"/>
    <col min="3589" max="3589" width="13.85546875" style="84" customWidth="1"/>
    <col min="3590" max="3841" width="9.140625" style="84"/>
    <col min="3842" max="3842" width="26.5703125" style="84" customWidth="1"/>
    <col min="3843" max="3843" width="51.85546875" style="84" customWidth="1"/>
    <col min="3844" max="3844" width="11.7109375" style="84" customWidth="1"/>
    <col min="3845" max="3845" width="13.85546875" style="84" customWidth="1"/>
    <col min="3846" max="4097" width="9.140625" style="84"/>
    <col min="4098" max="4098" width="26.5703125" style="84" customWidth="1"/>
    <col min="4099" max="4099" width="51.85546875" style="84" customWidth="1"/>
    <col min="4100" max="4100" width="11.7109375" style="84" customWidth="1"/>
    <col min="4101" max="4101" width="13.85546875" style="84" customWidth="1"/>
    <col min="4102" max="4353" width="9.140625" style="84"/>
    <col min="4354" max="4354" width="26.5703125" style="84" customWidth="1"/>
    <col min="4355" max="4355" width="51.85546875" style="84" customWidth="1"/>
    <col min="4356" max="4356" width="11.7109375" style="84" customWidth="1"/>
    <col min="4357" max="4357" width="13.85546875" style="84" customWidth="1"/>
    <col min="4358" max="4609" width="9.140625" style="84"/>
    <col min="4610" max="4610" width="26.5703125" style="84" customWidth="1"/>
    <col min="4611" max="4611" width="51.85546875" style="84" customWidth="1"/>
    <col min="4612" max="4612" width="11.7109375" style="84" customWidth="1"/>
    <col min="4613" max="4613" width="13.85546875" style="84" customWidth="1"/>
    <col min="4614" max="4865" width="9.140625" style="84"/>
    <col min="4866" max="4866" width="26.5703125" style="84" customWidth="1"/>
    <col min="4867" max="4867" width="51.85546875" style="84" customWidth="1"/>
    <col min="4868" max="4868" width="11.7109375" style="84" customWidth="1"/>
    <col min="4869" max="4869" width="13.85546875" style="84" customWidth="1"/>
    <col min="4870" max="5121" width="9.140625" style="84"/>
    <col min="5122" max="5122" width="26.5703125" style="84" customWidth="1"/>
    <col min="5123" max="5123" width="51.85546875" style="84" customWidth="1"/>
    <col min="5124" max="5124" width="11.7109375" style="84" customWidth="1"/>
    <col min="5125" max="5125" width="13.85546875" style="84" customWidth="1"/>
    <col min="5126" max="5377" width="9.140625" style="84"/>
    <col min="5378" max="5378" width="26.5703125" style="84" customWidth="1"/>
    <col min="5379" max="5379" width="51.85546875" style="84" customWidth="1"/>
    <col min="5380" max="5380" width="11.7109375" style="84" customWidth="1"/>
    <col min="5381" max="5381" width="13.85546875" style="84" customWidth="1"/>
    <col min="5382" max="5633" width="9.140625" style="84"/>
    <col min="5634" max="5634" width="26.5703125" style="84" customWidth="1"/>
    <col min="5635" max="5635" width="51.85546875" style="84" customWidth="1"/>
    <col min="5636" max="5636" width="11.7109375" style="84" customWidth="1"/>
    <col min="5637" max="5637" width="13.85546875" style="84" customWidth="1"/>
    <col min="5638" max="5889" width="9.140625" style="84"/>
    <col min="5890" max="5890" width="26.5703125" style="84" customWidth="1"/>
    <col min="5891" max="5891" width="51.85546875" style="84" customWidth="1"/>
    <col min="5892" max="5892" width="11.7109375" style="84" customWidth="1"/>
    <col min="5893" max="5893" width="13.85546875" style="84" customWidth="1"/>
    <col min="5894" max="6145" width="9.140625" style="84"/>
    <col min="6146" max="6146" width="26.5703125" style="84" customWidth="1"/>
    <col min="6147" max="6147" width="51.85546875" style="84" customWidth="1"/>
    <col min="6148" max="6148" width="11.7109375" style="84" customWidth="1"/>
    <col min="6149" max="6149" width="13.85546875" style="84" customWidth="1"/>
    <col min="6150" max="6401" width="9.140625" style="84"/>
    <col min="6402" max="6402" width="26.5703125" style="84" customWidth="1"/>
    <col min="6403" max="6403" width="51.85546875" style="84" customWidth="1"/>
    <col min="6404" max="6404" width="11.7109375" style="84" customWidth="1"/>
    <col min="6405" max="6405" width="13.85546875" style="84" customWidth="1"/>
    <col min="6406" max="6657" width="9.140625" style="84"/>
    <col min="6658" max="6658" width="26.5703125" style="84" customWidth="1"/>
    <col min="6659" max="6659" width="51.85546875" style="84" customWidth="1"/>
    <col min="6660" max="6660" width="11.7109375" style="84" customWidth="1"/>
    <col min="6661" max="6661" width="13.85546875" style="84" customWidth="1"/>
    <col min="6662" max="6913" width="9.140625" style="84"/>
    <col min="6914" max="6914" width="26.5703125" style="84" customWidth="1"/>
    <col min="6915" max="6915" width="51.85546875" style="84" customWidth="1"/>
    <col min="6916" max="6916" width="11.7109375" style="84" customWidth="1"/>
    <col min="6917" max="6917" width="13.85546875" style="84" customWidth="1"/>
    <col min="6918" max="7169" width="9.140625" style="84"/>
    <col min="7170" max="7170" width="26.5703125" style="84" customWidth="1"/>
    <col min="7171" max="7171" width="51.85546875" style="84" customWidth="1"/>
    <col min="7172" max="7172" width="11.7109375" style="84" customWidth="1"/>
    <col min="7173" max="7173" width="13.85546875" style="84" customWidth="1"/>
    <col min="7174" max="7425" width="9.140625" style="84"/>
    <col min="7426" max="7426" width="26.5703125" style="84" customWidth="1"/>
    <col min="7427" max="7427" width="51.85546875" style="84" customWidth="1"/>
    <col min="7428" max="7428" width="11.7109375" style="84" customWidth="1"/>
    <col min="7429" max="7429" width="13.85546875" style="84" customWidth="1"/>
    <col min="7430" max="7681" width="9.140625" style="84"/>
    <col min="7682" max="7682" width="26.5703125" style="84" customWidth="1"/>
    <col min="7683" max="7683" width="51.85546875" style="84" customWidth="1"/>
    <col min="7684" max="7684" width="11.7109375" style="84" customWidth="1"/>
    <col min="7685" max="7685" width="13.85546875" style="84" customWidth="1"/>
    <col min="7686" max="7937" width="9.140625" style="84"/>
    <col min="7938" max="7938" width="26.5703125" style="84" customWidth="1"/>
    <col min="7939" max="7939" width="51.85546875" style="84" customWidth="1"/>
    <col min="7940" max="7940" width="11.7109375" style="84" customWidth="1"/>
    <col min="7941" max="7941" width="13.85546875" style="84" customWidth="1"/>
    <col min="7942" max="8193" width="9.140625" style="84"/>
    <col min="8194" max="8194" width="26.5703125" style="84" customWidth="1"/>
    <col min="8195" max="8195" width="51.85546875" style="84" customWidth="1"/>
    <col min="8196" max="8196" width="11.7109375" style="84" customWidth="1"/>
    <col min="8197" max="8197" width="13.85546875" style="84" customWidth="1"/>
    <col min="8198" max="8449" width="9.140625" style="84"/>
    <col min="8450" max="8450" width="26.5703125" style="84" customWidth="1"/>
    <col min="8451" max="8451" width="51.85546875" style="84" customWidth="1"/>
    <col min="8452" max="8452" width="11.7109375" style="84" customWidth="1"/>
    <col min="8453" max="8453" width="13.85546875" style="84" customWidth="1"/>
    <col min="8454" max="8705" width="9.140625" style="84"/>
    <col min="8706" max="8706" width="26.5703125" style="84" customWidth="1"/>
    <col min="8707" max="8707" width="51.85546875" style="84" customWidth="1"/>
    <col min="8708" max="8708" width="11.7109375" style="84" customWidth="1"/>
    <col min="8709" max="8709" width="13.85546875" style="84" customWidth="1"/>
    <col min="8710" max="8961" width="9.140625" style="84"/>
    <col min="8962" max="8962" width="26.5703125" style="84" customWidth="1"/>
    <col min="8963" max="8963" width="51.85546875" style="84" customWidth="1"/>
    <col min="8964" max="8964" width="11.7109375" style="84" customWidth="1"/>
    <col min="8965" max="8965" width="13.85546875" style="84" customWidth="1"/>
    <col min="8966" max="9217" width="9.140625" style="84"/>
    <col min="9218" max="9218" width="26.5703125" style="84" customWidth="1"/>
    <col min="9219" max="9219" width="51.85546875" style="84" customWidth="1"/>
    <col min="9220" max="9220" width="11.7109375" style="84" customWidth="1"/>
    <col min="9221" max="9221" width="13.85546875" style="84" customWidth="1"/>
    <col min="9222" max="9473" width="9.140625" style="84"/>
    <col min="9474" max="9474" width="26.5703125" style="84" customWidth="1"/>
    <col min="9475" max="9475" width="51.85546875" style="84" customWidth="1"/>
    <col min="9476" max="9476" width="11.7109375" style="84" customWidth="1"/>
    <col min="9477" max="9477" width="13.85546875" style="84" customWidth="1"/>
    <col min="9478" max="9729" width="9.140625" style="84"/>
    <col min="9730" max="9730" width="26.5703125" style="84" customWidth="1"/>
    <col min="9731" max="9731" width="51.85546875" style="84" customWidth="1"/>
    <col min="9732" max="9732" width="11.7109375" style="84" customWidth="1"/>
    <col min="9733" max="9733" width="13.85546875" style="84" customWidth="1"/>
    <col min="9734" max="9985" width="9.140625" style="84"/>
    <col min="9986" max="9986" width="26.5703125" style="84" customWidth="1"/>
    <col min="9987" max="9987" width="51.85546875" style="84" customWidth="1"/>
    <col min="9988" max="9988" width="11.7109375" style="84" customWidth="1"/>
    <col min="9989" max="9989" width="13.85546875" style="84" customWidth="1"/>
    <col min="9990" max="10241" width="9.140625" style="84"/>
    <col min="10242" max="10242" width="26.5703125" style="84" customWidth="1"/>
    <col min="10243" max="10243" width="51.85546875" style="84" customWidth="1"/>
    <col min="10244" max="10244" width="11.7109375" style="84" customWidth="1"/>
    <col min="10245" max="10245" width="13.85546875" style="84" customWidth="1"/>
    <col min="10246" max="10497" width="9.140625" style="84"/>
    <col min="10498" max="10498" width="26.5703125" style="84" customWidth="1"/>
    <col min="10499" max="10499" width="51.85546875" style="84" customWidth="1"/>
    <col min="10500" max="10500" width="11.7109375" style="84" customWidth="1"/>
    <col min="10501" max="10501" width="13.85546875" style="84" customWidth="1"/>
    <col min="10502" max="10753" width="9.140625" style="84"/>
    <col min="10754" max="10754" width="26.5703125" style="84" customWidth="1"/>
    <col min="10755" max="10755" width="51.85546875" style="84" customWidth="1"/>
    <col min="10756" max="10756" width="11.7109375" style="84" customWidth="1"/>
    <col min="10757" max="10757" width="13.85546875" style="84" customWidth="1"/>
    <col min="10758" max="11009" width="9.140625" style="84"/>
    <col min="11010" max="11010" width="26.5703125" style="84" customWidth="1"/>
    <col min="11011" max="11011" width="51.85546875" style="84" customWidth="1"/>
    <col min="11012" max="11012" width="11.7109375" style="84" customWidth="1"/>
    <col min="11013" max="11013" width="13.85546875" style="84" customWidth="1"/>
    <col min="11014" max="11265" width="9.140625" style="84"/>
    <col min="11266" max="11266" width="26.5703125" style="84" customWidth="1"/>
    <col min="11267" max="11267" width="51.85546875" style="84" customWidth="1"/>
    <col min="11268" max="11268" width="11.7109375" style="84" customWidth="1"/>
    <col min="11269" max="11269" width="13.85546875" style="84" customWidth="1"/>
    <col min="11270" max="11521" width="9.140625" style="84"/>
    <col min="11522" max="11522" width="26.5703125" style="84" customWidth="1"/>
    <col min="11523" max="11523" width="51.85546875" style="84" customWidth="1"/>
    <col min="11524" max="11524" width="11.7109375" style="84" customWidth="1"/>
    <col min="11525" max="11525" width="13.85546875" style="84" customWidth="1"/>
    <col min="11526" max="11777" width="9.140625" style="84"/>
    <col min="11778" max="11778" width="26.5703125" style="84" customWidth="1"/>
    <col min="11779" max="11779" width="51.85546875" style="84" customWidth="1"/>
    <col min="11780" max="11780" width="11.7109375" style="84" customWidth="1"/>
    <col min="11781" max="11781" width="13.85546875" style="84" customWidth="1"/>
    <col min="11782" max="12033" width="9.140625" style="84"/>
    <col min="12034" max="12034" width="26.5703125" style="84" customWidth="1"/>
    <col min="12035" max="12035" width="51.85546875" style="84" customWidth="1"/>
    <col min="12036" max="12036" width="11.7109375" style="84" customWidth="1"/>
    <col min="12037" max="12037" width="13.85546875" style="84" customWidth="1"/>
    <col min="12038" max="12289" width="9.140625" style="84"/>
    <col min="12290" max="12290" width="26.5703125" style="84" customWidth="1"/>
    <col min="12291" max="12291" width="51.85546875" style="84" customWidth="1"/>
    <col min="12292" max="12292" width="11.7109375" style="84" customWidth="1"/>
    <col min="12293" max="12293" width="13.85546875" style="84" customWidth="1"/>
    <col min="12294" max="12545" width="9.140625" style="84"/>
    <col min="12546" max="12546" width="26.5703125" style="84" customWidth="1"/>
    <col min="12547" max="12547" width="51.85546875" style="84" customWidth="1"/>
    <col min="12548" max="12548" width="11.7109375" style="84" customWidth="1"/>
    <col min="12549" max="12549" width="13.85546875" style="84" customWidth="1"/>
    <col min="12550" max="12801" width="9.140625" style="84"/>
    <col min="12802" max="12802" width="26.5703125" style="84" customWidth="1"/>
    <col min="12803" max="12803" width="51.85546875" style="84" customWidth="1"/>
    <col min="12804" max="12804" width="11.7109375" style="84" customWidth="1"/>
    <col min="12805" max="12805" width="13.85546875" style="84" customWidth="1"/>
    <col min="12806" max="13057" width="9.140625" style="84"/>
    <col min="13058" max="13058" width="26.5703125" style="84" customWidth="1"/>
    <col min="13059" max="13059" width="51.85546875" style="84" customWidth="1"/>
    <col min="13060" max="13060" width="11.7109375" style="84" customWidth="1"/>
    <col min="13061" max="13061" width="13.85546875" style="84" customWidth="1"/>
    <col min="13062" max="13313" width="9.140625" style="84"/>
    <col min="13314" max="13314" width="26.5703125" style="84" customWidth="1"/>
    <col min="13315" max="13315" width="51.85546875" style="84" customWidth="1"/>
    <col min="13316" max="13316" width="11.7109375" style="84" customWidth="1"/>
    <col min="13317" max="13317" width="13.85546875" style="84" customWidth="1"/>
    <col min="13318" max="13569" width="9.140625" style="84"/>
    <col min="13570" max="13570" width="26.5703125" style="84" customWidth="1"/>
    <col min="13571" max="13571" width="51.85546875" style="84" customWidth="1"/>
    <col min="13572" max="13572" width="11.7109375" style="84" customWidth="1"/>
    <col min="13573" max="13573" width="13.85546875" style="84" customWidth="1"/>
    <col min="13574" max="13825" width="9.140625" style="84"/>
    <col min="13826" max="13826" width="26.5703125" style="84" customWidth="1"/>
    <col min="13827" max="13827" width="51.85546875" style="84" customWidth="1"/>
    <col min="13828" max="13828" width="11.7109375" style="84" customWidth="1"/>
    <col min="13829" max="13829" width="13.85546875" style="84" customWidth="1"/>
    <col min="13830" max="14081" width="9.140625" style="84"/>
    <col min="14082" max="14082" width="26.5703125" style="84" customWidth="1"/>
    <col min="14083" max="14083" width="51.85546875" style="84" customWidth="1"/>
    <col min="14084" max="14084" width="11.7109375" style="84" customWidth="1"/>
    <col min="14085" max="14085" width="13.85546875" style="84" customWidth="1"/>
    <col min="14086" max="14337" width="9.140625" style="84"/>
    <col min="14338" max="14338" width="26.5703125" style="84" customWidth="1"/>
    <col min="14339" max="14339" width="51.85546875" style="84" customWidth="1"/>
    <col min="14340" max="14340" width="11.7109375" style="84" customWidth="1"/>
    <col min="14341" max="14341" width="13.85546875" style="84" customWidth="1"/>
    <col min="14342" max="14593" width="9.140625" style="84"/>
    <col min="14594" max="14594" width="26.5703125" style="84" customWidth="1"/>
    <col min="14595" max="14595" width="51.85546875" style="84" customWidth="1"/>
    <col min="14596" max="14596" width="11.7109375" style="84" customWidth="1"/>
    <col min="14597" max="14597" width="13.85546875" style="84" customWidth="1"/>
    <col min="14598" max="14849" width="9.140625" style="84"/>
    <col min="14850" max="14850" width="26.5703125" style="84" customWidth="1"/>
    <col min="14851" max="14851" width="51.85546875" style="84" customWidth="1"/>
    <col min="14852" max="14852" width="11.7109375" style="84" customWidth="1"/>
    <col min="14853" max="14853" width="13.85546875" style="84" customWidth="1"/>
    <col min="14854" max="15105" width="9.140625" style="84"/>
    <col min="15106" max="15106" width="26.5703125" style="84" customWidth="1"/>
    <col min="15107" max="15107" width="51.85546875" style="84" customWidth="1"/>
    <col min="15108" max="15108" width="11.7109375" style="84" customWidth="1"/>
    <col min="15109" max="15109" width="13.85546875" style="84" customWidth="1"/>
    <col min="15110" max="15361" width="9.140625" style="84"/>
    <col min="15362" max="15362" width="26.5703125" style="84" customWidth="1"/>
    <col min="15363" max="15363" width="51.85546875" style="84" customWidth="1"/>
    <col min="15364" max="15364" width="11.7109375" style="84" customWidth="1"/>
    <col min="15365" max="15365" width="13.85546875" style="84" customWidth="1"/>
    <col min="15366" max="15617" width="9.140625" style="84"/>
    <col min="15618" max="15618" width="26.5703125" style="84" customWidth="1"/>
    <col min="15619" max="15619" width="51.85546875" style="84" customWidth="1"/>
    <col min="15620" max="15620" width="11.7109375" style="84" customWidth="1"/>
    <col min="15621" max="15621" width="13.85546875" style="84" customWidth="1"/>
    <col min="15622" max="15873" width="9.140625" style="84"/>
    <col min="15874" max="15874" width="26.5703125" style="84" customWidth="1"/>
    <col min="15875" max="15875" width="51.85546875" style="84" customWidth="1"/>
    <col min="15876" max="15876" width="11.7109375" style="84" customWidth="1"/>
    <col min="15877" max="15877" width="13.85546875" style="84" customWidth="1"/>
    <col min="15878" max="16129" width="9.140625" style="84"/>
    <col min="16130" max="16130" width="26.5703125" style="84" customWidth="1"/>
    <col min="16131" max="16131" width="51.85546875" style="84" customWidth="1"/>
    <col min="16132" max="16132" width="11.7109375" style="84" customWidth="1"/>
    <col min="16133" max="16133" width="13.85546875" style="84" customWidth="1"/>
    <col min="16134" max="16384" width="9.140625" style="84"/>
  </cols>
  <sheetData>
    <row r="1" spans="1:14" x14ac:dyDescent="0.2">
      <c r="B1" s="5"/>
    </row>
    <row r="2" spans="1:14" ht="45" x14ac:dyDescent="0.2">
      <c r="A2" s="85" t="s">
        <v>434</v>
      </c>
      <c r="B2" s="86" t="s">
        <v>432</v>
      </c>
      <c r="C2" s="86" t="s">
        <v>435</v>
      </c>
      <c r="D2" s="87" t="s">
        <v>436</v>
      </c>
      <c r="E2" s="87" t="s">
        <v>437</v>
      </c>
      <c r="F2" s="88" t="s">
        <v>438</v>
      </c>
      <c r="G2" s="86" t="s">
        <v>439</v>
      </c>
      <c r="H2" s="86" t="s">
        <v>440</v>
      </c>
      <c r="I2" s="86" t="s">
        <v>441</v>
      </c>
      <c r="J2" s="86" t="s">
        <v>442</v>
      </c>
      <c r="K2" s="89" t="s">
        <v>443</v>
      </c>
      <c r="L2" s="86" t="s">
        <v>444</v>
      </c>
      <c r="M2" s="86" t="s">
        <v>445</v>
      </c>
      <c r="N2" s="86" t="s">
        <v>446</v>
      </c>
    </row>
    <row r="3" spans="1:14" x14ac:dyDescent="0.2">
      <c r="A3" s="84">
        <v>1169</v>
      </c>
      <c r="B3" s="5" t="s">
        <v>447</v>
      </c>
      <c r="C3" s="5" t="s">
        <v>448</v>
      </c>
      <c r="D3" s="84">
        <v>68.99666666666667</v>
      </c>
      <c r="E3" s="84">
        <v>-150.28100000000001</v>
      </c>
      <c r="F3" s="84" t="s">
        <v>449</v>
      </c>
      <c r="G3" s="84" t="s">
        <v>450</v>
      </c>
      <c r="H3" s="84" t="s">
        <v>449</v>
      </c>
      <c r="I3" s="84" t="s">
        <v>449</v>
      </c>
      <c r="J3" s="84" t="s">
        <v>451</v>
      </c>
      <c r="K3" s="84" t="s">
        <v>449</v>
      </c>
      <c r="L3" s="84" t="s">
        <v>449</v>
      </c>
      <c r="M3" s="90" t="str">
        <f t="shared" ref="M3:M66" si="0">HYPERLINK("http://maps.google.com/maps?q="&amp;D3&amp;","&amp;E3,"View on Google Map")</f>
        <v>View on Google Map</v>
      </c>
    </row>
    <row r="4" spans="1:14" x14ac:dyDescent="0.2">
      <c r="A4" s="84">
        <v>1170</v>
      </c>
      <c r="B4" s="5" t="s">
        <v>452</v>
      </c>
      <c r="C4" s="5" t="s">
        <v>453</v>
      </c>
      <c r="D4" s="84">
        <v>68.952222222222218</v>
      </c>
      <c r="E4" s="84">
        <v>-150.21249999999998</v>
      </c>
      <c r="F4" s="84" t="s">
        <v>449</v>
      </c>
      <c r="G4" s="84" t="s">
        <v>450</v>
      </c>
      <c r="H4" s="84" t="s">
        <v>449</v>
      </c>
      <c r="I4" s="84" t="s">
        <v>449</v>
      </c>
      <c r="J4" s="84" t="s">
        <v>451</v>
      </c>
      <c r="K4" s="84" t="s">
        <v>449</v>
      </c>
      <c r="L4" s="84" t="s">
        <v>449</v>
      </c>
      <c r="M4" s="90" t="str">
        <f t="shared" si="0"/>
        <v>View on Google Map</v>
      </c>
    </row>
    <row r="5" spans="1:14" x14ac:dyDescent="0.2">
      <c r="A5" s="84">
        <v>1171</v>
      </c>
      <c r="B5" s="5" t="s">
        <v>454</v>
      </c>
      <c r="C5" s="5" t="s">
        <v>455</v>
      </c>
      <c r="D5" s="84">
        <v>68.934444444444452</v>
      </c>
      <c r="E5" s="84">
        <v>-150.2727777777778</v>
      </c>
      <c r="F5" s="84" t="s">
        <v>449</v>
      </c>
      <c r="G5" s="84" t="s">
        <v>450</v>
      </c>
      <c r="H5" s="84" t="s">
        <v>449</v>
      </c>
      <c r="I5" s="84" t="s">
        <v>449</v>
      </c>
      <c r="J5" s="84" t="s">
        <v>456</v>
      </c>
      <c r="K5" s="84" t="s">
        <v>449</v>
      </c>
      <c r="L5" s="84" t="s">
        <v>457</v>
      </c>
      <c r="M5" s="90" t="str">
        <f t="shared" si="0"/>
        <v>View on Google Map</v>
      </c>
    </row>
    <row r="6" spans="1:14" x14ac:dyDescent="0.2">
      <c r="A6" s="84">
        <v>518</v>
      </c>
      <c r="B6" s="84" t="s">
        <v>458</v>
      </c>
      <c r="C6" s="84" t="s">
        <v>459</v>
      </c>
      <c r="D6" s="84">
        <v>68.900986000000003</v>
      </c>
      <c r="E6" s="84">
        <v>-151.308469</v>
      </c>
      <c r="F6" s="84">
        <v>350</v>
      </c>
      <c r="G6" s="84" t="s">
        <v>460</v>
      </c>
      <c r="H6" s="84" t="s">
        <v>449</v>
      </c>
      <c r="I6" s="84" t="s">
        <v>449</v>
      </c>
      <c r="J6" s="84" t="s">
        <v>461</v>
      </c>
      <c r="K6" s="84" t="s">
        <v>449</v>
      </c>
      <c r="L6" s="84" t="s">
        <v>462</v>
      </c>
      <c r="M6" s="90" t="str">
        <f t="shared" si="0"/>
        <v>View on Google Map</v>
      </c>
    </row>
    <row r="7" spans="1:14" x14ac:dyDescent="0.2">
      <c r="A7" s="84">
        <v>478</v>
      </c>
      <c r="B7" s="84" t="s">
        <v>463</v>
      </c>
      <c r="C7" s="84" t="s">
        <v>449</v>
      </c>
      <c r="D7" s="84">
        <v>68.510069999999999</v>
      </c>
      <c r="E7" s="84">
        <v>-149.62691000000001</v>
      </c>
      <c r="F7" s="84">
        <v>996</v>
      </c>
      <c r="G7" s="84" t="s">
        <v>460</v>
      </c>
      <c r="H7" s="84" t="s">
        <v>449</v>
      </c>
      <c r="I7" s="84" t="s">
        <v>449</v>
      </c>
      <c r="J7" s="84" t="s">
        <v>461</v>
      </c>
      <c r="K7" s="84" t="s">
        <v>449</v>
      </c>
      <c r="L7" s="84" t="s">
        <v>449</v>
      </c>
      <c r="M7" s="90" t="str">
        <f t="shared" si="0"/>
        <v>View on Google Map</v>
      </c>
    </row>
    <row r="8" spans="1:14" x14ac:dyDescent="0.2">
      <c r="A8" s="84">
        <v>479</v>
      </c>
      <c r="B8" s="84" t="s">
        <v>464</v>
      </c>
      <c r="C8" s="84" t="s">
        <v>449</v>
      </c>
      <c r="D8" s="84">
        <v>68.505080000000007</v>
      </c>
      <c r="E8" s="84">
        <v>-149.62766999999999</v>
      </c>
      <c r="F8" s="84">
        <v>986</v>
      </c>
      <c r="G8" s="84" t="s">
        <v>460</v>
      </c>
      <c r="H8" s="84" t="s">
        <v>449</v>
      </c>
      <c r="I8" s="84" t="s">
        <v>449</v>
      </c>
      <c r="J8" s="84" t="s">
        <v>461</v>
      </c>
      <c r="K8" s="84" t="s">
        <v>449</v>
      </c>
      <c r="L8" s="84" t="s">
        <v>449</v>
      </c>
      <c r="M8" s="90" t="str">
        <f t="shared" si="0"/>
        <v>View on Google Map</v>
      </c>
    </row>
    <row r="9" spans="1:14" x14ac:dyDescent="0.2">
      <c r="A9" s="84">
        <v>480</v>
      </c>
      <c r="B9" s="84" t="s">
        <v>465</v>
      </c>
      <c r="C9" s="84" t="s">
        <v>449</v>
      </c>
      <c r="D9" s="84">
        <v>68.502449999999996</v>
      </c>
      <c r="E9" s="84">
        <v>-149.63137</v>
      </c>
      <c r="F9" s="84">
        <v>982</v>
      </c>
      <c r="G9" s="84" t="s">
        <v>460</v>
      </c>
      <c r="H9" s="84" t="s">
        <v>449</v>
      </c>
      <c r="I9" s="84" t="s">
        <v>449</v>
      </c>
      <c r="J9" s="84" t="s">
        <v>461</v>
      </c>
      <c r="K9" s="84" t="s">
        <v>449</v>
      </c>
      <c r="L9" s="84" t="s">
        <v>449</v>
      </c>
      <c r="M9" s="90" t="str">
        <f t="shared" si="0"/>
        <v>View on Google Map</v>
      </c>
    </row>
    <row r="10" spans="1:14" x14ac:dyDescent="0.2">
      <c r="B10" s="84" t="s">
        <v>466</v>
      </c>
      <c r="C10" s="84" t="s">
        <v>467</v>
      </c>
      <c r="D10" s="84">
        <v>69.375833333333333</v>
      </c>
      <c r="E10" s="84">
        <v>-150.68138888888899</v>
      </c>
      <c r="G10" s="84" t="s">
        <v>468</v>
      </c>
      <c r="J10" s="84" t="s">
        <v>456</v>
      </c>
      <c r="L10" s="84" t="s">
        <v>457</v>
      </c>
      <c r="M10" s="90" t="str">
        <f t="shared" si="0"/>
        <v>View on Google Map</v>
      </c>
    </row>
    <row r="11" spans="1:14" x14ac:dyDescent="0.2">
      <c r="B11" s="84" t="s">
        <v>469</v>
      </c>
      <c r="C11" s="84" t="s">
        <v>467</v>
      </c>
      <c r="D11" s="84">
        <v>69.322777777777773</v>
      </c>
      <c r="E11" s="84">
        <v>-150.95055555555601</v>
      </c>
      <c r="G11" s="84" t="s">
        <v>468</v>
      </c>
      <c r="J11" s="84" t="s">
        <v>456</v>
      </c>
      <c r="L11" s="84" t="s">
        <v>457</v>
      </c>
      <c r="M11" s="90" t="str">
        <f t="shared" si="0"/>
        <v>View on Google Map</v>
      </c>
    </row>
    <row r="12" spans="1:14" x14ac:dyDescent="0.2">
      <c r="B12" s="84" t="s">
        <v>470</v>
      </c>
      <c r="C12" s="84" t="s">
        <v>467</v>
      </c>
      <c r="D12" s="84">
        <v>69.328055555555565</v>
      </c>
      <c r="E12" s="84">
        <v>-150.238055555556</v>
      </c>
      <c r="G12" s="84" t="s">
        <v>468</v>
      </c>
      <c r="J12" s="84" t="s">
        <v>456</v>
      </c>
      <c r="L12" s="84" t="s">
        <v>457</v>
      </c>
      <c r="M12" s="90" t="str">
        <f t="shared" si="0"/>
        <v>View on Google Map</v>
      </c>
    </row>
    <row r="13" spans="1:14" x14ac:dyDescent="0.2">
      <c r="B13" s="84" t="s">
        <v>471</v>
      </c>
      <c r="C13" s="84" t="s">
        <v>467</v>
      </c>
      <c r="D13" s="84">
        <v>69.30361111111111</v>
      </c>
      <c r="E13" s="84">
        <v>-149.56083333333299</v>
      </c>
      <c r="G13" s="84" t="s">
        <v>468</v>
      </c>
      <c r="J13" s="84" t="s">
        <v>456</v>
      </c>
      <c r="L13" s="84" t="s">
        <v>457</v>
      </c>
      <c r="M13" s="90" t="str">
        <f t="shared" si="0"/>
        <v>View on Google Map</v>
      </c>
    </row>
    <row r="14" spans="1:14" x14ac:dyDescent="0.2">
      <c r="A14" s="84">
        <v>7</v>
      </c>
      <c r="B14" s="84" t="s">
        <v>472</v>
      </c>
      <c r="C14" s="84" t="s">
        <v>473</v>
      </c>
      <c r="D14" s="84">
        <v>68.95</v>
      </c>
      <c r="E14" s="84">
        <v>-148.86666666666667</v>
      </c>
      <c r="F14" s="84">
        <v>360</v>
      </c>
      <c r="G14" s="84" t="s">
        <v>474</v>
      </c>
      <c r="H14" s="84" t="s">
        <v>449</v>
      </c>
      <c r="I14" s="84" t="s">
        <v>449</v>
      </c>
      <c r="J14" s="84" t="s">
        <v>475</v>
      </c>
      <c r="K14" s="84" t="s">
        <v>449</v>
      </c>
      <c r="L14" s="84" t="s">
        <v>476</v>
      </c>
      <c r="M14" s="90" t="str">
        <f t="shared" si="0"/>
        <v>View on Google Map</v>
      </c>
    </row>
    <row r="15" spans="1:14" x14ac:dyDescent="0.2">
      <c r="A15" s="84">
        <v>517</v>
      </c>
      <c r="B15" s="84" t="s">
        <v>477</v>
      </c>
      <c r="C15" s="84" t="s">
        <v>459</v>
      </c>
      <c r="D15" s="84">
        <v>68.467832999999999</v>
      </c>
      <c r="E15" s="84">
        <v>-151.47916699999999</v>
      </c>
      <c r="F15" s="84">
        <v>732</v>
      </c>
      <c r="G15" s="84" t="s">
        <v>460</v>
      </c>
      <c r="H15" s="84" t="s">
        <v>449</v>
      </c>
      <c r="I15" s="84" t="s">
        <v>449</v>
      </c>
      <c r="J15" s="84" t="s">
        <v>461</v>
      </c>
      <c r="K15" s="84" t="s">
        <v>449</v>
      </c>
      <c r="L15" s="84" t="s">
        <v>462</v>
      </c>
      <c r="M15" s="90" t="str">
        <f t="shared" si="0"/>
        <v>View on Google Map</v>
      </c>
    </row>
    <row r="16" spans="1:14" x14ac:dyDescent="0.2">
      <c r="A16" s="84">
        <v>516</v>
      </c>
      <c r="B16" s="84" t="s">
        <v>478</v>
      </c>
      <c r="C16" s="84" t="s">
        <v>459</v>
      </c>
      <c r="D16" s="84">
        <v>68.467500000000001</v>
      </c>
      <c r="E16" s="84">
        <v>-151.49433300000001</v>
      </c>
      <c r="F16" s="84">
        <v>769</v>
      </c>
      <c r="G16" s="84" t="s">
        <v>460</v>
      </c>
      <c r="H16" s="84" t="s">
        <v>449</v>
      </c>
      <c r="I16" s="84" t="s">
        <v>449</v>
      </c>
      <c r="J16" s="84" t="s">
        <v>461</v>
      </c>
      <c r="K16" s="84" t="s">
        <v>449</v>
      </c>
      <c r="L16" s="84" t="s">
        <v>462</v>
      </c>
      <c r="M16" s="90" t="str">
        <f t="shared" si="0"/>
        <v>View on Google Map</v>
      </c>
    </row>
    <row r="17" spans="1:13" x14ac:dyDescent="0.2">
      <c r="A17" s="84">
        <v>515</v>
      </c>
      <c r="B17" s="84" t="s">
        <v>479</v>
      </c>
      <c r="C17" s="84" t="s">
        <v>459</v>
      </c>
      <c r="D17" s="84">
        <v>68.463999999999999</v>
      </c>
      <c r="E17" s="84">
        <v>-151.51516699999999</v>
      </c>
      <c r="F17" s="84">
        <v>809</v>
      </c>
      <c r="G17" s="84" t="s">
        <v>460</v>
      </c>
      <c r="H17" s="84" t="s">
        <v>449</v>
      </c>
      <c r="I17" s="84" t="s">
        <v>449</v>
      </c>
      <c r="J17" s="84" t="s">
        <v>461</v>
      </c>
      <c r="K17" s="84" t="s">
        <v>449</v>
      </c>
      <c r="L17" s="84" t="s">
        <v>462</v>
      </c>
      <c r="M17" s="90" t="str">
        <f t="shared" si="0"/>
        <v>View on Google Map</v>
      </c>
    </row>
    <row r="18" spans="1:13" x14ac:dyDescent="0.2">
      <c r="A18" s="84">
        <v>1177</v>
      </c>
      <c r="B18" s="84" t="s">
        <v>480</v>
      </c>
      <c r="C18" s="84" t="s">
        <v>481</v>
      </c>
      <c r="D18" s="84">
        <v>68.99539</v>
      </c>
      <c r="E18" s="84">
        <v>-150.28278</v>
      </c>
      <c r="F18" s="84" t="s">
        <v>449</v>
      </c>
      <c r="G18" s="84" t="s">
        <v>450</v>
      </c>
      <c r="H18" s="84" t="s">
        <v>449</v>
      </c>
      <c r="I18" s="84" t="s">
        <v>449</v>
      </c>
      <c r="J18" s="84" t="s">
        <v>456</v>
      </c>
      <c r="K18" s="84" t="s">
        <v>449</v>
      </c>
      <c r="L18" s="84" t="s">
        <v>457</v>
      </c>
      <c r="M18" s="90" t="str">
        <f t="shared" si="0"/>
        <v>View on Google Map</v>
      </c>
    </row>
    <row r="19" spans="1:13" x14ac:dyDescent="0.2">
      <c r="A19" s="84">
        <v>1178</v>
      </c>
      <c r="B19" s="84" t="s">
        <v>482</v>
      </c>
      <c r="C19" s="84" t="s">
        <v>481</v>
      </c>
      <c r="D19" s="84">
        <v>68.996089999999995</v>
      </c>
      <c r="E19" s="84">
        <v>-150.29223999999999</v>
      </c>
      <c r="F19" s="84" t="s">
        <v>449</v>
      </c>
      <c r="G19" s="84" t="s">
        <v>450</v>
      </c>
      <c r="H19" s="84" t="s">
        <v>449</v>
      </c>
      <c r="I19" s="84" t="s">
        <v>449</v>
      </c>
      <c r="J19" s="84" t="s">
        <v>456</v>
      </c>
      <c r="K19" s="84" t="s">
        <v>449</v>
      </c>
      <c r="L19" s="84" t="s">
        <v>457</v>
      </c>
      <c r="M19" s="90" t="str">
        <f t="shared" si="0"/>
        <v>View on Google Map</v>
      </c>
    </row>
    <row r="20" spans="1:13" x14ac:dyDescent="0.2">
      <c r="A20" s="84">
        <v>1179</v>
      </c>
      <c r="B20" s="84" t="s">
        <v>483</v>
      </c>
      <c r="C20" s="84" t="s">
        <v>484</v>
      </c>
      <c r="D20" s="84">
        <v>68.953829999999996</v>
      </c>
      <c r="E20" s="84">
        <v>-150.20697000000001</v>
      </c>
      <c r="F20" s="84" t="s">
        <v>449</v>
      </c>
      <c r="G20" s="84" t="s">
        <v>450</v>
      </c>
      <c r="H20" s="84" t="s">
        <v>449</v>
      </c>
      <c r="I20" s="84" t="s">
        <v>449</v>
      </c>
      <c r="J20" s="84" t="s">
        <v>456</v>
      </c>
      <c r="K20" s="84" t="s">
        <v>449</v>
      </c>
      <c r="L20" s="84" t="s">
        <v>457</v>
      </c>
      <c r="M20" s="90" t="str">
        <f t="shared" si="0"/>
        <v>View on Google Map</v>
      </c>
    </row>
    <row r="21" spans="1:13" x14ac:dyDescent="0.2">
      <c r="A21" s="84">
        <v>1180</v>
      </c>
      <c r="B21" s="5" t="s">
        <v>485</v>
      </c>
      <c r="C21" s="84" t="s">
        <v>484</v>
      </c>
      <c r="D21" s="84">
        <v>68.951099999999997</v>
      </c>
      <c r="E21" s="84">
        <v>-150.20966000000001</v>
      </c>
      <c r="F21" s="84" t="s">
        <v>449</v>
      </c>
      <c r="G21" s="84" t="s">
        <v>450</v>
      </c>
      <c r="H21" s="84" t="s">
        <v>449</v>
      </c>
      <c r="I21" s="84" t="s">
        <v>449</v>
      </c>
      <c r="J21" s="84" t="s">
        <v>456</v>
      </c>
      <c r="K21" s="84" t="s">
        <v>449</v>
      </c>
      <c r="L21" s="84" t="s">
        <v>457</v>
      </c>
      <c r="M21" s="90" t="str">
        <f t="shared" si="0"/>
        <v>View on Google Map</v>
      </c>
    </row>
    <row r="22" spans="1:13" x14ac:dyDescent="0.2">
      <c r="A22" s="84">
        <v>1181</v>
      </c>
      <c r="B22" s="5" t="s">
        <v>486</v>
      </c>
      <c r="C22" s="84" t="s">
        <v>484</v>
      </c>
      <c r="D22" s="84">
        <v>68.950720000000004</v>
      </c>
      <c r="E22" s="84">
        <v>-150.19745</v>
      </c>
      <c r="F22" s="84" t="s">
        <v>449</v>
      </c>
      <c r="G22" s="84" t="s">
        <v>450</v>
      </c>
      <c r="H22" s="84" t="s">
        <v>449</v>
      </c>
      <c r="I22" s="84" t="s">
        <v>449</v>
      </c>
      <c r="J22" s="84" t="s">
        <v>456</v>
      </c>
      <c r="K22" s="84" t="s">
        <v>449</v>
      </c>
      <c r="L22" s="84" t="s">
        <v>457</v>
      </c>
      <c r="M22" s="90" t="str">
        <f t="shared" si="0"/>
        <v>View on Google Map</v>
      </c>
    </row>
    <row r="23" spans="1:13" x14ac:dyDescent="0.2">
      <c r="A23" s="84">
        <v>1182</v>
      </c>
      <c r="B23" s="5" t="s">
        <v>487</v>
      </c>
      <c r="C23" s="84" t="s">
        <v>484</v>
      </c>
      <c r="D23" s="84">
        <v>68.950149999999994</v>
      </c>
      <c r="E23" s="84">
        <v>-150.19701000000001</v>
      </c>
      <c r="F23" s="84" t="s">
        <v>449</v>
      </c>
      <c r="G23" s="84" t="s">
        <v>450</v>
      </c>
      <c r="H23" s="84" t="s">
        <v>449</v>
      </c>
      <c r="I23" s="84" t="s">
        <v>449</v>
      </c>
      <c r="J23" s="84" t="s">
        <v>456</v>
      </c>
      <c r="K23" s="84" t="s">
        <v>449</v>
      </c>
      <c r="L23" s="84" t="s">
        <v>457</v>
      </c>
      <c r="M23" s="90" t="str">
        <f t="shared" si="0"/>
        <v>View on Google Map</v>
      </c>
    </row>
    <row r="24" spans="1:13" x14ac:dyDescent="0.2">
      <c r="A24" s="84">
        <v>1183</v>
      </c>
      <c r="B24" s="5" t="s">
        <v>488</v>
      </c>
      <c r="C24" s="84" t="s">
        <v>484</v>
      </c>
      <c r="D24" s="84">
        <v>68.949629999999999</v>
      </c>
      <c r="E24" s="84">
        <v>-150.19672</v>
      </c>
      <c r="F24" s="84" t="s">
        <v>449</v>
      </c>
      <c r="G24" s="84" t="s">
        <v>450</v>
      </c>
      <c r="H24" s="84" t="s">
        <v>449</v>
      </c>
      <c r="I24" s="84" t="s">
        <v>449</v>
      </c>
      <c r="J24" s="84" t="s">
        <v>456</v>
      </c>
      <c r="K24" s="84" t="s">
        <v>449</v>
      </c>
      <c r="L24" s="84" t="s">
        <v>457</v>
      </c>
      <c r="M24" s="90" t="str">
        <f t="shared" si="0"/>
        <v>View on Google Map</v>
      </c>
    </row>
    <row r="25" spans="1:13" x14ac:dyDescent="0.2">
      <c r="A25" s="84">
        <v>1184</v>
      </c>
      <c r="B25" s="5" t="s">
        <v>489</v>
      </c>
      <c r="C25" s="84" t="s">
        <v>484</v>
      </c>
      <c r="D25" s="84">
        <v>68.952349999999996</v>
      </c>
      <c r="E25" s="84">
        <v>-150.20769999999999</v>
      </c>
      <c r="F25" s="84" t="s">
        <v>449</v>
      </c>
      <c r="G25" s="84" t="s">
        <v>450</v>
      </c>
      <c r="H25" s="84" t="s">
        <v>449</v>
      </c>
      <c r="I25" s="84" t="s">
        <v>449</v>
      </c>
      <c r="J25" s="84" t="s">
        <v>456</v>
      </c>
      <c r="K25" s="84" t="s">
        <v>449</v>
      </c>
      <c r="L25" s="84" t="s">
        <v>457</v>
      </c>
      <c r="M25" s="90" t="str">
        <f t="shared" si="0"/>
        <v>View on Google Map</v>
      </c>
    </row>
    <row r="26" spans="1:13" x14ac:dyDescent="0.2">
      <c r="A26" s="84">
        <v>1185</v>
      </c>
      <c r="B26" s="5" t="s">
        <v>490</v>
      </c>
      <c r="C26" s="84" t="s">
        <v>484</v>
      </c>
      <c r="D26" s="84">
        <v>68.933340000000001</v>
      </c>
      <c r="E26" s="84">
        <v>-150.27288999999999</v>
      </c>
      <c r="F26" s="84" t="s">
        <v>449</v>
      </c>
      <c r="G26" s="84" t="s">
        <v>450</v>
      </c>
      <c r="H26" s="84" t="s">
        <v>449</v>
      </c>
      <c r="I26" s="84" t="s">
        <v>449</v>
      </c>
      <c r="J26" s="84" t="s">
        <v>456</v>
      </c>
      <c r="K26" s="84" t="s">
        <v>449</v>
      </c>
      <c r="L26" s="84" t="s">
        <v>457</v>
      </c>
      <c r="M26" s="90" t="str">
        <f t="shared" si="0"/>
        <v>View on Google Map</v>
      </c>
    </row>
    <row r="27" spans="1:13" x14ac:dyDescent="0.2">
      <c r="A27" s="84">
        <v>1186</v>
      </c>
      <c r="B27" s="84" t="s">
        <v>491</v>
      </c>
      <c r="C27" s="84" t="s">
        <v>484</v>
      </c>
      <c r="D27" s="84">
        <v>68.935190000000006</v>
      </c>
      <c r="E27" s="84">
        <v>-150.26884000000001</v>
      </c>
      <c r="F27" s="84" t="s">
        <v>449</v>
      </c>
      <c r="G27" s="84" t="s">
        <v>450</v>
      </c>
      <c r="H27" s="84" t="s">
        <v>449</v>
      </c>
      <c r="I27" s="84" t="s">
        <v>449</v>
      </c>
      <c r="J27" s="84" t="s">
        <v>456</v>
      </c>
      <c r="K27" s="84" t="s">
        <v>449</v>
      </c>
      <c r="L27" s="84" t="s">
        <v>457</v>
      </c>
      <c r="M27" s="90" t="str">
        <f t="shared" si="0"/>
        <v>View on Google Map</v>
      </c>
    </row>
    <row r="28" spans="1:13" x14ac:dyDescent="0.2">
      <c r="A28" s="84">
        <v>1187</v>
      </c>
      <c r="B28" s="5" t="s">
        <v>492</v>
      </c>
      <c r="C28" s="84" t="s">
        <v>484</v>
      </c>
      <c r="D28" s="84">
        <v>68.997339999999994</v>
      </c>
      <c r="E28" s="84">
        <v>-150.30745999999999</v>
      </c>
      <c r="F28" s="84" t="s">
        <v>449</v>
      </c>
      <c r="G28" s="84" t="s">
        <v>450</v>
      </c>
      <c r="H28" s="84" t="s">
        <v>449</v>
      </c>
      <c r="I28" s="84" t="s">
        <v>449</v>
      </c>
      <c r="J28" s="84" t="s">
        <v>456</v>
      </c>
      <c r="K28" s="84" t="s">
        <v>449</v>
      </c>
      <c r="L28" s="84" t="s">
        <v>457</v>
      </c>
      <c r="M28" s="90" t="str">
        <f t="shared" si="0"/>
        <v>View on Google Map</v>
      </c>
    </row>
    <row r="29" spans="1:13" x14ac:dyDescent="0.2">
      <c r="A29" s="84">
        <v>1188</v>
      </c>
      <c r="B29" s="5" t="s">
        <v>493</v>
      </c>
      <c r="C29" s="84" t="s">
        <v>484</v>
      </c>
      <c r="D29" s="84">
        <v>68.950779999999995</v>
      </c>
      <c r="E29" s="84">
        <v>-150.19788</v>
      </c>
      <c r="F29" s="84" t="s">
        <v>449</v>
      </c>
      <c r="G29" s="84" t="s">
        <v>450</v>
      </c>
      <c r="H29" s="84" t="s">
        <v>449</v>
      </c>
      <c r="I29" s="84" t="s">
        <v>449</v>
      </c>
      <c r="J29" s="84" t="s">
        <v>456</v>
      </c>
      <c r="K29" s="84" t="s">
        <v>449</v>
      </c>
      <c r="L29" s="84" t="s">
        <v>457</v>
      </c>
      <c r="M29" s="90" t="str">
        <f t="shared" si="0"/>
        <v>View on Google Map</v>
      </c>
    </row>
    <row r="30" spans="1:13" x14ac:dyDescent="0.2">
      <c r="A30" s="84">
        <v>1189</v>
      </c>
      <c r="B30" s="5" t="s">
        <v>494</v>
      </c>
      <c r="C30" s="84" t="s">
        <v>484</v>
      </c>
      <c r="D30" s="84">
        <v>68.954440000000005</v>
      </c>
      <c r="E30" s="84">
        <v>-150.20644999999999</v>
      </c>
      <c r="F30" s="84" t="s">
        <v>449</v>
      </c>
      <c r="G30" s="84" t="s">
        <v>450</v>
      </c>
      <c r="H30" s="84" t="s">
        <v>449</v>
      </c>
      <c r="I30" s="84" t="s">
        <v>449</v>
      </c>
      <c r="J30" s="84" t="s">
        <v>456</v>
      </c>
      <c r="K30" s="84" t="s">
        <v>449</v>
      </c>
      <c r="L30" s="84" t="s">
        <v>457</v>
      </c>
      <c r="M30" s="90" t="str">
        <f t="shared" si="0"/>
        <v>View on Google Map</v>
      </c>
    </row>
    <row r="31" spans="1:13" x14ac:dyDescent="0.2">
      <c r="A31" s="84">
        <v>1190</v>
      </c>
      <c r="B31" s="5" t="s">
        <v>495</v>
      </c>
      <c r="C31" s="84" t="s">
        <v>484</v>
      </c>
      <c r="D31" s="84">
        <v>69.116330000000005</v>
      </c>
      <c r="E31" s="84">
        <v>-150.79077000000001</v>
      </c>
      <c r="F31" s="84" t="s">
        <v>449</v>
      </c>
      <c r="G31" s="84" t="s">
        <v>450</v>
      </c>
      <c r="H31" s="84" t="s">
        <v>449</v>
      </c>
      <c r="I31" s="84" t="s">
        <v>449</v>
      </c>
      <c r="J31" s="84" t="s">
        <v>456</v>
      </c>
      <c r="K31" s="84" t="s">
        <v>449</v>
      </c>
      <c r="L31" s="84" t="s">
        <v>457</v>
      </c>
      <c r="M31" s="90" t="str">
        <f t="shared" si="0"/>
        <v>View on Google Map</v>
      </c>
    </row>
    <row r="32" spans="1:13" x14ac:dyDescent="0.2">
      <c r="A32" s="84">
        <v>1191</v>
      </c>
      <c r="B32" s="5" t="s">
        <v>496</v>
      </c>
      <c r="C32" s="84" t="s">
        <v>484</v>
      </c>
      <c r="D32" s="84">
        <v>69.116150000000005</v>
      </c>
      <c r="E32" s="84">
        <v>-150.79553999999999</v>
      </c>
      <c r="F32" s="84" t="s">
        <v>449</v>
      </c>
      <c r="G32" s="84" t="s">
        <v>450</v>
      </c>
      <c r="H32" s="84" t="s">
        <v>449</v>
      </c>
      <c r="I32" s="84" t="s">
        <v>449</v>
      </c>
      <c r="J32" s="84" t="s">
        <v>456</v>
      </c>
      <c r="K32" s="84" t="s">
        <v>449</v>
      </c>
      <c r="L32" s="84" t="s">
        <v>457</v>
      </c>
      <c r="M32" s="90" t="str">
        <f t="shared" si="0"/>
        <v>View on Google Map</v>
      </c>
    </row>
    <row r="33" spans="1:14" x14ac:dyDescent="0.2">
      <c r="A33" s="84">
        <v>3</v>
      </c>
      <c r="B33" s="84" t="s">
        <v>497</v>
      </c>
      <c r="C33" s="84" t="s">
        <v>498</v>
      </c>
      <c r="D33" s="84">
        <v>68.266666666666666</v>
      </c>
      <c r="E33" s="84">
        <v>-149.44999999999999</v>
      </c>
      <c r="F33" s="84">
        <v>914</v>
      </c>
      <c r="G33" s="84" t="s">
        <v>474</v>
      </c>
      <c r="H33" s="84" t="s">
        <v>449</v>
      </c>
      <c r="I33" s="84" t="s">
        <v>449</v>
      </c>
      <c r="J33" s="84" t="s">
        <v>475</v>
      </c>
      <c r="K33" s="84" t="s">
        <v>449</v>
      </c>
      <c r="L33" s="84" t="s">
        <v>476</v>
      </c>
      <c r="M33" s="90" t="str">
        <f t="shared" si="0"/>
        <v>View on Google Map</v>
      </c>
    </row>
    <row r="34" spans="1:14" x14ac:dyDescent="0.2">
      <c r="A34" s="84">
        <v>2</v>
      </c>
      <c r="B34" s="84" t="s">
        <v>499</v>
      </c>
      <c r="C34" s="84" t="s">
        <v>500</v>
      </c>
      <c r="D34" s="84">
        <v>68.266666666666666</v>
      </c>
      <c r="E34" s="84">
        <v>-149.46666666666667</v>
      </c>
      <c r="F34" s="84">
        <v>914</v>
      </c>
      <c r="G34" s="84" t="s">
        <v>474</v>
      </c>
      <c r="H34" s="84" t="s">
        <v>449</v>
      </c>
      <c r="I34" s="84" t="s">
        <v>449</v>
      </c>
      <c r="J34" s="84" t="s">
        <v>475</v>
      </c>
      <c r="K34" s="84" t="s">
        <v>449</v>
      </c>
      <c r="L34" s="84" t="s">
        <v>476</v>
      </c>
      <c r="M34" s="90" t="str">
        <f t="shared" si="0"/>
        <v>View on Google Map</v>
      </c>
    </row>
    <row r="35" spans="1:14" x14ac:dyDescent="0.2">
      <c r="A35" s="84">
        <v>25</v>
      </c>
      <c r="B35" s="84" t="s">
        <v>501</v>
      </c>
      <c r="C35" s="84" t="s">
        <v>449</v>
      </c>
      <c r="D35" s="84" t="s">
        <v>449</v>
      </c>
      <c r="E35" s="84" t="s">
        <v>449</v>
      </c>
      <c r="F35" s="84">
        <v>1097</v>
      </c>
      <c r="G35" s="84" t="s">
        <v>474</v>
      </c>
      <c r="H35" s="84" t="s">
        <v>502</v>
      </c>
      <c r="I35" s="84" t="s">
        <v>449</v>
      </c>
      <c r="J35" s="84" t="s">
        <v>475</v>
      </c>
      <c r="K35" s="84" t="s">
        <v>449</v>
      </c>
      <c r="L35" s="84" t="s">
        <v>449</v>
      </c>
      <c r="M35" s="90" t="str">
        <f t="shared" si="0"/>
        <v>View on Google Map</v>
      </c>
    </row>
    <row r="36" spans="1:14" x14ac:dyDescent="0.2">
      <c r="A36" s="84">
        <v>26</v>
      </c>
      <c r="B36" s="84" t="s">
        <v>503</v>
      </c>
      <c r="C36" s="84" t="s">
        <v>449</v>
      </c>
      <c r="D36" s="84" t="s">
        <v>449</v>
      </c>
      <c r="E36" s="84" t="s">
        <v>449</v>
      </c>
      <c r="F36" s="84">
        <v>1280</v>
      </c>
      <c r="G36" s="84" t="s">
        <v>474</v>
      </c>
      <c r="H36" s="84" t="s">
        <v>504</v>
      </c>
      <c r="I36" s="84" t="s">
        <v>449</v>
      </c>
      <c r="J36" s="84" t="s">
        <v>475</v>
      </c>
      <c r="K36" s="84" t="s">
        <v>449</v>
      </c>
      <c r="L36" s="84" t="s">
        <v>449</v>
      </c>
      <c r="M36" s="90" t="str">
        <f t="shared" si="0"/>
        <v>View on Google Map</v>
      </c>
    </row>
    <row r="37" spans="1:14" x14ac:dyDescent="0.2">
      <c r="A37" s="84">
        <v>27</v>
      </c>
      <c r="B37" s="84" t="s">
        <v>505</v>
      </c>
      <c r="C37" s="84" t="s">
        <v>449</v>
      </c>
      <c r="D37" s="84" t="s">
        <v>449</v>
      </c>
      <c r="E37" s="84" t="s">
        <v>449</v>
      </c>
      <c r="F37" s="84">
        <v>1555</v>
      </c>
      <c r="G37" s="84" t="s">
        <v>474</v>
      </c>
      <c r="H37" s="84" t="s">
        <v>506</v>
      </c>
      <c r="I37" s="84" t="s">
        <v>449</v>
      </c>
      <c r="J37" s="84" t="s">
        <v>475</v>
      </c>
      <c r="K37" s="84" t="s">
        <v>449</v>
      </c>
      <c r="L37" s="84" t="s">
        <v>449</v>
      </c>
      <c r="M37" s="90" t="str">
        <f t="shared" si="0"/>
        <v>View on Google Map</v>
      </c>
    </row>
    <row r="38" spans="1:14" ht="12.75" customHeight="1" x14ac:dyDescent="0.2">
      <c r="A38" s="84">
        <v>138</v>
      </c>
      <c r="B38" s="84" t="s">
        <v>507</v>
      </c>
      <c r="C38" s="84" t="s">
        <v>449</v>
      </c>
      <c r="D38" s="84">
        <v>70.283333333333331</v>
      </c>
      <c r="E38" s="84">
        <v>-148.30000000000001</v>
      </c>
      <c r="F38" s="84">
        <v>6</v>
      </c>
      <c r="G38" s="84" t="s">
        <v>460</v>
      </c>
      <c r="H38" s="84" t="s">
        <v>508</v>
      </c>
      <c r="I38" s="84" t="s">
        <v>449</v>
      </c>
      <c r="J38" s="84" t="s">
        <v>475</v>
      </c>
      <c r="K38" s="84" t="s">
        <v>449</v>
      </c>
      <c r="L38" s="84" t="s">
        <v>476</v>
      </c>
      <c r="M38" s="90" t="str">
        <f t="shared" si="0"/>
        <v>View on Google Map</v>
      </c>
    </row>
    <row r="39" spans="1:14" ht="12.75" customHeight="1" x14ac:dyDescent="0.2">
      <c r="A39" s="84">
        <v>31</v>
      </c>
      <c r="B39" s="84" t="s">
        <v>509</v>
      </c>
      <c r="C39" s="84" t="s">
        <v>449</v>
      </c>
      <c r="D39" s="84">
        <v>68.957566666999995</v>
      </c>
      <c r="E39" s="84">
        <v>-150.236266667</v>
      </c>
      <c r="F39" s="84">
        <v>386.18</v>
      </c>
      <c r="G39" s="84" t="s">
        <v>474</v>
      </c>
      <c r="H39" s="84" t="s">
        <v>449</v>
      </c>
      <c r="I39" s="84" t="s">
        <v>449</v>
      </c>
      <c r="J39" s="84" t="s">
        <v>510</v>
      </c>
      <c r="K39" s="84" t="s">
        <v>449</v>
      </c>
      <c r="L39" s="84" t="s">
        <v>457</v>
      </c>
      <c r="M39" s="90" t="str">
        <f t="shared" si="0"/>
        <v>View on Google Map</v>
      </c>
    </row>
    <row r="40" spans="1:14" ht="12.75" customHeight="1" x14ac:dyDescent="0.2">
      <c r="A40" s="84">
        <v>131</v>
      </c>
      <c r="B40" s="84" t="s">
        <v>511</v>
      </c>
      <c r="C40" s="84" t="s">
        <v>449</v>
      </c>
      <c r="D40" s="84">
        <v>70.333333333333329</v>
      </c>
      <c r="E40" s="84">
        <v>-148.93333333333334</v>
      </c>
      <c r="F40" s="84">
        <v>3</v>
      </c>
      <c r="G40" s="84" t="s">
        <v>460</v>
      </c>
      <c r="H40" s="84" t="s">
        <v>512</v>
      </c>
      <c r="I40" s="84" t="s">
        <v>449</v>
      </c>
      <c r="J40" s="84" t="s">
        <v>475</v>
      </c>
      <c r="K40" s="84" t="s">
        <v>449</v>
      </c>
      <c r="L40" s="84" t="s">
        <v>476</v>
      </c>
      <c r="M40" s="90" t="str">
        <f t="shared" si="0"/>
        <v>View on Google Map</v>
      </c>
    </row>
    <row r="41" spans="1:14" s="91" customFormat="1" ht="12.75" customHeight="1" x14ac:dyDescent="0.2">
      <c r="A41" s="84">
        <v>132</v>
      </c>
      <c r="B41" s="84" t="s">
        <v>513</v>
      </c>
      <c r="C41" s="84" t="s">
        <v>449</v>
      </c>
      <c r="D41" s="84">
        <v>70.333333333333329</v>
      </c>
      <c r="E41" s="84">
        <v>-148.93333333333334</v>
      </c>
      <c r="F41" s="84">
        <v>3</v>
      </c>
      <c r="G41" s="84" t="s">
        <v>460</v>
      </c>
      <c r="H41" s="84" t="s">
        <v>514</v>
      </c>
      <c r="I41" s="84" t="s">
        <v>449</v>
      </c>
      <c r="J41" s="84" t="s">
        <v>475</v>
      </c>
      <c r="K41" s="84" t="s">
        <v>449</v>
      </c>
      <c r="L41" s="84" t="s">
        <v>476</v>
      </c>
      <c r="M41" s="90" t="str">
        <f t="shared" si="0"/>
        <v>View on Google Map</v>
      </c>
      <c r="N41" s="84"/>
    </row>
    <row r="42" spans="1:14" ht="12.75" customHeight="1" x14ac:dyDescent="0.2">
      <c r="A42" s="84">
        <v>141</v>
      </c>
      <c r="B42" s="84" t="s">
        <v>515</v>
      </c>
      <c r="C42" s="84" t="s">
        <v>516</v>
      </c>
      <c r="D42" s="84">
        <v>68.63333333333334</v>
      </c>
      <c r="E42" s="84">
        <v>-149.6</v>
      </c>
      <c r="F42" s="84">
        <v>720</v>
      </c>
      <c r="G42" s="84" t="s">
        <v>460</v>
      </c>
      <c r="H42" s="84" t="s">
        <v>517</v>
      </c>
      <c r="I42" s="84" t="s">
        <v>518</v>
      </c>
      <c r="J42" s="84" t="s">
        <v>475</v>
      </c>
      <c r="K42" s="84" t="s">
        <v>449</v>
      </c>
      <c r="L42" s="84" t="s">
        <v>476</v>
      </c>
      <c r="M42" s="90" t="str">
        <f t="shared" si="0"/>
        <v>View on Google Map</v>
      </c>
    </row>
    <row r="43" spans="1:14" ht="12.75" customHeight="1" x14ac:dyDescent="0.2">
      <c r="A43" s="84">
        <v>160</v>
      </c>
      <c r="B43" s="84" t="s">
        <v>519</v>
      </c>
      <c r="C43" s="84" t="s">
        <v>449</v>
      </c>
      <c r="D43" s="84">
        <v>68.599999999999994</v>
      </c>
      <c r="E43" s="84">
        <v>-149.18333333333334</v>
      </c>
      <c r="F43" s="84">
        <v>864</v>
      </c>
      <c r="G43" s="84" t="s">
        <v>460</v>
      </c>
      <c r="H43" s="84" t="s">
        <v>520</v>
      </c>
      <c r="I43" s="84" t="s">
        <v>521</v>
      </c>
      <c r="J43" s="84" t="s">
        <v>475</v>
      </c>
      <c r="K43" s="84">
        <v>246</v>
      </c>
      <c r="L43" s="84" t="s">
        <v>476</v>
      </c>
      <c r="M43" s="90" t="str">
        <f t="shared" si="0"/>
        <v>View on Google Map</v>
      </c>
    </row>
    <row r="44" spans="1:14" ht="12.75" customHeight="1" x14ac:dyDescent="0.2">
      <c r="A44" s="84">
        <v>481</v>
      </c>
      <c r="B44" s="84" t="s">
        <v>522</v>
      </c>
      <c r="C44" s="84" t="s">
        <v>449</v>
      </c>
      <c r="D44" s="84">
        <v>68.976716667000005</v>
      </c>
      <c r="E44" s="84">
        <v>-150.20383333300001</v>
      </c>
      <c r="F44" s="84">
        <v>362</v>
      </c>
      <c r="G44" s="84" t="s">
        <v>460</v>
      </c>
      <c r="H44" s="84" t="s">
        <v>449</v>
      </c>
      <c r="I44" s="84" t="s">
        <v>449</v>
      </c>
      <c r="J44" s="84" t="s">
        <v>510</v>
      </c>
      <c r="K44" s="84" t="s">
        <v>449</v>
      </c>
      <c r="L44" s="84" t="s">
        <v>457</v>
      </c>
      <c r="M44" s="90" t="str">
        <f t="shared" si="0"/>
        <v>View on Google Map</v>
      </c>
    </row>
    <row r="45" spans="1:14" x14ac:dyDescent="0.2">
      <c r="A45" s="84">
        <v>21</v>
      </c>
      <c r="B45" s="84" t="s">
        <v>523</v>
      </c>
      <c r="C45" s="84" t="s">
        <v>449</v>
      </c>
      <c r="D45" s="84" t="s">
        <v>449</v>
      </c>
      <c r="E45" s="84" t="s">
        <v>449</v>
      </c>
      <c r="F45" s="84" t="s">
        <v>449</v>
      </c>
      <c r="G45" s="84" t="s">
        <v>474</v>
      </c>
      <c r="H45" s="84" t="s">
        <v>449</v>
      </c>
      <c r="I45" s="84" t="s">
        <v>449</v>
      </c>
      <c r="J45" s="84" t="s">
        <v>475</v>
      </c>
      <c r="K45" s="84" t="s">
        <v>449</v>
      </c>
      <c r="L45" s="84" t="s">
        <v>449</v>
      </c>
      <c r="M45" s="90" t="str">
        <f t="shared" si="0"/>
        <v>View on Google Map</v>
      </c>
      <c r="N45" s="91"/>
    </row>
    <row r="46" spans="1:14" x14ac:dyDescent="0.2">
      <c r="A46" s="84">
        <v>470</v>
      </c>
      <c r="B46" s="84" t="s">
        <v>524</v>
      </c>
      <c r="C46" s="84" t="s">
        <v>449</v>
      </c>
      <c r="D46" s="84">
        <v>68.829459999999997</v>
      </c>
      <c r="E46" s="84">
        <v>-149.77891</v>
      </c>
      <c r="F46" s="84">
        <v>634</v>
      </c>
      <c r="G46" s="84" t="s">
        <v>460</v>
      </c>
      <c r="H46" s="84" t="s">
        <v>449</v>
      </c>
      <c r="I46" s="84" t="s">
        <v>449</v>
      </c>
      <c r="J46" s="84" t="s">
        <v>461</v>
      </c>
      <c r="K46" s="84" t="s">
        <v>449</v>
      </c>
      <c r="L46" s="84" t="s">
        <v>449</v>
      </c>
      <c r="M46" s="90" t="str">
        <f t="shared" si="0"/>
        <v>View on Google Map</v>
      </c>
    </row>
    <row r="47" spans="1:14" x14ac:dyDescent="0.2">
      <c r="A47" s="84">
        <v>471</v>
      </c>
      <c r="B47" s="84" t="s">
        <v>525</v>
      </c>
      <c r="C47" s="84" t="s">
        <v>449</v>
      </c>
      <c r="D47" s="84">
        <v>68.832939999999994</v>
      </c>
      <c r="E47" s="84">
        <v>-149.76775000000001</v>
      </c>
      <c r="F47" s="84">
        <v>624</v>
      </c>
      <c r="G47" s="84" t="s">
        <v>460</v>
      </c>
      <c r="H47" s="84" t="s">
        <v>449</v>
      </c>
      <c r="I47" s="84" t="s">
        <v>449</v>
      </c>
      <c r="J47" s="84" t="s">
        <v>461</v>
      </c>
      <c r="K47" s="84" t="s">
        <v>449</v>
      </c>
      <c r="L47" s="84" t="s">
        <v>449</v>
      </c>
      <c r="M47" s="90" t="str">
        <f t="shared" si="0"/>
        <v>View on Google Map</v>
      </c>
    </row>
    <row r="48" spans="1:14" x14ac:dyDescent="0.2">
      <c r="A48" s="84">
        <v>472</v>
      </c>
      <c r="B48" s="84" t="s">
        <v>526</v>
      </c>
      <c r="C48" s="84" t="s">
        <v>449</v>
      </c>
      <c r="D48" s="84">
        <v>68.828059999999994</v>
      </c>
      <c r="E48" s="84">
        <v>-149.76449</v>
      </c>
      <c r="F48" s="84">
        <v>624</v>
      </c>
      <c r="G48" s="84" t="s">
        <v>460</v>
      </c>
      <c r="H48" s="84" t="s">
        <v>449</v>
      </c>
      <c r="I48" s="84" t="s">
        <v>449</v>
      </c>
      <c r="J48" s="84" t="s">
        <v>461</v>
      </c>
      <c r="K48" s="84" t="s">
        <v>449</v>
      </c>
      <c r="L48" s="84" t="s">
        <v>449</v>
      </c>
      <c r="M48" s="90" t="str">
        <f t="shared" si="0"/>
        <v>View on Google Map</v>
      </c>
    </row>
    <row r="49" spans="1:13" x14ac:dyDescent="0.2">
      <c r="A49" s="84">
        <v>473</v>
      </c>
      <c r="B49" s="84" t="s">
        <v>527</v>
      </c>
      <c r="C49" s="84" t="s">
        <v>449</v>
      </c>
      <c r="D49" s="84">
        <v>68.826400000000007</v>
      </c>
      <c r="E49" s="84">
        <v>-149.7585</v>
      </c>
      <c r="F49" s="84">
        <v>592</v>
      </c>
      <c r="G49" s="84" t="s">
        <v>460</v>
      </c>
      <c r="H49" s="84" t="s">
        <v>449</v>
      </c>
      <c r="I49" s="84" t="s">
        <v>449</v>
      </c>
      <c r="J49" s="84" t="s">
        <v>461</v>
      </c>
      <c r="K49" s="84" t="s">
        <v>449</v>
      </c>
      <c r="L49" s="84" t="s">
        <v>449</v>
      </c>
      <c r="M49" s="90" t="str">
        <f t="shared" si="0"/>
        <v>View on Google Map</v>
      </c>
    </row>
    <row r="50" spans="1:13" x14ac:dyDescent="0.2">
      <c r="A50" s="84">
        <v>474</v>
      </c>
      <c r="B50" s="84" t="s">
        <v>528</v>
      </c>
      <c r="C50" s="84" t="s">
        <v>449</v>
      </c>
      <c r="D50" s="84">
        <v>68.827349999999996</v>
      </c>
      <c r="E50" s="84">
        <v>-149.74993000000001</v>
      </c>
      <c r="F50" s="84">
        <v>592</v>
      </c>
      <c r="G50" s="84" t="s">
        <v>460</v>
      </c>
      <c r="H50" s="84" t="s">
        <v>449</v>
      </c>
      <c r="I50" s="84" t="s">
        <v>449</v>
      </c>
      <c r="J50" s="84" t="s">
        <v>461</v>
      </c>
      <c r="K50" s="84" t="s">
        <v>449</v>
      </c>
      <c r="L50" s="84" t="s">
        <v>449</v>
      </c>
      <c r="M50" s="90" t="str">
        <f t="shared" si="0"/>
        <v>View on Google Map</v>
      </c>
    </row>
    <row r="51" spans="1:13" x14ac:dyDescent="0.2">
      <c r="A51" s="84">
        <v>475</v>
      </c>
      <c r="B51" s="84" t="s">
        <v>529</v>
      </c>
      <c r="C51" s="84" t="s">
        <v>449</v>
      </c>
      <c r="D51" s="84">
        <v>68.831180000000003</v>
      </c>
      <c r="E51" s="84">
        <v>-149.74606</v>
      </c>
      <c r="F51" s="84">
        <v>593</v>
      </c>
      <c r="G51" s="84" t="s">
        <v>460</v>
      </c>
      <c r="H51" s="84" t="s">
        <v>530</v>
      </c>
      <c r="I51" s="84" t="s">
        <v>449</v>
      </c>
      <c r="J51" s="84" t="s">
        <v>461</v>
      </c>
      <c r="K51" s="84" t="s">
        <v>449</v>
      </c>
      <c r="L51" s="84" t="s">
        <v>449</v>
      </c>
      <c r="M51" s="90" t="str">
        <f t="shared" si="0"/>
        <v>View on Google Map</v>
      </c>
    </row>
    <row r="52" spans="1:13" x14ac:dyDescent="0.2">
      <c r="A52" s="84">
        <v>476</v>
      </c>
      <c r="B52" s="84" t="s">
        <v>531</v>
      </c>
      <c r="C52" s="84" t="s">
        <v>449</v>
      </c>
      <c r="D52" s="84">
        <v>68.825339999999997</v>
      </c>
      <c r="E52" s="84">
        <v>-149.76837</v>
      </c>
      <c r="F52" s="84">
        <v>621</v>
      </c>
      <c r="G52" s="84" t="s">
        <v>460</v>
      </c>
      <c r="H52" s="84" t="s">
        <v>449</v>
      </c>
      <c r="I52" s="84" t="s">
        <v>449</v>
      </c>
      <c r="J52" s="84" t="s">
        <v>461</v>
      </c>
      <c r="K52" s="84" t="s">
        <v>449</v>
      </c>
      <c r="L52" s="84" t="s">
        <v>449</v>
      </c>
      <c r="M52" s="90" t="str">
        <f t="shared" si="0"/>
        <v>View on Google Map</v>
      </c>
    </row>
    <row r="53" spans="1:13" x14ac:dyDescent="0.2">
      <c r="A53" s="84">
        <v>477</v>
      </c>
      <c r="B53" s="84" t="s">
        <v>532</v>
      </c>
      <c r="C53" s="84" t="s">
        <v>449</v>
      </c>
      <c r="D53" s="84">
        <v>68.821740000000005</v>
      </c>
      <c r="E53" s="84">
        <v>-149.76378</v>
      </c>
      <c r="F53" s="84">
        <v>605</v>
      </c>
      <c r="G53" s="84" t="s">
        <v>460</v>
      </c>
      <c r="H53" s="84" t="s">
        <v>449</v>
      </c>
      <c r="I53" s="84" t="s">
        <v>449</v>
      </c>
      <c r="J53" s="84" t="s">
        <v>461</v>
      </c>
      <c r="K53" s="84" t="s">
        <v>449</v>
      </c>
      <c r="L53" s="84" t="s">
        <v>449</v>
      </c>
      <c r="M53" s="90" t="str">
        <f t="shared" si="0"/>
        <v>View on Google Map</v>
      </c>
    </row>
    <row r="54" spans="1:13" x14ac:dyDescent="0.2">
      <c r="A54" s="84">
        <v>1174</v>
      </c>
      <c r="B54" s="84" t="s">
        <v>533</v>
      </c>
      <c r="C54" s="84" t="s">
        <v>449</v>
      </c>
      <c r="D54" s="84">
        <v>68.933938330000004</v>
      </c>
      <c r="E54" s="84">
        <v>-150.27111830000001</v>
      </c>
      <c r="F54" s="84" t="s">
        <v>449</v>
      </c>
      <c r="G54" s="84" t="s">
        <v>450</v>
      </c>
      <c r="H54" s="84" t="s">
        <v>449</v>
      </c>
      <c r="I54" s="84" t="s">
        <v>449</v>
      </c>
      <c r="J54" s="84" t="s">
        <v>456</v>
      </c>
      <c r="K54" s="84" t="s">
        <v>449</v>
      </c>
      <c r="L54" s="84" t="s">
        <v>457</v>
      </c>
      <c r="M54" s="90" t="str">
        <f t="shared" si="0"/>
        <v>View on Google Map</v>
      </c>
    </row>
    <row r="55" spans="1:13" x14ac:dyDescent="0.2">
      <c r="A55" s="84">
        <v>242</v>
      </c>
      <c r="B55" s="84" t="s">
        <v>534</v>
      </c>
      <c r="C55" s="84" t="s">
        <v>449</v>
      </c>
      <c r="D55" s="84" t="s">
        <v>449</v>
      </c>
      <c r="E55" s="84" t="s">
        <v>449</v>
      </c>
      <c r="F55" s="84">
        <v>390.2439024390244</v>
      </c>
      <c r="G55" s="84" t="s">
        <v>460</v>
      </c>
      <c r="H55" s="84" t="s">
        <v>449</v>
      </c>
      <c r="I55" s="84" t="s">
        <v>449</v>
      </c>
      <c r="J55" s="84" t="s">
        <v>475</v>
      </c>
      <c r="K55" s="84" t="s">
        <v>449</v>
      </c>
      <c r="L55" s="84" t="s">
        <v>535</v>
      </c>
      <c r="M55" s="90" t="str">
        <f t="shared" si="0"/>
        <v>View on Google Map</v>
      </c>
    </row>
    <row r="56" spans="1:13" x14ac:dyDescent="0.2">
      <c r="A56" s="84">
        <v>192</v>
      </c>
      <c r="B56" s="84" t="s">
        <v>536</v>
      </c>
      <c r="C56" s="84" t="s">
        <v>449</v>
      </c>
      <c r="D56" s="84">
        <v>69.233333333333334</v>
      </c>
      <c r="E56" s="84">
        <v>-148.94999999999999</v>
      </c>
      <c r="F56" s="84">
        <v>325</v>
      </c>
      <c r="G56" s="84" t="s">
        <v>460</v>
      </c>
      <c r="H56" s="84" t="s">
        <v>537</v>
      </c>
      <c r="I56" s="84" t="s">
        <v>449</v>
      </c>
      <c r="J56" s="84" t="s">
        <v>475</v>
      </c>
      <c r="K56" s="84" t="s">
        <v>449</v>
      </c>
      <c r="L56" s="84" t="s">
        <v>538</v>
      </c>
      <c r="M56" s="90" t="str">
        <f t="shared" si="0"/>
        <v>View on Google Map</v>
      </c>
    </row>
    <row r="57" spans="1:13" x14ac:dyDescent="0.2">
      <c r="A57" s="84">
        <v>277</v>
      </c>
      <c r="B57" s="84" t="s">
        <v>536</v>
      </c>
      <c r="C57" s="84" t="s">
        <v>449</v>
      </c>
      <c r="D57" s="84">
        <v>70.374600000000001</v>
      </c>
      <c r="E57" s="84">
        <v>-149.06383333333332</v>
      </c>
      <c r="F57" s="84">
        <v>6</v>
      </c>
      <c r="G57" s="84" t="s">
        <v>460</v>
      </c>
      <c r="H57" s="84" t="s">
        <v>539</v>
      </c>
      <c r="I57" s="84" t="s">
        <v>449</v>
      </c>
      <c r="J57" s="84" t="s">
        <v>475</v>
      </c>
      <c r="K57" s="84" t="s">
        <v>449</v>
      </c>
      <c r="L57" s="84" t="s">
        <v>540</v>
      </c>
      <c r="M57" s="90" t="str">
        <f t="shared" si="0"/>
        <v>View on Google Map</v>
      </c>
    </row>
    <row r="58" spans="1:13" x14ac:dyDescent="0.2">
      <c r="A58" s="84">
        <v>193</v>
      </c>
      <c r="B58" s="84" t="s">
        <v>541</v>
      </c>
      <c r="C58" s="84" t="s">
        <v>449</v>
      </c>
      <c r="D58" s="84">
        <v>69.283333333333331</v>
      </c>
      <c r="E58" s="84">
        <v>-148.9</v>
      </c>
      <c r="F58" s="84">
        <v>346</v>
      </c>
      <c r="G58" s="84" t="s">
        <v>460</v>
      </c>
      <c r="H58" s="84" t="s">
        <v>542</v>
      </c>
      <c r="I58" s="84" t="s">
        <v>449</v>
      </c>
      <c r="J58" s="84" t="s">
        <v>475</v>
      </c>
      <c r="K58" s="84" t="s">
        <v>449</v>
      </c>
      <c r="L58" s="84" t="s">
        <v>538</v>
      </c>
      <c r="M58" s="90" t="str">
        <f t="shared" si="0"/>
        <v>View on Google Map</v>
      </c>
    </row>
    <row r="59" spans="1:13" x14ac:dyDescent="0.2">
      <c r="A59" s="84">
        <v>278</v>
      </c>
      <c r="B59" s="84" t="s">
        <v>541</v>
      </c>
      <c r="C59" s="84" t="s">
        <v>449</v>
      </c>
      <c r="D59" s="84">
        <v>70.374600000000001</v>
      </c>
      <c r="E59" s="84">
        <v>-149.06383333333332</v>
      </c>
      <c r="F59" s="84">
        <v>6</v>
      </c>
      <c r="G59" s="84" t="s">
        <v>460</v>
      </c>
      <c r="H59" s="84" t="s">
        <v>543</v>
      </c>
      <c r="I59" s="84" t="s">
        <v>449</v>
      </c>
      <c r="J59" s="84" t="s">
        <v>475</v>
      </c>
      <c r="K59" s="84" t="s">
        <v>449</v>
      </c>
      <c r="L59" s="84" t="s">
        <v>540</v>
      </c>
      <c r="M59" s="90" t="str">
        <f t="shared" si="0"/>
        <v>View on Google Map</v>
      </c>
    </row>
    <row r="60" spans="1:13" x14ac:dyDescent="0.2">
      <c r="A60" s="84">
        <v>194</v>
      </c>
      <c r="B60" s="84" t="s">
        <v>544</v>
      </c>
      <c r="C60" s="84" t="s">
        <v>449</v>
      </c>
      <c r="D60" s="84">
        <v>69.716666666666669</v>
      </c>
      <c r="E60" s="84">
        <v>-149.44999999999999</v>
      </c>
      <c r="F60" s="84">
        <v>91</v>
      </c>
      <c r="G60" s="84" t="s">
        <v>460</v>
      </c>
      <c r="H60" s="84" t="s">
        <v>545</v>
      </c>
      <c r="I60" s="84" t="s">
        <v>449</v>
      </c>
      <c r="J60" s="84" t="s">
        <v>475</v>
      </c>
      <c r="K60" s="84" t="s">
        <v>449</v>
      </c>
      <c r="L60" s="84" t="s">
        <v>538</v>
      </c>
      <c r="M60" s="90" t="str">
        <f t="shared" si="0"/>
        <v>View on Google Map</v>
      </c>
    </row>
    <row r="61" spans="1:13" x14ac:dyDescent="0.2">
      <c r="A61" s="84">
        <v>279</v>
      </c>
      <c r="B61" s="84" t="s">
        <v>544</v>
      </c>
      <c r="C61" s="84" t="s">
        <v>449</v>
      </c>
      <c r="D61" s="84">
        <v>70.367750000000001</v>
      </c>
      <c r="E61" s="84">
        <v>-148.8357</v>
      </c>
      <c r="F61" s="84">
        <v>6</v>
      </c>
      <c r="G61" s="84" t="s">
        <v>460</v>
      </c>
      <c r="H61" s="84" t="s">
        <v>546</v>
      </c>
      <c r="I61" s="84" t="s">
        <v>449</v>
      </c>
      <c r="J61" s="84" t="s">
        <v>475</v>
      </c>
      <c r="K61" s="84" t="s">
        <v>449</v>
      </c>
      <c r="L61" s="84" t="s">
        <v>540</v>
      </c>
      <c r="M61" s="90" t="str">
        <f t="shared" si="0"/>
        <v>View on Google Map</v>
      </c>
    </row>
    <row r="62" spans="1:13" x14ac:dyDescent="0.2">
      <c r="A62" s="84">
        <v>195</v>
      </c>
      <c r="B62" s="84" t="s">
        <v>547</v>
      </c>
      <c r="C62" s="84" t="s">
        <v>449</v>
      </c>
      <c r="D62" s="84">
        <v>69.716666666666669</v>
      </c>
      <c r="E62" s="84">
        <v>-149.44999999999999</v>
      </c>
      <c r="F62" s="84">
        <v>91</v>
      </c>
      <c r="G62" s="84" t="s">
        <v>460</v>
      </c>
      <c r="H62" s="84" t="s">
        <v>548</v>
      </c>
      <c r="I62" s="84" t="s">
        <v>449</v>
      </c>
      <c r="J62" s="84" t="s">
        <v>475</v>
      </c>
      <c r="K62" s="84" t="s">
        <v>449</v>
      </c>
      <c r="L62" s="84" t="s">
        <v>538</v>
      </c>
      <c r="M62" s="90" t="str">
        <f t="shared" si="0"/>
        <v>View on Google Map</v>
      </c>
    </row>
    <row r="63" spans="1:13" x14ac:dyDescent="0.2">
      <c r="A63" s="84">
        <v>280</v>
      </c>
      <c r="B63" s="84" t="s">
        <v>547</v>
      </c>
      <c r="C63" s="84" t="s">
        <v>449</v>
      </c>
      <c r="D63" s="84">
        <v>70.367750000000001</v>
      </c>
      <c r="E63" s="84">
        <v>-148.8357</v>
      </c>
      <c r="F63" s="84">
        <v>6</v>
      </c>
      <c r="G63" s="84" t="s">
        <v>460</v>
      </c>
      <c r="H63" s="84" t="s">
        <v>549</v>
      </c>
      <c r="I63" s="84" t="s">
        <v>449</v>
      </c>
      <c r="J63" s="84" t="s">
        <v>475</v>
      </c>
      <c r="K63" s="84" t="s">
        <v>449</v>
      </c>
      <c r="L63" s="84" t="s">
        <v>540</v>
      </c>
      <c r="M63" s="90" t="str">
        <f t="shared" si="0"/>
        <v>View on Google Map</v>
      </c>
    </row>
    <row r="64" spans="1:13" x14ac:dyDescent="0.2">
      <c r="A64" s="84">
        <v>196</v>
      </c>
      <c r="B64" s="84" t="s">
        <v>550</v>
      </c>
      <c r="C64" s="84" t="s">
        <v>449</v>
      </c>
      <c r="D64" s="84">
        <v>69.833333333333329</v>
      </c>
      <c r="E64" s="84">
        <v>-149.75</v>
      </c>
      <c r="F64" s="84">
        <v>80</v>
      </c>
      <c r="G64" s="84" t="s">
        <v>460</v>
      </c>
      <c r="H64" s="84" t="s">
        <v>551</v>
      </c>
      <c r="I64" s="84" t="s">
        <v>449</v>
      </c>
      <c r="J64" s="84" t="s">
        <v>475</v>
      </c>
      <c r="K64" s="84" t="s">
        <v>449</v>
      </c>
      <c r="L64" s="84" t="s">
        <v>538</v>
      </c>
      <c r="M64" s="90" t="str">
        <f t="shared" si="0"/>
        <v>View on Google Map</v>
      </c>
    </row>
    <row r="65" spans="1:13" x14ac:dyDescent="0.2">
      <c r="A65" s="84">
        <v>281</v>
      </c>
      <c r="B65" s="84" t="s">
        <v>550</v>
      </c>
      <c r="C65" s="84" t="s">
        <v>449</v>
      </c>
      <c r="D65" s="84">
        <v>70.26821666666666</v>
      </c>
      <c r="E65" s="84">
        <v>-149.20859999999999</v>
      </c>
      <c r="F65" s="84">
        <v>15</v>
      </c>
      <c r="G65" s="84" t="s">
        <v>460</v>
      </c>
      <c r="H65" s="84" t="s">
        <v>552</v>
      </c>
      <c r="I65" s="84" t="s">
        <v>449</v>
      </c>
      <c r="J65" s="84" t="s">
        <v>475</v>
      </c>
      <c r="K65" s="84" t="s">
        <v>449</v>
      </c>
      <c r="L65" s="84" t="s">
        <v>540</v>
      </c>
      <c r="M65" s="90" t="str">
        <f t="shared" si="0"/>
        <v>View on Google Map</v>
      </c>
    </row>
    <row r="66" spans="1:13" x14ac:dyDescent="0.2">
      <c r="A66" s="84">
        <v>197</v>
      </c>
      <c r="B66" s="84" t="s">
        <v>553</v>
      </c>
      <c r="C66" s="84" t="s">
        <v>449</v>
      </c>
      <c r="D66" s="84">
        <v>70.283333333333331</v>
      </c>
      <c r="E66" s="84">
        <v>-150.19999999999999</v>
      </c>
      <c r="F66" s="84">
        <v>12</v>
      </c>
      <c r="G66" s="84" t="s">
        <v>460</v>
      </c>
      <c r="H66" s="84" t="s">
        <v>554</v>
      </c>
      <c r="I66" s="84" t="s">
        <v>449</v>
      </c>
      <c r="J66" s="84" t="s">
        <v>475</v>
      </c>
      <c r="K66" s="84" t="s">
        <v>449</v>
      </c>
      <c r="L66" s="84" t="s">
        <v>538</v>
      </c>
      <c r="M66" s="90" t="str">
        <f t="shared" si="0"/>
        <v>View on Google Map</v>
      </c>
    </row>
    <row r="67" spans="1:13" x14ac:dyDescent="0.2">
      <c r="A67" s="84">
        <v>282</v>
      </c>
      <c r="B67" s="84" t="s">
        <v>553</v>
      </c>
      <c r="C67" s="84" t="s">
        <v>449</v>
      </c>
      <c r="D67" s="84">
        <v>70.26821666666666</v>
      </c>
      <c r="E67" s="84">
        <v>-149.20859999999999</v>
      </c>
      <c r="F67" s="84">
        <v>15</v>
      </c>
      <c r="G67" s="84" t="s">
        <v>460</v>
      </c>
      <c r="H67" s="84" t="s">
        <v>555</v>
      </c>
      <c r="I67" s="84" t="s">
        <v>449</v>
      </c>
      <c r="J67" s="84" t="s">
        <v>475</v>
      </c>
      <c r="K67" s="84" t="s">
        <v>449</v>
      </c>
      <c r="L67" s="84" t="s">
        <v>540</v>
      </c>
      <c r="M67" s="90" t="str">
        <f t="shared" ref="M67:M130" si="1">HYPERLINK("http://maps.google.com/maps?q="&amp;D67&amp;","&amp;E67,"View on Google Map")</f>
        <v>View on Google Map</v>
      </c>
    </row>
    <row r="68" spans="1:13" x14ac:dyDescent="0.2">
      <c r="A68" s="84">
        <v>198</v>
      </c>
      <c r="B68" s="84" t="s">
        <v>556</v>
      </c>
      <c r="C68" s="84" t="s">
        <v>449</v>
      </c>
      <c r="D68" s="84">
        <v>70.283333333333331</v>
      </c>
      <c r="E68" s="84">
        <v>-150.19999999999999</v>
      </c>
      <c r="F68" s="84">
        <v>12</v>
      </c>
      <c r="G68" s="84" t="s">
        <v>460</v>
      </c>
      <c r="H68" s="84" t="s">
        <v>557</v>
      </c>
      <c r="I68" s="84" t="s">
        <v>449</v>
      </c>
      <c r="J68" s="84" t="s">
        <v>475</v>
      </c>
      <c r="K68" s="84" t="s">
        <v>449</v>
      </c>
      <c r="L68" s="84" t="s">
        <v>538</v>
      </c>
      <c r="M68" s="90" t="str">
        <f t="shared" si="1"/>
        <v>View on Google Map</v>
      </c>
    </row>
    <row r="69" spans="1:13" x14ac:dyDescent="0.2">
      <c r="A69" s="84">
        <v>283</v>
      </c>
      <c r="B69" s="84" t="s">
        <v>556</v>
      </c>
      <c r="C69" s="84" t="s">
        <v>449</v>
      </c>
      <c r="D69" s="84">
        <v>70.184266666666673</v>
      </c>
      <c r="E69" s="84">
        <v>-149.15443333333334</v>
      </c>
      <c r="F69" s="84">
        <v>15</v>
      </c>
      <c r="G69" s="84" t="s">
        <v>460</v>
      </c>
      <c r="H69" s="84" t="s">
        <v>558</v>
      </c>
      <c r="I69" s="84" t="s">
        <v>449</v>
      </c>
      <c r="J69" s="84" t="s">
        <v>475</v>
      </c>
      <c r="K69" s="84" t="s">
        <v>449</v>
      </c>
      <c r="L69" s="84" t="s">
        <v>540</v>
      </c>
      <c r="M69" s="90" t="str">
        <f t="shared" si="1"/>
        <v>View on Google Map</v>
      </c>
    </row>
    <row r="70" spans="1:13" x14ac:dyDescent="0.2">
      <c r="A70" s="84">
        <v>199</v>
      </c>
      <c r="B70" s="84" t="s">
        <v>559</v>
      </c>
      <c r="C70" s="84" t="s">
        <v>449</v>
      </c>
      <c r="D70" s="84">
        <v>70.416666666666671</v>
      </c>
      <c r="E70" s="84">
        <v>-150.19999999999999</v>
      </c>
      <c r="F70" s="84">
        <v>4</v>
      </c>
      <c r="G70" s="84" t="s">
        <v>460</v>
      </c>
      <c r="H70" s="84" t="s">
        <v>560</v>
      </c>
      <c r="I70" s="84" t="s">
        <v>449</v>
      </c>
      <c r="J70" s="84" t="s">
        <v>475</v>
      </c>
      <c r="K70" s="84" t="s">
        <v>449</v>
      </c>
      <c r="L70" s="84" t="s">
        <v>538</v>
      </c>
      <c r="M70" s="90" t="str">
        <f t="shared" si="1"/>
        <v>View on Google Map</v>
      </c>
    </row>
    <row r="71" spans="1:13" x14ac:dyDescent="0.2">
      <c r="A71" s="84">
        <v>284</v>
      </c>
      <c r="B71" s="84" t="s">
        <v>559</v>
      </c>
      <c r="C71" s="84" t="s">
        <v>449</v>
      </c>
      <c r="D71" s="84">
        <v>70.184266666666673</v>
      </c>
      <c r="E71" s="84">
        <v>-149.15443333333334</v>
      </c>
      <c r="F71" s="84">
        <v>15</v>
      </c>
      <c r="G71" s="84" t="s">
        <v>460</v>
      </c>
      <c r="H71" s="84" t="s">
        <v>561</v>
      </c>
      <c r="I71" s="84" t="s">
        <v>449</v>
      </c>
      <c r="J71" s="84" t="s">
        <v>475</v>
      </c>
      <c r="K71" s="84" t="s">
        <v>449</v>
      </c>
      <c r="L71" s="84" t="s">
        <v>540</v>
      </c>
      <c r="M71" s="90" t="str">
        <f t="shared" si="1"/>
        <v>View on Google Map</v>
      </c>
    </row>
    <row r="72" spans="1:13" x14ac:dyDescent="0.2">
      <c r="A72" s="84">
        <v>200</v>
      </c>
      <c r="B72" s="84" t="s">
        <v>562</v>
      </c>
      <c r="C72" s="84" t="s">
        <v>449</v>
      </c>
      <c r="D72" s="84">
        <v>70.283333333333331</v>
      </c>
      <c r="E72" s="84">
        <v>-149.81666666666666</v>
      </c>
      <c r="F72" s="84">
        <v>28.963414634146343</v>
      </c>
      <c r="G72" s="84" t="s">
        <v>460</v>
      </c>
      <c r="H72" s="84" t="s">
        <v>563</v>
      </c>
      <c r="I72" s="84" t="s">
        <v>449</v>
      </c>
      <c r="J72" s="84" t="s">
        <v>475</v>
      </c>
      <c r="K72" s="84" t="s">
        <v>449</v>
      </c>
      <c r="L72" s="84" t="s">
        <v>538</v>
      </c>
      <c r="M72" s="90" t="str">
        <f t="shared" si="1"/>
        <v>View on Google Map</v>
      </c>
    </row>
    <row r="73" spans="1:13" x14ac:dyDescent="0.2">
      <c r="A73" s="84">
        <v>285</v>
      </c>
      <c r="B73" s="84" t="s">
        <v>562</v>
      </c>
      <c r="C73" s="84" t="s">
        <v>449</v>
      </c>
      <c r="D73" s="84">
        <v>70.126099999999994</v>
      </c>
      <c r="E73" s="84">
        <v>-149.33773333333335</v>
      </c>
      <c r="F73" s="84">
        <v>30</v>
      </c>
      <c r="G73" s="84" t="s">
        <v>460</v>
      </c>
      <c r="H73" s="84" t="s">
        <v>564</v>
      </c>
      <c r="I73" s="84" t="s">
        <v>449</v>
      </c>
      <c r="J73" s="84" t="s">
        <v>475</v>
      </c>
      <c r="K73" s="84" t="s">
        <v>449</v>
      </c>
      <c r="L73" s="84" t="s">
        <v>540</v>
      </c>
      <c r="M73" s="90" t="str">
        <f t="shared" si="1"/>
        <v>View on Google Map</v>
      </c>
    </row>
    <row r="74" spans="1:13" x14ac:dyDescent="0.2">
      <c r="A74" s="84">
        <v>201</v>
      </c>
      <c r="B74" s="84" t="s">
        <v>565</v>
      </c>
      <c r="C74" s="84" t="s">
        <v>449</v>
      </c>
      <c r="D74" s="84">
        <v>70.283333333333331</v>
      </c>
      <c r="E74" s="84">
        <v>-149.81666666666666</v>
      </c>
      <c r="F74" s="84">
        <v>28.963414634146343</v>
      </c>
      <c r="G74" s="84" t="s">
        <v>460</v>
      </c>
      <c r="H74" s="84" t="s">
        <v>566</v>
      </c>
      <c r="I74" s="84" t="s">
        <v>449</v>
      </c>
      <c r="J74" s="84" t="s">
        <v>475</v>
      </c>
      <c r="K74" s="84" t="s">
        <v>449</v>
      </c>
      <c r="L74" s="84" t="s">
        <v>538</v>
      </c>
      <c r="M74" s="90" t="str">
        <f t="shared" si="1"/>
        <v>View on Google Map</v>
      </c>
    </row>
    <row r="75" spans="1:13" x14ac:dyDescent="0.2">
      <c r="A75" s="84">
        <v>286</v>
      </c>
      <c r="B75" s="84" t="s">
        <v>565</v>
      </c>
      <c r="C75" s="84" t="s">
        <v>449</v>
      </c>
      <c r="D75" s="84">
        <v>70.126099999999994</v>
      </c>
      <c r="E75" s="84">
        <v>-149.33773333333335</v>
      </c>
      <c r="F75" s="84">
        <v>30</v>
      </c>
      <c r="G75" s="84" t="s">
        <v>460</v>
      </c>
      <c r="H75" s="84" t="s">
        <v>567</v>
      </c>
      <c r="I75" s="84" t="s">
        <v>449</v>
      </c>
      <c r="J75" s="84" t="s">
        <v>475</v>
      </c>
      <c r="K75" s="84" t="s">
        <v>449</v>
      </c>
      <c r="L75" s="84" t="s">
        <v>540</v>
      </c>
      <c r="M75" s="90" t="str">
        <f t="shared" si="1"/>
        <v>View on Google Map</v>
      </c>
    </row>
    <row r="76" spans="1:13" x14ac:dyDescent="0.2">
      <c r="A76" s="84">
        <v>202</v>
      </c>
      <c r="B76" s="84" t="s">
        <v>568</v>
      </c>
      <c r="C76" s="84" t="s">
        <v>449</v>
      </c>
      <c r="D76" s="84">
        <v>70.45</v>
      </c>
      <c r="E76" s="84">
        <v>-149.16666666666666</v>
      </c>
      <c r="F76" s="84">
        <v>4.8780487804878048</v>
      </c>
      <c r="G76" s="84" t="s">
        <v>460</v>
      </c>
      <c r="H76" s="84" t="s">
        <v>569</v>
      </c>
      <c r="I76" s="84" t="s">
        <v>449</v>
      </c>
      <c r="J76" s="84" t="s">
        <v>475</v>
      </c>
      <c r="K76" s="84" t="s">
        <v>449</v>
      </c>
      <c r="L76" s="84" t="s">
        <v>538</v>
      </c>
      <c r="M76" s="90" t="str">
        <f t="shared" si="1"/>
        <v>View on Google Map</v>
      </c>
    </row>
    <row r="77" spans="1:13" x14ac:dyDescent="0.2">
      <c r="A77" s="84">
        <v>287</v>
      </c>
      <c r="B77" s="84" t="s">
        <v>568</v>
      </c>
      <c r="C77" s="84" t="s">
        <v>449</v>
      </c>
      <c r="D77" s="84">
        <v>69.9221</v>
      </c>
      <c r="E77" s="84">
        <v>-149.34523333333334</v>
      </c>
      <c r="F77" s="84">
        <v>61</v>
      </c>
      <c r="G77" s="84" t="s">
        <v>460</v>
      </c>
      <c r="H77" s="84" t="s">
        <v>570</v>
      </c>
      <c r="I77" s="84" t="s">
        <v>449</v>
      </c>
      <c r="J77" s="84" t="s">
        <v>475</v>
      </c>
      <c r="K77" s="84" t="s">
        <v>449</v>
      </c>
      <c r="L77" s="84" t="s">
        <v>540</v>
      </c>
      <c r="M77" s="90" t="str">
        <f t="shared" si="1"/>
        <v>View on Google Map</v>
      </c>
    </row>
    <row r="78" spans="1:13" x14ac:dyDescent="0.2">
      <c r="A78" s="84">
        <v>203</v>
      </c>
      <c r="B78" s="84" t="s">
        <v>571</v>
      </c>
      <c r="C78" s="84" t="s">
        <v>449</v>
      </c>
      <c r="D78" s="84">
        <v>70.233333333333334</v>
      </c>
      <c r="E78" s="84">
        <v>-148.88333333333333</v>
      </c>
      <c r="F78" s="84">
        <v>17.682926829268293</v>
      </c>
      <c r="G78" s="84" t="s">
        <v>460</v>
      </c>
      <c r="H78" s="84" t="s">
        <v>572</v>
      </c>
      <c r="I78" s="84" t="s">
        <v>449</v>
      </c>
      <c r="J78" s="84" t="s">
        <v>475</v>
      </c>
      <c r="K78" s="84" t="s">
        <v>449</v>
      </c>
      <c r="L78" s="84" t="s">
        <v>538</v>
      </c>
      <c r="M78" s="90" t="str">
        <f t="shared" si="1"/>
        <v>View on Google Map</v>
      </c>
    </row>
    <row r="79" spans="1:13" x14ac:dyDescent="0.2">
      <c r="A79" s="84">
        <v>288</v>
      </c>
      <c r="B79" s="84" t="s">
        <v>571</v>
      </c>
      <c r="C79" s="84" t="s">
        <v>449</v>
      </c>
      <c r="D79" s="84">
        <v>69.9221</v>
      </c>
      <c r="E79" s="84">
        <v>-149.34523333333334</v>
      </c>
      <c r="F79" s="84">
        <v>61</v>
      </c>
      <c r="G79" s="84" t="s">
        <v>460</v>
      </c>
      <c r="H79" s="84" t="s">
        <v>573</v>
      </c>
      <c r="I79" s="84" t="s">
        <v>449</v>
      </c>
      <c r="J79" s="84" t="s">
        <v>475</v>
      </c>
      <c r="K79" s="84" t="s">
        <v>449</v>
      </c>
      <c r="L79" s="84" t="s">
        <v>540</v>
      </c>
      <c r="M79" s="90" t="str">
        <f t="shared" si="1"/>
        <v>View on Google Map</v>
      </c>
    </row>
    <row r="80" spans="1:13" x14ac:dyDescent="0.2">
      <c r="A80" s="84">
        <v>204</v>
      </c>
      <c r="B80" s="84" t="s">
        <v>574</v>
      </c>
      <c r="C80" s="84" t="s">
        <v>449</v>
      </c>
      <c r="D80" s="84">
        <v>70.233333333333334</v>
      </c>
      <c r="E80" s="84">
        <v>-148.88333333333333</v>
      </c>
      <c r="F80" s="84">
        <v>17.682926829268293</v>
      </c>
      <c r="G80" s="84" t="s">
        <v>460</v>
      </c>
      <c r="H80" s="84" t="s">
        <v>575</v>
      </c>
      <c r="I80" s="84" t="s">
        <v>449</v>
      </c>
      <c r="J80" s="84" t="s">
        <v>475</v>
      </c>
      <c r="K80" s="84" t="s">
        <v>449</v>
      </c>
      <c r="L80" s="84" t="s">
        <v>538</v>
      </c>
      <c r="M80" s="90" t="str">
        <f t="shared" si="1"/>
        <v>View on Google Map</v>
      </c>
    </row>
    <row r="81" spans="1:13" x14ac:dyDescent="0.2">
      <c r="A81" s="84">
        <v>289</v>
      </c>
      <c r="B81" s="84" t="s">
        <v>574</v>
      </c>
      <c r="C81" s="84" t="s">
        <v>449</v>
      </c>
      <c r="D81" s="84">
        <v>69.986533333333327</v>
      </c>
      <c r="E81" s="84">
        <v>-150.08543333333333</v>
      </c>
      <c r="F81" s="84">
        <v>125</v>
      </c>
      <c r="G81" s="84" t="s">
        <v>460</v>
      </c>
      <c r="H81" s="84" t="s">
        <v>576</v>
      </c>
      <c r="I81" s="84" t="s">
        <v>449</v>
      </c>
      <c r="J81" s="84" t="s">
        <v>475</v>
      </c>
      <c r="K81" s="84" t="s">
        <v>449</v>
      </c>
      <c r="L81" s="84" t="s">
        <v>540</v>
      </c>
      <c r="M81" s="90" t="str">
        <f t="shared" si="1"/>
        <v>View on Google Map</v>
      </c>
    </row>
    <row r="82" spans="1:13" x14ac:dyDescent="0.2">
      <c r="A82" s="84">
        <v>205</v>
      </c>
      <c r="B82" s="84" t="s">
        <v>577</v>
      </c>
      <c r="C82" s="84" t="s">
        <v>449</v>
      </c>
      <c r="D82" s="84">
        <v>70.13333333333334</v>
      </c>
      <c r="E82" s="84">
        <v>-148.6</v>
      </c>
      <c r="F82" s="84">
        <v>24.390243902439025</v>
      </c>
      <c r="G82" s="84" t="s">
        <v>460</v>
      </c>
      <c r="H82" s="84" t="s">
        <v>578</v>
      </c>
      <c r="I82" s="84" t="s">
        <v>449</v>
      </c>
      <c r="J82" s="84" t="s">
        <v>475</v>
      </c>
      <c r="K82" s="84" t="s">
        <v>449</v>
      </c>
      <c r="L82" s="84" t="s">
        <v>538</v>
      </c>
      <c r="M82" s="90" t="str">
        <f t="shared" si="1"/>
        <v>View on Google Map</v>
      </c>
    </row>
    <row r="83" spans="1:13" x14ac:dyDescent="0.2">
      <c r="A83" s="84">
        <v>290</v>
      </c>
      <c r="B83" s="84" t="s">
        <v>577</v>
      </c>
      <c r="C83" s="84" t="s">
        <v>449</v>
      </c>
      <c r="D83" s="84">
        <v>69.986533333333327</v>
      </c>
      <c r="E83" s="84">
        <v>-150.08543333333333</v>
      </c>
      <c r="F83" s="84">
        <v>125</v>
      </c>
      <c r="G83" s="84" t="s">
        <v>460</v>
      </c>
      <c r="H83" s="84" t="s">
        <v>579</v>
      </c>
      <c r="I83" s="84" t="s">
        <v>449</v>
      </c>
      <c r="J83" s="84" t="s">
        <v>475</v>
      </c>
      <c r="K83" s="84" t="s">
        <v>449</v>
      </c>
      <c r="L83" s="84" t="s">
        <v>540</v>
      </c>
      <c r="M83" s="90" t="str">
        <f t="shared" si="1"/>
        <v>View on Google Map</v>
      </c>
    </row>
    <row r="84" spans="1:13" x14ac:dyDescent="0.2">
      <c r="A84" s="84">
        <v>291</v>
      </c>
      <c r="B84" s="84" t="s">
        <v>580</v>
      </c>
      <c r="C84" s="84" t="s">
        <v>449</v>
      </c>
      <c r="D84" s="84">
        <v>69.639166666666668</v>
      </c>
      <c r="E84" s="84">
        <v>-149.73946666666666</v>
      </c>
      <c r="F84" s="84">
        <v>91</v>
      </c>
      <c r="G84" s="84" t="s">
        <v>460</v>
      </c>
      <c r="H84" s="84" t="s">
        <v>581</v>
      </c>
      <c r="I84" s="84" t="s">
        <v>449</v>
      </c>
      <c r="J84" s="84" t="s">
        <v>475</v>
      </c>
      <c r="K84" s="84" t="s">
        <v>449</v>
      </c>
      <c r="L84" s="84" t="s">
        <v>540</v>
      </c>
      <c r="M84" s="90" t="str">
        <f t="shared" si="1"/>
        <v>View on Google Map</v>
      </c>
    </row>
    <row r="85" spans="1:13" x14ac:dyDescent="0.2">
      <c r="A85" s="84">
        <v>206</v>
      </c>
      <c r="B85" s="84" t="s">
        <v>582</v>
      </c>
      <c r="C85" s="84" t="s">
        <v>449</v>
      </c>
      <c r="D85" s="84">
        <v>70.11666666666666</v>
      </c>
      <c r="E85" s="84">
        <v>-146.16666666666666</v>
      </c>
      <c r="F85" s="84">
        <v>3.0487804878048781</v>
      </c>
      <c r="G85" s="84" t="s">
        <v>460</v>
      </c>
      <c r="H85" s="84" t="s">
        <v>583</v>
      </c>
      <c r="I85" s="84" t="s">
        <v>449</v>
      </c>
      <c r="J85" s="84" t="s">
        <v>475</v>
      </c>
      <c r="K85" s="84" t="s">
        <v>449</v>
      </c>
      <c r="L85" s="84" t="s">
        <v>538</v>
      </c>
      <c r="M85" s="90" t="str">
        <f t="shared" si="1"/>
        <v>View on Google Map</v>
      </c>
    </row>
    <row r="86" spans="1:13" x14ac:dyDescent="0.2">
      <c r="A86" s="84">
        <v>292</v>
      </c>
      <c r="B86" s="84" t="s">
        <v>582</v>
      </c>
      <c r="C86" s="84" t="s">
        <v>449</v>
      </c>
      <c r="D86" s="84">
        <v>69.639166666666668</v>
      </c>
      <c r="E86" s="84">
        <v>-149.73946666666666</v>
      </c>
      <c r="F86" s="84">
        <v>91</v>
      </c>
      <c r="G86" s="84" t="s">
        <v>460</v>
      </c>
      <c r="H86" s="84" t="s">
        <v>584</v>
      </c>
      <c r="I86" s="84" t="s">
        <v>449</v>
      </c>
      <c r="J86" s="84" t="s">
        <v>475</v>
      </c>
      <c r="K86" s="84" t="s">
        <v>449</v>
      </c>
      <c r="L86" s="84" t="s">
        <v>540</v>
      </c>
      <c r="M86" s="90" t="str">
        <f t="shared" si="1"/>
        <v>View on Google Map</v>
      </c>
    </row>
    <row r="87" spans="1:13" x14ac:dyDescent="0.2">
      <c r="A87" s="84">
        <v>207</v>
      </c>
      <c r="B87" s="84" t="s">
        <v>585</v>
      </c>
      <c r="C87" s="84" t="s">
        <v>449</v>
      </c>
      <c r="D87" s="84">
        <v>70.099999999999994</v>
      </c>
      <c r="E87" s="84">
        <v>-146.26666666666668</v>
      </c>
      <c r="F87" s="84">
        <v>9.1463414634146343</v>
      </c>
      <c r="G87" s="84" t="s">
        <v>460</v>
      </c>
      <c r="H87" s="84" t="s">
        <v>586</v>
      </c>
      <c r="I87" s="84" t="s">
        <v>449</v>
      </c>
      <c r="J87" s="84" t="s">
        <v>475</v>
      </c>
      <c r="K87" s="84" t="s">
        <v>449</v>
      </c>
      <c r="L87" s="84" t="s">
        <v>538</v>
      </c>
      <c r="M87" s="90" t="str">
        <f t="shared" si="1"/>
        <v>View on Google Map</v>
      </c>
    </row>
    <row r="88" spans="1:13" x14ac:dyDescent="0.2">
      <c r="A88" s="84">
        <v>293</v>
      </c>
      <c r="B88" s="84" t="s">
        <v>585</v>
      </c>
      <c r="C88" s="84" t="s">
        <v>449</v>
      </c>
      <c r="D88" s="84">
        <v>68.820783333333338</v>
      </c>
      <c r="E88" s="84">
        <v>-149.7646</v>
      </c>
      <c r="F88" s="84">
        <v>579</v>
      </c>
      <c r="G88" s="84" t="s">
        <v>460</v>
      </c>
      <c r="H88" s="84" t="s">
        <v>587</v>
      </c>
      <c r="I88" s="84" t="s">
        <v>449</v>
      </c>
      <c r="J88" s="84" t="s">
        <v>475</v>
      </c>
      <c r="K88" s="84" t="s">
        <v>449</v>
      </c>
      <c r="L88" s="84" t="s">
        <v>540</v>
      </c>
      <c r="M88" s="90" t="str">
        <f t="shared" si="1"/>
        <v>View on Google Map</v>
      </c>
    </row>
    <row r="89" spans="1:13" x14ac:dyDescent="0.2">
      <c r="A89" s="84">
        <v>208</v>
      </c>
      <c r="B89" s="84" t="s">
        <v>588</v>
      </c>
      <c r="C89" s="84" t="s">
        <v>449</v>
      </c>
      <c r="D89" s="84">
        <v>70.05</v>
      </c>
      <c r="E89" s="84">
        <v>-146.98333333333332</v>
      </c>
      <c r="F89" s="84">
        <v>24.390243902439025</v>
      </c>
      <c r="G89" s="84" t="s">
        <v>460</v>
      </c>
      <c r="H89" s="84" t="s">
        <v>589</v>
      </c>
      <c r="I89" s="84" t="s">
        <v>449</v>
      </c>
      <c r="J89" s="84" t="s">
        <v>475</v>
      </c>
      <c r="K89" s="84" t="s">
        <v>449</v>
      </c>
      <c r="L89" s="84" t="s">
        <v>538</v>
      </c>
      <c r="M89" s="90" t="str">
        <f t="shared" si="1"/>
        <v>View on Google Map</v>
      </c>
    </row>
    <row r="90" spans="1:13" x14ac:dyDescent="0.2">
      <c r="A90" s="84">
        <v>294</v>
      </c>
      <c r="B90" s="84" t="s">
        <v>588</v>
      </c>
      <c r="C90" s="84" t="s">
        <v>449</v>
      </c>
      <c r="D90" s="84">
        <v>68.820616666666666</v>
      </c>
      <c r="E90" s="84">
        <v>-149.74383333333333</v>
      </c>
      <c r="F90" s="84">
        <v>579</v>
      </c>
      <c r="G90" s="84" t="s">
        <v>460</v>
      </c>
      <c r="H90" s="84" t="s">
        <v>590</v>
      </c>
      <c r="I90" s="84" t="s">
        <v>449</v>
      </c>
      <c r="J90" s="84" t="s">
        <v>475</v>
      </c>
      <c r="K90" s="84" t="s">
        <v>449</v>
      </c>
      <c r="L90" s="84" t="s">
        <v>540</v>
      </c>
      <c r="M90" s="90" t="str">
        <f t="shared" si="1"/>
        <v>View on Google Map</v>
      </c>
    </row>
    <row r="91" spans="1:13" x14ac:dyDescent="0.2">
      <c r="A91" s="84">
        <v>209</v>
      </c>
      <c r="B91" s="84" t="s">
        <v>591</v>
      </c>
      <c r="C91" s="84" t="s">
        <v>449</v>
      </c>
      <c r="D91" s="84">
        <v>70.05</v>
      </c>
      <c r="E91" s="84">
        <v>-146.98333333333332</v>
      </c>
      <c r="F91" s="84">
        <v>24.390243902439025</v>
      </c>
      <c r="G91" s="84" t="s">
        <v>460</v>
      </c>
      <c r="H91" s="84" t="s">
        <v>592</v>
      </c>
      <c r="I91" s="84" t="s">
        <v>449</v>
      </c>
      <c r="J91" s="84" t="s">
        <v>475</v>
      </c>
      <c r="K91" s="84" t="s">
        <v>449</v>
      </c>
      <c r="L91" s="84" t="s">
        <v>538</v>
      </c>
      <c r="M91" s="90" t="str">
        <f t="shared" si="1"/>
        <v>View on Google Map</v>
      </c>
    </row>
    <row r="92" spans="1:13" x14ac:dyDescent="0.2">
      <c r="A92" s="84">
        <v>295</v>
      </c>
      <c r="B92" s="84" t="s">
        <v>591</v>
      </c>
      <c r="C92" s="84" t="s">
        <v>449</v>
      </c>
      <c r="D92" s="84">
        <v>68.821529999999996</v>
      </c>
      <c r="E92" s="84">
        <v>-149.05867000000001</v>
      </c>
      <c r="F92" s="84">
        <v>518</v>
      </c>
      <c r="G92" s="84" t="s">
        <v>460</v>
      </c>
      <c r="H92" s="84" t="s">
        <v>593</v>
      </c>
      <c r="I92" s="84" t="s">
        <v>449</v>
      </c>
      <c r="J92" s="84" t="s">
        <v>475</v>
      </c>
      <c r="K92" s="84" t="s">
        <v>449</v>
      </c>
      <c r="L92" s="84" t="s">
        <v>540</v>
      </c>
      <c r="M92" s="90" t="str">
        <f t="shared" si="1"/>
        <v>View on Google Map</v>
      </c>
    </row>
    <row r="93" spans="1:13" x14ac:dyDescent="0.2">
      <c r="A93" s="84">
        <v>210</v>
      </c>
      <c r="B93" s="84" t="s">
        <v>594</v>
      </c>
      <c r="C93" s="84" t="s">
        <v>449</v>
      </c>
      <c r="D93" s="84">
        <v>70.150000000000006</v>
      </c>
      <c r="E93" s="84">
        <v>-147.36666666666667</v>
      </c>
      <c r="F93" s="84">
        <v>6.7073170731707323</v>
      </c>
      <c r="G93" s="84" t="s">
        <v>460</v>
      </c>
      <c r="H93" s="84" t="s">
        <v>595</v>
      </c>
      <c r="I93" s="84" t="s">
        <v>449</v>
      </c>
      <c r="J93" s="84" t="s">
        <v>475</v>
      </c>
      <c r="K93" s="84" t="s">
        <v>449</v>
      </c>
      <c r="L93" s="84" t="s">
        <v>538</v>
      </c>
      <c r="M93" s="90" t="str">
        <f t="shared" si="1"/>
        <v>View on Google Map</v>
      </c>
    </row>
    <row r="94" spans="1:13" x14ac:dyDescent="0.2">
      <c r="A94" s="84">
        <v>296</v>
      </c>
      <c r="B94" s="84" t="s">
        <v>594</v>
      </c>
      <c r="C94" s="84" t="s">
        <v>449</v>
      </c>
      <c r="D94" s="84">
        <v>68.817116666666664</v>
      </c>
      <c r="E94" s="84">
        <v>-149.05956666666665</v>
      </c>
      <c r="F94" s="84">
        <v>518</v>
      </c>
      <c r="G94" s="84" t="s">
        <v>460</v>
      </c>
      <c r="H94" s="84" t="s">
        <v>596</v>
      </c>
      <c r="I94" s="84" t="s">
        <v>449</v>
      </c>
      <c r="J94" s="84" t="s">
        <v>475</v>
      </c>
      <c r="K94" s="84" t="s">
        <v>449</v>
      </c>
      <c r="L94" s="84" t="s">
        <v>540</v>
      </c>
      <c r="M94" s="90" t="str">
        <f t="shared" si="1"/>
        <v>View on Google Map</v>
      </c>
    </row>
    <row r="95" spans="1:13" x14ac:dyDescent="0.2">
      <c r="A95" s="84">
        <v>211</v>
      </c>
      <c r="B95" s="84" t="s">
        <v>597</v>
      </c>
      <c r="C95" s="84" t="s">
        <v>449</v>
      </c>
      <c r="D95" s="84">
        <v>70.150000000000006</v>
      </c>
      <c r="E95" s="84">
        <v>-147.36666666666667</v>
      </c>
      <c r="F95" s="84">
        <v>6.7073170731707323</v>
      </c>
      <c r="G95" s="84" t="s">
        <v>460</v>
      </c>
      <c r="H95" s="84" t="s">
        <v>598</v>
      </c>
      <c r="I95" s="84" t="s">
        <v>449</v>
      </c>
      <c r="J95" s="84" t="s">
        <v>475</v>
      </c>
      <c r="K95" s="84" t="s">
        <v>449</v>
      </c>
      <c r="L95" s="84" t="s">
        <v>538</v>
      </c>
      <c r="M95" s="90" t="str">
        <f t="shared" si="1"/>
        <v>View on Google Map</v>
      </c>
    </row>
    <row r="96" spans="1:13" x14ac:dyDescent="0.2">
      <c r="A96" s="84">
        <v>297</v>
      </c>
      <c r="B96" s="84" t="s">
        <v>597</v>
      </c>
      <c r="C96" s="84" t="s">
        <v>449</v>
      </c>
      <c r="D96" s="84">
        <v>69.356183333333334</v>
      </c>
      <c r="E96" s="84">
        <v>-150.21899999999999</v>
      </c>
      <c r="F96" s="84">
        <v>168</v>
      </c>
      <c r="G96" s="84" t="s">
        <v>460</v>
      </c>
      <c r="H96" s="84" t="s">
        <v>599</v>
      </c>
      <c r="I96" s="84" t="s">
        <v>449</v>
      </c>
      <c r="J96" s="84" t="s">
        <v>475</v>
      </c>
      <c r="K96" s="84" t="s">
        <v>449</v>
      </c>
      <c r="L96" s="84" t="s">
        <v>540</v>
      </c>
      <c r="M96" s="90" t="str">
        <f t="shared" si="1"/>
        <v>View on Google Map</v>
      </c>
    </row>
    <row r="97" spans="1:13" x14ac:dyDescent="0.2">
      <c r="A97" s="84">
        <v>212</v>
      </c>
      <c r="B97" s="84" t="s">
        <v>600</v>
      </c>
      <c r="C97" s="84" t="s">
        <v>449</v>
      </c>
      <c r="D97" s="84">
        <v>70.033333333333331</v>
      </c>
      <c r="E97" s="84">
        <v>-147.65</v>
      </c>
      <c r="F97" s="84">
        <v>28.04878048780488</v>
      </c>
      <c r="G97" s="84" t="s">
        <v>460</v>
      </c>
      <c r="H97" s="84" t="s">
        <v>601</v>
      </c>
      <c r="I97" s="84" t="s">
        <v>449</v>
      </c>
      <c r="J97" s="84" t="s">
        <v>475</v>
      </c>
      <c r="K97" s="84" t="s">
        <v>449</v>
      </c>
      <c r="L97" s="84" t="s">
        <v>538</v>
      </c>
      <c r="M97" s="90" t="str">
        <f t="shared" si="1"/>
        <v>View on Google Map</v>
      </c>
    </row>
    <row r="98" spans="1:13" x14ac:dyDescent="0.2">
      <c r="A98" s="84">
        <v>298</v>
      </c>
      <c r="B98" s="84" t="s">
        <v>600</v>
      </c>
      <c r="C98" s="84" t="s">
        <v>449</v>
      </c>
      <c r="D98" s="84">
        <v>69.356183333333334</v>
      </c>
      <c r="E98" s="84">
        <v>-150.21899999999999</v>
      </c>
      <c r="F98" s="84">
        <v>168</v>
      </c>
      <c r="G98" s="84" t="s">
        <v>460</v>
      </c>
      <c r="H98" s="84" t="s">
        <v>602</v>
      </c>
      <c r="I98" s="84" t="s">
        <v>449</v>
      </c>
      <c r="J98" s="84" t="s">
        <v>475</v>
      </c>
      <c r="K98" s="84" t="s">
        <v>449</v>
      </c>
      <c r="L98" s="84" t="s">
        <v>540</v>
      </c>
      <c r="M98" s="90" t="str">
        <f t="shared" si="1"/>
        <v>View on Google Map</v>
      </c>
    </row>
    <row r="99" spans="1:13" x14ac:dyDescent="0.2">
      <c r="A99" s="84">
        <v>213</v>
      </c>
      <c r="B99" s="84" t="s">
        <v>603</v>
      </c>
      <c r="C99" s="84" t="s">
        <v>449</v>
      </c>
      <c r="D99" s="84">
        <v>70.033333333333331</v>
      </c>
      <c r="E99" s="84">
        <v>-147.65</v>
      </c>
      <c r="F99" s="84">
        <v>28.04878048780488</v>
      </c>
      <c r="G99" s="84" t="s">
        <v>460</v>
      </c>
      <c r="H99" s="84" t="s">
        <v>604</v>
      </c>
      <c r="I99" s="84" t="s">
        <v>449</v>
      </c>
      <c r="J99" s="84" t="s">
        <v>475</v>
      </c>
      <c r="K99" s="84" t="s">
        <v>449</v>
      </c>
      <c r="L99" s="84" t="s">
        <v>538</v>
      </c>
      <c r="M99" s="90" t="str">
        <f t="shared" si="1"/>
        <v>View on Google Map</v>
      </c>
    </row>
    <row r="100" spans="1:13" x14ac:dyDescent="0.2">
      <c r="A100" s="84">
        <v>299</v>
      </c>
      <c r="B100" s="84" t="s">
        <v>603</v>
      </c>
      <c r="C100" s="84" t="s">
        <v>449</v>
      </c>
      <c r="D100" s="84">
        <v>69.5458</v>
      </c>
      <c r="E100" s="84">
        <v>-150.37883333333335</v>
      </c>
      <c r="F100" s="84">
        <v>107</v>
      </c>
      <c r="G100" s="84" t="s">
        <v>460</v>
      </c>
      <c r="H100" s="84" t="s">
        <v>605</v>
      </c>
      <c r="I100" s="84" t="s">
        <v>449</v>
      </c>
      <c r="J100" s="84" t="s">
        <v>475</v>
      </c>
      <c r="K100" s="84" t="s">
        <v>449</v>
      </c>
      <c r="L100" s="84" t="s">
        <v>540</v>
      </c>
      <c r="M100" s="90" t="str">
        <f t="shared" si="1"/>
        <v>View on Google Map</v>
      </c>
    </row>
    <row r="101" spans="1:13" x14ac:dyDescent="0.2">
      <c r="A101" s="84">
        <v>214</v>
      </c>
      <c r="B101" s="84" t="s">
        <v>606</v>
      </c>
      <c r="C101" s="84" t="s">
        <v>449</v>
      </c>
      <c r="D101" s="84">
        <v>69.833333333333329</v>
      </c>
      <c r="E101" s="84">
        <v>-147.93333333333334</v>
      </c>
      <c r="F101" s="84">
        <v>92.987804878048792</v>
      </c>
      <c r="G101" s="84" t="s">
        <v>460</v>
      </c>
      <c r="H101" s="84" t="s">
        <v>607</v>
      </c>
      <c r="I101" s="84" t="s">
        <v>449</v>
      </c>
      <c r="J101" s="84" t="s">
        <v>475</v>
      </c>
      <c r="K101" s="84" t="s">
        <v>449</v>
      </c>
      <c r="L101" s="84" t="s">
        <v>538</v>
      </c>
      <c r="M101" s="90" t="str">
        <f t="shared" si="1"/>
        <v>View on Google Map</v>
      </c>
    </row>
    <row r="102" spans="1:13" x14ac:dyDescent="0.2">
      <c r="A102" s="84">
        <v>300</v>
      </c>
      <c r="B102" s="84" t="s">
        <v>606</v>
      </c>
      <c r="C102" s="84" t="s">
        <v>449</v>
      </c>
      <c r="D102" s="84">
        <v>69.5458</v>
      </c>
      <c r="E102" s="84">
        <v>-150.37883333333335</v>
      </c>
      <c r="F102" s="84">
        <v>107</v>
      </c>
      <c r="G102" s="84" t="s">
        <v>460</v>
      </c>
      <c r="H102" s="84" t="s">
        <v>608</v>
      </c>
      <c r="I102" s="84" t="s">
        <v>449</v>
      </c>
      <c r="J102" s="84" t="s">
        <v>475</v>
      </c>
      <c r="K102" s="84" t="s">
        <v>449</v>
      </c>
      <c r="L102" s="84" t="s">
        <v>540</v>
      </c>
      <c r="M102" s="90" t="str">
        <f t="shared" si="1"/>
        <v>View on Google Map</v>
      </c>
    </row>
    <row r="103" spans="1:13" x14ac:dyDescent="0.2">
      <c r="A103" s="84">
        <v>215</v>
      </c>
      <c r="B103" s="84" t="s">
        <v>609</v>
      </c>
      <c r="C103" s="84" t="s">
        <v>449</v>
      </c>
      <c r="D103" s="84">
        <v>69.833333333333329</v>
      </c>
      <c r="E103" s="84">
        <v>-147.93333333333334</v>
      </c>
      <c r="F103" s="84">
        <v>92.987804878048792</v>
      </c>
      <c r="G103" s="84" t="s">
        <v>460</v>
      </c>
      <c r="H103" s="84" t="s">
        <v>610</v>
      </c>
      <c r="I103" s="84" t="s">
        <v>449</v>
      </c>
      <c r="J103" s="84" t="s">
        <v>475</v>
      </c>
      <c r="K103" s="84" t="s">
        <v>449</v>
      </c>
      <c r="L103" s="84" t="s">
        <v>538</v>
      </c>
      <c r="M103" s="90" t="str">
        <f t="shared" si="1"/>
        <v>View on Google Map</v>
      </c>
    </row>
    <row r="104" spans="1:13" x14ac:dyDescent="0.2">
      <c r="A104" s="84">
        <v>301</v>
      </c>
      <c r="B104" s="84" t="s">
        <v>609</v>
      </c>
      <c r="C104" s="84" t="s">
        <v>449</v>
      </c>
      <c r="D104" s="84">
        <v>69.523700000000005</v>
      </c>
      <c r="E104" s="84">
        <v>-150.55269999999999</v>
      </c>
      <c r="F104" s="84">
        <v>107</v>
      </c>
      <c r="G104" s="84" t="s">
        <v>460</v>
      </c>
      <c r="H104" s="84" t="s">
        <v>611</v>
      </c>
      <c r="I104" s="84" t="s">
        <v>449</v>
      </c>
      <c r="J104" s="84" t="s">
        <v>475</v>
      </c>
      <c r="K104" s="84" t="s">
        <v>449</v>
      </c>
      <c r="L104" s="84" t="s">
        <v>540</v>
      </c>
      <c r="M104" s="90" t="str">
        <f t="shared" si="1"/>
        <v>View on Google Map</v>
      </c>
    </row>
    <row r="105" spans="1:13" x14ac:dyDescent="0.2">
      <c r="A105" s="84">
        <v>216</v>
      </c>
      <c r="B105" s="84" t="s">
        <v>612</v>
      </c>
      <c r="C105" s="84" t="s">
        <v>449</v>
      </c>
      <c r="D105" s="84">
        <v>69.88333333333334</v>
      </c>
      <c r="E105" s="84">
        <v>-148.63333333333333</v>
      </c>
      <c r="F105" s="84">
        <v>118.90243902439025</v>
      </c>
      <c r="G105" s="84" t="s">
        <v>460</v>
      </c>
      <c r="H105" s="84" t="s">
        <v>613</v>
      </c>
      <c r="I105" s="84" t="s">
        <v>449</v>
      </c>
      <c r="J105" s="84" t="s">
        <v>475</v>
      </c>
      <c r="K105" s="84" t="s">
        <v>449</v>
      </c>
      <c r="L105" s="84" t="s">
        <v>538</v>
      </c>
      <c r="M105" s="90" t="str">
        <f t="shared" si="1"/>
        <v>View on Google Map</v>
      </c>
    </row>
    <row r="106" spans="1:13" x14ac:dyDescent="0.2">
      <c r="A106" s="84">
        <v>302</v>
      </c>
      <c r="B106" s="84" t="s">
        <v>612</v>
      </c>
      <c r="C106" s="84" t="s">
        <v>449</v>
      </c>
      <c r="D106" s="84">
        <v>69.523700000000005</v>
      </c>
      <c r="E106" s="84">
        <v>-150.55269999999999</v>
      </c>
      <c r="F106" s="84">
        <v>107</v>
      </c>
      <c r="G106" s="84" t="s">
        <v>460</v>
      </c>
      <c r="H106" s="84" t="s">
        <v>614</v>
      </c>
      <c r="I106" s="84" t="s">
        <v>449</v>
      </c>
      <c r="J106" s="84" t="s">
        <v>475</v>
      </c>
      <c r="K106" s="84" t="s">
        <v>449</v>
      </c>
      <c r="L106" s="84" t="s">
        <v>540</v>
      </c>
      <c r="M106" s="90" t="str">
        <f t="shared" si="1"/>
        <v>View on Google Map</v>
      </c>
    </row>
    <row r="107" spans="1:13" x14ac:dyDescent="0.2">
      <c r="A107" s="84">
        <v>217</v>
      </c>
      <c r="B107" s="84" t="s">
        <v>615</v>
      </c>
      <c r="C107" s="84" t="s">
        <v>449</v>
      </c>
      <c r="D107" s="84">
        <v>69.7</v>
      </c>
      <c r="E107" s="84">
        <v>-148.48333333333332</v>
      </c>
      <c r="F107" s="84">
        <v>125</v>
      </c>
      <c r="G107" s="84" t="s">
        <v>460</v>
      </c>
      <c r="H107" s="84" t="s">
        <v>616</v>
      </c>
      <c r="I107" s="84" t="s">
        <v>449</v>
      </c>
      <c r="J107" s="84" t="s">
        <v>475</v>
      </c>
      <c r="K107" s="84" t="s">
        <v>449</v>
      </c>
      <c r="L107" s="84" t="s">
        <v>538</v>
      </c>
      <c r="M107" s="90" t="str">
        <f t="shared" si="1"/>
        <v>View on Google Map</v>
      </c>
    </row>
    <row r="108" spans="1:13" x14ac:dyDescent="0.2">
      <c r="A108" s="84">
        <v>303</v>
      </c>
      <c r="B108" s="84" t="s">
        <v>615</v>
      </c>
      <c r="C108" s="84" t="s">
        <v>449</v>
      </c>
      <c r="D108" s="84">
        <v>69.610399999999998</v>
      </c>
      <c r="E108" s="84">
        <v>-148.82113333333334</v>
      </c>
      <c r="F108" s="84">
        <v>107</v>
      </c>
      <c r="G108" s="84" t="s">
        <v>460</v>
      </c>
      <c r="H108" s="84" t="s">
        <v>617</v>
      </c>
      <c r="I108" s="84" t="s">
        <v>449</v>
      </c>
      <c r="J108" s="84" t="s">
        <v>475</v>
      </c>
      <c r="K108" s="84" t="s">
        <v>449</v>
      </c>
      <c r="L108" s="84" t="s">
        <v>540</v>
      </c>
      <c r="M108" s="90" t="str">
        <f t="shared" si="1"/>
        <v>View on Google Map</v>
      </c>
    </row>
    <row r="109" spans="1:13" x14ac:dyDescent="0.2">
      <c r="A109" s="84">
        <v>218</v>
      </c>
      <c r="B109" s="84" t="s">
        <v>618</v>
      </c>
      <c r="C109" s="84" t="s">
        <v>449</v>
      </c>
      <c r="D109" s="84">
        <v>69.7</v>
      </c>
      <c r="E109" s="84">
        <v>-148.48333333333332</v>
      </c>
      <c r="F109" s="84">
        <v>125</v>
      </c>
      <c r="G109" s="84" t="s">
        <v>460</v>
      </c>
      <c r="H109" s="84" t="s">
        <v>619</v>
      </c>
      <c r="I109" s="84" t="s">
        <v>449</v>
      </c>
      <c r="J109" s="84" t="s">
        <v>475</v>
      </c>
      <c r="K109" s="84" t="s">
        <v>449</v>
      </c>
      <c r="L109" s="84" t="s">
        <v>538</v>
      </c>
      <c r="M109" s="90" t="str">
        <f t="shared" si="1"/>
        <v>View on Google Map</v>
      </c>
    </row>
    <row r="110" spans="1:13" x14ac:dyDescent="0.2">
      <c r="A110" s="84">
        <v>304</v>
      </c>
      <c r="B110" s="84" t="s">
        <v>618</v>
      </c>
      <c r="C110" s="84" t="s">
        <v>449</v>
      </c>
      <c r="D110" s="84">
        <v>69.610399999999998</v>
      </c>
      <c r="E110" s="84">
        <v>-148.82113333333334</v>
      </c>
      <c r="F110" s="84">
        <v>107</v>
      </c>
      <c r="G110" s="84" t="s">
        <v>460</v>
      </c>
      <c r="H110" s="84" t="s">
        <v>620</v>
      </c>
      <c r="I110" s="84" t="s">
        <v>449</v>
      </c>
      <c r="J110" s="84" t="s">
        <v>475</v>
      </c>
      <c r="K110" s="84" t="s">
        <v>449</v>
      </c>
      <c r="L110" s="84" t="s">
        <v>540</v>
      </c>
      <c r="M110" s="90" t="str">
        <f t="shared" si="1"/>
        <v>View on Google Map</v>
      </c>
    </row>
    <row r="111" spans="1:13" x14ac:dyDescent="0.2">
      <c r="A111" s="84">
        <v>232</v>
      </c>
      <c r="B111" s="84" t="s">
        <v>621</v>
      </c>
      <c r="C111" s="84" t="s">
        <v>449</v>
      </c>
      <c r="D111" s="84">
        <v>69.266666666666666</v>
      </c>
      <c r="E111" s="84">
        <v>-148.46666666666667</v>
      </c>
      <c r="F111" s="84">
        <v>338.71951219512198</v>
      </c>
      <c r="G111" s="84" t="s">
        <v>460</v>
      </c>
      <c r="H111" s="84" t="s">
        <v>622</v>
      </c>
      <c r="I111" s="84" t="s">
        <v>449</v>
      </c>
      <c r="J111" s="84" t="s">
        <v>475</v>
      </c>
      <c r="K111" s="84" t="s">
        <v>449</v>
      </c>
      <c r="L111" s="84" t="s">
        <v>538</v>
      </c>
      <c r="M111" s="90" t="str">
        <f t="shared" si="1"/>
        <v>View on Google Map</v>
      </c>
    </row>
    <row r="112" spans="1:13" x14ac:dyDescent="0.2">
      <c r="A112" s="84">
        <v>239</v>
      </c>
      <c r="B112" s="84" t="s">
        <v>623</v>
      </c>
      <c r="C112" s="84" t="s">
        <v>624</v>
      </c>
      <c r="D112" s="84" t="s">
        <v>449</v>
      </c>
      <c r="E112" s="84" t="s">
        <v>449</v>
      </c>
      <c r="F112" s="84" t="s">
        <v>449</v>
      </c>
      <c r="G112" s="84" t="s">
        <v>460</v>
      </c>
      <c r="H112" s="84" t="s">
        <v>449</v>
      </c>
      <c r="I112" s="84" t="s">
        <v>449</v>
      </c>
      <c r="J112" s="84" t="s">
        <v>475</v>
      </c>
      <c r="K112" s="84" t="s">
        <v>449</v>
      </c>
      <c r="L112" s="84" t="s">
        <v>625</v>
      </c>
      <c r="M112" s="90" t="str">
        <f t="shared" si="1"/>
        <v>View on Google Map</v>
      </c>
    </row>
    <row r="113" spans="1:13" x14ac:dyDescent="0.2">
      <c r="A113" s="84">
        <v>144</v>
      </c>
      <c r="B113" s="84" t="s">
        <v>626</v>
      </c>
      <c r="C113" s="84" t="s">
        <v>627</v>
      </c>
      <c r="D113" s="84">
        <v>68.63333333333334</v>
      </c>
      <c r="E113" s="84">
        <v>-149.6</v>
      </c>
      <c r="F113" s="84">
        <v>719</v>
      </c>
      <c r="G113" s="84" t="s">
        <v>460</v>
      </c>
      <c r="H113" s="84" t="s">
        <v>449</v>
      </c>
      <c r="I113" s="84" t="s">
        <v>449</v>
      </c>
      <c r="J113" s="84" t="s">
        <v>475</v>
      </c>
      <c r="K113" s="84" t="s">
        <v>449</v>
      </c>
      <c r="L113" s="84" t="s">
        <v>476</v>
      </c>
      <c r="M113" s="90" t="str">
        <f t="shared" si="1"/>
        <v>View on Google Map</v>
      </c>
    </row>
    <row r="114" spans="1:13" x14ac:dyDescent="0.2">
      <c r="A114" s="84">
        <v>401</v>
      </c>
      <c r="B114" s="84" t="s">
        <v>628</v>
      </c>
      <c r="C114" s="84" t="s">
        <v>449</v>
      </c>
      <c r="D114" s="84" t="s">
        <v>449</v>
      </c>
      <c r="E114" s="84" t="s">
        <v>449</v>
      </c>
      <c r="F114" s="84" t="s">
        <v>449</v>
      </c>
      <c r="G114" s="84" t="s">
        <v>460</v>
      </c>
      <c r="H114" s="84" t="s">
        <v>449</v>
      </c>
      <c r="I114" s="84" t="s">
        <v>449</v>
      </c>
      <c r="J114" s="84" t="s">
        <v>475</v>
      </c>
      <c r="K114" s="84" t="s">
        <v>449</v>
      </c>
      <c r="L114" s="84" t="s">
        <v>629</v>
      </c>
      <c r="M114" s="90" t="str">
        <f t="shared" si="1"/>
        <v>View on Google Map</v>
      </c>
    </row>
    <row r="115" spans="1:13" x14ac:dyDescent="0.2">
      <c r="A115" s="84">
        <v>403</v>
      </c>
      <c r="B115" s="84" t="s">
        <v>630</v>
      </c>
      <c r="C115" s="84" t="s">
        <v>449</v>
      </c>
      <c r="D115" s="84" t="s">
        <v>449</v>
      </c>
      <c r="E115" s="84" t="s">
        <v>449</v>
      </c>
      <c r="F115" s="84" t="s">
        <v>449</v>
      </c>
      <c r="G115" s="84" t="s">
        <v>460</v>
      </c>
      <c r="H115" s="84" t="s">
        <v>449</v>
      </c>
      <c r="I115" s="84" t="s">
        <v>449</v>
      </c>
      <c r="J115" s="84" t="s">
        <v>475</v>
      </c>
      <c r="K115" s="84" t="s">
        <v>449</v>
      </c>
      <c r="L115" s="84" t="s">
        <v>631</v>
      </c>
      <c r="M115" s="90" t="str">
        <f t="shared" si="1"/>
        <v>View on Google Map</v>
      </c>
    </row>
    <row r="116" spans="1:13" x14ac:dyDescent="0.2">
      <c r="A116" s="84">
        <v>403</v>
      </c>
      <c r="B116" s="84" t="s">
        <v>630</v>
      </c>
      <c r="C116" s="84" t="s">
        <v>449</v>
      </c>
      <c r="D116" s="84" t="s">
        <v>449</v>
      </c>
      <c r="E116" s="84" t="s">
        <v>449</v>
      </c>
      <c r="F116" s="84" t="s">
        <v>449</v>
      </c>
      <c r="G116" s="84" t="s">
        <v>460</v>
      </c>
      <c r="H116" s="84" t="s">
        <v>449</v>
      </c>
      <c r="I116" s="84" t="s">
        <v>449</v>
      </c>
      <c r="J116" s="84" t="s">
        <v>475</v>
      </c>
      <c r="K116" s="84" t="s">
        <v>449</v>
      </c>
      <c r="L116" s="84" t="s">
        <v>631</v>
      </c>
      <c r="M116" s="90" t="str">
        <f t="shared" si="1"/>
        <v>View on Google Map</v>
      </c>
    </row>
    <row r="117" spans="1:13" x14ac:dyDescent="0.2">
      <c r="A117" s="84">
        <v>1209</v>
      </c>
      <c r="B117" s="84" t="s">
        <v>632</v>
      </c>
      <c r="C117" s="84" t="s">
        <v>633</v>
      </c>
      <c r="D117" s="84">
        <v>68.934420000000003</v>
      </c>
      <c r="E117" s="84">
        <v>-150.21242000000001</v>
      </c>
      <c r="F117" s="84" t="s">
        <v>449</v>
      </c>
      <c r="G117" s="84" t="s">
        <v>450</v>
      </c>
      <c r="H117" s="84" t="s">
        <v>449</v>
      </c>
      <c r="I117" s="84" t="s">
        <v>449</v>
      </c>
      <c r="J117" s="84" t="s">
        <v>456</v>
      </c>
      <c r="K117" s="84" t="s">
        <v>449</v>
      </c>
      <c r="L117" s="84" t="s">
        <v>457</v>
      </c>
      <c r="M117" s="90" t="str">
        <f t="shared" si="1"/>
        <v>View on Google Map</v>
      </c>
    </row>
    <row r="118" spans="1:13" x14ac:dyDescent="0.2">
      <c r="A118" s="84">
        <v>482</v>
      </c>
      <c r="B118" s="84" t="s">
        <v>634</v>
      </c>
      <c r="C118" s="84" t="s">
        <v>449</v>
      </c>
      <c r="D118" s="84">
        <v>68.951483332999999</v>
      </c>
      <c r="E118" s="84">
        <v>-150.194333333</v>
      </c>
      <c r="F118" s="84">
        <v>399</v>
      </c>
      <c r="G118" s="84" t="s">
        <v>460</v>
      </c>
      <c r="H118" s="84" t="s">
        <v>449</v>
      </c>
      <c r="I118" s="84" t="s">
        <v>449</v>
      </c>
      <c r="J118" s="84" t="s">
        <v>510</v>
      </c>
      <c r="K118" s="84" t="s">
        <v>449</v>
      </c>
      <c r="L118" s="84" t="s">
        <v>457</v>
      </c>
      <c r="M118" s="90" t="str">
        <f t="shared" si="1"/>
        <v>View on Google Map</v>
      </c>
    </row>
    <row r="119" spans="1:13" x14ac:dyDescent="0.2">
      <c r="A119" s="84">
        <v>483</v>
      </c>
      <c r="B119" s="84" t="s">
        <v>635</v>
      </c>
      <c r="C119" s="84" t="s">
        <v>449</v>
      </c>
      <c r="D119" s="84">
        <v>68.950783333000004</v>
      </c>
      <c r="E119" s="84">
        <v>-150.19835</v>
      </c>
      <c r="F119" s="84">
        <v>399</v>
      </c>
      <c r="G119" s="84" t="s">
        <v>474</v>
      </c>
      <c r="H119" s="84" t="s">
        <v>636</v>
      </c>
      <c r="I119" s="84" t="s">
        <v>449</v>
      </c>
      <c r="J119" s="84" t="s">
        <v>510</v>
      </c>
      <c r="K119" s="84" t="s">
        <v>449</v>
      </c>
      <c r="L119" s="84" t="s">
        <v>457</v>
      </c>
      <c r="M119" s="90" t="str">
        <f t="shared" si="1"/>
        <v>View on Google Map</v>
      </c>
    </row>
    <row r="120" spans="1:13" x14ac:dyDescent="0.2">
      <c r="A120" s="84">
        <v>484</v>
      </c>
      <c r="B120" s="84" t="s">
        <v>637</v>
      </c>
      <c r="C120" s="84" t="s">
        <v>449</v>
      </c>
      <c r="D120" s="84">
        <v>68.957549999999998</v>
      </c>
      <c r="E120" s="84">
        <v>-150.200916667</v>
      </c>
      <c r="F120" s="84">
        <v>399</v>
      </c>
      <c r="G120" s="84" t="s">
        <v>460</v>
      </c>
      <c r="H120" s="84" t="s">
        <v>638</v>
      </c>
      <c r="I120" s="84" t="s">
        <v>639</v>
      </c>
      <c r="J120" s="84" t="s">
        <v>510</v>
      </c>
      <c r="K120" s="84" t="s">
        <v>449</v>
      </c>
      <c r="L120" s="84" t="s">
        <v>457</v>
      </c>
      <c r="M120" s="90" t="str">
        <f t="shared" si="1"/>
        <v>View on Google Map</v>
      </c>
    </row>
    <row r="121" spans="1:13" x14ac:dyDescent="0.2">
      <c r="A121" s="84">
        <v>485</v>
      </c>
      <c r="B121" s="84" t="s">
        <v>640</v>
      </c>
      <c r="C121" s="84" t="s">
        <v>449</v>
      </c>
      <c r="D121" s="84">
        <v>68.95675</v>
      </c>
      <c r="E121" s="84">
        <v>-150.19700833300001</v>
      </c>
      <c r="F121" s="84">
        <v>399</v>
      </c>
      <c r="G121" s="84" t="s">
        <v>460</v>
      </c>
      <c r="H121" s="84" t="s">
        <v>641</v>
      </c>
      <c r="I121" s="84" t="s">
        <v>449</v>
      </c>
      <c r="J121" s="84" t="s">
        <v>510</v>
      </c>
      <c r="K121" s="84" t="s">
        <v>449</v>
      </c>
      <c r="L121" s="84" t="s">
        <v>457</v>
      </c>
      <c r="M121" s="90" t="str">
        <f t="shared" si="1"/>
        <v>View on Google Map</v>
      </c>
    </row>
    <row r="122" spans="1:13" x14ac:dyDescent="0.2">
      <c r="A122" s="84">
        <v>514</v>
      </c>
      <c r="B122" s="84" t="s">
        <v>642</v>
      </c>
      <c r="C122" s="84" t="s">
        <v>459</v>
      </c>
      <c r="D122" s="84">
        <v>68.418130000000005</v>
      </c>
      <c r="E122" s="84">
        <v>-151.58454</v>
      </c>
      <c r="F122" s="84">
        <v>876</v>
      </c>
      <c r="G122" s="84" t="s">
        <v>460</v>
      </c>
      <c r="H122" s="84" t="s">
        <v>449</v>
      </c>
      <c r="I122" s="84" t="s">
        <v>449</v>
      </c>
      <c r="J122" s="84" t="s">
        <v>461</v>
      </c>
      <c r="K122" s="84" t="s">
        <v>449</v>
      </c>
      <c r="L122" s="84" t="s">
        <v>462</v>
      </c>
      <c r="M122" s="90" t="str">
        <f t="shared" si="1"/>
        <v>View on Google Map</v>
      </c>
    </row>
    <row r="123" spans="1:13" x14ac:dyDescent="0.2">
      <c r="A123" s="84">
        <v>400</v>
      </c>
      <c r="B123" s="84" t="s">
        <v>643</v>
      </c>
      <c r="C123" s="84" t="s">
        <v>449</v>
      </c>
      <c r="D123" s="84" t="s">
        <v>449</v>
      </c>
      <c r="E123" s="84" t="s">
        <v>449</v>
      </c>
      <c r="F123" s="84" t="s">
        <v>449</v>
      </c>
      <c r="G123" s="84" t="s">
        <v>460</v>
      </c>
      <c r="H123" s="84" t="s">
        <v>449</v>
      </c>
      <c r="I123" s="84" t="s">
        <v>449</v>
      </c>
      <c r="J123" s="84" t="s">
        <v>475</v>
      </c>
      <c r="K123" s="84" t="s">
        <v>449</v>
      </c>
      <c r="L123" s="84" t="s">
        <v>629</v>
      </c>
      <c r="M123" s="90" t="str">
        <f t="shared" si="1"/>
        <v>View on Google Map</v>
      </c>
    </row>
    <row r="124" spans="1:13" x14ac:dyDescent="0.2">
      <c r="A124" s="84">
        <v>137</v>
      </c>
      <c r="B124" s="84" t="s">
        <v>644</v>
      </c>
      <c r="C124" s="84" t="s">
        <v>449</v>
      </c>
      <c r="D124" s="84">
        <v>70.3</v>
      </c>
      <c r="E124" s="84">
        <v>-148.28333333333333</v>
      </c>
      <c r="F124" s="84">
        <v>6</v>
      </c>
      <c r="G124" s="84" t="s">
        <v>460</v>
      </c>
      <c r="H124" s="84" t="s">
        <v>645</v>
      </c>
      <c r="I124" s="84" t="s">
        <v>449</v>
      </c>
      <c r="J124" s="84" t="s">
        <v>475</v>
      </c>
      <c r="K124" s="84" t="s">
        <v>449</v>
      </c>
      <c r="L124" s="84" t="s">
        <v>476</v>
      </c>
      <c r="M124" s="90" t="str">
        <f t="shared" si="1"/>
        <v>View on Google Map</v>
      </c>
    </row>
    <row r="125" spans="1:13" x14ac:dyDescent="0.2">
      <c r="A125" s="84">
        <v>146</v>
      </c>
      <c r="B125" s="84" t="s">
        <v>646</v>
      </c>
      <c r="C125" s="84" t="s">
        <v>449</v>
      </c>
      <c r="D125" s="84">
        <v>68.626195602799996</v>
      </c>
      <c r="E125" s="84">
        <v>-149.55534770599999</v>
      </c>
      <c r="F125" s="84">
        <v>762</v>
      </c>
      <c r="G125" s="84" t="s">
        <v>460</v>
      </c>
      <c r="H125" s="84" t="s">
        <v>647</v>
      </c>
      <c r="I125" s="84" t="s">
        <v>648</v>
      </c>
      <c r="J125" s="84" t="s">
        <v>475</v>
      </c>
      <c r="K125" s="84" t="s">
        <v>449</v>
      </c>
      <c r="L125" s="84" t="s">
        <v>449</v>
      </c>
      <c r="M125" s="90" t="str">
        <f t="shared" si="1"/>
        <v>View on Google Map</v>
      </c>
    </row>
    <row r="126" spans="1:13" x14ac:dyDescent="0.2">
      <c r="A126" s="84">
        <v>18</v>
      </c>
      <c r="B126" s="84" t="s">
        <v>649</v>
      </c>
      <c r="C126" s="84" t="s">
        <v>449</v>
      </c>
      <c r="D126" s="84" t="s">
        <v>449</v>
      </c>
      <c r="E126" s="84" t="s">
        <v>449</v>
      </c>
      <c r="F126" s="84">
        <v>762</v>
      </c>
      <c r="G126" s="84" t="s">
        <v>474</v>
      </c>
      <c r="H126" s="84" t="s">
        <v>650</v>
      </c>
      <c r="I126" s="84" t="s">
        <v>651</v>
      </c>
      <c r="J126" s="84" t="s">
        <v>475</v>
      </c>
      <c r="K126" s="84" t="s">
        <v>449</v>
      </c>
      <c r="L126" s="84" t="s">
        <v>449</v>
      </c>
      <c r="M126" s="90" t="str">
        <f t="shared" si="1"/>
        <v>View on Google Map</v>
      </c>
    </row>
    <row r="127" spans="1:13" x14ac:dyDescent="0.2">
      <c r="A127" s="84">
        <v>310</v>
      </c>
      <c r="B127" s="84" t="s">
        <v>652</v>
      </c>
      <c r="C127" s="84" t="s">
        <v>449</v>
      </c>
      <c r="D127" s="84">
        <v>68.622894947099994</v>
      </c>
      <c r="E127" s="84">
        <v>-149.54328383999999</v>
      </c>
      <c r="F127" s="84" t="s">
        <v>449</v>
      </c>
      <c r="G127" s="84" t="s">
        <v>460</v>
      </c>
      <c r="H127" s="84" t="s">
        <v>653</v>
      </c>
      <c r="I127" s="84" t="s">
        <v>654</v>
      </c>
      <c r="J127" s="84" t="s">
        <v>475</v>
      </c>
      <c r="K127" s="84" t="s">
        <v>449</v>
      </c>
      <c r="L127" s="84" t="s">
        <v>449</v>
      </c>
      <c r="M127" s="90" t="str">
        <f t="shared" si="1"/>
        <v>View on Google Map</v>
      </c>
    </row>
    <row r="128" spans="1:13" x14ac:dyDescent="0.2">
      <c r="A128" s="84">
        <v>311</v>
      </c>
      <c r="B128" s="84" t="s">
        <v>655</v>
      </c>
      <c r="C128" s="84" t="s">
        <v>449</v>
      </c>
      <c r="D128" s="84">
        <v>68.623910828999996</v>
      </c>
      <c r="E128" s="84">
        <v>-149.53118563999999</v>
      </c>
      <c r="F128" s="84" t="s">
        <v>449</v>
      </c>
      <c r="G128" s="84" t="s">
        <v>460</v>
      </c>
      <c r="H128" s="84" t="s">
        <v>656</v>
      </c>
      <c r="I128" s="84" t="s">
        <v>657</v>
      </c>
      <c r="J128" s="84" t="s">
        <v>475</v>
      </c>
      <c r="K128" s="84" t="s">
        <v>449</v>
      </c>
      <c r="L128" s="84" t="s">
        <v>449</v>
      </c>
      <c r="M128" s="90" t="str">
        <f t="shared" si="1"/>
        <v>View on Google Map</v>
      </c>
    </row>
    <row r="129" spans="1:13" x14ac:dyDescent="0.2">
      <c r="A129" s="84">
        <v>312</v>
      </c>
      <c r="B129" s="84" t="s">
        <v>658</v>
      </c>
      <c r="C129" s="84" t="s">
        <v>449</v>
      </c>
      <c r="D129" s="84">
        <v>68.6277698106</v>
      </c>
      <c r="E129" s="84">
        <v>-149.497737003</v>
      </c>
      <c r="F129" s="84" t="s">
        <v>449</v>
      </c>
      <c r="G129" s="84" t="s">
        <v>460</v>
      </c>
      <c r="H129" s="84" t="s">
        <v>659</v>
      </c>
      <c r="I129" s="84" t="s">
        <v>660</v>
      </c>
      <c r="J129" s="84" t="s">
        <v>475</v>
      </c>
      <c r="K129" s="84" t="s">
        <v>449</v>
      </c>
      <c r="L129" s="84" t="s">
        <v>449</v>
      </c>
      <c r="M129" s="90" t="str">
        <f t="shared" si="1"/>
        <v>View on Google Map</v>
      </c>
    </row>
    <row r="130" spans="1:13" x14ac:dyDescent="0.2">
      <c r="A130" s="84">
        <v>145</v>
      </c>
      <c r="B130" s="84" t="s">
        <v>661</v>
      </c>
      <c r="C130" s="84" t="s">
        <v>449</v>
      </c>
      <c r="D130" s="84">
        <v>68.642611000000002</v>
      </c>
      <c r="E130" s="84">
        <v>-149.458079</v>
      </c>
      <c r="F130" s="84">
        <v>800</v>
      </c>
      <c r="G130" s="84" t="s">
        <v>460</v>
      </c>
      <c r="H130" s="84" t="s">
        <v>662</v>
      </c>
      <c r="I130" s="84" t="s">
        <v>663</v>
      </c>
      <c r="J130" s="84" t="s">
        <v>475</v>
      </c>
      <c r="K130" s="84" t="s">
        <v>449</v>
      </c>
      <c r="L130" s="84" t="s">
        <v>449</v>
      </c>
      <c r="M130" s="90" t="str">
        <f t="shared" si="1"/>
        <v>View on Google Map</v>
      </c>
    </row>
    <row r="131" spans="1:13" x14ac:dyDescent="0.2">
      <c r="A131" s="84">
        <v>399</v>
      </c>
      <c r="B131" s="84" t="s">
        <v>664</v>
      </c>
      <c r="C131" s="84" t="s">
        <v>449</v>
      </c>
      <c r="D131" s="84">
        <v>68.643427058300006</v>
      </c>
      <c r="E131" s="84">
        <v>-149.44056459199999</v>
      </c>
      <c r="F131" s="84">
        <v>792</v>
      </c>
      <c r="G131" s="84" t="s">
        <v>460</v>
      </c>
      <c r="H131" s="84" t="s">
        <v>665</v>
      </c>
      <c r="I131" s="84" t="s">
        <v>666</v>
      </c>
      <c r="J131" s="84" t="s">
        <v>475</v>
      </c>
      <c r="K131" s="84" t="s">
        <v>449</v>
      </c>
      <c r="L131" s="84" t="s">
        <v>449</v>
      </c>
      <c r="M131" s="90" t="str">
        <f t="shared" ref="M131:M194" si="2">HYPERLINK("http://maps.google.com/maps?q="&amp;D131&amp;","&amp;E131,"View on Google Map")</f>
        <v>View on Google Map</v>
      </c>
    </row>
    <row r="132" spans="1:13" x14ac:dyDescent="0.2">
      <c r="A132" s="84">
        <v>1605</v>
      </c>
      <c r="B132" s="84" t="s">
        <v>667</v>
      </c>
      <c r="C132" s="84" t="s">
        <v>449</v>
      </c>
      <c r="D132" s="84" t="s">
        <v>449</v>
      </c>
      <c r="E132" s="84" t="s">
        <v>449</v>
      </c>
      <c r="F132" s="84" t="s">
        <v>449</v>
      </c>
      <c r="G132" s="84" t="s">
        <v>474</v>
      </c>
      <c r="H132" s="84" t="s">
        <v>668</v>
      </c>
      <c r="I132" s="84" t="s">
        <v>669</v>
      </c>
      <c r="J132" s="84" t="s">
        <v>475</v>
      </c>
      <c r="K132" s="84" t="s">
        <v>449</v>
      </c>
      <c r="L132" s="84" t="s">
        <v>449</v>
      </c>
      <c r="M132" s="90" t="str">
        <f t="shared" si="2"/>
        <v>View on Google Map</v>
      </c>
    </row>
    <row r="133" spans="1:13" x14ac:dyDescent="0.2">
      <c r="A133" s="84">
        <v>1606</v>
      </c>
      <c r="B133" s="84" t="s">
        <v>670</v>
      </c>
      <c r="C133" s="84" t="s">
        <v>449</v>
      </c>
      <c r="D133" s="84" t="s">
        <v>449</v>
      </c>
      <c r="E133" s="84" t="s">
        <v>449</v>
      </c>
      <c r="F133" s="84" t="s">
        <v>449</v>
      </c>
      <c r="G133" s="84" t="s">
        <v>474</v>
      </c>
      <c r="H133" s="84" t="s">
        <v>671</v>
      </c>
      <c r="I133" s="84" t="s">
        <v>672</v>
      </c>
      <c r="J133" s="84" t="s">
        <v>475</v>
      </c>
      <c r="K133" s="84" t="s">
        <v>449</v>
      </c>
      <c r="L133" s="84" t="s">
        <v>449</v>
      </c>
      <c r="M133" s="90" t="str">
        <f t="shared" si="2"/>
        <v>View on Google Map</v>
      </c>
    </row>
    <row r="134" spans="1:13" x14ac:dyDescent="0.2">
      <c r="A134" s="84">
        <v>1604</v>
      </c>
      <c r="B134" s="84" t="s">
        <v>673</v>
      </c>
      <c r="C134" s="84" t="s">
        <v>449</v>
      </c>
      <c r="D134" s="84" t="s">
        <v>449</v>
      </c>
      <c r="E134" s="84" t="s">
        <v>449</v>
      </c>
      <c r="F134" s="84" t="s">
        <v>449</v>
      </c>
      <c r="G134" s="84" t="s">
        <v>474</v>
      </c>
      <c r="H134" s="84" t="s">
        <v>674</v>
      </c>
      <c r="I134" s="84" t="s">
        <v>675</v>
      </c>
      <c r="J134" s="84" t="s">
        <v>475</v>
      </c>
      <c r="K134" s="84" t="s">
        <v>449</v>
      </c>
      <c r="L134" s="84" t="s">
        <v>449</v>
      </c>
      <c r="M134" s="90" t="str">
        <f t="shared" si="2"/>
        <v>View on Google Map</v>
      </c>
    </row>
    <row r="135" spans="1:13" x14ac:dyDescent="0.2">
      <c r="A135" s="84">
        <v>24</v>
      </c>
      <c r="B135" s="84" t="s">
        <v>676</v>
      </c>
      <c r="C135" s="84" t="s">
        <v>449</v>
      </c>
      <c r="D135" s="84" t="s">
        <v>449</v>
      </c>
      <c r="E135" s="84" t="s">
        <v>449</v>
      </c>
      <c r="F135" s="84" t="s">
        <v>449</v>
      </c>
      <c r="G135" s="84" t="s">
        <v>474</v>
      </c>
      <c r="H135" s="84" t="s">
        <v>449</v>
      </c>
      <c r="I135" s="84" t="s">
        <v>449</v>
      </c>
      <c r="J135" s="84" t="s">
        <v>475</v>
      </c>
      <c r="K135" s="84" t="s">
        <v>449</v>
      </c>
      <c r="L135" s="84" t="s">
        <v>449</v>
      </c>
      <c r="M135" s="90" t="str">
        <f t="shared" si="2"/>
        <v>View on Google Map</v>
      </c>
    </row>
    <row r="136" spans="1:13" x14ac:dyDescent="0.2">
      <c r="A136" s="84">
        <v>143</v>
      </c>
      <c r="B136" s="84" t="s">
        <v>677</v>
      </c>
      <c r="C136" s="84" t="s">
        <v>678</v>
      </c>
      <c r="D136" s="84">
        <v>68.650000000000006</v>
      </c>
      <c r="E136" s="84">
        <v>-148.5</v>
      </c>
      <c r="F136" s="84">
        <v>525</v>
      </c>
      <c r="G136" s="84" t="s">
        <v>460</v>
      </c>
      <c r="H136" s="84" t="s">
        <v>449</v>
      </c>
      <c r="I136" s="84" t="s">
        <v>449</v>
      </c>
      <c r="J136" s="84" t="s">
        <v>475</v>
      </c>
      <c r="K136" s="84" t="s">
        <v>449</v>
      </c>
      <c r="L136" s="84" t="s">
        <v>476</v>
      </c>
      <c r="M136" s="90" t="str">
        <f t="shared" si="2"/>
        <v>View on Google Map</v>
      </c>
    </row>
    <row r="137" spans="1:13" x14ac:dyDescent="0.2">
      <c r="A137" s="84">
        <v>464</v>
      </c>
      <c r="B137" s="84" t="s">
        <v>679</v>
      </c>
      <c r="C137" s="84" t="s">
        <v>449</v>
      </c>
      <c r="D137" s="84">
        <v>68.793719999999993</v>
      </c>
      <c r="E137" s="84">
        <v>-149.47560999999999</v>
      </c>
      <c r="F137" s="84">
        <v>702</v>
      </c>
      <c r="G137" s="84" t="s">
        <v>460</v>
      </c>
      <c r="H137" s="84" t="s">
        <v>449</v>
      </c>
      <c r="I137" s="84" t="s">
        <v>449</v>
      </c>
      <c r="J137" s="84" t="s">
        <v>461</v>
      </c>
      <c r="K137" s="84" t="s">
        <v>449</v>
      </c>
      <c r="L137" s="84" t="s">
        <v>449</v>
      </c>
      <c r="M137" s="90" t="str">
        <f t="shared" si="2"/>
        <v>View on Google Map</v>
      </c>
    </row>
    <row r="138" spans="1:13" x14ac:dyDescent="0.2">
      <c r="A138" s="84">
        <v>465</v>
      </c>
      <c r="B138" s="84" t="s">
        <v>680</v>
      </c>
      <c r="C138" s="84" t="s">
        <v>449</v>
      </c>
      <c r="D138" s="84">
        <v>68.796220000000005</v>
      </c>
      <c r="E138" s="84">
        <v>-149.48222000000001</v>
      </c>
      <c r="F138" s="84">
        <v>698</v>
      </c>
      <c r="G138" s="84" t="s">
        <v>460</v>
      </c>
      <c r="H138" s="84" t="s">
        <v>449</v>
      </c>
      <c r="I138" s="84" t="s">
        <v>449</v>
      </c>
      <c r="J138" s="84" t="s">
        <v>461</v>
      </c>
      <c r="K138" s="84" t="s">
        <v>449</v>
      </c>
      <c r="L138" s="84" t="s">
        <v>449</v>
      </c>
      <c r="M138" s="90" t="str">
        <f t="shared" si="2"/>
        <v>View on Google Map</v>
      </c>
    </row>
    <row r="139" spans="1:13" x14ac:dyDescent="0.2">
      <c r="A139" s="84">
        <v>466</v>
      </c>
      <c r="B139" s="84" t="s">
        <v>681</v>
      </c>
      <c r="C139" s="84" t="s">
        <v>449</v>
      </c>
      <c r="D139" s="84">
        <v>68.798249999999996</v>
      </c>
      <c r="E139" s="84">
        <v>-149.47832</v>
      </c>
      <c r="F139" s="84">
        <v>697</v>
      </c>
      <c r="G139" s="84" t="s">
        <v>460</v>
      </c>
      <c r="H139" s="84" t="s">
        <v>449</v>
      </c>
      <c r="I139" s="84" t="s">
        <v>449</v>
      </c>
      <c r="J139" s="84" t="s">
        <v>461</v>
      </c>
      <c r="K139" s="84" t="s">
        <v>449</v>
      </c>
      <c r="L139" s="84" t="s">
        <v>449</v>
      </c>
      <c r="M139" s="90" t="str">
        <f t="shared" si="2"/>
        <v>View on Google Map</v>
      </c>
    </row>
    <row r="140" spans="1:13" x14ac:dyDescent="0.2">
      <c r="A140" s="84">
        <v>467</v>
      </c>
      <c r="B140" s="84" t="s">
        <v>682</v>
      </c>
      <c r="C140" s="84" t="s">
        <v>449</v>
      </c>
      <c r="D140" s="84">
        <v>68.794659999999993</v>
      </c>
      <c r="E140" s="84">
        <v>-149.46985000000001</v>
      </c>
      <c r="F140" s="84">
        <v>702</v>
      </c>
      <c r="G140" s="84" t="s">
        <v>460</v>
      </c>
      <c r="H140" s="84" t="s">
        <v>449</v>
      </c>
      <c r="I140" s="84" t="s">
        <v>449</v>
      </c>
      <c r="J140" s="84" t="s">
        <v>461</v>
      </c>
      <c r="K140" s="84" t="s">
        <v>449</v>
      </c>
      <c r="L140" s="84" t="s">
        <v>449</v>
      </c>
      <c r="M140" s="90" t="str">
        <f t="shared" si="2"/>
        <v>View on Google Map</v>
      </c>
    </row>
    <row r="141" spans="1:13" x14ac:dyDescent="0.2">
      <c r="A141" s="84">
        <v>468</v>
      </c>
      <c r="B141" s="84" t="s">
        <v>683</v>
      </c>
      <c r="C141" s="84" t="s">
        <v>449</v>
      </c>
      <c r="D141" s="84">
        <v>68.797669999999997</v>
      </c>
      <c r="E141" s="84">
        <v>-149.46574000000001</v>
      </c>
      <c r="F141" s="84">
        <v>692</v>
      </c>
      <c r="G141" s="84" t="s">
        <v>460</v>
      </c>
      <c r="H141" s="84" t="s">
        <v>449</v>
      </c>
      <c r="I141" s="84" t="s">
        <v>449</v>
      </c>
      <c r="J141" s="84" t="s">
        <v>461</v>
      </c>
      <c r="K141" s="84" t="s">
        <v>449</v>
      </c>
      <c r="L141" s="84" t="s">
        <v>449</v>
      </c>
      <c r="M141" s="90" t="str">
        <f t="shared" si="2"/>
        <v>View on Google Map</v>
      </c>
    </row>
    <row r="142" spans="1:13" x14ac:dyDescent="0.2">
      <c r="A142" s="84">
        <v>469</v>
      </c>
      <c r="B142" s="84" t="s">
        <v>684</v>
      </c>
      <c r="C142" s="84" t="s">
        <v>449</v>
      </c>
      <c r="D142" s="84">
        <v>68.802390000000003</v>
      </c>
      <c r="E142" s="84">
        <v>-149.46473</v>
      </c>
      <c r="F142" s="84">
        <v>683</v>
      </c>
      <c r="G142" s="84" t="s">
        <v>460</v>
      </c>
      <c r="H142" s="84" t="s">
        <v>449</v>
      </c>
      <c r="I142" s="84" t="s">
        <v>449</v>
      </c>
      <c r="J142" s="84" t="s">
        <v>461</v>
      </c>
      <c r="K142" s="84" t="s">
        <v>449</v>
      </c>
      <c r="L142" s="84" t="s">
        <v>449</v>
      </c>
      <c r="M142" s="90" t="str">
        <f t="shared" si="2"/>
        <v>View on Google Map</v>
      </c>
    </row>
    <row r="143" spans="1:13" x14ac:dyDescent="0.2">
      <c r="A143" s="84">
        <v>406</v>
      </c>
      <c r="B143" s="84" t="s">
        <v>685</v>
      </c>
      <c r="C143" s="84" t="s">
        <v>449</v>
      </c>
      <c r="D143" s="84" t="s">
        <v>449</v>
      </c>
      <c r="E143" s="84" t="s">
        <v>449</v>
      </c>
      <c r="F143" s="84" t="s">
        <v>449</v>
      </c>
      <c r="G143" s="84" t="s">
        <v>460</v>
      </c>
      <c r="H143" s="84" t="s">
        <v>449</v>
      </c>
      <c r="I143" s="84" t="s">
        <v>449</v>
      </c>
      <c r="J143" s="84" t="s">
        <v>475</v>
      </c>
      <c r="K143" s="84" t="s">
        <v>449</v>
      </c>
      <c r="L143" s="84" t="s">
        <v>631</v>
      </c>
      <c r="M143" s="90" t="str">
        <f t="shared" si="2"/>
        <v>View on Google Map</v>
      </c>
    </row>
    <row r="144" spans="1:13" x14ac:dyDescent="0.2">
      <c r="A144" s="84">
        <v>407</v>
      </c>
      <c r="B144" s="84" t="s">
        <v>686</v>
      </c>
      <c r="C144" s="84" t="s">
        <v>449</v>
      </c>
      <c r="D144" s="84" t="s">
        <v>449</v>
      </c>
      <c r="E144" s="84" t="s">
        <v>449</v>
      </c>
      <c r="F144" s="84" t="s">
        <v>449</v>
      </c>
      <c r="G144" s="84" t="s">
        <v>460</v>
      </c>
      <c r="H144" s="84" t="s">
        <v>449</v>
      </c>
      <c r="I144" s="84" t="s">
        <v>449</v>
      </c>
      <c r="J144" s="84" t="s">
        <v>475</v>
      </c>
      <c r="K144" s="84" t="s">
        <v>449</v>
      </c>
      <c r="L144" s="84" t="s">
        <v>631</v>
      </c>
      <c r="M144" s="90" t="str">
        <f t="shared" si="2"/>
        <v>View on Google Map</v>
      </c>
    </row>
    <row r="145" spans="1:13" x14ac:dyDescent="0.2">
      <c r="A145" s="84">
        <v>164</v>
      </c>
      <c r="B145" s="84" t="s">
        <v>687</v>
      </c>
      <c r="C145" s="84" t="s">
        <v>449</v>
      </c>
      <c r="D145" s="84">
        <v>68.683333333333337</v>
      </c>
      <c r="E145" s="84">
        <v>-149.07666666666699</v>
      </c>
      <c r="F145" s="84">
        <v>770</v>
      </c>
      <c r="G145" s="84" t="s">
        <v>460</v>
      </c>
      <c r="H145" s="84" t="s">
        <v>688</v>
      </c>
      <c r="I145" s="84" t="s">
        <v>689</v>
      </c>
      <c r="J145" s="84" t="s">
        <v>475</v>
      </c>
      <c r="K145" s="84">
        <v>274</v>
      </c>
      <c r="L145" s="84" t="s">
        <v>449</v>
      </c>
      <c r="M145" s="90" t="str">
        <f t="shared" si="2"/>
        <v>View on Google Map</v>
      </c>
    </row>
    <row r="146" spans="1:13" x14ac:dyDescent="0.2">
      <c r="A146" s="84">
        <v>165</v>
      </c>
      <c r="B146" s="84" t="s">
        <v>690</v>
      </c>
      <c r="C146" s="84" t="s">
        <v>449</v>
      </c>
      <c r="D146" s="84">
        <v>68.683333333333337</v>
      </c>
      <c r="E146" s="84">
        <v>-149.1</v>
      </c>
      <c r="F146" s="84">
        <v>785</v>
      </c>
      <c r="G146" s="84" t="s">
        <v>460</v>
      </c>
      <c r="H146" s="84" t="s">
        <v>691</v>
      </c>
      <c r="I146" s="84" t="s">
        <v>692</v>
      </c>
      <c r="J146" s="84" t="s">
        <v>475</v>
      </c>
      <c r="K146" s="84">
        <v>275</v>
      </c>
      <c r="L146" s="84" t="s">
        <v>449</v>
      </c>
      <c r="M146" s="90" t="str">
        <f t="shared" si="2"/>
        <v>View on Google Map</v>
      </c>
    </row>
    <row r="147" spans="1:13" x14ac:dyDescent="0.2">
      <c r="A147" s="84">
        <v>166</v>
      </c>
      <c r="B147" s="84" t="s">
        <v>693</v>
      </c>
      <c r="C147" s="84" t="s">
        <v>449</v>
      </c>
      <c r="D147" s="84">
        <v>68.666666666666671</v>
      </c>
      <c r="E147" s="84">
        <v>-149.1</v>
      </c>
      <c r="F147" s="84">
        <v>792</v>
      </c>
      <c r="G147" s="84" t="s">
        <v>460</v>
      </c>
      <c r="H147" s="84" t="s">
        <v>694</v>
      </c>
      <c r="I147" s="84" t="s">
        <v>695</v>
      </c>
      <c r="J147" s="84" t="s">
        <v>475</v>
      </c>
      <c r="K147" s="84">
        <v>276</v>
      </c>
      <c r="L147" s="84" t="s">
        <v>449</v>
      </c>
      <c r="M147" s="90" t="str">
        <f t="shared" si="2"/>
        <v>View on Google Map</v>
      </c>
    </row>
    <row r="148" spans="1:13" x14ac:dyDescent="0.2">
      <c r="A148" s="84">
        <v>167</v>
      </c>
      <c r="B148" s="84" t="s">
        <v>696</v>
      </c>
      <c r="C148" s="84" t="s">
        <v>449</v>
      </c>
      <c r="D148" s="84">
        <v>68.680000000000007</v>
      </c>
      <c r="E148" s="84">
        <v>-149.071666666667</v>
      </c>
      <c r="F148" s="84">
        <v>754</v>
      </c>
      <c r="G148" s="84" t="s">
        <v>460</v>
      </c>
      <c r="H148" s="84" t="s">
        <v>697</v>
      </c>
      <c r="I148" s="84" t="s">
        <v>698</v>
      </c>
      <c r="J148" s="84" t="s">
        <v>475</v>
      </c>
      <c r="K148" s="84" t="s">
        <v>449</v>
      </c>
      <c r="L148" s="84" t="s">
        <v>449</v>
      </c>
      <c r="M148" s="90" t="str">
        <f t="shared" si="2"/>
        <v>View on Google Map</v>
      </c>
    </row>
    <row r="149" spans="1:13" x14ac:dyDescent="0.2">
      <c r="A149" s="84">
        <v>168</v>
      </c>
      <c r="B149" s="84" t="s">
        <v>699</v>
      </c>
      <c r="C149" s="84" t="s">
        <v>449</v>
      </c>
      <c r="D149" s="84">
        <v>68.674999999999997</v>
      </c>
      <c r="E149" s="84">
        <v>-149.06</v>
      </c>
      <c r="F149" s="84" t="s">
        <v>449</v>
      </c>
      <c r="G149" s="84" t="s">
        <v>460</v>
      </c>
      <c r="H149" s="84" t="s">
        <v>700</v>
      </c>
      <c r="I149" s="84" t="s">
        <v>701</v>
      </c>
      <c r="J149" s="84" t="s">
        <v>475</v>
      </c>
      <c r="K149" s="84" t="s">
        <v>449</v>
      </c>
      <c r="L149" s="84" t="s">
        <v>449</v>
      </c>
      <c r="M149" s="90" t="str">
        <f t="shared" si="2"/>
        <v>View on Google Map</v>
      </c>
    </row>
    <row r="150" spans="1:13" x14ac:dyDescent="0.2">
      <c r="A150" s="84">
        <v>124</v>
      </c>
      <c r="B150" s="84" t="s">
        <v>702</v>
      </c>
      <c r="C150" s="84" t="s">
        <v>449</v>
      </c>
      <c r="D150" s="84">
        <v>68.466666666666669</v>
      </c>
      <c r="E150" s="84">
        <v>-149.5</v>
      </c>
      <c r="F150" s="84">
        <v>802</v>
      </c>
      <c r="G150" s="84" t="s">
        <v>460</v>
      </c>
      <c r="H150" s="84" t="s">
        <v>703</v>
      </c>
      <c r="I150" s="84" t="s">
        <v>449</v>
      </c>
      <c r="J150" s="84" t="s">
        <v>475</v>
      </c>
      <c r="K150" s="84" t="s">
        <v>449</v>
      </c>
      <c r="L150" s="84" t="s">
        <v>476</v>
      </c>
      <c r="M150" s="90" t="str">
        <f t="shared" si="2"/>
        <v>View on Google Map</v>
      </c>
    </row>
    <row r="151" spans="1:13" x14ac:dyDescent="0.2">
      <c r="A151" s="84">
        <v>432</v>
      </c>
      <c r="B151" s="84" t="s">
        <v>704</v>
      </c>
      <c r="C151" s="84" t="s">
        <v>449</v>
      </c>
      <c r="D151" s="84" t="s">
        <v>449</v>
      </c>
      <c r="E151" s="84" t="s">
        <v>449</v>
      </c>
      <c r="F151" s="84">
        <v>800</v>
      </c>
      <c r="G151" s="84" t="s">
        <v>460</v>
      </c>
      <c r="H151" s="84" t="s">
        <v>705</v>
      </c>
      <c r="I151" s="84" t="s">
        <v>449</v>
      </c>
      <c r="J151" s="84" t="s">
        <v>475</v>
      </c>
      <c r="K151" s="84" t="s">
        <v>449</v>
      </c>
      <c r="L151" s="84" t="s">
        <v>706</v>
      </c>
      <c r="M151" s="90" t="str">
        <f t="shared" si="2"/>
        <v>View on Google Map</v>
      </c>
    </row>
    <row r="152" spans="1:13" x14ac:dyDescent="0.2">
      <c r="A152" s="84">
        <v>433</v>
      </c>
      <c r="B152" s="84" t="s">
        <v>707</v>
      </c>
      <c r="C152" s="84" t="s">
        <v>449</v>
      </c>
      <c r="D152" s="84" t="s">
        <v>449</v>
      </c>
      <c r="E152" s="84" t="s">
        <v>449</v>
      </c>
      <c r="F152" s="84">
        <v>800</v>
      </c>
      <c r="G152" s="84" t="s">
        <v>460</v>
      </c>
      <c r="H152" s="84" t="s">
        <v>708</v>
      </c>
      <c r="I152" s="84" t="s">
        <v>449</v>
      </c>
      <c r="J152" s="84" t="s">
        <v>475</v>
      </c>
      <c r="K152" s="84" t="s">
        <v>449</v>
      </c>
      <c r="L152" s="84" t="s">
        <v>706</v>
      </c>
      <c r="M152" s="90" t="str">
        <f t="shared" si="2"/>
        <v>View on Google Map</v>
      </c>
    </row>
    <row r="153" spans="1:13" x14ac:dyDescent="0.2">
      <c r="A153" s="84">
        <v>434</v>
      </c>
      <c r="B153" s="84" t="s">
        <v>709</v>
      </c>
      <c r="C153" s="84" t="s">
        <v>449</v>
      </c>
      <c r="D153" s="84" t="s">
        <v>449</v>
      </c>
      <c r="E153" s="84" t="s">
        <v>449</v>
      </c>
      <c r="F153" s="84">
        <v>801</v>
      </c>
      <c r="G153" s="84" t="s">
        <v>460</v>
      </c>
      <c r="H153" s="84" t="s">
        <v>710</v>
      </c>
      <c r="I153" s="84" t="s">
        <v>449</v>
      </c>
      <c r="J153" s="84" t="s">
        <v>475</v>
      </c>
      <c r="K153" s="84" t="s">
        <v>449</v>
      </c>
      <c r="L153" s="84" t="s">
        <v>706</v>
      </c>
      <c r="M153" s="90" t="str">
        <f t="shared" si="2"/>
        <v>View on Google Map</v>
      </c>
    </row>
    <row r="154" spans="1:13" x14ac:dyDescent="0.2">
      <c r="A154" s="84">
        <v>435</v>
      </c>
      <c r="B154" s="84" t="s">
        <v>711</v>
      </c>
      <c r="C154" s="84" t="s">
        <v>449</v>
      </c>
      <c r="D154" s="84" t="s">
        <v>449</v>
      </c>
      <c r="E154" s="84" t="s">
        <v>449</v>
      </c>
      <c r="F154" s="84">
        <v>802</v>
      </c>
      <c r="G154" s="84" t="s">
        <v>460</v>
      </c>
      <c r="H154" s="84" t="s">
        <v>712</v>
      </c>
      <c r="I154" s="84" t="s">
        <v>449</v>
      </c>
      <c r="J154" s="84" t="s">
        <v>475</v>
      </c>
      <c r="K154" s="84" t="s">
        <v>449</v>
      </c>
      <c r="L154" s="84" t="s">
        <v>706</v>
      </c>
      <c r="M154" s="90" t="str">
        <f t="shared" si="2"/>
        <v>View on Google Map</v>
      </c>
    </row>
    <row r="155" spans="1:13" x14ac:dyDescent="0.2">
      <c r="A155" s="84">
        <v>436</v>
      </c>
      <c r="B155" s="84" t="s">
        <v>713</v>
      </c>
      <c r="C155" s="84" t="s">
        <v>449</v>
      </c>
      <c r="D155" s="84" t="s">
        <v>449</v>
      </c>
      <c r="E155" s="84" t="s">
        <v>449</v>
      </c>
      <c r="F155" s="84">
        <v>803</v>
      </c>
      <c r="G155" s="84" t="s">
        <v>460</v>
      </c>
      <c r="H155" s="84" t="s">
        <v>714</v>
      </c>
      <c r="I155" s="84" t="s">
        <v>449</v>
      </c>
      <c r="J155" s="84" t="s">
        <v>475</v>
      </c>
      <c r="K155" s="84" t="s">
        <v>449</v>
      </c>
      <c r="L155" s="84" t="s">
        <v>706</v>
      </c>
      <c r="M155" s="90" t="str">
        <f t="shared" si="2"/>
        <v>View on Google Map</v>
      </c>
    </row>
    <row r="156" spans="1:13" x14ac:dyDescent="0.2">
      <c r="A156" s="84">
        <v>437</v>
      </c>
      <c r="B156" s="84" t="s">
        <v>715</v>
      </c>
      <c r="C156" s="84" t="s">
        <v>449</v>
      </c>
      <c r="D156" s="84" t="s">
        <v>449</v>
      </c>
      <c r="E156" s="84" t="s">
        <v>449</v>
      </c>
      <c r="F156" s="84">
        <v>804</v>
      </c>
      <c r="G156" s="84" t="s">
        <v>460</v>
      </c>
      <c r="H156" s="84" t="s">
        <v>716</v>
      </c>
      <c r="I156" s="84" t="s">
        <v>449</v>
      </c>
      <c r="J156" s="84" t="s">
        <v>475</v>
      </c>
      <c r="K156" s="84" t="s">
        <v>449</v>
      </c>
      <c r="L156" s="84" t="s">
        <v>706</v>
      </c>
      <c r="M156" s="90" t="str">
        <f t="shared" si="2"/>
        <v>View on Google Map</v>
      </c>
    </row>
    <row r="157" spans="1:13" x14ac:dyDescent="0.2">
      <c r="A157" s="84">
        <v>438</v>
      </c>
      <c r="B157" s="84" t="s">
        <v>717</v>
      </c>
      <c r="C157" s="84" t="s">
        <v>449</v>
      </c>
      <c r="D157" s="84" t="s">
        <v>449</v>
      </c>
      <c r="E157" s="84" t="s">
        <v>449</v>
      </c>
      <c r="F157" s="84">
        <v>805</v>
      </c>
      <c r="G157" s="84" t="s">
        <v>460</v>
      </c>
      <c r="H157" s="84" t="s">
        <v>718</v>
      </c>
      <c r="I157" s="84" t="s">
        <v>449</v>
      </c>
      <c r="J157" s="84" t="s">
        <v>475</v>
      </c>
      <c r="K157" s="84" t="s">
        <v>449</v>
      </c>
      <c r="L157" s="84" t="s">
        <v>706</v>
      </c>
      <c r="M157" s="90" t="str">
        <f t="shared" si="2"/>
        <v>View on Google Map</v>
      </c>
    </row>
    <row r="158" spans="1:13" x14ac:dyDescent="0.2">
      <c r="A158" s="84">
        <v>439</v>
      </c>
      <c r="B158" s="84" t="s">
        <v>719</v>
      </c>
      <c r="C158" s="84" t="s">
        <v>449</v>
      </c>
      <c r="D158" s="84" t="s">
        <v>449</v>
      </c>
      <c r="E158" s="84" t="s">
        <v>449</v>
      </c>
      <c r="F158" s="84">
        <v>807</v>
      </c>
      <c r="G158" s="84" t="s">
        <v>460</v>
      </c>
      <c r="H158" s="84" t="s">
        <v>720</v>
      </c>
      <c r="I158" s="84" t="s">
        <v>449</v>
      </c>
      <c r="J158" s="84" t="s">
        <v>475</v>
      </c>
      <c r="K158" s="84" t="s">
        <v>449</v>
      </c>
      <c r="L158" s="84" t="s">
        <v>706</v>
      </c>
      <c r="M158" s="90" t="str">
        <f t="shared" si="2"/>
        <v>View on Google Map</v>
      </c>
    </row>
    <row r="159" spans="1:13" x14ac:dyDescent="0.2">
      <c r="A159" s="84">
        <v>440</v>
      </c>
      <c r="B159" s="84" t="s">
        <v>721</v>
      </c>
      <c r="C159" s="84" t="s">
        <v>449</v>
      </c>
      <c r="D159" s="84" t="s">
        <v>449</v>
      </c>
      <c r="E159" s="84" t="s">
        <v>449</v>
      </c>
      <c r="F159" s="84">
        <v>805</v>
      </c>
      <c r="G159" s="84" t="s">
        <v>460</v>
      </c>
      <c r="H159" s="84" t="s">
        <v>722</v>
      </c>
      <c r="I159" s="84" t="s">
        <v>449</v>
      </c>
      <c r="J159" s="84" t="s">
        <v>475</v>
      </c>
      <c r="K159" s="84" t="s">
        <v>449</v>
      </c>
      <c r="L159" s="84" t="s">
        <v>706</v>
      </c>
      <c r="M159" s="90" t="str">
        <f t="shared" si="2"/>
        <v>View on Google Map</v>
      </c>
    </row>
    <row r="160" spans="1:13" x14ac:dyDescent="0.2">
      <c r="A160" s="84">
        <v>441</v>
      </c>
      <c r="B160" s="84" t="s">
        <v>723</v>
      </c>
      <c r="C160" s="84" t="s">
        <v>449</v>
      </c>
      <c r="D160" s="84" t="s">
        <v>449</v>
      </c>
      <c r="E160" s="84" t="s">
        <v>449</v>
      </c>
      <c r="F160" s="84">
        <v>805</v>
      </c>
      <c r="G160" s="84" t="s">
        <v>460</v>
      </c>
      <c r="H160" s="84" t="s">
        <v>724</v>
      </c>
      <c r="I160" s="84" t="s">
        <v>449</v>
      </c>
      <c r="J160" s="84" t="s">
        <v>475</v>
      </c>
      <c r="K160" s="84" t="s">
        <v>449</v>
      </c>
      <c r="L160" s="84" t="s">
        <v>706</v>
      </c>
      <c r="M160" s="90" t="str">
        <f t="shared" si="2"/>
        <v>View on Google Map</v>
      </c>
    </row>
    <row r="161" spans="1:14" x14ac:dyDescent="0.2">
      <c r="A161" s="84">
        <v>442</v>
      </c>
      <c r="B161" s="84" t="s">
        <v>725</v>
      </c>
      <c r="C161" s="84" t="s">
        <v>449</v>
      </c>
      <c r="D161" s="84" t="s">
        <v>449</v>
      </c>
      <c r="E161" s="84" t="s">
        <v>449</v>
      </c>
      <c r="F161" s="84">
        <v>805</v>
      </c>
      <c r="G161" s="84" t="s">
        <v>460</v>
      </c>
      <c r="H161" s="84" t="s">
        <v>726</v>
      </c>
      <c r="I161" s="84" t="s">
        <v>449</v>
      </c>
      <c r="J161" s="84" t="s">
        <v>475</v>
      </c>
      <c r="K161" s="84" t="s">
        <v>449</v>
      </c>
      <c r="L161" s="84" t="s">
        <v>706</v>
      </c>
      <c r="M161" s="90" t="str">
        <f t="shared" si="2"/>
        <v>View on Google Map</v>
      </c>
    </row>
    <row r="162" spans="1:14" x14ac:dyDescent="0.2">
      <c r="A162" s="84">
        <v>443</v>
      </c>
      <c r="B162" s="84" t="s">
        <v>727</v>
      </c>
      <c r="C162" s="84" t="s">
        <v>449</v>
      </c>
      <c r="D162" s="84" t="s">
        <v>449</v>
      </c>
      <c r="E162" s="84" t="s">
        <v>449</v>
      </c>
      <c r="F162" s="84">
        <v>812</v>
      </c>
      <c r="G162" s="84" t="s">
        <v>460</v>
      </c>
      <c r="H162" s="84" t="s">
        <v>728</v>
      </c>
      <c r="I162" s="84" t="s">
        <v>449</v>
      </c>
      <c r="J162" s="84" t="s">
        <v>475</v>
      </c>
      <c r="K162" s="84" t="s">
        <v>449</v>
      </c>
      <c r="L162" s="84" t="s">
        <v>706</v>
      </c>
      <c r="M162" s="90" t="str">
        <f t="shared" si="2"/>
        <v>View on Google Map</v>
      </c>
    </row>
    <row r="163" spans="1:14" x14ac:dyDescent="0.2">
      <c r="A163" s="84">
        <v>28</v>
      </c>
      <c r="B163" s="84" t="s">
        <v>729</v>
      </c>
      <c r="C163" s="84" t="s">
        <v>449</v>
      </c>
      <c r="D163" s="84" t="s">
        <v>449</v>
      </c>
      <c r="E163" s="84" t="s">
        <v>449</v>
      </c>
      <c r="F163" s="84">
        <v>1189</v>
      </c>
      <c r="G163" s="84" t="s">
        <v>474</v>
      </c>
      <c r="H163" s="84" t="s">
        <v>730</v>
      </c>
      <c r="I163" s="84" t="s">
        <v>449</v>
      </c>
      <c r="J163" s="84" t="s">
        <v>475</v>
      </c>
      <c r="K163" s="84" t="s">
        <v>449</v>
      </c>
      <c r="L163" s="84" t="s">
        <v>449</v>
      </c>
      <c r="M163" s="90" t="str">
        <f t="shared" si="2"/>
        <v>View on Google Map</v>
      </c>
    </row>
    <row r="164" spans="1:14" x14ac:dyDescent="0.2">
      <c r="A164" s="84">
        <v>29</v>
      </c>
      <c r="B164" s="84" t="s">
        <v>731</v>
      </c>
      <c r="C164" s="84" t="s">
        <v>449</v>
      </c>
      <c r="D164" s="84" t="s">
        <v>449</v>
      </c>
      <c r="E164" s="84" t="s">
        <v>449</v>
      </c>
      <c r="F164" s="84">
        <v>1372</v>
      </c>
      <c r="G164" s="84" t="s">
        <v>474</v>
      </c>
      <c r="H164" s="84" t="s">
        <v>732</v>
      </c>
      <c r="I164" s="84" t="s">
        <v>449</v>
      </c>
      <c r="J164" s="84" t="s">
        <v>475</v>
      </c>
      <c r="K164" s="84" t="s">
        <v>449</v>
      </c>
      <c r="L164" s="84" t="s">
        <v>449</v>
      </c>
      <c r="M164" s="90" t="str">
        <f t="shared" si="2"/>
        <v>View on Google Map</v>
      </c>
    </row>
    <row r="165" spans="1:14" x14ac:dyDescent="0.2">
      <c r="A165" s="84">
        <v>30</v>
      </c>
      <c r="B165" s="84" t="s">
        <v>733</v>
      </c>
      <c r="C165" s="84" t="s">
        <v>449</v>
      </c>
      <c r="D165" s="84" t="s">
        <v>449</v>
      </c>
      <c r="E165" s="84" t="s">
        <v>449</v>
      </c>
      <c r="F165" s="84">
        <v>1463</v>
      </c>
      <c r="G165" s="84" t="s">
        <v>474</v>
      </c>
      <c r="H165" s="84" t="s">
        <v>734</v>
      </c>
      <c r="I165" s="84" t="s">
        <v>449</v>
      </c>
      <c r="J165" s="84" t="s">
        <v>475</v>
      </c>
      <c r="K165" s="84" t="s">
        <v>449</v>
      </c>
      <c r="L165" s="84" t="s">
        <v>449</v>
      </c>
      <c r="M165" s="90" t="str">
        <f t="shared" si="2"/>
        <v>View on Google Map</v>
      </c>
    </row>
    <row r="166" spans="1:14" x14ac:dyDescent="0.2">
      <c r="A166" s="84">
        <v>142</v>
      </c>
      <c r="B166" s="84" t="s">
        <v>735</v>
      </c>
      <c r="C166" s="84" t="s">
        <v>736</v>
      </c>
      <c r="D166" s="84">
        <v>68.53698</v>
      </c>
      <c r="E166" s="84">
        <v>-149.23740000000001</v>
      </c>
      <c r="F166" s="84">
        <v>883</v>
      </c>
      <c r="G166" s="84" t="s">
        <v>460</v>
      </c>
      <c r="H166" s="84" t="s">
        <v>737</v>
      </c>
      <c r="I166" s="84" t="s">
        <v>738</v>
      </c>
      <c r="J166" s="84" t="s">
        <v>475</v>
      </c>
      <c r="K166" s="84" t="s">
        <v>449</v>
      </c>
      <c r="L166" s="84" t="s">
        <v>476</v>
      </c>
      <c r="M166" s="90" t="str">
        <f t="shared" si="2"/>
        <v>View on Google Map</v>
      </c>
    </row>
    <row r="167" spans="1:14" x14ac:dyDescent="0.2">
      <c r="A167" s="84">
        <v>416</v>
      </c>
      <c r="B167" s="84" t="s">
        <v>739</v>
      </c>
      <c r="C167" s="84" t="s">
        <v>740</v>
      </c>
      <c r="D167" s="84">
        <v>68.496079978500006</v>
      </c>
      <c r="E167" s="84">
        <v>-149.60215567200001</v>
      </c>
      <c r="F167" s="84">
        <v>938</v>
      </c>
      <c r="G167" s="84" t="s">
        <v>460</v>
      </c>
      <c r="H167" s="84" t="s">
        <v>741</v>
      </c>
      <c r="I167" s="84" t="s">
        <v>449</v>
      </c>
      <c r="J167" s="84" t="s">
        <v>742</v>
      </c>
      <c r="K167" s="84" t="s">
        <v>449</v>
      </c>
      <c r="L167" s="84" t="s">
        <v>743</v>
      </c>
      <c r="M167" s="90" t="str">
        <f t="shared" si="2"/>
        <v>View on Google Map</v>
      </c>
      <c r="N167" s="84">
        <f>VALUE(MID(B167,5,3))</f>
        <v>100</v>
      </c>
    </row>
    <row r="168" spans="1:14" x14ac:dyDescent="0.2">
      <c r="A168" s="84">
        <v>417</v>
      </c>
      <c r="B168" s="84" t="s">
        <v>744</v>
      </c>
      <c r="C168" s="84" t="s">
        <v>745</v>
      </c>
      <c r="D168" s="84">
        <v>68.491641939700003</v>
      </c>
      <c r="E168" s="84">
        <v>-149.60743984699999</v>
      </c>
      <c r="F168" s="84">
        <v>937</v>
      </c>
      <c r="G168" s="84" t="s">
        <v>460</v>
      </c>
      <c r="H168" s="84" t="s">
        <v>746</v>
      </c>
      <c r="I168" s="84" t="s">
        <v>449</v>
      </c>
      <c r="J168" s="84" t="s">
        <v>742</v>
      </c>
      <c r="K168" s="84" t="s">
        <v>449</v>
      </c>
      <c r="L168" s="84" t="s">
        <v>743</v>
      </c>
      <c r="M168" s="90" t="str">
        <f t="shared" si="2"/>
        <v>View on Google Map</v>
      </c>
      <c r="N168" s="84">
        <f>VALUE(MID(B168,5,3))</f>
        <v>101</v>
      </c>
    </row>
    <row r="169" spans="1:14" x14ac:dyDescent="0.2">
      <c r="A169" s="84">
        <v>418</v>
      </c>
      <c r="B169" s="84" t="s">
        <v>747</v>
      </c>
      <c r="C169" s="84" t="s">
        <v>748</v>
      </c>
      <c r="D169" s="84">
        <v>68.485971524799993</v>
      </c>
      <c r="E169" s="84">
        <v>-149.611957343</v>
      </c>
      <c r="F169" s="84">
        <v>936</v>
      </c>
      <c r="G169" s="84" t="s">
        <v>460</v>
      </c>
      <c r="H169" s="84" t="s">
        <v>449</v>
      </c>
      <c r="I169" s="84" t="s">
        <v>449</v>
      </c>
      <c r="J169" s="84" t="s">
        <v>742</v>
      </c>
      <c r="K169" s="84" t="s">
        <v>449</v>
      </c>
      <c r="L169" s="84" t="s">
        <v>743</v>
      </c>
      <c r="M169" s="90" t="str">
        <f t="shared" si="2"/>
        <v>View on Google Map</v>
      </c>
      <c r="N169" s="84">
        <f>VALUE(MID(B169,5,3))</f>
        <v>102</v>
      </c>
    </row>
    <row r="170" spans="1:14" x14ac:dyDescent="0.2">
      <c r="A170" s="84">
        <v>419</v>
      </c>
      <c r="B170" s="84" t="s">
        <v>749</v>
      </c>
      <c r="C170" s="84" t="s">
        <v>750</v>
      </c>
      <c r="D170" s="84">
        <v>68.486418246300005</v>
      </c>
      <c r="E170" s="84">
        <v>-149.623539768</v>
      </c>
      <c r="F170" s="84">
        <v>934</v>
      </c>
      <c r="G170" s="84" t="s">
        <v>460</v>
      </c>
      <c r="H170" s="84" t="s">
        <v>751</v>
      </c>
      <c r="I170" s="84" t="s">
        <v>449</v>
      </c>
      <c r="J170" s="84" t="s">
        <v>742</v>
      </c>
      <c r="K170" s="84" t="s">
        <v>449</v>
      </c>
      <c r="L170" s="84" t="s">
        <v>743</v>
      </c>
      <c r="M170" s="90" t="str">
        <f t="shared" si="2"/>
        <v>View on Google Map</v>
      </c>
      <c r="N170" s="84">
        <f>VALUE(MID(B170,5,3))</f>
        <v>103</v>
      </c>
    </row>
    <row r="171" spans="1:14" x14ac:dyDescent="0.2">
      <c r="A171" s="84">
        <v>420</v>
      </c>
      <c r="B171" s="84" t="s">
        <v>752</v>
      </c>
      <c r="C171" s="84" t="s">
        <v>753</v>
      </c>
      <c r="D171" s="84">
        <v>68.480358182399996</v>
      </c>
      <c r="E171" s="84">
        <v>-149.621808276</v>
      </c>
      <c r="F171" s="84" t="s">
        <v>449</v>
      </c>
      <c r="G171" s="84" t="s">
        <v>460</v>
      </c>
      <c r="H171" s="84" t="s">
        <v>752</v>
      </c>
      <c r="I171" s="84" t="s">
        <v>449</v>
      </c>
      <c r="J171" s="84" t="s">
        <v>742</v>
      </c>
      <c r="K171" s="84" t="s">
        <v>449</v>
      </c>
      <c r="L171" s="84" t="s">
        <v>743</v>
      </c>
      <c r="M171" s="90" t="str">
        <f t="shared" si="2"/>
        <v>View on Google Map</v>
      </c>
      <c r="N171" s="84">
        <f t="shared" ref="N171:N198" si="3">VALUE(MID(H171,5,3))</f>
        <v>104</v>
      </c>
    </row>
    <row r="172" spans="1:14" x14ac:dyDescent="0.2">
      <c r="A172" s="84">
        <v>421</v>
      </c>
      <c r="B172" s="84" t="s">
        <v>754</v>
      </c>
      <c r="C172" s="84" t="s">
        <v>755</v>
      </c>
      <c r="D172" s="84">
        <v>68.487163894299997</v>
      </c>
      <c r="E172" s="84">
        <v>-149.57470926400001</v>
      </c>
      <c r="F172" s="84" t="s">
        <v>449</v>
      </c>
      <c r="G172" s="84" t="s">
        <v>460</v>
      </c>
      <c r="H172" s="84" t="s">
        <v>754</v>
      </c>
      <c r="I172" s="84" t="s">
        <v>449</v>
      </c>
      <c r="J172" s="84" t="s">
        <v>742</v>
      </c>
      <c r="K172" s="84" t="s">
        <v>449</v>
      </c>
      <c r="L172" s="84" t="s">
        <v>743</v>
      </c>
      <c r="M172" s="90" t="str">
        <f t="shared" si="2"/>
        <v>View on Google Map</v>
      </c>
      <c r="N172" s="84">
        <f t="shared" si="3"/>
        <v>105</v>
      </c>
    </row>
    <row r="173" spans="1:14" x14ac:dyDescent="0.2">
      <c r="A173" s="84">
        <v>422</v>
      </c>
      <c r="B173" s="84" t="s">
        <v>756</v>
      </c>
      <c r="C173" s="84" t="s">
        <v>757</v>
      </c>
      <c r="D173" s="84">
        <v>68.482007853900001</v>
      </c>
      <c r="E173" s="84">
        <v>-149.57357543099999</v>
      </c>
      <c r="F173" s="84" t="s">
        <v>449</v>
      </c>
      <c r="G173" s="84" t="s">
        <v>460</v>
      </c>
      <c r="H173" s="84" t="s">
        <v>756</v>
      </c>
      <c r="I173" s="84" t="s">
        <v>449</v>
      </c>
      <c r="J173" s="84" t="s">
        <v>742</v>
      </c>
      <c r="K173" s="84" t="s">
        <v>449</v>
      </c>
      <c r="L173" s="84" t="s">
        <v>743</v>
      </c>
      <c r="M173" s="90" t="str">
        <f t="shared" si="2"/>
        <v>View on Google Map</v>
      </c>
      <c r="N173" s="84">
        <f t="shared" si="3"/>
        <v>106</v>
      </c>
    </row>
    <row r="174" spans="1:14" x14ac:dyDescent="0.2">
      <c r="A174" s="84">
        <v>423</v>
      </c>
      <c r="B174" s="84" t="s">
        <v>758</v>
      </c>
      <c r="C174" s="84" t="s">
        <v>759</v>
      </c>
      <c r="D174" s="84">
        <v>68.480117783099999</v>
      </c>
      <c r="E174" s="84">
        <v>-149.553733964</v>
      </c>
      <c r="F174" s="84" t="s">
        <v>449</v>
      </c>
      <c r="G174" s="84" t="s">
        <v>460</v>
      </c>
      <c r="H174" s="84" t="s">
        <v>758</v>
      </c>
      <c r="I174" s="84" t="s">
        <v>449</v>
      </c>
      <c r="J174" s="84" t="s">
        <v>742</v>
      </c>
      <c r="K174" s="84" t="s">
        <v>449</v>
      </c>
      <c r="L174" s="84" t="s">
        <v>743</v>
      </c>
      <c r="M174" s="90" t="str">
        <f t="shared" si="2"/>
        <v>View on Google Map</v>
      </c>
      <c r="N174" s="84">
        <f t="shared" si="3"/>
        <v>107</v>
      </c>
    </row>
    <row r="175" spans="1:14" x14ac:dyDescent="0.2">
      <c r="A175" s="84">
        <v>424</v>
      </c>
      <c r="B175" s="84" t="s">
        <v>760</v>
      </c>
      <c r="C175" s="84" t="s">
        <v>761</v>
      </c>
      <c r="D175" s="84">
        <v>68.553470657600002</v>
      </c>
      <c r="E175" s="84">
        <v>-149.16702515599999</v>
      </c>
      <c r="F175" s="84" t="s">
        <v>449</v>
      </c>
      <c r="G175" s="84" t="s">
        <v>460</v>
      </c>
      <c r="H175" s="84" t="s">
        <v>760</v>
      </c>
      <c r="I175" s="84" t="s">
        <v>449</v>
      </c>
      <c r="J175" s="84" t="s">
        <v>742</v>
      </c>
      <c r="K175" s="84" t="s">
        <v>449</v>
      </c>
      <c r="L175" s="84" t="s">
        <v>743</v>
      </c>
      <c r="M175" s="90" t="str">
        <f t="shared" si="2"/>
        <v>View on Google Map</v>
      </c>
      <c r="N175" s="84">
        <f t="shared" si="3"/>
        <v>108</v>
      </c>
    </row>
    <row r="176" spans="1:14" x14ac:dyDescent="0.2">
      <c r="A176" s="84">
        <v>425</v>
      </c>
      <c r="B176" s="84" t="s">
        <v>762</v>
      </c>
      <c r="C176" s="84" t="s">
        <v>763</v>
      </c>
      <c r="D176" s="84">
        <v>68.557082457700005</v>
      </c>
      <c r="E176" s="84">
        <v>-149.154445686</v>
      </c>
      <c r="F176" s="84" t="s">
        <v>449</v>
      </c>
      <c r="G176" s="84" t="s">
        <v>460</v>
      </c>
      <c r="H176" s="84" t="s">
        <v>762</v>
      </c>
      <c r="I176" s="84" t="s">
        <v>449</v>
      </c>
      <c r="J176" s="84" t="s">
        <v>742</v>
      </c>
      <c r="K176" s="84" t="s">
        <v>449</v>
      </c>
      <c r="L176" s="84" t="s">
        <v>743</v>
      </c>
      <c r="M176" s="90" t="str">
        <f t="shared" si="2"/>
        <v>View on Google Map</v>
      </c>
      <c r="N176" s="84">
        <f t="shared" si="3"/>
        <v>109</v>
      </c>
    </row>
    <row r="177" spans="1:14" x14ac:dyDescent="0.2">
      <c r="A177" s="84">
        <v>426</v>
      </c>
      <c r="B177" s="84" t="s">
        <v>764</v>
      </c>
      <c r="C177" s="84" t="s">
        <v>765</v>
      </c>
      <c r="D177" s="84">
        <v>68.732874005799999</v>
      </c>
      <c r="E177" s="84">
        <v>-149.401461627</v>
      </c>
      <c r="F177" s="84" t="s">
        <v>449</v>
      </c>
      <c r="G177" s="84" t="s">
        <v>460</v>
      </c>
      <c r="H177" s="84" t="s">
        <v>764</v>
      </c>
      <c r="I177" s="84" t="s">
        <v>449</v>
      </c>
      <c r="J177" s="84" t="s">
        <v>742</v>
      </c>
      <c r="K177" s="84" t="s">
        <v>449</v>
      </c>
      <c r="L177" s="84" t="s">
        <v>743</v>
      </c>
      <c r="M177" s="90" t="str">
        <f t="shared" si="2"/>
        <v>View on Google Map</v>
      </c>
      <c r="N177" s="84">
        <f t="shared" si="3"/>
        <v>110</v>
      </c>
    </row>
    <row r="178" spans="1:14" x14ac:dyDescent="0.2">
      <c r="A178" s="84">
        <v>427</v>
      </c>
      <c r="B178" s="84" t="s">
        <v>766</v>
      </c>
      <c r="C178" s="84" t="s">
        <v>767</v>
      </c>
      <c r="D178" s="84">
        <v>68.728437910899999</v>
      </c>
      <c r="E178" s="84">
        <v>-149.39298449200001</v>
      </c>
      <c r="F178" s="84" t="s">
        <v>449</v>
      </c>
      <c r="G178" s="84" t="s">
        <v>460</v>
      </c>
      <c r="H178" s="84" t="s">
        <v>766</v>
      </c>
      <c r="I178" s="84" t="s">
        <v>449</v>
      </c>
      <c r="J178" s="84" t="s">
        <v>742</v>
      </c>
      <c r="K178" s="84" t="s">
        <v>449</v>
      </c>
      <c r="L178" s="84" t="s">
        <v>743</v>
      </c>
      <c r="M178" s="90" t="str">
        <f t="shared" si="2"/>
        <v>View on Google Map</v>
      </c>
      <c r="N178" s="84">
        <f t="shared" si="3"/>
        <v>111</v>
      </c>
    </row>
    <row r="179" spans="1:14" x14ac:dyDescent="0.2">
      <c r="A179" s="84">
        <v>428</v>
      </c>
      <c r="B179" s="84" t="s">
        <v>768</v>
      </c>
      <c r="C179" s="84" t="s">
        <v>769</v>
      </c>
      <c r="D179" s="84">
        <v>68.671908805499996</v>
      </c>
      <c r="E179" s="84">
        <v>-149.24817348299999</v>
      </c>
      <c r="F179" s="84" t="s">
        <v>449</v>
      </c>
      <c r="G179" s="84" t="s">
        <v>460</v>
      </c>
      <c r="H179" s="84" t="s">
        <v>768</v>
      </c>
      <c r="I179" s="84" t="s">
        <v>449</v>
      </c>
      <c r="J179" s="84" t="s">
        <v>742</v>
      </c>
      <c r="K179" s="84" t="s">
        <v>449</v>
      </c>
      <c r="L179" s="84" t="s">
        <v>743</v>
      </c>
      <c r="M179" s="90" t="str">
        <f t="shared" si="2"/>
        <v>View on Google Map</v>
      </c>
      <c r="N179" s="84">
        <f t="shared" si="3"/>
        <v>112</v>
      </c>
    </row>
    <row r="180" spans="1:14" x14ac:dyDescent="0.2">
      <c r="A180" s="84">
        <v>429</v>
      </c>
      <c r="B180" s="84" t="s">
        <v>770</v>
      </c>
      <c r="C180" s="84" t="s">
        <v>771</v>
      </c>
      <c r="D180" s="84">
        <v>68.679427639400004</v>
      </c>
      <c r="E180" s="84">
        <v>-149.23947084900001</v>
      </c>
      <c r="F180" s="84" t="s">
        <v>449</v>
      </c>
      <c r="G180" s="84" t="s">
        <v>460</v>
      </c>
      <c r="H180" s="84" t="s">
        <v>770</v>
      </c>
      <c r="I180" s="84" t="s">
        <v>449</v>
      </c>
      <c r="J180" s="84" t="s">
        <v>742</v>
      </c>
      <c r="K180" s="84" t="s">
        <v>449</v>
      </c>
      <c r="L180" s="84" t="s">
        <v>743</v>
      </c>
      <c r="M180" s="90" t="str">
        <f t="shared" si="2"/>
        <v>View on Google Map</v>
      </c>
      <c r="N180" s="84">
        <f t="shared" si="3"/>
        <v>113</v>
      </c>
    </row>
    <row r="181" spans="1:14" x14ac:dyDescent="0.2">
      <c r="A181" s="84">
        <v>430</v>
      </c>
      <c r="B181" s="84" t="s">
        <v>772</v>
      </c>
      <c r="C181" s="84" t="s">
        <v>773</v>
      </c>
      <c r="D181" s="84">
        <v>68.679424428600001</v>
      </c>
      <c r="E181" s="84">
        <v>-149.22969695099999</v>
      </c>
      <c r="F181" s="84" t="s">
        <v>449</v>
      </c>
      <c r="G181" s="84" t="s">
        <v>460</v>
      </c>
      <c r="H181" s="84" t="s">
        <v>772</v>
      </c>
      <c r="I181" s="84" t="s">
        <v>449</v>
      </c>
      <c r="J181" s="84" t="s">
        <v>742</v>
      </c>
      <c r="K181" s="84" t="s">
        <v>449</v>
      </c>
      <c r="L181" s="84" t="s">
        <v>743</v>
      </c>
      <c r="M181" s="90" t="str">
        <f t="shared" si="2"/>
        <v>View on Google Map</v>
      </c>
      <c r="N181" s="84">
        <f t="shared" si="3"/>
        <v>114</v>
      </c>
    </row>
    <row r="182" spans="1:14" x14ac:dyDescent="0.2">
      <c r="A182" s="84">
        <v>398</v>
      </c>
      <c r="B182" s="84" t="s">
        <v>774</v>
      </c>
      <c r="C182" s="84" t="s">
        <v>775</v>
      </c>
      <c r="D182" s="84">
        <v>68.569791782099998</v>
      </c>
      <c r="E182" s="84">
        <v>-149.43938491</v>
      </c>
      <c r="F182" s="84" t="s">
        <v>449</v>
      </c>
      <c r="G182" s="84" t="s">
        <v>460</v>
      </c>
      <c r="H182" s="84" t="s">
        <v>774</v>
      </c>
      <c r="I182" s="84" t="s">
        <v>449</v>
      </c>
      <c r="J182" s="84" t="s">
        <v>742</v>
      </c>
      <c r="K182" s="84" t="s">
        <v>449</v>
      </c>
      <c r="L182" s="84" t="s">
        <v>743</v>
      </c>
      <c r="M182" s="90" t="str">
        <f t="shared" si="2"/>
        <v>View on Google Map</v>
      </c>
      <c r="N182" s="84">
        <f t="shared" si="3"/>
        <v>82</v>
      </c>
    </row>
    <row r="183" spans="1:14" x14ac:dyDescent="0.2">
      <c r="A183" s="84">
        <v>389</v>
      </c>
      <c r="B183" s="84" t="s">
        <v>776</v>
      </c>
      <c r="C183" s="84" t="s">
        <v>777</v>
      </c>
      <c r="D183" s="84">
        <v>68.568883214500005</v>
      </c>
      <c r="E183" s="84">
        <v>-149.432996798</v>
      </c>
      <c r="F183" s="84" t="s">
        <v>449</v>
      </c>
      <c r="G183" s="84" t="s">
        <v>460</v>
      </c>
      <c r="H183" s="84" t="s">
        <v>776</v>
      </c>
      <c r="I183" s="84" t="s">
        <v>449</v>
      </c>
      <c r="J183" s="84" t="s">
        <v>742</v>
      </c>
      <c r="K183" s="84" t="s">
        <v>449</v>
      </c>
      <c r="L183" s="84" t="s">
        <v>743</v>
      </c>
      <c r="M183" s="90" t="str">
        <f t="shared" si="2"/>
        <v>View on Google Map</v>
      </c>
      <c r="N183" s="84">
        <f t="shared" si="3"/>
        <v>83</v>
      </c>
    </row>
    <row r="184" spans="1:14" x14ac:dyDescent="0.2">
      <c r="A184" s="84">
        <v>390</v>
      </c>
      <c r="B184" s="84" t="s">
        <v>778</v>
      </c>
      <c r="C184" s="84" t="s">
        <v>779</v>
      </c>
      <c r="D184" s="84">
        <v>68.571446755099998</v>
      </c>
      <c r="E184" s="84">
        <v>-149.43614776499999</v>
      </c>
      <c r="F184" s="84" t="s">
        <v>449</v>
      </c>
      <c r="G184" s="84" t="s">
        <v>460</v>
      </c>
      <c r="H184" s="84" t="s">
        <v>778</v>
      </c>
      <c r="I184" s="84" t="s">
        <v>449</v>
      </c>
      <c r="J184" s="84" t="s">
        <v>742</v>
      </c>
      <c r="K184" s="84" t="s">
        <v>449</v>
      </c>
      <c r="L184" s="84" t="s">
        <v>743</v>
      </c>
      <c r="M184" s="90" t="str">
        <f t="shared" si="2"/>
        <v>View on Google Map</v>
      </c>
      <c r="N184" s="84">
        <f t="shared" si="3"/>
        <v>84</v>
      </c>
    </row>
    <row r="185" spans="1:14" x14ac:dyDescent="0.2">
      <c r="A185" s="84">
        <v>391</v>
      </c>
      <c r="B185" s="84" t="s">
        <v>780</v>
      </c>
      <c r="C185" s="84" t="s">
        <v>781</v>
      </c>
      <c r="D185" s="84">
        <v>68.600419015400007</v>
      </c>
      <c r="E185" s="84">
        <v>-149.438677388</v>
      </c>
      <c r="F185" s="84" t="s">
        <v>449</v>
      </c>
      <c r="G185" s="84" t="s">
        <v>460</v>
      </c>
      <c r="H185" s="84" t="s">
        <v>780</v>
      </c>
      <c r="I185" s="84" t="s">
        <v>449</v>
      </c>
      <c r="J185" s="84" t="s">
        <v>742</v>
      </c>
      <c r="K185" s="84" t="s">
        <v>449</v>
      </c>
      <c r="L185" s="84" t="s">
        <v>743</v>
      </c>
      <c r="M185" s="90" t="str">
        <f t="shared" si="2"/>
        <v>View on Google Map</v>
      </c>
      <c r="N185" s="84">
        <f t="shared" si="3"/>
        <v>85</v>
      </c>
    </row>
    <row r="186" spans="1:14" x14ac:dyDescent="0.2">
      <c r="A186" s="84">
        <v>392</v>
      </c>
      <c r="B186" s="84" t="s">
        <v>782</v>
      </c>
      <c r="C186" s="84" t="s">
        <v>783</v>
      </c>
      <c r="D186" s="84">
        <v>68.632424610200005</v>
      </c>
      <c r="E186" s="84">
        <v>-149.41874062799999</v>
      </c>
      <c r="F186" s="84" t="s">
        <v>449</v>
      </c>
      <c r="G186" s="84" t="s">
        <v>460</v>
      </c>
      <c r="H186" s="84" t="s">
        <v>782</v>
      </c>
      <c r="I186" s="84" t="s">
        <v>449</v>
      </c>
      <c r="J186" s="84" t="s">
        <v>742</v>
      </c>
      <c r="K186" s="84" t="s">
        <v>449</v>
      </c>
      <c r="L186" s="84" t="s">
        <v>743</v>
      </c>
      <c r="M186" s="90" t="str">
        <f t="shared" si="2"/>
        <v>View on Google Map</v>
      </c>
      <c r="N186" s="84">
        <f t="shared" si="3"/>
        <v>86</v>
      </c>
    </row>
    <row r="187" spans="1:14" x14ac:dyDescent="0.2">
      <c r="A187" s="84">
        <v>393</v>
      </c>
      <c r="B187" s="84" t="s">
        <v>784</v>
      </c>
      <c r="C187" s="84" t="s">
        <v>785</v>
      </c>
      <c r="D187" s="84">
        <v>68.505704965899994</v>
      </c>
      <c r="E187" s="84">
        <v>-149.516276081</v>
      </c>
      <c r="F187" s="84" t="s">
        <v>449</v>
      </c>
      <c r="G187" s="84" t="s">
        <v>460</v>
      </c>
      <c r="H187" s="84" t="s">
        <v>784</v>
      </c>
      <c r="I187" s="84" t="s">
        <v>449</v>
      </c>
      <c r="J187" s="84" t="s">
        <v>742</v>
      </c>
      <c r="K187" s="84" t="s">
        <v>449</v>
      </c>
      <c r="L187" s="84" t="s">
        <v>743</v>
      </c>
      <c r="M187" s="90" t="str">
        <f t="shared" si="2"/>
        <v>View on Google Map</v>
      </c>
      <c r="N187" s="84">
        <f t="shared" si="3"/>
        <v>87</v>
      </c>
    </row>
    <row r="188" spans="1:14" x14ac:dyDescent="0.2">
      <c r="A188" s="84">
        <v>394</v>
      </c>
      <c r="B188" s="84" t="s">
        <v>786</v>
      </c>
      <c r="C188" s="84" t="s">
        <v>787</v>
      </c>
      <c r="D188" s="84">
        <v>68.509234808599999</v>
      </c>
      <c r="E188" s="84">
        <v>-149.58917678500001</v>
      </c>
      <c r="F188" s="84" t="s">
        <v>449</v>
      </c>
      <c r="G188" s="84" t="s">
        <v>460</v>
      </c>
      <c r="H188" s="84" t="s">
        <v>786</v>
      </c>
      <c r="I188" s="84" t="s">
        <v>449</v>
      </c>
      <c r="J188" s="84" t="s">
        <v>742</v>
      </c>
      <c r="K188" s="84" t="s">
        <v>449</v>
      </c>
      <c r="L188" s="84" t="s">
        <v>743</v>
      </c>
      <c r="M188" s="90" t="str">
        <f t="shared" si="2"/>
        <v>View on Google Map</v>
      </c>
      <c r="N188" s="84">
        <f t="shared" si="3"/>
        <v>88</v>
      </c>
    </row>
    <row r="189" spans="1:14" x14ac:dyDescent="0.2">
      <c r="A189" s="84">
        <v>395</v>
      </c>
      <c r="B189" s="84" t="s">
        <v>788</v>
      </c>
      <c r="C189" s="84" t="s">
        <v>789</v>
      </c>
      <c r="D189" s="84">
        <v>68.525650531300002</v>
      </c>
      <c r="E189" s="84">
        <v>-149.54161982299999</v>
      </c>
      <c r="F189" s="84" t="s">
        <v>449</v>
      </c>
      <c r="G189" s="84" t="s">
        <v>460</v>
      </c>
      <c r="H189" s="84" t="s">
        <v>788</v>
      </c>
      <c r="I189" s="84" t="s">
        <v>449</v>
      </c>
      <c r="J189" s="84" t="s">
        <v>742</v>
      </c>
      <c r="K189" s="84" t="s">
        <v>449</v>
      </c>
      <c r="L189" s="84" t="s">
        <v>743</v>
      </c>
      <c r="M189" s="90" t="str">
        <f t="shared" si="2"/>
        <v>View on Google Map</v>
      </c>
      <c r="N189" s="84">
        <f t="shared" si="3"/>
        <v>89</v>
      </c>
    </row>
    <row r="190" spans="1:14" x14ac:dyDescent="0.2">
      <c r="A190" s="84">
        <v>396</v>
      </c>
      <c r="B190" s="84" t="s">
        <v>790</v>
      </c>
      <c r="C190" s="84" t="s">
        <v>791</v>
      </c>
      <c r="D190" s="84">
        <v>68.531020060399996</v>
      </c>
      <c r="E190" s="84">
        <v>-149.54062336999999</v>
      </c>
      <c r="F190" s="84" t="s">
        <v>449</v>
      </c>
      <c r="G190" s="84" t="s">
        <v>460</v>
      </c>
      <c r="H190" s="84" t="s">
        <v>790</v>
      </c>
      <c r="I190" s="84" t="s">
        <v>449</v>
      </c>
      <c r="J190" s="84" t="s">
        <v>742</v>
      </c>
      <c r="K190" s="84" t="s">
        <v>449</v>
      </c>
      <c r="L190" s="84" t="s">
        <v>743</v>
      </c>
      <c r="M190" s="90" t="str">
        <f t="shared" si="2"/>
        <v>View on Google Map</v>
      </c>
      <c r="N190" s="84">
        <f t="shared" si="3"/>
        <v>90</v>
      </c>
    </row>
    <row r="191" spans="1:14" x14ac:dyDescent="0.2">
      <c r="A191" s="84">
        <v>397</v>
      </c>
      <c r="B191" s="84" t="s">
        <v>792</v>
      </c>
      <c r="C191" s="84" t="s">
        <v>793</v>
      </c>
      <c r="D191" s="84">
        <v>68.623892844400004</v>
      </c>
      <c r="E191" s="84">
        <v>-149.46955988600001</v>
      </c>
      <c r="F191" s="84" t="s">
        <v>449</v>
      </c>
      <c r="G191" s="84" t="s">
        <v>460</v>
      </c>
      <c r="H191" s="84" t="s">
        <v>792</v>
      </c>
      <c r="I191" s="84" t="s">
        <v>449</v>
      </c>
      <c r="J191" s="84" t="s">
        <v>742</v>
      </c>
      <c r="K191" s="84" t="s">
        <v>449</v>
      </c>
      <c r="L191" s="84" t="s">
        <v>743</v>
      </c>
      <c r="M191" s="90" t="str">
        <f t="shared" si="2"/>
        <v>View on Google Map</v>
      </c>
      <c r="N191" s="84">
        <f t="shared" si="3"/>
        <v>91</v>
      </c>
    </row>
    <row r="192" spans="1:14" x14ac:dyDescent="0.2">
      <c r="A192" s="84">
        <v>408</v>
      </c>
      <c r="B192" s="84" t="s">
        <v>794</v>
      </c>
      <c r="C192" s="84" t="s">
        <v>795</v>
      </c>
      <c r="D192" s="84">
        <v>68.606945965400001</v>
      </c>
      <c r="E192" s="84">
        <v>-149.195806014</v>
      </c>
      <c r="F192" s="84" t="s">
        <v>449</v>
      </c>
      <c r="G192" s="84" t="s">
        <v>460</v>
      </c>
      <c r="H192" s="84" t="s">
        <v>794</v>
      </c>
      <c r="I192" s="84" t="s">
        <v>449</v>
      </c>
      <c r="J192" s="84" t="s">
        <v>742</v>
      </c>
      <c r="K192" s="84" t="s">
        <v>449</v>
      </c>
      <c r="L192" s="84" t="s">
        <v>743</v>
      </c>
      <c r="M192" s="90" t="str">
        <f t="shared" si="2"/>
        <v>View on Google Map</v>
      </c>
      <c r="N192" s="84">
        <f t="shared" si="3"/>
        <v>92</v>
      </c>
    </row>
    <row r="193" spans="1:14" x14ac:dyDescent="0.2">
      <c r="A193" s="84">
        <v>409</v>
      </c>
      <c r="B193" s="84" t="s">
        <v>796</v>
      </c>
      <c r="C193" s="84" t="s">
        <v>797</v>
      </c>
      <c r="D193" s="84">
        <v>68.613688053999994</v>
      </c>
      <c r="E193" s="84">
        <v>-149.20287565500001</v>
      </c>
      <c r="F193" s="84" t="s">
        <v>449</v>
      </c>
      <c r="G193" s="84" t="s">
        <v>460</v>
      </c>
      <c r="H193" s="84" t="s">
        <v>796</v>
      </c>
      <c r="I193" s="84" t="s">
        <v>449</v>
      </c>
      <c r="J193" s="84" t="s">
        <v>742</v>
      </c>
      <c r="K193" s="84" t="s">
        <v>449</v>
      </c>
      <c r="L193" s="84" t="s">
        <v>743</v>
      </c>
      <c r="M193" s="90" t="str">
        <f t="shared" si="2"/>
        <v>View on Google Map</v>
      </c>
      <c r="N193" s="84">
        <f t="shared" si="3"/>
        <v>93</v>
      </c>
    </row>
    <row r="194" spans="1:14" x14ac:dyDescent="0.2">
      <c r="A194" s="84">
        <v>410</v>
      </c>
      <c r="B194" s="84" t="s">
        <v>798</v>
      </c>
      <c r="C194" s="84" t="s">
        <v>799</v>
      </c>
      <c r="D194" s="84">
        <v>68.617322837200007</v>
      </c>
      <c r="E194" s="84">
        <v>-149.21640989900001</v>
      </c>
      <c r="F194" s="84" t="s">
        <v>449</v>
      </c>
      <c r="G194" s="84" t="s">
        <v>460</v>
      </c>
      <c r="H194" s="84" t="s">
        <v>798</v>
      </c>
      <c r="I194" s="84" t="s">
        <v>449</v>
      </c>
      <c r="J194" s="84" t="s">
        <v>742</v>
      </c>
      <c r="K194" s="84" t="s">
        <v>449</v>
      </c>
      <c r="L194" s="84" t="s">
        <v>743</v>
      </c>
      <c r="M194" s="90" t="str">
        <f t="shared" si="2"/>
        <v>View on Google Map</v>
      </c>
      <c r="N194" s="84">
        <f t="shared" si="3"/>
        <v>94</v>
      </c>
    </row>
    <row r="195" spans="1:14" x14ac:dyDescent="0.2">
      <c r="A195" s="84">
        <v>411</v>
      </c>
      <c r="B195" s="84" t="s">
        <v>800</v>
      </c>
      <c r="C195" s="84" t="s">
        <v>801</v>
      </c>
      <c r="D195" s="84">
        <v>68.613551663999999</v>
      </c>
      <c r="E195" s="84">
        <v>-149.21844056</v>
      </c>
      <c r="F195" s="84" t="s">
        <v>449</v>
      </c>
      <c r="G195" s="84" t="s">
        <v>460</v>
      </c>
      <c r="H195" s="84" t="s">
        <v>800</v>
      </c>
      <c r="I195" s="84" t="s">
        <v>449</v>
      </c>
      <c r="J195" s="84" t="s">
        <v>742</v>
      </c>
      <c r="K195" s="84" t="s">
        <v>449</v>
      </c>
      <c r="L195" s="84" t="s">
        <v>743</v>
      </c>
      <c r="M195" s="90" t="str">
        <f t="shared" ref="M195:M258" si="4">HYPERLINK("http://maps.google.com/maps?q="&amp;D195&amp;","&amp;E195,"View on Google Map")</f>
        <v>View on Google Map</v>
      </c>
      <c r="N195" s="84">
        <f t="shared" si="3"/>
        <v>95</v>
      </c>
    </row>
    <row r="196" spans="1:14" x14ac:dyDescent="0.2">
      <c r="A196" s="84">
        <v>412</v>
      </c>
      <c r="B196" s="84" t="s">
        <v>802</v>
      </c>
      <c r="C196" s="84" t="s">
        <v>803</v>
      </c>
      <c r="D196" s="84">
        <v>68.609572079800003</v>
      </c>
      <c r="E196" s="84">
        <v>-149.20865205600001</v>
      </c>
      <c r="F196" s="84" t="s">
        <v>449</v>
      </c>
      <c r="G196" s="84" t="s">
        <v>460</v>
      </c>
      <c r="H196" s="84" t="s">
        <v>802</v>
      </c>
      <c r="I196" s="84" t="s">
        <v>449</v>
      </c>
      <c r="J196" s="84" t="s">
        <v>742</v>
      </c>
      <c r="K196" s="84" t="s">
        <v>449</v>
      </c>
      <c r="L196" s="84" t="s">
        <v>743</v>
      </c>
      <c r="M196" s="90" t="str">
        <f t="shared" si="4"/>
        <v>View on Google Map</v>
      </c>
      <c r="N196" s="84">
        <f t="shared" si="3"/>
        <v>96</v>
      </c>
    </row>
    <row r="197" spans="1:14" x14ac:dyDescent="0.2">
      <c r="A197" s="84">
        <v>413</v>
      </c>
      <c r="B197" s="84" t="s">
        <v>804</v>
      </c>
      <c r="C197" s="84" t="s">
        <v>805</v>
      </c>
      <c r="D197" s="84">
        <v>68.607097540200002</v>
      </c>
      <c r="E197" s="84">
        <v>-149.21482030499999</v>
      </c>
      <c r="F197" s="84" t="s">
        <v>449</v>
      </c>
      <c r="G197" s="84" t="s">
        <v>460</v>
      </c>
      <c r="H197" s="84" t="s">
        <v>804</v>
      </c>
      <c r="I197" s="84" t="s">
        <v>449</v>
      </c>
      <c r="J197" s="84" t="s">
        <v>742</v>
      </c>
      <c r="K197" s="84" t="s">
        <v>449</v>
      </c>
      <c r="L197" s="84" t="s">
        <v>743</v>
      </c>
      <c r="M197" s="90" t="str">
        <f t="shared" si="4"/>
        <v>View on Google Map</v>
      </c>
      <c r="N197" s="84">
        <f t="shared" si="3"/>
        <v>97</v>
      </c>
    </row>
    <row r="198" spans="1:14" x14ac:dyDescent="0.2">
      <c r="A198" s="84">
        <v>414</v>
      </c>
      <c r="B198" s="84" t="s">
        <v>806</v>
      </c>
      <c r="C198" s="84" t="s">
        <v>807</v>
      </c>
      <c r="D198" s="84">
        <v>68.605198711400007</v>
      </c>
      <c r="E198" s="84">
        <v>-149.27215046800001</v>
      </c>
      <c r="F198" s="84" t="s">
        <v>449</v>
      </c>
      <c r="G198" s="84" t="s">
        <v>460</v>
      </c>
      <c r="H198" s="84" t="s">
        <v>806</v>
      </c>
      <c r="I198" s="84" t="s">
        <v>449</v>
      </c>
      <c r="J198" s="84" t="s">
        <v>742</v>
      </c>
      <c r="K198" s="84" t="s">
        <v>449</v>
      </c>
      <c r="L198" s="84" t="s">
        <v>743</v>
      </c>
      <c r="M198" s="90" t="str">
        <f t="shared" si="4"/>
        <v>View on Google Map</v>
      </c>
      <c r="N198" s="84">
        <f t="shared" si="3"/>
        <v>98</v>
      </c>
    </row>
    <row r="199" spans="1:14" x14ac:dyDescent="0.2">
      <c r="A199" s="84">
        <v>415</v>
      </c>
      <c r="B199" s="84" t="s">
        <v>808</v>
      </c>
      <c r="C199" s="84" t="s">
        <v>809</v>
      </c>
      <c r="D199" s="84">
        <v>68.498375922400001</v>
      </c>
      <c r="E199" s="84">
        <v>-149.59842284699999</v>
      </c>
      <c r="F199" s="84">
        <v>947</v>
      </c>
      <c r="G199" s="84" t="s">
        <v>460</v>
      </c>
      <c r="H199" s="84" t="s">
        <v>810</v>
      </c>
      <c r="I199" s="84" t="s">
        <v>449</v>
      </c>
      <c r="J199" s="84" t="s">
        <v>742</v>
      </c>
      <c r="K199" s="84" t="s">
        <v>449</v>
      </c>
      <c r="L199" s="84" t="s">
        <v>743</v>
      </c>
      <c r="M199" s="90" t="str">
        <f t="shared" si="4"/>
        <v>View on Google Map</v>
      </c>
      <c r="N199" s="84">
        <f>VALUE(MID(B199,5,3))</f>
        <v>99</v>
      </c>
    </row>
    <row r="200" spans="1:14" x14ac:dyDescent="0.2">
      <c r="A200" s="84">
        <v>402</v>
      </c>
      <c r="B200" s="84" t="s">
        <v>811</v>
      </c>
      <c r="C200" s="84" t="s">
        <v>449</v>
      </c>
      <c r="D200" s="84" t="s">
        <v>449</v>
      </c>
      <c r="E200" s="84" t="s">
        <v>449</v>
      </c>
      <c r="F200" s="84" t="s">
        <v>449</v>
      </c>
      <c r="G200" s="84" t="s">
        <v>460</v>
      </c>
      <c r="H200" s="84" t="s">
        <v>449</v>
      </c>
      <c r="I200" s="84" t="s">
        <v>449</v>
      </c>
      <c r="J200" s="84" t="s">
        <v>475</v>
      </c>
      <c r="K200" s="84" t="s">
        <v>449</v>
      </c>
      <c r="L200" s="84" t="s">
        <v>629</v>
      </c>
      <c r="M200" s="90" t="str">
        <f t="shared" si="4"/>
        <v>View on Google Map</v>
      </c>
    </row>
    <row r="201" spans="1:14" x14ac:dyDescent="0.2">
      <c r="A201" s="84">
        <v>8</v>
      </c>
      <c r="B201" s="84" t="s">
        <v>812</v>
      </c>
      <c r="C201" s="84" t="s">
        <v>473</v>
      </c>
      <c r="D201" s="84">
        <v>69.150000000000006</v>
      </c>
      <c r="E201" s="84">
        <v>-148.83333333333334</v>
      </c>
      <c r="F201" s="84">
        <v>290</v>
      </c>
      <c r="G201" s="84" t="s">
        <v>474</v>
      </c>
      <c r="H201" s="84" t="s">
        <v>449</v>
      </c>
      <c r="I201" s="84" t="s">
        <v>449</v>
      </c>
      <c r="J201" s="84" t="s">
        <v>475</v>
      </c>
      <c r="K201" s="84" t="s">
        <v>449</v>
      </c>
      <c r="L201" s="84" t="s">
        <v>476</v>
      </c>
      <c r="M201" s="90" t="str">
        <f t="shared" si="4"/>
        <v>View on Google Map</v>
      </c>
    </row>
    <row r="202" spans="1:14" x14ac:dyDescent="0.2">
      <c r="A202" s="84">
        <v>219</v>
      </c>
      <c r="B202" s="84" t="s">
        <v>813</v>
      </c>
      <c r="C202" s="84" t="s">
        <v>449</v>
      </c>
      <c r="D202" s="84">
        <v>69.8</v>
      </c>
      <c r="E202" s="84">
        <v>-151.83333333333334</v>
      </c>
      <c r="F202" s="84">
        <v>60.365853658536601</v>
      </c>
      <c r="G202" s="84" t="s">
        <v>460</v>
      </c>
      <c r="H202" s="84" t="s">
        <v>814</v>
      </c>
      <c r="I202" s="84" t="s">
        <v>449</v>
      </c>
      <c r="J202" s="84" t="s">
        <v>475</v>
      </c>
      <c r="K202" s="84" t="s">
        <v>449</v>
      </c>
      <c r="L202" s="84" t="s">
        <v>815</v>
      </c>
      <c r="M202" s="90" t="str">
        <f t="shared" si="4"/>
        <v>View on Google Map</v>
      </c>
    </row>
    <row r="203" spans="1:14" x14ac:dyDescent="0.2">
      <c r="A203" s="84">
        <v>220</v>
      </c>
      <c r="B203" s="84" t="s">
        <v>816</v>
      </c>
      <c r="C203" s="84" t="s">
        <v>449</v>
      </c>
      <c r="D203" s="84">
        <v>69.75</v>
      </c>
      <c r="E203" s="84">
        <v>-151.5</v>
      </c>
      <c r="F203" s="84">
        <v>60.365853658536587</v>
      </c>
      <c r="G203" s="84" t="s">
        <v>460</v>
      </c>
      <c r="H203" s="84" t="s">
        <v>817</v>
      </c>
      <c r="I203" s="84" t="s">
        <v>449</v>
      </c>
      <c r="J203" s="84" t="s">
        <v>475</v>
      </c>
      <c r="K203" s="84" t="s">
        <v>449</v>
      </c>
      <c r="L203" s="84" t="s">
        <v>815</v>
      </c>
      <c r="M203" s="90" t="str">
        <f t="shared" si="4"/>
        <v>View on Google Map</v>
      </c>
    </row>
    <row r="204" spans="1:14" x14ac:dyDescent="0.2">
      <c r="A204" s="84">
        <v>221</v>
      </c>
      <c r="B204" s="84" t="s">
        <v>818</v>
      </c>
      <c r="C204" s="84" t="s">
        <v>449</v>
      </c>
      <c r="D204" s="84">
        <v>69.75</v>
      </c>
      <c r="E204" s="84">
        <v>-151.5</v>
      </c>
      <c r="F204" s="84">
        <v>30.487804878048781</v>
      </c>
      <c r="G204" s="84" t="s">
        <v>460</v>
      </c>
      <c r="H204" s="84" t="s">
        <v>819</v>
      </c>
      <c r="I204" s="84" t="s">
        <v>449</v>
      </c>
      <c r="J204" s="84" t="s">
        <v>475</v>
      </c>
      <c r="K204" s="84" t="s">
        <v>449</v>
      </c>
      <c r="L204" s="84" t="s">
        <v>815</v>
      </c>
      <c r="M204" s="90" t="str">
        <f t="shared" si="4"/>
        <v>View on Google Map</v>
      </c>
    </row>
    <row r="205" spans="1:14" x14ac:dyDescent="0.2">
      <c r="A205" s="84">
        <v>222</v>
      </c>
      <c r="B205" s="84" t="s">
        <v>820</v>
      </c>
      <c r="C205" s="84" t="s">
        <v>449</v>
      </c>
      <c r="D205" s="84">
        <v>69.7</v>
      </c>
      <c r="E205" s="84">
        <v>-151.16666666666666</v>
      </c>
      <c r="F205" s="84">
        <v>42.682926829268297</v>
      </c>
      <c r="G205" s="84" t="s">
        <v>460</v>
      </c>
      <c r="H205" s="84" t="s">
        <v>821</v>
      </c>
      <c r="I205" s="84" t="s">
        <v>449</v>
      </c>
      <c r="J205" s="84" t="s">
        <v>475</v>
      </c>
      <c r="K205" s="84" t="s">
        <v>449</v>
      </c>
      <c r="L205" s="84" t="s">
        <v>815</v>
      </c>
      <c r="M205" s="90" t="str">
        <f t="shared" si="4"/>
        <v>View on Google Map</v>
      </c>
    </row>
    <row r="206" spans="1:14" x14ac:dyDescent="0.2">
      <c r="A206" s="84">
        <v>223</v>
      </c>
      <c r="B206" s="84" t="s">
        <v>822</v>
      </c>
      <c r="C206" s="84" t="s">
        <v>449</v>
      </c>
      <c r="D206" s="84">
        <v>69.7</v>
      </c>
      <c r="E206" s="84">
        <v>-151.16666666666666</v>
      </c>
      <c r="F206" s="84">
        <v>42.682926829268297</v>
      </c>
      <c r="G206" s="84" t="s">
        <v>460</v>
      </c>
      <c r="H206" s="84" t="s">
        <v>823</v>
      </c>
      <c r="I206" s="84" t="s">
        <v>449</v>
      </c>
      <c r="J206" s="84" t="s">
        <v>475</v>
      </c>
      <c r="K206" s="84" t="s">
        <v>449</v>
      </c>
      <c r="L206" s="84" t="s">
        <v>815</v>
      </c>
      <c r="M206" s="90" t="str">
        <f t="shared" si="4"/>
        <v>View on Google Map</v>
      </c>
    </row>
    <row r="207" spans="1:14" x14ac:dyDescent="0.2">
      <c r="A207" s="84">
        <v>224</v>
      </c>
      <c r="B207" s="84" t="s">
        <v>824</v>
      </c>
      <c r="C207" s="84" t="s">
        <v>449</v>
      </c>
      <c r="D207" s="84">
        <v>69.516666666666666</v>
      </c>
      <c r="E207" s="84">
        <v>-150.86666666666667</v>
      </c>
      <c r="F207" s="84">
        <v>60.975609756097562</v>
      </c>
      <c r="G207" s="84" t="s">
        <v>460</v>
      </c>
      <c r="H207" s="84" t="s">
        <v>825</v>
      </c>
      <c r="I207" s="84" t="s">
        <v>449</v>
      </c>
      <c r="J207" s="84" t="s">
        <v>475</v>
      </c>
      <c r="K207" s="84" t="s">
        <v>449</v>
      </c>
      <c r="L207" s="84" t="s">
        <v>815</v>
      </c>
      <c r="M207" s="90" t="str">
        <f t="shared" si="4"/>
        <v>View on Google Map</v>
      </c>
    </row>
    <row r="208" spans="1:14" x14ac:dyDescent="0.2">
      <c r="A208" s="84">
        <v>225</v>
      </c>
      <c r="B208" s="84" t="s">
        <v>826</v>
      </c>
      <c r="C208" s="84" t="s">
        <v>449</v>
      </c>
      <c r="D208" s="84">
        <v>69.516666666666666</v>
      </c>
      <c r="E208" s="84">
        <v>-150.86666666666667</v>
      </c>
      <c r="F208" s="84">
        <v>60.975609756097562</v>
      </c>
      <c r="G208" s="84" t="s">
        <v>460</v>
      </c>
      <c r="H208" s="84" t="s">
        <v>827</v>
      </c>
      <c r="I208" s="84" t="s">
        <v>449</v>
      </c>
      <c r="J208" s="84" t="s">
        <v>475</v>
      </c>
      <c r="K208" s="84" t="s">
        <v>449</v>
      </c>
      <c r="L208" s="84" t="s">
        <v>815</v>
      </c>
      <c r="M208" s="90" t="str">
        <f t="shared" si="4"/>
        <v>View on Google Map</v>
      </c>
    </row>
    <row r="209" spans="1:13" x14ac:dyDescent="0.2">
      <c r="A209" s="84">
        <v>226</v>
      </c>
      <c r="B209" s="84" t="s">
        <v>828</v>
      </c>
      <c r="C209" s="84" t="s">
        <v>449</v>
      </c>
      <c r="D209" s="84">
        <v>69.25</v>
      </c>
      <c r="E209" s="84">
        <v>-150.43333333333334</v>
      </c>
      <c r="F209" s="84">
        <v>182.92682926829269</v>
      </c>
      <c r="G209" s="84" t="s">
        <v>460</v>
      </c>
      <c r="H209" s="84" t="s">
        <v>829</v>
      </c>
      <c r="I209" s="84" t="s">
        <v>449</v>
      </c>
      <c r="J209" s="84" t="s">
        <v>475</v>
      </c>
      <c r="K209" s="84" t="s">
        <v>449</v>
      </c>
      <c r="L209" s="84" t="s">
        <v>815</v>
      </c>
      <c r="M209" s="90" t="str">
        <f t="shared" si="4"/>
        <v>View on Google Map</v>
      </c>
    </row>
    <row r="210" spans="1:13" x14ac:dyDescent="0.2">
      <c r="A210" s="84">
        <v>227</v>
      </c>
      <c r="B210" s="84" t="s">
        <v>830</v>
      </c>
      <c r="C210" s="84" t="s">
        <v>449</v>
      </c>
      <c r="D210" s="84">
        <v>69.25</v>
      </c>
      <c r="E210" s="84">
        <v>-150.43333333333334</v>
      </c>
      <c r="F210" s="84">
        <v>182.92682926829269</v>
      </c>
      <c r="G210" s="84" t="s">
        <v>460</v>
      </c>
      <c r="H210" s="84" t="s">
        <v>831</v>
      </c>
      <c r="I210" s="84" t="s">
        <v>449</v>
      </c>
      <c r="J210" s="84" t="s">
        <v>475</v>
      </c>
      <c r="K210" s="84" t="s">
        <v>449</v>
      </c>
      <c r="L210" s="84" t="s">
        <v>815</v>
      </c>
      <c r="M210" s="90" t="str">
        <f t="shared" si="4"/>
        <v>View on Google Map</v>
      </c>
    </row>
    <row r="211" spans="1:13" x14ac:dyDescent="0.2">
      <c r="A211" s="84">
        <v>228</v>
      </c>
      <c r="B211" s="84" t="s">
        <v>832</v>
      </c>
      <c r="C211" s="84" t="s">
        <v>449</v>
      </c>
      <c r="D211" s="84">
        <v>69.25</v>
      </c>
      <c r="E211" s="84">
        <v>-151.16666666666666</v>
      </c>
      <c r="F211" s="84">
        <v>182.92682926829269</v>
      </c>
      <c r="G211" s="84" t="s">
        <v>460</v>
      </c>
      <c r="H211" s="84" t="s">
        <v>833</v>
      </c>
      <c r="I211" s="84" t="s">
        <v>449</v>
      </c>
      <c r="J211" s="84" t="s">
        <v>475</v>
      </c>
      <c r="K211" s="84" t="s">
        <v>449</v>
      </c>
      <c r="L211" s="84" t="s">
        <v>815</v>
      </c>
      <c r="M211" s="90" t="str">
        <f t="shared" si="4"/>
        <v>View on Google Map</v>
      </c>
    </row>
    <row r="212" spans="1:13" x14ac:dyDescent="0.2">
      <c r="A212" s="84">
        <v>229</v>
      </c>
      <c r="B212" s="84" t="s">
        <v>834</v>
      </c>
      <c r="C212" s="84" t="s">
        <v>449</v>
      </c>
      <c r="D212" s="84">
        <v>69.233333333333334</v>
      </c>
      <c r="E212" s="84">
        <v>-151.63333333333333</v>
      </c>
      <c r="F212" s="84">
        <v>178.35365853658539</v>
      </c>
      <c r="G212" s="84" t="s">
        <v>460</v>
      </c>
      <c r="H212" s="84" t="s">
        <v>835</v>
      </c>
      <c r="I212" s="84" t="s">
        <v>449</v>
      </c>
      <c r="J212" s="84" t="s">
        <v>475</v>
      </c>
      <c r="K212" s="84" t="s">
        <v>449</v>
      </c>
      <c r="L212" s="84" t="s">
        <v>815</v>
      </c>
      <c r="M212" s="90" t="str">
        <f t="shared" si="4"/>
        <v>View on Google Map</v>
      </c>
    </row>
    <row r="213" spans="1:13" x14ac:dyDescent="0.2">
      <c r="A213" s="84">
        <v>230</v>
      </c>
      <c r="B213" s="84" t="s">
        <v>836</v>
      </c>
      <c r="C213" s="84" t="s">
        <v>449</v>
      </c>
      <c r="D213" s="84">
        <v>68.900000000000006</v>
      </c>
      <c r="E213" s="84">
        <v>-151.28333333333333</v>
      </c>
      <c r="F213" s="84">
        <v>335.36585365853659</v>
      </c>
      <c r="G213" s="84" t="s">
        <v>460</v>
      </c>
      <c r="H213" s="84" t="s">
        <v>837</v>
      </c>
      <c r="I213" s="84" t="s">
        <v>449</v>
      </c>
      <c r="J213" s="84" t="s">
        <v>475</v>
      </c>
      <c r="K213" s="84" t="s">
        <v>449</v>
      </c>
      <c r="L213" s="84" t="s">
        <v>815</v>
      </c>
      <c r="M213" s="90" t="str">
        <f t="shared" si="4"/>
        <v>View on Google Map</v>
      </c>
    </row>
    <row r="214" spans="1:13" x14ac:dyDescent="0.2">
      <c r="A214" s="84">
        <v>231</v>
      </c>
      <c r="B214" s="84" t="s">
        <v>838</v>
      </c>
      <c r="C214" s="84" t="s">
        <v>449</v>
      </c>
      <c r="D214" s="84">
        <v>68.8</v>
      </c>
      <c r="E214" s="84">
        <v>-150.80000000000001</v>
      </c>
      <c r="F214" s="84">
        <v>411.58536585365857</v>
      </c>
      <c r="G214" s="84" t="s">
        <v>460</v>
      </c>
      <c r="H214" s="84" t="s">
        <v>839</v>
      </c>
      <c r="I214" s="84" t="s">
        <v>449</v>
      </c>
      <c r="J214" s="84" t="s">
        <v>475</v>
      </c>
      <c r="K214" s="84" t="s">
        <v>449</v>
      </c>
      <c r="L214" s="84" t="s">
        <v>815</v>
      </c>
      <c r="M214" s="90" t="str">
        <f t="shared" si="4"/>
        <v>View on Google Map</v>
      </c>
    </row>
    <row r="215" spans="1:13" x14ac:dyDescent="0.2">
      <c r="A215" s="84">
        <v>237</v>
      </c>
      <c r="B215" s="84" t="s">
        <v>840</v>
      </c>
      <c r="C215" s="84" t="s">
        <v>449</v>
      </c>
      <c r="D215" s="84">
        <v>68.783333333333331</v>
      </c>
      <c r="E215" s="84" t="s">
        <v>449</v>
      </c>
      <c r="F215" s="84">
        <v>681.40243902439033</v>
      </c>
      <c r="G215" s="84" t="s">
        <v>460</v>
      </c>
      <c r="H215" s="84" t="s">
        <v>841</v>
      </c>
      <c r="I215" s="84" t="s">
        <v>842</v>
      </c>
      <c r="J215" s="84" t="s">
        <v>475</v>
      </c>
      <c r="K215" s="84" t="s">
        <v>449</v>
      </c>
      <c r="L215" s="84" t="s">
        <v>815</v>
      </c>
      <c r="M215" s="90" t="str">
        <f t="shared" si="4"/>
        <v>View on Google Map</v>
      </c>
    </row>
    <row r="216" spans="1:13" x14ac:dyDescent="0.2">
      <c r="A216" s="84">
        <v>238</v>
      </c>
      <c r="B216" s="84" t="s">
        <v>843</v>
      </c>
      <c r="C216" s="84" t="s">
        <v>449</v>
      </c>
      <c r="D216" s="84">
        <v>68.783333333333331</v>
      </c>
      <c r="E216" s="84" t="s">
        <v>449</v>
      </c>
      <c r="F216" s="84">
        <v>681.40243902439033</v>
      </c>
      <c r="G216" s="84" t="s">
        <v>460</v>
      </c>
      <c r="H216" s="84" t="s">
        <v>844</v>
      </c>
      <c r="I216" s="84" t="s">
        <v>842</v>
      </c>
      <c r="J216" s="84" t="s">
        <v>475</v>
      </c>
      <c r="K216" s="84" t="s">
        <v>449</v>
      </c>
      <c r="L216" s="84" t="s">
        <v>815</v>
      </c>
      <c r="M216" s="90" t="str">
        <f t="shared" si="4"/>
        <v>View on Google Map</v>
      </c>
    </row>
    <row r="217" spans="1:13" x14ac:dyDescent="0.2">
      <c r="A217" s="84">
        <v>10</v>
      </c>
      <c r="B217" s="84" t="s">
        <v>845</v>
      </c>
      <c r="C217" s="84" t="s">
        <v>846</v>
      </c>
      <c r="D217" s="84">
        <v>68.644702925000004</v>
      </c>
      <c r="E217" s="84">
        <v>-149.41200613611099</v>
      </c>
      <c r="F217" s="84">
        <v>751.33799999999997</v>
      </c>
      <c r="G217" s="84" t="s">
        <v>474</v>
      </c>
      <c r="H217" s="84" t="s">
        <v>449</v>
      </c>
      <c r="I217" s="84" t="s">
        <v>449</v>
      </c>
      <c r="J217" s="84" t="s">
        <v>475</v>
      </c>
      <c r="K217" s="84" t="s">
        <v>449</v>
      </c>
      <c r="L217" s="84" t="s">
        <v>449</v>
      </c>
      <c r="M217" s="90" t="str">
        <f t="shared" si="4"/>
        <v>View on Google Map</v>
      </c>
    </row>
    <row r="218" spans="1:13" x14ac:dyDescent="0.2">
      <c r="A218" s="84">
        <v>486</v>
      </c>
      <c r="B218" s="84" t="s">
        <v>847</v>
      </c>
      <c r="C218" s="84" t="s">
        <v>449</v>
      </c>
      <c r="D218" s="84">
        <v>68.958333332999999</v>
      </c>
      <c r="E218" s="84">
        <v>-150.302016667</v>
      </c>
      <c r="F218" s="84">
        <v>382</v>
      </c>
      <c r="G218" s="84" t="s">
        <v>460</v>
      </c>
      <c r="H218" s="84" t="s">
        <v>449</v>
      </c>
      <c r="I218" s="84" t="s">
        <v>449</v>
      </c>
      <c r="J218" s="84" t="s">
        <v>510</v>
      </c>
      <c r="K218" s="84" t="s">
        <v>449</v>
      </c>
      <c r="L218" s="84" t="s">
        <v>457</v>
      </c>
      <c r="M218" s="90" t="str">
        <f t="shared" si="4"/>
        <v>View on Google Map</v>
      </c>
    </row>
    <row r="219" spans="1:13" x14ac:dyDescent="0.2">
      <c r="A219" s="84">
        <v>388</v>
      </c>
      <c r="B219" s="84" t="s">
        <v>848</v>
      </c>
      <c r="C219" s="84" t="s">
        <v>449</v>
      </c>
      <c r="D219" s="84">
        <v>68.556340000000006</v>
      </c>
      <c r="E219" s="84">
        <v>-149.56628000000001</v>
      </c>
      <c r="F219" s="84">
        <v>801</v>
      </c>
      <c r="G219" s="84" t="s">
        <v>460</v>
      </c>
      <c r="H219" s="84" t="s">
        <v>449</v>
      </c>
      <c r="I219" s="84" t="s">
        <v>449</v>
      </c>
      <c r="J219" s="84" t="s">
        <v>475</v>
      </c>
      <c r="K219" s="84" t="s">
        <v>449</v>
      </c>
      <c r="L219" s="84" t="s">
        <v>849</v>
      </c>
      <c r="M219" s="90" t="str">
        <f t="shared" si="4"/>
        <v>View on Google Map</v>
      </c>
    </row>
    <row r="220" spans="1:13" x14ac:dyDescent="0.2">
      <c r="A220" s="84">
        <v>450</v>
      </c>
      <c r="B220" s="84" t="s">
        <v>850</v>
      </c>
      <c r="C220" s="84" t="s">
        <v>449</v>
      </c>
      <c r="D220" s="84">
        <v>68.553610000000006</v>
      </c>
      <c r="E220" s="84">
        <v>-149.53397000000001</v>
      </c>
      <c r="F220" s="84">
        <v>820</v>
      </c>
      <c r="G220" s="84" t="s">
        <v>460</v>
      </c>
      <c r="H220" s="84" t="s">
        <v>851</v>
      </c>
      <c r="I220" s="84" t="s">
        <v>449</v>
      </c>
      <c r="J220" s="84" t="s">
        <v>461</v>
      </c>
      <c r="K220" s="84" t="s">
        <v>449</v>
      </c>
      <c r="L220" s="84" t="s">
        <v>449</v>
      </c>
      <c r="M220" s="90" t="str">
        <f t="shared" si="4"/>
        <v>View on Google Map</v>
      </c>
    </row>
    <row r="221" spans="1:13" x14ac:dyDescent="0.2">
      <c r="A221" s="84">
        <v>451</v>
      </c>
      <c r="B221" s="84" t="s">
        <v>852</v>
      </c>
      <c r="C221" s="84" t="s">
        <v>449</v>
      </c>
      <c r="D221" s="84">
        <v>68.545929999999998</v>
      </c>
      <c r="E221" s="84">
        <v>-149.54213999999999</v>
      </c>
      <c r="F221" s="84">
        <v>852</v>
      </c>
      <c r="G221" s="84" t="s">
        <v>460</v>
      </c>
      <c r="H221" s="84" t="s">
        <v>853</v>
      </c>
      <c r="I221" s="84" t="s">
        <v>449</v>
      </c>
      <c r="J221" s="84" t="s">
        <v>461</v>
      </c>
      <c r="K221" s="84" t="s">
        <v>449</v>
      </c>
      <c r="L221" s="84" t="s">
        <v>449</v>
      </c>
      <c r="M221" s="90" t="str">
        <f t="shared" si="4"/>
        <v>View on Google Map</v>
      </c>
    </row>
    <row r="222" spans="1:13" x14ac:dyDescent="0.2">
      <c r="A222" s="84">
        <v>531</v>
      </c>
      <c r="B222" s="84" t="s">
        <v>854</v>
      </c>
      <c r="C222" s="84" t="s">
        <v>855</v>
      </c>
      <c r="D222" s="84">
        <v>68.556769000000003</v>
      </c>
      <c r="E222" s="84">
        <v>-149.555385</v>
      </c>
      <c r="F222" s="84">
        <v>805</v>
      </c>
      <c r="G222" s="84" t="s">
        <v>474</v>
      </c>
      <c r="H222" s="84" t="s">
        <v>449</v>
      </c>
      <c r="I222" s="84" t="s">
        <v>449</v>
      </c>
      <c r="J222" s="84" t="s">
        <v>461</v>
      </c>
      <c r="K222" s="84" t="s">
        <v>449</v>
      </c>
      <c r="L222" s="84" t="s">
        <v>856</v>
      </c>
      <c r="M222" s="90" t="str">
        <f t="shared" si="4"/>
        <v>View on Google Map</v>
      </c>
    </row>
    <row r="223" spans="1:13" x14ac:dyDescent="0.2">
      <c r="A223" s="84">
        <v>532</v>
      </c>
      <c r="B223" s="84" t="s">
        <v>857</v>
      </c>
      <c r="C223" s="84" t="s">
        <v>855</v>
      </c>
      <c r="D223" s="84">
        <v>68.556635999999997</v>
      </c>
      <c r="E223" s="84">
        <v>-149.574457</v>
      </c>
      <c r="F223" s="84">
        <v>803</v>
      </c>
      <c r="G223" s="84" t="s">
        <v>474</v>
      </c>
      <c r="H223" s="84" t="s">
        <v>449</v>
      </c>
      <c r="I223" s="84" t="s">
        <v>449</v>
      </c>
      <c r="J223" s="84" t="s">
        <v>461</v>
      </c>
      <c r="K223" s="84" t="s">
        <v>449</v>
      </c>
      <c r="L223" s="84" t="s">
        <v>856</v>
      </c>
      <c r="M223" s="90" t="str">
        <f t="shared" si="4"/>
        <v>View on Google Map</v>
      </c>
    </row>
    <row r="224" spans="1:13" x14ac:dyDescent="0.2">
      <c r="A224" s="84">
        <v>120</v>
      </c>
      <c r="B224" s="84" t="s">
        <v>858</v>
      </c>
      <c r="C224" s="84" t="s">
        <v>449</v>
      </c>
      <c r="D224" s="84">
        <v>68.610781000000003</v>
      </c>
      <c r="E224" s="84">
        <v>-149.600742</v>
      </c>
      <c r="F224" s="84">
        <v>736</v>
      </c>
      <c r="G224" s="84" t="s">
        <v>460</v>
      </c>
      <c r="H224" s="84" t="s">
        <v>859</v>
      </c>
      <c r="I224" s="84" t="s">
        <v>449</v>
      </c>
      <c r="J224" s="84" t="s">
        <v>475</v>
      </c>
      <c r="K224" s="84">
        <v>313</v>
      </c>
      <c r="L224" s="84" t="s">
        <v>849</v>
      </c>
      <c r="M224" s="90" t="str">
        <f t="shared" si="4"/>
        <v>View on Google Map</v>
      </c>
    </row>
    <row r="225" spans="1:13" x14ac:dyDescent="0.2">
      <c r="A225" s="84">
        <v>191</v>
      </c>
      <c r="B225" s="84" t="s">
        <v>860</v>
      </c>
      <c r="C225" s="84" t="s">
        <v>861</v>
      </c>
      <c r="D225" s="84">
        <v>68.610349999999997</v>
      </c>
      <c r="E225" s="84">
        <v>-149.59976599999999</v>
      </c>
      <c r="F225" s="84">
        <v>736</v>
      </c>
      <c r="G225" s="84" t="s">
        <v>474</v>
      </c>
      <c r="H225" s="84" t="s">
        <v>862</v>
      </c>
      <c r="I225" s="84" t="s">
        <v>863</v>
      </c>
      <c r="J225" s="84" t="s">
        <v>475</v>
      </c>
      <c r="K225" s="84" t="s">
        <v>449</v>
      </c>
      <c r="L225" s="84" t="s">
        <v>864</v>
      </c>
      <c r="M225" s="90" t="str">
        <f t="shared" si="4"/>
        <v>View on Google Map</v>
      </c>
    </row>
    <row r="226" spans="1:13" x14ac:dyDescent="0.2">
      <c r="A226" s="84">
        <v>243</v>
      </c>
      <c r="B226" s="84" t="s">
        <v>865</v>
      </c>
      <c r="C226" s="84" t="s">
        <v>449</v>
      </c>
      <c r="D226" s="84">
        <v>68.611682999999999</v>
      </c>
      <c r="E226" s="84">
        <v>-149.599254</v>
      </c>
      <c r="F226" s="84">
        <v>736</v>
      </c>
      <c r="G226" s="84" t="s">
        <v>474</v>
      </c>
      <c r="H226" s="84" t="s">
        <v>866</v>
      </c>
      <c r="I226" s="84" t="s">
        <v>867</v>
      </c>
      <c r="J226" s="84" t="s">
        <v>475</v>
      </c>
      <c r="K226" s="84" t="s">
        <v>449</v>
      </c>
      <c r="L226" s="84" t="s">
        <v>864</v>
      </c>
      <c r="M226" s="90" t="str">
        <f t="shared" si="4"/>
        <v>View on Google Map</v>
      </c>
    </row>
    <row r="227" spans="1:13" x14ac:dyDescent="0.2">
      <c r="A227" s="84">
        <v>111</v>
      </c>
      <c r="B227" s="84" t="s">
        <v>868</v>
      </c>
      <c r="C227" s="84" t="s">
        <v>449</v>
      </c>
      <c r="D227" s="84">
        <v>68.568713078900004</v>
      </c>
      <c r="E227" s="84">
        <v>-149.58807625</v>
      </c>
      <c r="F227" s="84">
        <v>785</v>
      </c>
      <c r="G227" s="84" t="s">
        <v>460</v>
      </c>
      <c r="H227" s="84" t="s">
        <v>869</v>
      </c>
      <c r="I227" s="84" t="s">
        <v>870</v>
      </c>
      <c r="J227" s="84" t="s">
        <v>475</v>
      </c>
      <c r="K227" s="84" t="s">
        <v>449</v>
      </c>
      <c r="L227" s="84" t="s">
        <v>849</v>
      </c>
      <c r="M227" s="90" t="str">
        <f t="shared" si="4"/>
        <v>View on Google Map</v>
      </c>
    </row>
    <row r="228" spans="1:13" x14ac:dyDescent="0.2">
      <c r="A228" s="84">
        <v>175</v>
      </c>
      <c r="B228" s="84" t="s">
        <v>871</v>
      </c>
      <c r="C228" s="84" t="s">
        <v>449</v>
      </c>
      <c r="D228" s="84">
        <v>68.573999999999998</v>
      </c>
      <c r="E228" s="84">
        <v>-149.58356599999999</v>
      </c>
      <c r="F228" s="84">
        <v>774</v>
      </c>
      <c r="G228" s="84" t="s">
        <v>474</v>
      </c>
      <c r="H228" s="84" t="s">
        <v>872</v>
      </c>
      <c r="I228" s="84" t="s">
        <v>873</v>
      </c>
      <c r="J228" s="84" t="s">
        <v>475</v>
      </c>
      <c r="K228" s="84" t="s">
        <v>449</v>
      </c>
      <c r="L228" s="84" t="s">
        <v>864</v>
      </c>
      <c r="M228" s="90" t="str">
        <f t="shared" si="4"/>
        <v>View on Google Map</v>
      </c>
    </row>
    <row r="229" spans="1:13" x14ac:dyDescent="0.2">
      <c r="A229" s="84">
        <v>174</v>
      </c>
      <c r="B229" s="84" t="s">
        <v>874</v>
      </c>
      <c r="C229" s="84" t="s">
        <v>449</v>
      </c>
      <c r="D229" s="84">
        <v>68.572295999999994</v>
      </c>
      <c r="E229" s="84">
        <v>-149.58101400000001</v>
      </c>
      <c r="F229" s="84">
        <v>785</v>
      </c>
      <c r="G229" s="84" t="s">
        <v>474</v>
      </c>
      <c r="H229" s="84" t="s">
        <v>875</v>
      </c>
      <c r="I229" s="84" t="s">
        <v>876</v>
      </c>
      <c r="J229" s="84" t="s">
        <v>475</v>
      </c>
      <c r="K229" s="84" t="s">
        <v>449</v>
      </c>
      <c r="L229" s="84" t="s">
        <v>864</v>
      </c>
      <c r="M229" s="90" t="str">
        <f t="shared" si="4"/>
        <v>View on Google Map</v>
      </c>
    </row>
    <row r="230" spans="1:13" x14ac:dyDescent="0.2">
      <c r="A230" s="84">
        <v>112</v>
      </c>
      <c r="B230" s="84" t="s">
        <v>877</v>
      </c>
      <c r="C230" s="84" t="s">
        <v>449</v>
      </c>
      <c r="D230" s="84">
        <v>68.571319563299994</v>
      </c>
      <c r="E230" s="84">
        <v>-149.56588161799999</v>
      </c>
      <c r="F230" s="84">
        <v>785</v>
      </c>
      <c r="G230" s="84" t="s">
        <v>460</v>
      </c>
      <c r="H230" s="84" t="s">
        <v>878</v>
      </c>
      <c r="I230" s="84" t="s">
        <v>879</v>
      </c>
      <c r="J230" s="84" t="s">
        <v>475</v>
      </c>
      <c r="K230" s="84" t="s">
        <v>449</v>
      </c>
      <c r="L230" s="84" t="s">
        <v>849</v>
      </c>
      <c r="M230" s="90" t="str">
        <f t="shared" si="4"/>
        <v>View on Google Map</v>
      </c>
    </row>
    <row r="231" spans="1:13" x14ac:dyDescent="0.2">
      <c r="A231" s="84">
        <v>176</v>
      </c>
      <c r="B231" s="84" t="s">
        <v>880</v>
      </c>
      <c r="C231" s="84" t="s">
        <v>449</v>
      </c>
      <c r="D231" s="84">
        <v>68.574783330000002</v>
      </c>
      <c r="E231" s="84">
        <v>-149.58205000000001</v>
      </c>
      <c r="F231" s="84">
        <v>774</v>
      </c>
      <c r="G231" s="84" t="s">
        <v>474</v>
      </c>
      <c r="H231" s="84" t="s">
        <v>881</v>
      </c>
      <c r="I231" s="84" t="s">
        <v>882</v>
      </c>
      <c r="J231" s="84" t="s">
        <v>475</v>
      </c>
      <c r="K231" s="84" t="s">
        <v>449</v>
      </c>
      <c r="L231" s="84" t="s">
        <v>864</v>
      </c>
      <c r="M231" s="90" t="str">
        <f t="shared" si="4"/>
        <v>View on Google Map</v>
      </c>
    </row>
    <row r="232" spans="1:13" x14ac:dyDescent="0.2">
      <c r="A232" s="84">
        <v>173</v>
      </c>
      <c r="B232" s="84" t="s">
        <v>883</v>
      </c>
      <c r="C232" s="84" t="s">
        <v>449</v>
      </c>
      <c r="D232" s="84">
        <v>68.572546000000003</v>
      </c>
      <c r="E232" s="84">
        <v>-149.570268</v>
      </c>
      <c r="F232" s="84">
        <v>785</v>
      </c>
      <c r="G232" s="84" t="s">
        <v>474</v>
      </c>
      <c r="H232" s="84" t="s">
        <v>884</v>
      </c>
      <c r="I232" s="84" t="s">
        <v>885</v>
      </c>
      <c r="J232" s="84" t="s">
        <v>475</v>
      </c>
      <c r="K232" s="84" t="s">
        <v>449</v>
      </c>
      <c r="L232" s="84" t="s">
        <v>864</v>
      </c>
      <c r="M232" s="90" t="str">
        <f t="shared" si="4"/>
        <v>View on Google Map</v>
      </c>
    </row>
    <row r="233" spans="1:13" x14ac:dyDescent="0.2">
      <c r="A233" s="84">
        <v>113</v>
      </c>
      <c r="B233" s="84" t="s">
        <v>886</v>
      </c>
      <c r="C233" s="84" t="s">
        <v>449</v>
      </c>
      <c r="D233" s="84">
        <v>68.575536630100004</v>
      </c>
      <c r="E233" s="84">
        <v>-149.583644456</v>
      </c>
      <c r="F233" s="84">
        <v>774</v>
      </c>
      <c r="G233" s="84" t="s">
        <v>460</v>
      </c>
      <c r="H233" s="84" t="s">
        <v>887</v>
      </c>
      <c r="I233" s="84" t="s">
        <v>888</v>
      </c>
      <c r="J233" s="84" t="s">
        <v>475</v>
      </c>
      <c r="K233" s="84" t="s">
        <v>449</v>
      </c>
      <c r="L233" s="84" t="s">
        <v>849</v>
      </c>
      <c r="M233" s="90" t="str">
        <f t="shared" si="4"/>
        <v>View on Google Map</v>
      </c>
    </row>
    <row r="234" spans="1:13" x14ac:dyDescent="0.2">
      <c r="A234" s="84">
        <v>177</v>
      </c>
      <c r="B234" s="84" t="s">
        <v>889</v>
      </c>
      <c r="C234" s="84" t="s">
        <v>449</v>
      </c>
      <c r="D234" s="84">
        <v>68.577539999999999</v>
      </c>
      <c r="E234" s="84">
        <v>-149.58200299999999</v>
      </c>
      <c r="F234" s="84">
        <v>774</v>
      </c>
      <c r="G234" s="84" t="s">
        <v>474</v>
      </c>
      <c r="H234" s="84" t="s">
        <v>890</v>
      </c>
      <c r="I234" s="84" t="s">
        <v>891</v>
      </c>
      <c r="J234" s="84" t="s">
        <v>475</v>
      </c>
      <c r="K234" s="84" t="s">
        <v>449</v>
      </c>
      <c r="L234" s="84" t="s">
        <v>864</v>
      </c>
      <c r="M234" s="90" t="str">
        <f t="shared" si="4"/>
        <v>View on Google Map</v>
      </c>
    </row>
    <row r="235" spans="1:13" x14ac:dyDescent="0.2">
      <c r="A235" s="84">
        <v>114</v>
      </c>
      <c r="B235" s="84" t="s">
        <v>892</v>
      </c>
      <c r="C235" s="84" t="s">
        <v>449</v>
      </c>
      <c r="D235" s="84">
        <v>68.579567150000003</v>
      </c>
      <c r="E235" s="84">
        <v>-149.58405938000001</v>
      </c>
      <c r="F235" s="84">
        <v>770</v>
      </c>
      <c r="G235" s="84" t="s">
        <v>460</v>
      </c>
      <c r="H235" s="84" t="s">
        <v>893</v>
      </c>
      <c r="I235" s="84" t="s">
        <v>894</v>
      </c>
      <c r="J235" s="84" t="s">
        <v>475</v>
      </c>
      <c r="K235" s="84" t="s">
        <v>449</v>
      </c>
      <c r="L235" s="84" t="s">
        <v>849</v>
      </c>
      <c r="M235" s="90" t="str">
        <f t="shared" si="4"/>
        <v>View on Google Map</v>
      </c>
    </row>
    <row r="236" spans="1:13" x14ac:dyDescent="0.2">
      <c r="A236" s="84">
        <v>179</v>
      </c>
      <c r="B236" s="84" t="s">
        <v>895</v>
      </c>
      <c r="C236" s="84" t="s">
        <v>449</v>
      </c>
      <c r="D236" s="84">
        <v>68.584233330000004</v>
      </c>
      <c r="E236" s="84">
        <v>-149.58359999999999</v>
      </c>
      <c r="F236" s="84">
        <v>770</v>
      </c>
      <c r="G236" s="84" t="s">
        <v>474</v>
      </c>
      <c r="H236" s="84" t="s">
        <v>896</v>
      </c>
      <c r="I236" s="84" t="s">
        <v>897</v>
      </c>
      <c r="J236" s="84" t="s">
        <v>475</v>
      </c>
      <c r="K236" s="84" t="s">
        <v>449</v>
      </c>
      <c r="L236" s="84" t="s">
        <v>864</v>
      </c>
      <c r="M236" s="90" t="str">
        <f t="shared" si="4"/>
        <v>View on Google Map</v>
      </c>
    </row>
    <row r="237" spans="1:13" x14ac:dyDescent="0.2">
      <c r="A237" s="84">
        <v>178</v>
      </c>
      <c r="B237" s="84" t="s">
        <v>898</v>
      </c>
      <c r="C237" s="84" t="s">
        <v>449</v>
      </c>
      <c r="D237" s="84">
        <v>68.581429999999997</v>
      </c>
      <c r="E237" s="84">
        <v>-149.58609999999999</v>
      </c>
      <c r="F237" s="84">
        <v>770</v>
      </c>
      <c r="G237" s="84" t="s">
        <v>474</v>
      </c>
      <c r="H237" s="84" t="s">
        <v>899</v>
      </c>
      <c r="I237" s="84" t="s">
        <v>900</v>
      </c>
      <c r="J237" s="84" t="s">
        <v>475</v>
      </c>
      <c r="K237" s="84" t="s">
        <v>449</v>
      </c>
      <c r="L237" s="84" t="s">
        <v>864</v>
      </c>
      <c r="M237" s="90" t="str">
        <f t="shared" si="4"/>
        <v>View on Google Map</v>
      </c>
    </row>
    <row r="238" spans="1:13" x14ac:dyDescent="0.2">
      <c r="A238" s="84">
        <v>115</v>
      </c>
      <c r="B238" s="84" t="s">
        <v>901</v>
      </c>
      <c r="C238" s="84" t="s">
        <v>449</v>
      </c>
      <c r="D238" s="84">
        <v>68.587387439099999</v>
      </c>
      <c r="E238" s="84">
        <v>-149.589625877</v>
      </c>
      <c r="F238" s="84">
        <v>767</v>
      </c>
      <c r="G238" s="84" t="s">
        <v>460</v>
      </c>
      <c r="H238" s="84" t="s">
        <v>902</v>
      </c>
      <c r="I238" s="84" t="s">
        <v>903</v>
      </c>
      <c r="J238" s="84" t="s">
        <v>475</v>
      </c>
      <c r="K238" s="84" t="s">
        <v>449</v>
      </c>
      <c r="L238" s="84" t="s">
        <v>849</v>
      </c>
      <c r="M238" s="90" t="str">
        <f t="shared" si="4"/>
        <v>View on Google Map</v>
      </c>
    </row>
    <row r="239" spans="1:13" x14ac:dyDescent="0.2">
      <c r="A239" s="84">
        <v>181</v>
      </c>
      <c r="B239" s="84" t="s">
        <v>904</v>
      </c>
      <c r="C239" s="84" t="s">
        <v>449</v>
      </c>
      <c r="D239" s="84">
        <v>68.594916670000003</v>
      </c>
      <c r="E239" s="84">
        <v>-149.58631600000001</v>
      </c>
      <c r="F239" s="84">
        <v>754</v>
      </c>
      <c r="G239" s="84" t="s">
        <v>474</v>
      </c>
      <c r="H239" s="84" t="s">
        <v>905</v>
      </c>
      <c r="I239" s="84" t="s">
        <v>906</v>
      </c>
      <c r="J239" s="84" t="s">
        <v>475</v>
      </c>
      <c r="K239" s="84" t="s">
        <v>449</v>
      </c>
      <c r="L239" s="84" t="s">
        <v>864</v>
      </c>
      <c r="M239" s="90" t="str">
        <f t="shared" si="4"/>
        <v>View on Google Map</v>
      </c>
    </row>
    <row r="240" spans="1:13" x14ac:dyDescent="0.2">
      <c r="A240" s="84">
        <v>180</v>
      </c>
      <c r="B240" s="84" t="s">
        <v>907</v>
      </c>
      <c r="C240" s="84" t="s">
        <v>449</v>
      </c>
      <c r="D240" s="84">
        <v>68.589087000000006</v>
      </c>
      <c r="E240" s="84">
        <v>-149.58921900000001</v>
      </c>
      <c r="F240" s="84">
        <v>767</v>
      </c>
      <c r="G240" s="84" t="s">
        <v>474</v>
      </c>
      <c r="H240" s="84" t="s">
        <v>908</v>
      </c>
      <c r="I240" s="84" t="s">
        <v>909</v>
      </c>
      <c r="J240" s="84" t="s">
        <v>475</v>
      </c>
      <c r="K240" s="84" t="s">
        <v>449</v>
      </c>
      <c r="L240" s="84" t="s">
        <v>864</v>
      </c>
      <c r="M240" s="90" t="str">
        <f t="shared" si="4"/>
        <v>View on Google Map</v>
      </c>
    </row>
    <row r="241" spans="1:13" x14ac:dyDescent="0.2">
      <c r="A241" s="84">
        <v>116</v>
      </c>
      <c r="B241" s="84" t="s">
        <v>910</v>
      </c>
      <c r="C241" s="84" t="s">
        <v>449</v>
      </c>
      <c r="D241" s="84">
        <v>68.596592403900004</v>
      </c>
      <c r="E241" s="84">
        <v>-149.59264335</v>
      </c>
      <c r="F241" s="84">
        <v>754</v>
      </c>
      <c r="G241" s="84" t="s">
        <v>460</v>
      </c>
      <c r="H241" s="84" t="s">
        <v>911</v>
      </c>
      <c r="I241" s="84" t="s">
        <v>912</v>
      </c>
      <c r="J241" s="84" t="s">
        <v>475</v>
      </c>
      <c r="K241" s="84" t="s">
        <v>449</v>
      </c>
      <c r="L241" s="84" t="s">
        <v>849</v>
      </c>
      <c r="M241" s="90" t="str">
        <f t="shared" si="4"/>
        <v>View on Google Map</v>
      </c>
    </row>
    <row r="242" spans="1:13" x14ac:dyDescent="0.2">
      <c r="A242" s="84">
        <v>431</v>
      </c>
      <c r="B242" s="84" t="s">
        <v>913</v>
      </c>
      <c r="C242" s="84" t="s">
        <v>449</v>
      </c>
      <c r="D242" s="84">
        <v>68.582061999999993</v>
      </c>
      <c r="E242" s="84">
        <v>-149.62293199999999</v>
      </c>
      <c r="F242" s="84">
        <v>806</v>
      </c>
      <c r="G242" s="84" t="s">
        <v>460</v>
      </c>
      <c r="H242" s="84" t="s">
        <v>914</v>
      </c>
      <c r="I242" s="84" t="s">
        <v>915</v>
      </c>
      <c r="J242" s="84" t="s">
        <v>475</v>
      </c>
      <c r="K242" s="84" t="s">
        <v>449</v>
      </c>
      <c r="L242" s="84" t="s">
        <v>849</v>
      </c>
      <c r="M242" s="90" t="str">
        <f t="shared" si="4"/>
        <v>View on Google Map</v>
      </c>
    </row>
    <row r="243" spans="1:13" x14ac:dyDescent="0.2">
      <c r="A243" s="84">
        <v>444</v>
      </c>
      <c r="B243" s="84" t="s">
        <v>916</v>
      </c>
      <c r="C243" s="84" t="s">
        <v>449</v>
      </c>
      <c r="D243" s="84">
        <v>68.578643</v>
      </c>
      <c r="E243" s="84">
        <v>-149.62110200000001</v>
      </c>
      <c r="F243" s="84">
        <v>808</v>
      </c>
      <c r="G243" s="84" t="s">
        <v>474</v>
      </c>
      <c r="H243" s="84" t="s">
        <v>917</v>
      </c>
      <c r="I243" s="84" t="s">
        <v>918</v>
      </c>
      <c r="J243" s="84" t="s">
        <v>475</v>
      </c>
      <c r="K243" s="84" t="s">
        <v>449</v>
      </c>
      <c r="L243" s="84" t="s">
        <v>864</v>
      </c>
      <c r="M243" s="90" t="str">
        <f t="shared" si="4"/>
        <v>View on Google Map</v>
      </c>
    </row>
    <row r="244" spans="1:13" x14ac:dyDescent="0.2">
      <c r="A244" s="84">
        <v>535</v>
      </c>
      <c r="B244" s="84" t="s">
        <v>919</v>
      </c>
      <c r="C244" s="84" t="s">
        <v>920</v>
      </c>
      <c r="D244" s="84">
        <v>68.585839000000007</v>
      </c>
      <c r="E244" s="84">
        <v>-149.62222299999999</v>
      </c>
      <c r="F244" s="84">
        <v>805</v>
      </c>
      <c r="G244" s="84" t="s">
        <v>474</v>
      </c>
      <c r="H244" s="84" t="s">
        <v>449</v>
      </c>
      <c r="I244" s="84" t="s">
        <v>449</v>
      </c>
      <c r="J244" s="84" t="s">
        <v>461</v>
      </c>
      <c r="K244" s="84" t="s">
        <v>449</v>
      </c>
      <c r="L244" s="84" t="s">
        <v>921</v>
      </c>
      <c r="M244" s="90" t="str">
        <f t="shared" si="4"/>
        <v>View on Google Map</v>
      </c>
    </row>
    <row r="245" spans="1:13" x14ac:dyDescent="0.2">
      <c r="A245" s="84">
        <v>536</v>
      </c>
      <c r="B245" s="84" t="s">
        <v>922</v>
      </c>
      <c r="C245" s="84" t="s">
        <v>920</v>
      </c>
      <c r="D245" s="84">
        <v>68.591329999999999</v>
      </c>
      <c r="E245" s="84">
        <v>-149.61154199999999</v>
      </c>
      <c r="F245" s="84">
        <v>775</v>
      </c>
      <c r="G245" s="84" t="s">
        <v>474</v>
      </c>
      <c r="H245" s="84" t="s">
        <v>449</v>
      </c>
      <c r="I245" s="84" t="s">
        <v>449</v>
      </c>
      <c r="J245" s="84" t="s">
        <v>461</v>
      </c>
      <c r="K245" s="84" t="s">
        <v>449</v>
      </c>
      <c r="L245" s="84" t="s">
        <v>921</v>
      </c>
      <c r="M245" s="90" t="str">
        <f t="shared" si="4"/>
        <v>View on Google Map</v>
      </c>
    </row>
    <row r="246" spans="1:13" x14ac:dyDescent="0.2">
      <c r="A246" s="84">
        <v>445</v>
      </c>
      <c r="B246" s="84" t="s">
        <v>923</v>
      </c>
      <c r="C246" s="84" t="s">
        <v>449</v>
      </c>
      <c r="D246" s="84">
        <v>68.583569999999995</v>
      </c>
      <c r="E246" s="84">
        <v>-149.62384</v>
      </c>
      <c r="F246" s="84">
        <v>808</v>
      </c>
      <c r="G246" s="84" t="s">
        <v>474</v>
      </c>
      <c r="H246" s="84" t="s">
        <v>924</v>
      </c>
      <c r="I246" s="84" t="s">
        <v>925</v>
      </c>
      <c r="J246" s="84" t="s">
        <v>475</v>
      </c>
      <c r="K246" s="84" t="s">
        <v>449</v>
      </c>
      <c r="L246" s="84" t="s">
        <v>864</v>
      </c>
      <c r="M246" s="90" t="str">
        <f t="shared" si="4"/>
        <v>View on Google Map</v>
      </c>
    </row>
    <row r="247" spans="1:13" x14ac:dyDescent="0.2">
      <c r="A247" s="84">
        <v>182</v>
      </c>
      <c r="B247" s="84" t="s">
        <v>926</v>
      </c>
      <c r="C247" s="84" t="s">
        <v>449</v>
      </c>
      <c r="D247" s="84">
        <v>68.596883329999997</v>
      </c>
      <c r="E247" s="84">
        <v>-149.60124999999999</v>
      </c>
      <c r="F247" s="84">
        <v>754</v>
      </c>
      <c r="G247" s="84" t="s">
        <v>474</v>
      </c>
      <c r="H247" s="84" t="s">
        <v>927</v>
      </c>
      <c r="I247" s="84" t="s">
        <v>928</v>
      </c>
      <c r="J247" s="84" t="s">
        <v>475</v>
      </c>
      <c r="K247" s="84" t="s">
        <v>449</v>
      </c>
      <c r="L247" s="84" t="s">
        <v>864</v>
      </c>
      <c r="M247" s="90" t="str">
        <f t="shared" si="4"/>
        <v>View on Google Map</v>
      </c>
    </row>
    <row r="248" spans="1:13" x14ac:dyDescent="0.2">
      <c r="A248" s="84">
        <v>183</v>
      </c>
      <c r="B248" s="84" t="s">
        <v>929</v>
      </c>
      <c r="C248" s="84" t="s">
        <v>449</v>
      </c>
      <c r="D248" s="84">
        <v>68.598684000000006</v>
      </c>
      <c r="E248" s="84">
        <v>-149.599853</v>
      </c>
      <c r="F248" s="84">
        <v>754</v>
      </c>
      <c r="G248" s="84" t="s">
        <v>474</v>
      </c>
      <c r="H248" s="84" t="s">
        <v>930</v>
      </c>
      <c r="I248" s="84" t="s">
        <v>931</v>
      </c>
      <c r="J248" s="84" t="s">
        <v>475</v>
      </c>
      <c r="K248" s="84" t="s">
        <v>449</v>
      </c>
      <c r="L248" s="84" t="s">
        <v>864</v>
      </c>
      <c r="M248" s="90" t="str">
        <f t="shared" si="4"/>
        <v>View on Google Map</v>
      </c>
    </row>
    <row r="249" spans="1:13" x14ac:dyDescent="0.2">
      <c r="A249" s="84">
        <v>117</v>
      </c>
      <c r="B249" s="84" t="s">
        <v>932</v>
      </c>
      <c r="C249" s="84" t="s">
        <v>449</v>
      </c>
      <c r="D249" s="84">
        <v>68.600874798199996</v>
      </c>
      <c r="E249" s="84">
        <v>-149.596582063</v>
      </c>
      <c r="F249" s="84">
        <v>742</v>
      </c>
      <c r="G249" s="84" t="s">
        <v>460</v>
      </c>
      <c r="H249" s="84" t="s">
        <v>933</v>
      </c>
      <c r="I249" s="84" t="s">
        <v>934</v>
      </c>
      <c r="J249" s="84" t="s">
        <v>475</v>
      </c>
      <c r="K249" s="84" t="s">
        <v>449</v>
      </c>
      <c r="L249" s="84" t="s">
        <v>849</v>
      </c>
      <c r="M249" s="90" t="str">
        <f t="shared" si="4"/>
        <v>View on Google Map</v>
      </c>
    </row>
    <row r="250" spans="1:13" x14ac:dyDescent="0.2">
      <c r="A250" s="84">
        <v>187</v>
      </c>
      <c r="B250" s="84" t="s">
        <v>935</v>
      </c>
      <c r="C250" s="84" t="s">
        <v>449</v>
      </c>
      <c r="D250" s="84">
        <v>68.618183329999994</v>
      </c>
      <c r="E250" s="84">
        <v>-149.596766</v>
      </c>
      <c r="F250" s="84">
        <v>728</v>
      </c>
      <c r="G250" s="84" t="s">
        <v>474</v>
      </c>
      <c r="H250" s="84" t="s">
        <v>936</v>
      </c>
      <c r="I250" s="84" t="s">
        <v>937</v>
      </c>
      <c r="J250" s="84" t="s">
        <v>475</v>
      </c>
      <c r="K250" s="84" t="s">
        <v>449</v>
      </c>
      <c r="L250" s="84" t="s">
        <v>864</v>
      </c>
      <c r="M250" s="90" t="str">
        <f t="shared" si="4"/>
        <v>View on Google Map</v>
      </c>
    </row>
    <row r="251" spans="1:13" x14ac:dyDescent="0.2">
      <c r="A251" s="84">
        <v>184</v>
      </c>
      <c r="B251" s="84" t="s">
        <v>938</v>
      </c>
      <c r="C251" s="84" t="s">
        <v>449</v>
      </c>
      <c r="D251" s="84">
        <v>68.601830000000007</v>
      </c>
      <c r="E251" s="84">
        <v>-149.59671299999999</v>
      </c>
      <c r="F251" s="84">
        <v>742</v>
      </c>
      <c r="G251" s="84" t="s">
        <v>474</v>
      </c>
      <c r="H251" s="84" t="s">
        <v>939</v>
      </c>
      <c r="I251" s="84" t="s">
        <v>940</v>
      </c>
      <c r="J251" s="84" t="s">
        <v>475</v>
      </c>
      <c r="K251" s="84" t="s">
        <v>449</v>
      </c>
      <c r="L251" s="84" t="s">
        <v>864</v>
      </c>
      <c r="M251" s="90" t="str">
        <f t="shared" si="4"/>
        <v>View on Google Map</v>
      </c>
    </row>
    <row r="252" spans="1:13" x14ac:dyDescent="0.2">
      <c r="A252" s="84">
        <v>118</v>
      </c>
      <c r="B252" s="84" t="s">
        <v>941</v>
      </c>
      <c r="C252" s="84" t="s">
        <v>449</v>
      </c>
      <c r="D252" s="84">
        <v>68.6101575207</v>
      </c>
      <c r="E252" s="84">
        <v>-149.582211513</v>
      </c>
      <c r="F252" s="84">
        <v>744</v>
      </c>
      <c r="G252" s="84" t="s">
        <v>460</v>
      </c>
      <c r="H252" s="84" t="s">
        <v>942</v>
      </c>
      <c r="I252" s="84" t="s">
        <v>943</v>
      </c>
      <c r="J252" s="84" t="s">
        <v>475</v>
      </c>
      <c r="K252" s="84" t="s">
        <v>449</v>
      </c>
      <c r="L252" s="84" t="s">
        <v>849</v>
      </c>
      <c r="M252" s="90" t="str">
        <f t="shared" si="4"/>
        <v>View on Google Map</v>
      </c>
    </row>
    <row r="253" spans="1:13" x14ac:dyDescent="0.2">
      <c r="A253" s="84">
        <v>172</v>
      </c>
      <c r="B253" s="84" t="s">
        <v>944</v>
      </c>
      <c r="C253" s="84" t="s">
        <v>449</v>
      </c>
      <c r="D253" s="84">
        <v>68.573666666666668</v>
      </c>
      <c r="E253" s="84">
        <v>-149.53716666666699</v>
      </c>
      <c r="F253" s="84">
        <v>808</v>
      </c>
      <c r="G253" s="84" t="s">
        <v>474</v>
      </c>
      <c r="H253" s="84" t="s">
        <v>945</v>
      </c>
      <c r="I253" s="84" t="s">
        <v>946</v>
      </c>
      <c r="J253" s="84" t="s">
        <v>475</v>
      </c>
      <c r="K253" s="84" t="s">
        <v>449</v>
      </c>
      <c r="L253" s="84" t="s">
        <v>864</v>
      </c>
      <c r="M253" s="90" t="str">
        <f t="shared" si="4"/>
        <v>View on Google Map</v>
      </c>
    </row>
    <row r="254" spans="1:13" x14ac:dyDescent="0.2">
      <c r="A254" s="84">
        <v>533</v>
      </c>
      <c r="B254" s="84" t="s">
        <v>947</v>
      </c>
      <c r="C254" s="84" t="s">
        <v>920</v>
      </c>
      <c r="D254" s="84">
        <v>68.599999999999994</v>
      </c>
      <c r="E254" s="84">
        <v>-149.57599999999999</v>
      </c>
      <c r="F254" s="84">
        <v>762</v>
      </c>
      <c r="G254" s="84" t="s">
        <v>474</v>
      </c>
      <c r="H254" s="84" t="s">
        <v>449</v>
      </c>
      <c r="I254" s="84" t="s">
        <v>449</v>
      </c>
      <c r="J254" s="84" t="s">
        <v>461</v>
      </c>
      <c r="K254" s="84" t="s">
        <v>449</v>
      </c>
      <c r="L254" s="84" t="s">
        <v>921</v>
      </c>
      <c r="M254" s="90" t="str">
        <f t="shared" si="4"/>
        <v>View on Google Map</v>
      </c>
    </row>
    <row r="255" spans="1:13" x14ac:dyDescent="0.2">
      <c r="A255" s="84">
        <v>534</v>
      </c>
      <c r="B255" s="84" t="s">
        <v>948</v>
      </c>
      <c r="C255" s="84" t="s">
        <v>920</v>
      </c>
      <c r="D255" s="84">
        <v>68.601493000000005</v>
      </c>
      <c r="E255" s="84">
        <v>-149.579071</v>
      </c>
      <c r="F255" s="84">
        <v>760</v>
      </c>
      <c r="G255" s="84" t="s">
        <v>474</v>
      </c>
      <c r="H255" s="84" t="s">
        <v>449</v>
      </c>
      <c r="I255" s="84" t="s">
        <v>449</v>
      </c>
      <c r="J255" s="84" t="s">
        <v>461</v>
      </c>
      <c r="K255" s="84" t="s">
        <v>449</v>
      </c>
      <c r="L255" s="84" t="s">
        <v>921</v>
      </c>
      <c r="M255" s="90" t="str">
        <f t="shared" si="4"/>
        <v>View on Google Map</v>
      </c>
    </row>
    <row r="256" spans="1:13" x14ac:dyDescent="0.2">
      <c r="A256" s="84">
        <v>185</v>
      </c>
      <c r="B256" s="84" t="s">
        <v>949</v>
      </c>
      <c r="C256" s="84" t="s">
        <v>449</v>
      </c>
      <c r="D256" s="84">
        <v>68.60853333</v>
      </c>
      <c r="E256" s="84">
        <v>-149.58763300000001</v>
      </c>
      <c r="F256" s="84">
        <v>744</v>
      </c>
      <c r="G256" s="84" t="s">
        <v>474</v>
      </c>
      <c r="H256" s="84" t="s">
        <v>950</v>
      </c>
      <c r="I256" s="84" t="s">
        <v>951</v>
      </c>
      <c r="J256" s="84" t="s">
        <v>475</v>
      </c>
      <c r="K256" s="84" t="s">
        <v>449</v>
      </c>
      <c r="L256" s="84" t="s">
        <v>864</v>
      </c>
      <c r="M256" s="90" t="str">
        <f t="shared" si="4"/>
        <v>View on Google Map</v>
      </c>
    </row>
    <row r="257" spans="1:13" x14ac:dyDescent="0.2">
      <c r="A257" s="84">
        <v>547</v>
      </c>
      <c r="B257" s="84" t="s">
        <v>952</v>
      </c>
      <c r="C257" s="84" t="s">
        <v>953</v>
      </c>
      <c r="D257" s="84">
        <v>68.611012000000002</v>
      </c>
      <c r="E257" s="84">
        <v>-149.57365200000001</v>
      </c>
      <c r="F257" s="84">
        <v>744</v>
      </c>
      <c r="G257" s="84" t="s">
        <v>474</v>
      </c>
      <c r="H257" s="84" t="s">
        <v>449</v>
      </c>
      <c r="I257" s="84" t="s">
        <v>449</v>
      </c>
      <c r="J257" s="84" t="s">
        <v>954</v>
      </c>
      <c r="K257" s="84" t="s">
        <v>449</v>
      </c>
      <c r="L257" s="84" t="s">
        <v>955</v>
      </c>
      <c r="M257" s="90" t="str">
        <f t="shared" si="4"/>
        <v>View on Google Map</v>
      </c>
    </row>
    <row r="258" spans="1:13" x14ac:dyDescent="0.2">
      <c r="A258" s="84">
        <v>548</v>
      </c>
      <c r="B258" s="84" t="s">
        <v>956</v>
      </c>
      <c r="C258" s="84" t="s">
        <v>953</v>
      </c>
      <c r="D258" s="84">
        <v>68.612117999999995</v>
      </c>
      <c r="E258" s="84">
        <v>-149.576359</v>
      </c>
      <c r="F258" s="84">
        <v>744</v>
      </c>
      <c r="G258" s="84" t="s">
        <v>474</v>
      </c>
      <c r="H258" s="84" t="s">
        <v>449</v>
      </c>
      <c r="I258" s="84" t="s">
        <v>449</v>
      </c>
      <c r="J258" s="84" t="s">
        <v>954</v>
      </c>
      <c r="K258" s="84" t="s">
        <v>449</v>
      </c>
      <c r="L258" s="84" t="s">
        <v>955</v>
      </c>
      <c r="M258" s="90" t="str">
        <f t="shared" si="4"/>
        <v>View on Google Map</v>
      </c>
    </row>
    <row r="259" spans="1:13" x14ac:dyDescent="0.2">
      <c r="A259" s="84">
        <v>546</v>
      </c>
      <c r="B259" s="84" t="s">
        <v>957</v>
      </c>
      <c r="C259" s="84" t="s">
        <v>953</v>
      </c>
      <c r="D259" s="84">
        <v>68.608949999999993</v>
      </c>
      <c r="E259" s="84">
        <v>-149.57907399999999</v>
      </c>
      <c r="F259" s="84">
        <v>744</v>
      </c>
      <c r="G259" s="84" t="s">
        <v>474</v>
      </c>
      <c r="H259" s="84" t="s">
        <v>449</v>
      </c>
      <c r="I259" s="84" t="s">
        <v>449</v>
      </c>
      <c r="J259" s="84" t="s">
        <v>954</v>
      </c>
      <c r="K259" s="84" t="s">
        <v>449</v>
      </c>
      <c r="L259" s="84" t="s">
        <v>955</v>
      </c>
      <c r="M259" s="90" t="str">
        <f t="shared" ref="M259:M322" si="5">HYPERLINK("http://maps.google.com/maps?q="&amp;D259&amp;","&amp;E259,"View on Google Map")</f>
        <v>View on Google Map</v>
      </c>
    </row>
    <row r="260" spans="1:13" x14ac:dyDescent="0.2">
      <c r="A260" s="84">
        <v>545</v>
      </c>
      <c r="B260" s="84" t="s">
        <v>958</v>
      </c>
      <c r="C260" s="84" t="s">
        <v>953</v>
      </c>
      <c r="D260" s="84">
        <v>68.609307999999999</v>
      </c>
      <c r="E260" s="84">
        <v>-149.57375200000001</v>
      </c>
      <c r="F260" s="84">
        <v>744</v>
      </c>
      <c r="G260" s="84" t="s">
        <v>474</v>
      </c>
      <c r="H260" s="84" t="s">
        <v>449</v>
      </c>
      <c r="I260" s="84" t="s">
        <v>449</v>
      </c>
      <c r="J260" s="84" t="s">
        <v>954</v>
      </c>
      <c r="K260" s="84" t="s">
        <v>449</v>
      </c>
      <c r="L260" s="84" t="s">
        <v>955</v>
      </c>
      <c r="M260" s="90" t="str">
        <f t="shared" si="5"/>
        <v>View on Google Map</v>
      </c>
    </row>
    <row r="261" spans="1:13" x14ac:dyDescent="0.2">
      <c r="A261" s="84">
        <v>549</v>
      </c>
      <c r="B261" s="84" t="s">
        <v>959</v>
      </c>
      <c r="C261" s="84" t="s">
        <v>449</v>
      </c>
      <c r="D261" s="84" t="s">
        <v>449</v>
      </c>
      <c r="E261" s="84" t="s">
        <v>449</v>
      </c>
      <c r="F261" s="84" t="s">
        <v>449</v>
      </c>
      <c r="G261" s="84" t="s">
        <v>474</v>
      </c>
      <c r="H261" s="84" t="s">
        <v>449</v>
      </c>
      <c r="I261" s="84" t="s">
        <v>449</v>
      </c>
      <c r="J261" s="84" t="s">
        <v>461</v>
      </c>
      <c r="K261" s="84" t="s">
        <v>449</v>
      </c>
      <c r="L261" s="84" t="s">
        <v>960</v>
      </c>
      <c r="M261" s="90" t="str">
        <f t="shared" si="5"/>
        <v>View on Google Map</v>
      </c>
    </row>
    <row r="262" spans="1:13" x14ac:dyDescent="0.2">
      <c r="A262" s="84">
        <v>188</v>
      </c>
      <c r="B262" s="84" t="s">
        <v>961</v>
      </c>
      <c r="C262" s="84" t="s">
        <v>449</v>
      </c>
      <c r="D262" s="84">
        <v>68.61838333</v>
      </c>
      <c r="E262" s="84">
        <v>-149.59649999999999</v>
      </c>
      <c r="F262" s="84">
        <v>728</v>
      </c>
      <c r="G262" s="84" t="s">
        <v>474</v>
      </c>
      <c r="H262" s="84" t="s">
        <v>962</v>
      </c>
      <c r="I262" s="84" t="s">
        <v>963</v>
      </c>
      <c r="J262" s="84" t="s">
        <v>475</v>
      </c>
      <c r="K262" s="84" t="s">
        <v>449</v>
      </c>
      <c r="L262" s="84" t="s">
        <v>864</v>
      </c>
      <c r="M262" s="90" t="str">
        <f t="shared" si="5"/>
        <v>View on Google Map</v>
      </c>
    </row>
    <row r="263" spans="1:13" x14ac:dyDescent="0.2">
      <c r="A263" s="84">
        <v>541</v>
      </c>
      <c r="B263" s="84" t="s">
        <v>964</v>
      </c>
      <c r="C263" s="84" t="s">
        <v>953</v>
      </c>
      <c r="D263" s="84">
        <v>68.609846000000005</v>
      </c>
      <c r="E263" s="84">
        <v>-149.58295100000001</v>
      </c>
      <c r="F263" s="84">
        <v>744</v>
      </c>
      <c r="G263" s="84" t="s">
        <v>460</v>
      </c>
      <c r="H263" s="84" t="s">
        <v>449</v>
      </c>
      <c r="I263" s="84" t="s">
        <v>449</v>
      </c>
      <c r="J263" s="84" t="s">
        <v>954</v>
      </c>
      <c r="K263" s="84" t="s">
        <v>449</v>
      </c>
      <c r="L263" s="84" t="s">
        <v>955</v>
      </c>
      <c r="M263" s="90" t="str">
        <f t="shared" si="5"/>
        <v>View on Google Map</v>
      </c>
    </row>
    <row r="264" spans="1:13" x14ac:dyDescent="0.2">
      <c r="A264" s="84">
        <v>539</v>
      </c>
      <c r="B264" s="84" t="s">
        <v>965</v>
      </c>
      <c r="C264" s="84" t="s">
        <v>953</v>
      </c>
      <c r="D264" s="84">
        <v>68.610575999999995</v>
      </c>
      <c r="E264" s="84">
        <v>-149.576018</v>
      </c>
      <c r="F264" s="84">
        <v>744</v>
      </c>
      <c r="G264" s="84" t="s">
        <v>460</v>
      </c>
      <c r="H264" s="84" t="s">
        <v>449</v>
      </c>
      <c r="I264" s="84" t="s">
        <v>449</v>
      </c>
      <c r="J264" s="84" t="s">
        <v>954</v>
      </c>
      <c r="K264" s="84" t="s">
        <v>449</v>
      </c>
      <c r="L264" s="84" t="s">
        <v>955</v>
      </c>
      <c r="M264" s="90" t="str">
        <f t="shared" si="5"/>
        <v>View on Google Map</v>
      </c>
    </row>
    <row r="265" spans="1:13" x14ac:dyDescent="0.2">
      <c r="A265" s="84">
        <v>538</v>
      </c>
      <c r="B265" s="84" t="s">
        <v>966</v>
      </c>
      <c r="C265" s="84" t="s">
        <v>953</v>
      </c>
      <c r="D265" s="84">
        <v>68.610889</v>
      </c>
      <c r="E265" s="84">
        <v>-149.576108</v>
      </c>
      <c r="F265" s="84">
        <v>744</v>
      </c>
      <c r="G265" s="84" t="s">
        <v>474</v>
      </c>
      <c r="H265" s="84" t="s">
        <v>449</v>
      </c>
      <c r="I265" s="84" t="s">
        <v>449</v>
      </c>
      <c r="J265" s="84" t="s">
        <v>954</v>
      </c>
      <c r="K265" s="84" t="s">
        <v>449</v>
      </c>
      <c r="L265" s="84" t="s">
        <v>955</v>
      </c>
      <c r="M265" s="90" t="str">
        <f t="shared" si="5"/>
        <v>View on Google Map</v>
      </c>
    </row>
    <row r="266" spans="1:13" x14ac:dyDescent="0.2">
      <c r="A266" s="84">
        <v>544</v>
      </c>
      <c r="B266" s="84" t="s">
        <v>967</v>
      </c>
      <c r="C266" s="84" t="s">
        <v>953</v>
      </c>
      <c r="D266" s="84">
        <v>68.610529</v>
      </c>
      <c r="E266" s="84">
        <v>-149.58864199999999</v>
      </c>
      <c r="F266" s="84">
        <v>744</v>
      </c>
      <c r="G266" s="84" t="s">
        <v>460</v>
      </c>
      <c r="H266" s="84" t="s">
        <v>449</v>
      </c>
      <c r="I266" s="84" t="s">
        <v>449</v>
      </c>
      <c r="J266" s="84" t="s">
        <v>954</v>
      </c>
      <c r="K266" s="84" t="s">
        <v>449</v>
      </c>
      <c r="L266" s="84" t="s">
        <v>955</v>
      </c>
      <c r="M266" s="90" t="str">
        <f t="shared" si="5"/>
        <v>View on Google Map</v>
      </c>
    </row>
    <row r="267" spans="1:13" x14ac:dyDescent="0.2">
      <c r="A267" s="84">
        <v>540</v>
      </c>
      <c r="B267" s="84" t="s">
        <v>968</v>
      </c>
      <c r="C267" s="84" t="s">
        <v>953</v>
      </c>
      <c r="D267" s="84">
        <v>68.609842</v>
      </c>
      <c r="E267" s="84">
        <v>-149.575346</v>
      </c>
      <c r="F267" s="84">
        <v>744</v>
      </c>
      <c r="G267" s="84" t="s">
        <v>460</v>
      </c>
      <c r="H267" s="84" t="s">
        <v>449</v>
      </c>
      <c r="I267" s="84" t="s">
        <v>449</v>
      </c>
      <c r="J267" s="84" t="s">
        <v>954</v>
      </c>
      <c r="K267" s="84" t="s">
        <v>449</v>
      </c>
      <c r="L267" s="84" t="s">
        <v>955</v>
      </c>
      <c r="M267" s="90" t="str">
        <f t="shared" si="5"/>
        <v>View on Google Map</v>
      </c>
    </row>
    <row r="268" spans="1:13" x14ac:dyDescent="0.2">
      <c r="A268" s="84">
        <v>542</v>
      </c>
      <c r="B268" s="84" t="s">
        <v>969</v>
      </c>
      <c r="C268" s="84" t="s">
        <v>953</v>
      </c>
      <c r="D268" s="84">
        <v>68.609202999999994</v>
      </c>
      <c r="E268" s="84">
        <v>-149.588257</v>
      </c>
      <c r="F268" s="84">
        <v>744</v>
      </c>
      <c r="G268" s="84" t="s">
        <v>460</v>
      </c>
      <c r="H268" s="84" t="s">
        <v>449</v>
      </c>
      <c r="I268" s="84" t="s">
        <v>449</v>
      </c>
      <c r="J268" s="84" t="s">
        <v>954</v>
      </c>
      <c r="K268" s="84" t="s">
        <v>449</v>
      </c>
      <c r="L268" s="84" t="s">
        <v>955</v>
      </c>
      <c r="M268" s="90" t="str">
        <f t="shared" si="5"/>
        <v>View on Google Map</v>
      </c>
    </row>
    <row r="269" spans="1:13" x14ac:dyDescent="0.2">
      <c r="A269" s="84">
        <v>543</v>
      </c>
      <c r="B269" s="84" t="s">
        <v>970</v>
      </c>
      <c r="C269" s="84" t="s">
        <v>953</v>
      </c>
      <c r="D269" s="84">
        <v>68.610028</v>
      </c>
      <c r="E269" s="84">
        <v>-149.588391</v>
      </c>
      <c r="F269" s="84">
        <v>744</v>
      </c>
      <c r="G269" s="84" t="s">
        <v>460</v>
      </c>
      <c r="H269" s="84" t="s">
        <v>449</v>
      </c>
      <c r="I269" s="84" t="s">
        <v>449</v>
      </c>
      <c r="J269" s="84" t="s">
        <v>954</v>
      </c>
      <c r="K269" s="84" t="s">
        <v>449</v>
      </c>
      <c r="L269" s="84" t="s">
        <v>955</v>
      </c>
      <c r="M269" s="90" t="str">
        <f t="shared" si="5"/>
        <v>View on Google Map</v>
      </c>
    </row>
    <row r="270" spans="1:13" x14ac:dyDescent="0.2">
      <c r="A270" s="84">
        <v>537</v>
      </c>
      <c r="B270" s="84" t="s">
        <v>971</v>
      </c>
      <c r="C270" s="84" t="s">
        <v>953</v>
      </c>
      <c r="D270" s="84">
        <v>68.611514</v>
      </c>
      <c r="E270" s="84">
        <v>-149.577617</v>
      </c>
      <c r="F270" s="84">
        <v>744</v>
      </c>
      <c r="G270" s="84" t="s">
        <v>474</v>
      </c>
      <c r="H270" s="84" t="s">
        <v>449</v>
      </c>
      <c r="I270" s="84" t="s">
        <v>449</v>
      </c>
      <c r="J270" s="84" t="s">
        <v>954</v>
      </c>
      <c r="K270" s="84" t="s">
        <v>449</v>
      </c>
      <c r="L270" s="84" t="s">
        <v>955</v>
      </c>
      <c r="M270" s="90" t="str">
        <f t="shared" si="5"/>
        <v>View on Google Map</v>
      </c>
    </row>
    <row r="271" spans="1:13" x14ac:dyDescent="0.2">
      <c r="A271" s="84">
        <v>15</v>
      </c>
      <c r="B271" s="84" t="s">
        <v>972</v>
      </c>
      <c r="C271" s="84" t="s">
        <v>449</v>
      </c>
      <c r="D271" s="84" t="s">
        <v>449</v>
      </c>
      <c r="E271" s="84" t="s">
        <v>449</v>
      </c>
      <c r="F271" s="84">
        <v>744</v>
      </c>
      <c r="G271" s="84" t="s">
        <v>474</v>
      </c>
      <c r="H271" s="84" t="s">
        <v>973</v>
      </c>
      <c r="I271" s="84" t="s">
        <v>974</v>
      </c>
      <c r="J271" s="84" t="s">
        <v>475</v>
      </c>
      <c r="K271" s="84">
        <v>186</v>
      </c>
      <c r="L271" s="84" t="s">
        <v>449</v>
      </c>
      <c r="M271" s="90" t="str">
        <f t="shared" si="5"/>
        <v>View on Google Map</v>
      </c>
    </row>
    <row r="272" spans="1:13" x14ac:dyDescent="0.2">
      <c r="A272" s="84">
        <v>305</v>
      </c>
      <c r="B272" s="84" t="s">
        <v>975</v>
      </c>
      <c r="C272" s="84" t="s">
        <v>976</v>
      </c>
      <c r="D272" s="84" t="s">
        <v>449</v>
      </c>
      <c r="E272" s="84" t="s">
        <v>449</v>
      </c>
      <c r="F272" s="84" t="s">
        <v>449</v>
      </c>
      <c r="G272" s="84" t="s">
        <v>474</v>
      </c>
      <c r="H272" s="84" t="s">
        <v>977</v>
      </c>
      <c r="I272" s="84" t="s">
        <v>978</v>
      </c>
      <c r="J272" s="84" t="s">
        <v>475</v>
      </c>
      <c r="K272" s="84" t="s">
        <v>449</v>
      </c>
      <c r="L272" s="84" t="s">
        <v>864</v>
      </c>
      <c r="M272" s="90" t="str">
        <f t="shared" si="5"/>
        <v>View on Google Map</v>
      </c>
    </row>
    <row r="273" spans="1:13" x14ac:dyDescent="0.2">
      <c r="A273" s="84">
        <v>119</v>
      </c>
      <c r="B273" s="84" t="s">
        <v>979</v>
      </c>
      <c r="C273" s="84" t="s">
        <v>449</v>
      </c>
      <c r="D273" s="84">
        <v>68.618964513199998</v>
      </c>
      <c r="E273" s="84">
        <v>-149.59549733099999</v>
      </c>
      <c r="F273" s="84">
        <v>728</v>
      </c>
      <c r="G273" s="84" t="s">
        <v>460</v>
      </c>
      <c r="H273" s="84" t="s">
        <v>980</v>
      </c>
      <c r="I273" s="84" t="s">
        <v>981</v>
      </c>
      <c r="J273" s="84" t="s">
        <v>475</v>
      </c>
      <c r="K273" s="84" t="s">
        <v>449</v>
      </c>
      <c r="L273" s="84" t="s">
        <v>849</v>
      </c>
      <c r="M273" s="90" t="str">
        <f t="shared" si="5"/>
        <v>View on Google Map</v>
      </c>
    </row>
    <row r="274" spans="1:13" x14ac:dyDescent="0.2">
      <c r="A274" s="84">
        <v>244</v>
      </c>
      <c r="B274" s="84" t="s">
        <v>982</v>
      </c>
      <c r="C274" s="84" t="s">
        <v>449</v>
      </c>
      <c r="D274" s="84">
        <v>68.619383330000005</v>
      </c>
      <c r="E274" s="84">
        <v>-149.59528299999999</v>
      </c>
      <c r="F274" s="84">
        <v>728</v>
      </c>
      <c r="G274" s="84" t="s">
        <v>474</v>
      </c>
      <c r="H274" s="84" t="s">
        <v>983</v>
      </c>
      <c r="I274" s="84" t="s">
        <v>984</v>
      </c>
      <c r="J274" s="84" t="s">
        <v>475</v>
      </c>
      <c r="K274" s="84" t="s">
        <v>449</v>
      </c>
      <c r="L274" s="84" t="s">
        <v>864</v>
      </c>
      <c r="M274" s="90" t="str">
        <f t="shared" si="5"/>
        <v>View on Google Map</v>
      </c>
    </row>
    <row r="275" spans="1:13" x14ac:dyDescent="0.2">
      <c r="B275" s="84" t="s">
        <v>985</v>
      </c>
      <c r="C275" s="84" t="s">
        <v>846</v>
      </c>
      <c r="D275" s="84">
        <v>68.544377999999995</v>
      </c>
      <c r="E275" s="84">
        <v>-149.521467</v>
      </c>
      <c r="G275" s="84" t="s">
        <v>986</v>
      </c>
      <c r="J275" s="5" t="s">
        <v>475</v>
      </c>
      <c r="M275" s="90" t="str">
        <f t="shared" si="5"/>
        <v>View on Google Map</v>
      </c>
    </row>
    <row r="276" spans="1:13" x14ac:dyDescent="0.2">
      <c r="B276" s="84" t="s">
        <v>987</v>
      </c>
      <c r="C276" s="84" t="s">
        <v>846</v>
      </c>
      <c r="D276" s="84">
        <v>68.548204999999996</v>
      </c>
      <c r="E276" s="84">
        <v>-149.52195</v>
      </c>
      <c r="G276" s="84" t="s">
        <v>986</v>
      </c>
      <c r="J276" s="5" t="s">
        <v>475</v>
      </c>
      <c r="M276" s="90" t="str">
        <f t="shared" si="5"/>
        <v>View on Google Map</v>
      </c>
    </row>
    <row r="277" spans="1:13" x14ac:dyDescent="0.2">
      <c r="B277" s="84" t="s">
        <v>988</v>
      </c>
      <c r="C277" s="84" t="s">
        <v>846</v>
      </c>
      <c r="D277" s="84">
        <v>68.548062999999999</v>
      </c>
      <c r="E277" s="84">
        <v>-149.521309</v>
      </c>
      <c r="G277" s="84" t="s">
        <v>986</v>
      </c>
      <c r="J277" s="5" t="s">
        <v>475</v>
      </c>
      <c r="M277" s="90" t="str">
        <f t="shared" si="5"/>
        <v>View on Google Map</v>
      </c>
    </row>
    <row r="278" spans="1:13" x14ac:dyDescent="0.2">
      <c r="B278" s="84" t="s">
        <v>989</v>
      </c>
      <c r="C278" s="84" t="s">
        <v>846</v>
      </c>
      <c r="D278" s="84">
        <v>68.544113999999993</v>
      </c>
      <c r="E278" s="84">
        <v>-149.52220800000001</v>
      </c>
      <c r="G278" s="84" t="s">
        <v>986</v>
      </c>
      <c r="J278" s="5" t="s">
        <v>475</v>
      </c>
      <c r="M278" s="90" t="str">
        <f t="shared" si="5"/>
        <v>View on Google Map</v>
      </c>
    </row>
    <row r="279" spans="1:13" x14ac:dyDescent="0.2">
      <c r="B279" s="84" t="s">
        <v>990</v>
      </c>
      <c r="C279" s="84" t="s">
        <v>846</v>
      </c>
      <c r="D279" s="84">
        <v>68.547873999999993</v>
      </c>
      <c r="E279" s="84">
        <v>-149.52158900000001</v>
      </c>
      <c r="G279" s="84" t="s">
        <v>986</v>
      </c>
      <c r="J279" s="5" t="s">
        <v>475</v>
      </c>
      <c r="M279" s="90" t="str">
        <f t="shared" si="5"/>
        <v>View on Google Map</v>
      </c>
    </row>
    <row r="280" spans="1:13" x14ac:dyDescent="0.2">
      <c r="B280" s="84" t="s">
        <v>991</v>
      </c>
      <c r="C280" s="84" t="s">
        <v>846</v>
      </c>
      <c r="D280" s="84">
        <v>68.616620304999998</v>
      </c>
      <c r="E280" s="84">
        <v>-149.31797396100001</v>
      </c>
      <c r="F280" s="84">
        <v>880.55700000000002</v>
      </c>
      <c r="G280" s="84" t="s">
        <v>986</v>
      </c>
      <c r="J280" s="5" t="s">
        <v>475</v>
      </c>
      <c r="M280" s="90" t="str">
        <f t="shared" si="5"/>
        <v>View on Google Map</v>
      </c>
    </row>
    <row r="281" spans="1:13" x14ac:dyDescent="0.2">
      <c r="B281" s="84" t="s">
        <v>992</v>
      </c>
      <c r="C281" s="84" t="s">
        <v>846</v>
      </c>
      <c r="D281" s="84">
        <v>68.618287679000005</v>
      </c>
      <c r="E281" s="84">
        <v>-149.318578011</v>
      </c>
      <c r="F281" s="84">
        <v>877.59500000000003</v>
      </c>
      <c r="G281" s="84" t="s">
        <v>986</v>
      </c>
      <c r="J281" s="5" t="s">
        <v>475</v>
      </c>
      <c r="M281" s="90" t="str">
        <f t="shared" si="5"/>
        <v>View on Google Map</v>
      </c>
    </row>
    <row r="282" spans="1:13" x14ac:dyDescent="0.2">
      <c r="B282" s="84" t="s">
        <v>993</v>
      </c>
      <c r="C282" s="84" t="s">
        <v>846</v>
      </c>
      <c r="D282" s="84">
        <v>68.619548409999993</v>
      </c>
      <c r="E282" s="84">
        <v>-149.31832187699999</v>
      </c>
      <c r="F282" s="84">
        <v>875.59299999999996</v>
      </c>
      <c r="G282" s="84" t="s">
        <v>986</v>
      </c>
      <c r="J282" s="5" t="s">
        <v>475</v>
      </c>
      <c r="M282" s="90" t="str">
        <f t="shared" si="5"/>
        <v>View on Google Map</v>
      </c>
    </row>
    <row r="283" spans="1:13" x14ac:dyDescent="0.2">
      <c r="B283" s="84" t="s">
        <v>994</v>
      </c>
      <c r="C283" s="84" t="s">
        <v>846</v>
      </c>
      <c r="D283" s="84">
        <v>68.621317497999996</v>
      </c>
      <c r="E283" s="84">
        <v>-149.31921364300001</v>
      </c>
      <c r="F283" s="84">
        <v>874.15200000000004</v>
      </c>
      <c r="G283" s="84" t="s">
        <v>986</v>
      </c>
      <c r="J283" s="5" t="s">
        <v>475</v>
      </c>
      <c r="M283" s="90" t="str">
        <f t="shared" si="5"/>
        <v>View on Google Map</v>
      </c>
    </row>
    <row r="284" spans="1:13" x14ac:dyDescent="0.2">
      <c r="A284" s="84">
        <v>11</v>
      </c>
      <c r="B284" s="84" t="s">
        <v>995</v>
      </c>
      <c r="C284" s="84" t="s">
        <v>449</v>
      </c>
      <c r="D284" s="84" t="s">
        <v>449</v>
      </c>
      <c r="E284" s="84" t="s">
        <v>449</v>
      </c>
      <c r="F284" s="84">
        <v>884</v>
      </c>
      <c r="G284" s="84" t="s">
        <v>474</v>
      </c>
      <c r="H284" s="84" t="s">
        <v>996</v>
      </c>
      <c r="I284" s="84" t="s">
        <v>997</v>
      </c>
      <c r="J284" s="84" t="s">
        <v>475</v>
      </c>
      <c r="K284" s="84" t="s">
        <v>449</v>
      </c>
      <c r="L284" s="84" t="s">
        <v>449</v>
      </c>
      <c r="M284" s="90" t="str">
        <f t="shared" si="5"/>
        <v>View on Google Map</v>
      </c>
    </row>
    <row r="285" spans="1:13" x14ac:dyDescent="0.2">
      <c r="B285" s="84" t="s">
        <v>998</v>
      </c>
      <c r="C285" s="84" t="s">
        <v>846</v>
      </c>
      <c r="D285" s="84">
        <v>68.625256622999999</v>
      </c>
      <c r="E285" s="84">
        <v>-149.32463380199999</v>
      </c>
      <c r="F285" s="84">
        <v>862.80799999999999</v>
      </c>
      <c r="G285" s="84" t="s">
        <v>986</v>
      </c>
      <c r="J285" s="5" t="s">
        <v>475</v>
      </c>
      <c r="M285" s="90" t="str">
        <f t="shared" si="5"/>
        <v>View on Google Map</v>
      </c>
    </row>
    <row r="286" spans="1:13" x14ac:dyDescent="0.2">
      <c r="B286" s="84" t="s">
        <v>999</v>
      </c>
      <c r="C286" s="84" t="s">
        <v>846</v>
      </c>
      <c r="D286" s="84">
        <v>68.641922837999999</v>
      </c>
      <c r="E286" s="84">
        <v>-149.342972559</v>
      </c>
      <c r="F286" s="84">
        <v>834.62599999999998</v>
      </c>
      <c r="G286" s="84" t="s">
        <v>986</v>
      </c>
      <c r="J286" s="5" t="s">
        <v>475</v>
      </c>
      <c r="M286" s="90" t="str">
        <f t="shared" si="5"/>
        <v>View on Google Map</v>
      </c>
    </row>
    <row r="287" spans="1:13" x14ac:dyDescent="0.2">
      <c r="A287" s="84">
        <v>1141</v>
      </c>
      <c r="B287" s="84" t="s">
        <v>1000</v>
      </c>
      <c r="C287" s="84" t="s">
        <v>449</v>
      </c>
      <c r="D287" s="84" t="s">
        <v>449</v>
      </c>
      <c r="E287" s="84" t="s">
        <v>449</v>
      </c>
      <c r="F287" s="84" t="s">
        <v>449</v>
      </c>
      <c r="G287" s="84" t="s">
        <v>450</v>
      </c>
      <c r="H287" s="84" t="s">
        <v>1001</v>
      </c>
      <c r="I287" s="84" t="s">
        <v>449</v>
      </c>
      <c r="J287" s="84" t="s">
        <v>475</v>
      </c>
      <c r="K287" s="84" t="s">
        <v>449</v>
      </c>
      <c r="L287" s="84" t="s">
        <v>449</v>
      </c>
      <c r="M287" s="90" t="str">
        <f t="shared" si="5"/>
        <v>View on Google Map</v>
      </c>
    </row>
    <row r="288" spans="1:13" x14ac:dyDescent="0.2">
      <c r="A288" s="84">
        <v>1142</v>
      </c>
      <c r="B288" s="84" t="s">
        <v>1002</v>
      </c>
      <c r="C288" s="84" t="s">
        <v>449</v>
      </c>
      <c r="D288" s="84" t="s">
        <v>449</v>
      </c>
      <c r="E288" s="84" t="s">
        <v>449</v>
      </c>
      <c r="F288" s="84" t="s">
        <v>449</v>
      </c>
      <c r="G288" s="84" t="s">
        <v>474</v>
      </c>
      <c r="H288" s="84" t="s">
        <v>1003</v>
      </c>
      <c r="I288" s="84" t="s">
        <v>449</v>
      </c>
      <c r="J288" s="84" t="s">
        <v>1004</v>
      </c>
      <c r="K288" s="84" t="s">
        <v>449</v>
      </c>
      <c r="L288" s="84" t="s">
        <v>449</v>
      </c>
      <c r="M288" s="90" t="str">
        <f t="shared" si="5"/>
        <v>View on Google Map</v>
      </c>
    </row>
    <row r="289" spans="1:13" x14ac:dyDescent="0.2">
      <c r="A289" s="84">
        <v>1143</v>
      </c>
      <c r="B289" s="84" t="s">
        <v>1005</v>
      </c>
      <c r="C289" s="84" t="s">
        <v>449</v>
      </c>
      <c r="D289" s="84" t="s">
        <v>449</v>
      </c>
      <c r="E289" s="84" t="s">
        <v>449</v>
      </c>
      <c r="F289" s="84" t="s">
        <v>449</v>
      </c>
      <c r="G289" s="84" t="s">
        <v>474</v>
      </c>
      <c r="H289" s="84" t="s">
        <v>449</v>
      </c>
      <c r="I289" s="84" t="s">
        <v>449</v>
      </c>
      <c r="J289" s="84" t="s">
        <v>1004</v>
      </c>
      <c r="K289" s="84" t="s">
        <v>449</v>
      </c>
      <c r="L289" s="84" t="s">
        <v>449</v>
      </c>
      <c r="M289" s="90" t="str">
        <f t="shared" si="5"/>
        <v>View on Google Map</v>
      </c>
    </row>
    <row r="290" spans="1:13" x14ac:dyDescent="0.2">
      <c r="A290" s="84">
        <v>1140</v>
      </c>
      <c r="B290" s="84" t="s">
        <v>1006</v>
      </c>
      <c r="C290" s="84" t="s">
        <v>449</v>
      </c>
      <c r="D290" s="84" t="s">
        <v>449</v>
      </c>
      <c r="E290" s="84" t="s">
        <v>449</v>
      </c>
      <c r="F290" s="84" t="s">
        <v>449</v>
      </c>
      <c r="G290" s="84" t="s">
        <v>450</v>
      </c>
      <c r="H290" s="84" t="s">
        <v>1007</v>
      </c>
      <c r="I290" s="84" t="s">
        <v>1008</v>
      </c>
      <c r="J290" s="84" t="s">
        <v>475</v>
      </c>
      <c r="K290" s="84" t="s">
        <v>449</v>
      </c>
      <c r="L290" s="84" t="s">
        <v>449</v>
      </c>
      <c r="M290" s="90" t="str">
        <f t="shared" si="5"/>
        <v>View on Google Map</v>
      </c>
    </row>
    <row r="291" spans="1:13" x14ac:dyDescent="0.2">
      <c r="A291" s="84">
        <v>1173</v>
      </c>
      <c r="B291" s="84" t="s">
        <v>1009</v>
      </c>
      <c r="C291" s="84" t="s">
        <v>449</v>
      </c>
      <c r="D291" s="84" t="s">
        <v>449</v>
      </c>
      <c r="E291" s="84" t="s">
        <v>449</v>
      </c>
      <c r="F291" s="84" t="s">
        <v>449</v>
      </c>
      <c r="G291" s="84" t="s">
        <v>450</v>
      </c>
      <c r="H291" s="84" t="s">
        <v>1010</v>
      </c>
      <c r="I291" s="84" t="s">
        <v>449</v>
      </c>
      <c r="J291" s="84" t="s">
        <v>456</v>
      </c>
      <c r="K291" s="84" t="s">
        <v>449</v>
      </c>
      <c r="L291" s="84" t="s">
        <v>457</v>
      </c>
      <c r="M291" s="90" t="str">
        <f t="shared" si="5"/>
        <v>View on Google Map</v>
      </c>
    </row>
    <row r="292" spans="1:13" x14ac:dyDescent="0.2">
      <c r="A292" s="84">
        <v>1144</v>
      </c>
      <c r="B292" s="84" t="s">
        <v>1011</v>
      </c>
      <c r="C292" s="84" t="s">
        <v>449</v>
      </c>
      <c r="D292" s="84" t="s">
        <v>449</v>
      </c>
      <c r="E292" s="84" t="s">
        <v>449</v>
      </c>
      <c r="F292" s="84" t="s">
        <v>449</v>
      </c>
      <c r="G292" s="84" t="s">
        <v>474</v>
      </c>
      <c r="H292" s="84" t="s">
        <v>1011</v>
      </c>
      <c r="I292" s="84" t="s">
        <v>449</v>
      </c>
      <c r="J292" s="84" t="s">
        <v>1004</v>
      </c>
      <c r="K292" s="84" t="s">
        <v>449</v>
      </c>
      <c r="L292" s="84" t="s">
        <v>449</v>
      </c>
      <c r="M292" s="90" t="str">
        <f t="shared" si="5"/>
        <v>View on Google Map</v>
      </c>
    </row>
    <row r="293" spans="1:13" x14ac:dyDescent="0.2">
      <c r="A293" s="84">
        <v>1145</v>
      </c>
      <c r="B293" s="84" t="s">
        <v>1012</v>
      </c>
      <c r="C293" s="84" t="s">
        <v>449</v>
      </c>
      <c r="D293" s="84" t="s">
        <v>449</v>
      </c>
      <c r="E293" s="84" t="s">
        <v>449</v>
      </c>
      <c r="F293" s="84" t="s">
        <v>449</v>
      </c>
      <c r="G293" s="84" t="s">
        <v>474</v>
      </c>
      <c r="H293" s="84" t="s">
        <v>1012</v>
      </c>
      <c r="I293" s="84" t="s">
        <v>449</v>
      </c>
      <c r="J293" s="84" t="s">
        <v>1004</v>
      </c>
      <c r="K293" s="84" t="s">
        <v>449</v>
      </c>
      <c r="L293" s="84" t="s">
        <v>449</v>
      </c>
      <c r="M293" s="90" t="str">
        <f t="shared" si="5"/>
        <v>View on Google Map</v>
      </c>
    </row>
    <row r="294" spans="1:13" x14ac:dyDescent="0.2">
      <c r="A294" s="84">
        <v>1146</v>
      </c>
      <c r="B294" s="84" t="s">
        <v>1013</v>
      </c>
      <c r="C294" s="84" t="s">
        <v>449</v>
      </c>
      <c r="D294" s="84" t="s">
        <v>449</v>
      </c>
      <c r="E294" s="84" t="s">
        <v>449</v>
      </c>
      <c r="F294" s="84" t="s">
        <v>449</v>
      </c>
      <c r="G294" s="84" t="s">
        <v>450</v>
      </c>
      <c r="H294" s="84" t="s">
        <v>1013</v>
      </c>
      <c r="I294" s="84" t="s">
        <v>449</v>
      </c>
      <c r="J294" s="84" t="s">
        <v>1004</v>
      </c>
      <c r="K294" s="84" t="s">
        <v>449</v>
      </c>
      <c r="L294" s="84" t="s">
        <v>449</v>
      </c>
      <c r="M294" s="90" t="str">
        <f t="shared" si="5"/>
        <v>View on Google Map</v>
      </c>
    </row>
    <row r="295" spans="1:13" x14ac:dyDescent="0.2">
      <c r="A295" s="84">
        <v>1147</v>
      </c>
      <c r="B295" s="84" t="s">
        <v>1014</v>
      </c>
      <c r="C295" s="84" t="s">
        <v>449</v>
      </c>
      <c r="D295" s="84" t="s">
        <v>449</v>
      </c>
      <c r="E295" s="84" t="s">
        <v>449</v>
      </c>
      <c r="F295" s="84" t="s">
        <v>449</v>
      </c>
      <c r="G295" s="84" t="s">
        <v>450</v>
      </c>
      <c r="H295" s="84" t="s">
        <v>1014</v>
      </c>
      <c r="I295" s="84" t="s">
        <v>449</v>
      </c>
      <c r="J295" s="84" t="s">
        <v>1004</v>
      </c>
      <c r="K295" s="84" t="s">
        <v>449</v>
      </c>
      <c r="L295" s="84" t="s">
        <v>449</v>
      </c>
      <c r="M295" s="90" t="str">
        <f t="shared" si="5"/>
        <v>View on Google Map</v>
      </c>
    </row>
    <row r="296" spans="1:13" x14ac:dyDescent="0.2">
      <c r="A296" s="84">
        <v>1148</v>
      </c>
      <c r="B296" s="84" t="s">
        <v>1015</v>
      </c>
      <c r="C296" s="84" t="s">
        <v>449</v>
      </c>
      <c r="D296" s="84" t="s">
        <v>449</v>
      </c>
      <c r="E296" s="84" t="s">
        <v>449</v>
      </c>
      <c r="F296" s="84" t="s">
        <v>449</v>
      </c>
      <c r="G296" s="84" t="s">
        <v>450</v>
      </c>
      <c r="H296" s="84" t="s">
        <v>1015</v>
      </c>
      <c r="I296" s="84" t="s">
        <v>1016</v>
      </c>
      <c r="J296" s="84" t="s">
        <v>1004</v>
      </c>
      <c r="K296" s="84" t="s">
        <v>449</v>
      </c>
      <c r="L296" s="84" t="s">
        <v>449</v>
      </c>
      <c r="M296" s="90" t="str">
        <f t="shared" si="5"/>
        <v>View on Google Map</v>
      </c>
    </row>
    <row r="297" spans="1:13" x14ac:dyDescent="0.2">
      <c r="A297" s="84">
        <v>1149</v>
      </c>
      <c r="B297" s="84" t="s">
        <v>1017</v>
      </c>
      <c r="C297" s="84" t="s">
        <v>449</v>
      </c>
      <c r="D297" s="84" t="s">
        <v>449</v>
      </c>
      <c r="E297" s="84" t="s">
        <v>449</v>
      </c>
      <c r="F297" s="84" t="s">
        <v>449</v>
      </c>
      <c r="G297" s="84" t="s">
        <v>450</v>
      </c>
      <c r="H297" s="84" t="s">
        <v>1017</v>
      </c>
      <c r="I297" s="84" t="s">
        <v>1018</v>
      </c>
      <c r="J297" s="84" t="s">
        <v>1004</v>
      </c>
      <c r="K297" s="84" t="s">
        <v>449</v>
      </c>
      <c r="L297" s="84" t="s">
        <v>449</v>
      </c>
      <c r="M297" s="90" t="str">
        <f t="shared" si="5"/>
        <v>View on Google Map</v>
      </c>
    </row>
    <row r="298" spans="1:13" x14ac:dyDescent="0.2">
      <c r="A298" s="84">
        <v>1150</v>
      </c>
      <c r="B298" s="84" t="s">
        <v>1019</v>
      </c>
      <c r="C298" s="84" t="s">
        <v>449</v>
      </c>
      <c r="D298" s="84" t="s">
        <v>449</v>
      </c>
      <c r="E298" s="84" t="s">
        <v>449</v>
      </c>
      <c r="F298" s="84" t="s">
        <v>449</v>
      </c>
      <c r="G298" s="84" t="s">
        <v>450</v>
      </c>
      <c r="H298" s="84" t="s">
        <v>1019</v>
      </c>
      <c r="I298" s="84" t="s">
        <v>1020</v>
      </c>
      <c r="J298" s="84" t="s">
        <v>1004</v>
      </c>
      <c r="K298" s="84" t="s">
        <v>449</v>
      </c>
      <c r="L298" s="84" t="s">
        <v>449</v>
      </c>
      <c r="M298" s="90" t="str">
        <f t="shared" si="5"/>
        <v>View on Google Map</v>
      </c>
    </row>
    <row r="299" spans="1:13" x14ac:dyDescent="0.2">
      <c r="A299" s="84">
        <v>1151</v>
      </c>
      <c r="B299" s="84" t="s">
        <v>1021</v>
      </c>
      <c r="C299" s="84" t="s">
        <v>449</v>
      </c>
      <c r="D299" s="84" t="s">
        <v>449</v>
      </c>
      <c r="E299" s="84" t="s">
        <v>449</v>
      </c>
      <c r="F299" s="84" t="s">
        <v>449</v>
      </c>
      <c r="G299" s="84" t="s">
        <v>450</v>
      </c>
      <c r="H299" s="84" t="s">
        <v>1021</v>
      </c>
      <c r="I299" s="84" t="s">
        <v>1022</v>
      </c>
      <c r="J299" s="84" t="s">
        <v>1004</v>
      </c>
      <c r="K299" s="84" t="s">
        <v>449</v>
      </c>
      <c r="L299" s="84" t="s">
        <v>449</v>
      </c>
      <c r="M299" s="90" t="str">
        <f t="shared" si="5"/>
        <v>View on Google Map</v>
      </c>
    </row>
    <row r="300" spans="1:13" x14ac:dyDescent="0.2">
      <c r="A300" s="84">
        <v>1152</v>
      </c>
      <c r="B300" s="84" t="s">
        <v>1023</v>
      </c>
      <c r="C300" s="84" t="s">
        <v>449</v>
      </c>
      <c r="D300" s="84" t="s">
        <v>449</v>
      </c>
      <c r="E300" s="84" t="s">
        <v>449</v>
      </c>
      <c r="F300" s="84" t="s">
        <v>449</v>
      </c>
      <c r="G300" s="84" t="s">
        <v>450</v>
      </c>
      <c r="H300" s="84" t="s">
        <v>1023</v>
      </c>
      <c r="I300" s="84" t="s">
        <v>1024</v>
      </c>
      <c r="J300" s="84" t="s">
        <v>1004</v>
      </c>
      <c r="K300" s="84" t="s">
        <v>449</v>
      </c>
      <c r="L300" s="84" t="s">
        <v>449</v>
      </c>
      <c r="M300" s="90" t="str">
        <f t="shared" si="5"/>
        <v>View on Google Map</v>
      </c>
    </row>
    <row r="301" spans="1:13" x14ac:dyDescent="0.2">
      <c r="A301" s="84">
        <v>1153</v>
      </c>
      <c r="B301" s="84" t="s">
        <v>1025</v>
      </c>
      <c r="C301" s="84" t="s">
        <v>449</v>
      </c>
      <c r="D301" s="84" t="s">
        <v>449</v>
      </c>
      <c r="E301" s="84" t="s">
        <v>449</v>
      </c>
      <c r="F301" s="84" t="s">
        <v>449</v>
      </c>
      <c r="G301" s="84" t="s">
        <v>450</v>
      </c>
      <c r="H301" s="84" t="s">
        <v>1025</v>
      </c>
      <c r="I301" s="84" t="s">
        <v>1026</v>
      </c>
      <c r="J301" s="84" t="s">
        <v>1004</v>
      </c>
      <c r="K301" s="84" t="s">
        <v>449</v>
      </c>
      <c r="L301" s="84" t="s">
        <v>449</v>
      </c>
      <c r="M301" s="90" t="str">
        <f t="shared" si="5"/>
        <v>View on Google Map</v>
      </c>
    </row>
    <row r="302" spans="1:13" x14ac:dyDescent="0.2">
      <c r="A302" s="84">
        <v>1154</v>
      </c>
      <c r="B302" s="84" t="s">
        <v>1027</v>
      </c>
      <c r="C302" s="84" t="s">
        <v>449</v>
      </c>
      <c r="D302" s="84" t="s">
        <v>449</v>
      </c>
      <c r="E302" s="84" t="s">
        <v>449</v>
      </c>
      <c r="F302" s="84" t="s">
        <v>449</v>
      </c>
      <c r="G302" s="84" t="s">
        <v>450</v>
      </c>
      <c r="H302" s="84" t="s">
        <v>1027</v>
      </c>
      <c r="I302" s="84" t="s">
        <v>1028</v>
      </c>
      <c r="J302" s="84" t="s">
        <v>1004</v>
      </c>
      <c r="K302" s="84" t="s">
        <v>449</v>
      </c>
      <c r="L302" s="84" t="s">
        <v>449</v>
      </c>
      <c r="M302" s="90" t="str">
        <f t="shared" si="5"/>
        <v>View on Google Map</v>
      </c>
    </row>
    <row r="303" spans="1:13" x14ac:dyDescent="0.2">
      <c r="A303" s="84">
        <v>1155</v>
      </c>
      <c r="B303" s="84" t="s">
        <v>1029</v>
      </c>
      <c r="C303" s="84" t="s">
        <v>449</v>
      </c>
      <c r="D303" s="84" t="s">
        <v>449</v>
      </c>
      <c r="E303" s="84" t="s">
        <v>449</v>
      </c>
      <c r="F303" s="84" t="s">
        <v>449</v>
      </c>
      <c r="G303" s="84" t="s">
        <v>450</v>
      </c>
      <c r="H303" s="84" t="s">
        <v>1029</v>
      </c>
      <c r="I303" s="84" t="s">
        <v>1030</v>
      </c>
      <c r="J303" s="84" t="s">
        <v>1004</v>
      </c>
      <c r="K303" s="84" t="s">
        <v>449</v>
      </c>
      <c r="L303" s="84" t="s">
        <v>449</v>
      </c>
      <c r="M303" s="90" t="str">
        <f t="shared" si="5"/>
        <v>View on Google Map</v>
      </c>
    </row>
    <row r="304" spans="1:13" x14ac:dyDescent="0.2">
      <c r="A304" s="84">
        <v>1156</v>
      </c>
      <c r="B304" s="84" t="s">
        <v>1031</v>
      </c>
      <c r="C304" s="84" t="s">
        <v>449</v>
      </c>
      <c r="D304" s="84" t="s">
        <v>449</v>
      </c>
      <c r="E304" s="84" t="s">
        <v>449</v>
      </c>
      <c r="F304" s="84" t="s">
        <v>449</v>
      </c>
      <c r="G304" s="84" t="s">
        <v>450</v>
      </c>
      <c r="H304" s="84" t="s">
        <v>1031</v>
      </c>
      <c r="I304" s="84" t="s">
        <v>1032</v>
      </c>
      <c r="J304" s="84" t="s">
        <v>1004</v>
      </c>
      <c r="K304" s="84" t="s">
        <v>449</v>
      </c>
      <c r="L304" s="84" t="s">
        <v>449</v>
      </c>
      <c r="M304" s="90" t="str">
        <f t="shared" si="5"/>
        <v>View on Google Map</v>
      </c>
    </row>
    <row r="305" spans="1:13" x14ac:dyDescent="0.2">
      <c r="A305" s="84">
        <v>1157</v>
      </c>
      <c r="B305" s="84" t="s">
        <v>1033</v>
      </c>
      <c r="C305" s="84" t="s">
        <v>449</v>
      </c>
      <c r="D305" s="84" t="s">
        <v>449</v>
      </c>
      <c r="E305" s="84" t="s">
        <v>449</v>
      </c>
      <c r="F305" s="84" t="s">
        <v>449</v>
      </c>
      <c r="G305" s="84" t="s">
        <v>450</v>
      </c>
      <c r="H305" s="84" t="s">
        <v>1033</v>
      </c>
      <c r="I305" s="84" t="s">
        <v>1034</v>
      </c>
      <c r="J305" s="84" t="s">
        <v>1004</v>
      </c>
      <c r="K305" s="84" t="s">
        <v>449</v>
      </c>
      <c r="L305" s="84" t="s">
        <v>449</v>
      </c>
      <c r="M305" s="90" t="str">
        <f t="shared" si="5"/>
        <v>View on Google Map</v>
      </c>
    </row>
    <row r="306" spans="1:13" x14ac:dyDescent="0.2">
      <c r="A306" s="84">
        <v>1158</v>
      </c>
      <c r="B306" s="84" t="s">
        <v>1035</v>
      </c>
      <c r="C306" s="84" t="s">
        <v>449</v>
      </c>
      <c r="D306" s="84" t="s">
        <v>449</v>
      </c>
      <c r="E306" s="84" t="s">
        <v>449</v>
      </c>
      <c r="F306" s="84" t="s">
        <v>449</v>
      </c>
      <c r="G306" s="84" t="s">
        <v>450</v>
      </c>
      <c r="H306" s="84" t="s">
        <v>1035</v>
      </c>
      <c r="I306" s="84" t="s">
        <v>1036</v>
      </c>
      <c r="J306" s="84" t="s">
        <v>1004</v>
      </c>
      <c r="K306" s="84" t="s">
        <v>449</v>
      </c>
      <c r="L306" s="84" t="s">
        <v>449</v>
      </c>
      <c r="M306" s="90" t="str">
        <f t="shared" si="5"/>
        <v>View on Google Map</v>
      </c>
    </row>
    <row r="307" spans="1:13" x14ac:dyDescent="0.2">
      <c r="A307" s="84">
        <v>1159</v>
      </c>
      <c r="B307" s="84" t="s">
        <v>1037</v>
      </c>
      <c r="C307" s="84" t="s">
        <v>449</v>
      </c>
      <c r="D307" s="84" t="s">
        <v>449</v>
      </c>
      <c r="E307" s="84" t="s">
        <v>449</v>
      </c>
      <c r="F307" s="84" t="s">
        <v>449</v>
      </c>
      <c r="G307" s="84" t="s">
        <v>450</v>
      </c>
      <c r="H307" s="84" t="s">
        <v>1037</v>
      </c>
      <c r="I307" s="84" t="s">
        <v>1038</v>
      </c>
      <c r="J307" s="84" t="s">
        <v>1004</v>
      </c>
      <c r="K307" s="84" t="s">
        <v>449</v>
      </c>
      <c r="L307" s="84" t="s">
        <v>449</v>
      </c>
      <c r="M307" s="90" t="str">
        <f t="shared" si="5"/>
        <v>View on Google Map</v>
      </c>
    </row>
    <row r="308" spans="1:13" x14ac:dyDescent="0.2">
      <c r="A308" s="84">
        <v>1160</v>
      </c>
      <c r="B308" s="84" t="s">
        <v>1039</v>
      </c>
      <c r="C308" s="84" t="s">
        <v>449</v>
      </c>
      <c r="D308" s="84" t="s">
        <v>449</v>
      </c>
      <c r="E308" s="84" t="s">
        <v>449</v>
      </c>
      <c r="F308" s="84" t="s">
        <v>449</v>
      </c>
      <c r="G308" s="84" t="s">
        <v>450</v>
      </c>
      <c r="H308" s="84" t="s">
        <v>1039</v>
      </c>
      <c r="I308" s="84" t="s">
        <v>1040</v>
      </c>
      <c r="J308" s="84" t="s">
        <v>1004</v>
      </c>
      <c r="K308" s="84" t="s">
        <v>449</v>
      </c>
      <c r="L308" s="84" t="s">
        <v>449</v>
      </c>
      <c r="M308" s="90" t="str">
        <f t="shared" si="5"/>
        <v>View on Google Map</v>
      </c>
    </row>
    <row r="309" spans="1:13" x14ac:dyDescent="0.2">
      <c r="A309" s="84">
        <v>1161</v>
      </c>
      <c r="B309" s="84" t="s">
        <v>1041</v>
      </c>
      <c r="C309" s="84" t="s">
        <v>449</v>
      </c>
      <c r="D309" s="84" t="s">
        <v>449</v>
      </c>
      <c r="E309" s="84" t="s">
        <v>449</v>
      </c>
      <c r="F309" s="84" t="s">
        <v>449</v>
      </c>
      <c r="G309" s="84" t="s">
        <v>450</v>
      </c>
      <c r="H309" s="84" t="s">
        <v>1041</v>
      </c>
      <c r="I309" s="84" t="s">
        <v>1042</v>
      </c>
      <c r="J309" s="84" t="s">
        <v>1004</v>
      </c>
      <c r="K309" s="84" t="s">
        <v>449</v>
      </c>
      <c r="L309" s="84" t="s">
        <v>449</v>
      </c>
      <c r="M309" s="90" t="str">
        <f t="shared" si="5"/>
        <v>View on Google Map</v>
      </c>
    </row>
    <row r="310" spans="1:13" x14ac:dyDescent="0.2">
      <c r="A310" s="84">
        <v>1162</v>
      </c>
      <c r="B310" s="84" t="s">
        <v>1043</v>
      </c>
      <c r="C310" s="84" t="s">
        <v>449</v>
      </c>
      <c r="D310" s="84" t="s">
        <v>449</v>
      </c>
      <c r="E310" s="84" t="s">
        <v>449</v>
      </c>
      <c r="F310" s="84" t="s">
        <v>449</v>
      </c>
      <c r="G310" s="84" t="s">
        <v>450</v>
      </c>
      <c r="H310" s="84" t="s">
        <v>1043</v>
      </c>
      <c r="I310" s="84" t="s">
        <v>1044</v>
      </c>
      <c r="J310" s="84" t="s">
        <v>1004</v>
      </c>
      <c r="K310" s="84" t="s">
        <v>449</v>
      </c>
      <c r="L310" s="84" t="s">
        <v>449</v>
      </c>
      <c r="M310" s="90" t="str">
        <f t="shared" si="5"/>
        <v>View on Google Map</v>
      </c>
    </row>
    <row r="311" spans="1:13" x14ac:dyDescent="0.2">
      <c r="A311" s="84">
        <v>1163</v>
      </c>
      <c r="B311" s="84" t="s">
        <v>1045</v>
      </c>
      <c r="C311" s="84" t="s">
        <v>449</v>
      </c>
      <c r="D311" s="84" t="s">
        <v>449</v>
      </c>
      <c r="E311" s="84" t="s">
        <v>449</v>
      </c>
      <c r="F311" s="84" t="s">
        <v>449</v>
      </c>
      <c r="G311" s="84" t="s">
        <v>450</v>
      </c>
      <c r="H311" s="84" t="s">
        <v>1045</v>
      </c>
      <c r="I311" s="84" t="s">
        <v>1046</v>
      </c>
      <c r="J311" s="84" t="s">
        <v>1004</v>
      </c>
      <c r="K311" s="84" t="s">
        <v>449</v>
      </c>
      <c r="L311" s="84" t="s">
        <v>449</v>
      </c>
      <c r="M311" s="90" t="str">
        <f t="shared" si="5"/>
        <v>View on Google Map</v>
      </c>
    </row>
    <row r="312" spans="1:13" x14ac:dyDescent="0.2">
      <c r="A312" s="84">
        <v>1164</v>
      </c>
      <c r="B312" s="84" t="s">
        <v>1047</v>
      </c>
      <c r="C312" s="84" t="s">
        <v>449</v>
      </c>
      <c r="D312" s="84" t="s">
        <v>449</v>
      </c>
      <c r="E312" s="84" t="s">
        <v>449</v>
      </c>
      <c r="F312" s="84" t="s">
        <v>449</v>
      </c>
      <c r="G312" s="84" t="s">
        <v>450</v>
      </c>
      <c r="H312" s="84" t="s">
        <v>1047</v>
      </c>
      <c r="I312" s="84" t="s">
        <v>1048</v>
      </c>
      <c r="J312" s="84" t="s">
        <v>1004</v>
      </c>
      <c r="K312" s="84" t="s">
        <v>449</v>
      </c>
      <c r="L312" s="84" t="s">
        <v>449</v>
      </c>
      <c r="M312" s="90" t="str">
        <f t="shared" si="5"/>
        <v>View on Google Map</v>
      </c>
    </row>
    <row r="313" spans="1:13" x14ac:dyDescent="0.2">
      <c r="A313" s="84">
        <v>1165</v>
      </c>
      <c r="B313" s="84" t="s">
        <v>1049</v>
      </c>
      <c r="C313" s="84" t="s">
        <v>449</v>
      </c>
      <c r="D313" s="84" t="s">
        <v>449</v>
      </c>
      <c r="E313" s="84" t="s">
        <v>449</v>
      </c>
      <c r="F313" s="84" t="s">
        <v>449</v>
      </c>
      <c r="G313" s="84" t="s">
        <v>450</v>
      </c>
      <c r="H313" s="84" t="s">
        <v>1049</v>
      </c>
      <c r="I313" s="84" t="s">
        <v>449</v>
      </c>
      <c r="J313" s="84" t="s">
        <v>1004</v>
      </c>
      <c r="K313" s="84" t="s">
        <v>449</v>
      </c>
      <c r="L313" s="84" t="s">
        <v>449</v>
      </c>
      <c r="M313" s="90" t="str">
        <f t="shared" si="5"/>
        <v>View on Google Map</v>
      </c>
    </row>
    <row r="314" spans="1:13" x14ac:dyDescent="0.2">
      <c r="A314" s="84">
        <v>1166</v>
      </c>
      <c r="B314" s="84" t="s">
        <v>1050</v>
      </c>
      <c r="C314" s="84" t="s">
        <v>449</v>
      </c>
      <c r="D314" s="84" t="s">
        <v>449</v>
      </c>
      <c r="E314" s="84" t="s">
        <v>449</v>
      </c>
      <c r="F314" s="84" t="s">
        <v>449</v>
      </c>
      <c r="G314" s="84" t="s">
        <v>450</v>
      </c>
      <c r="H314" s="84" t="s">
        <v>1050</v>
      </c>
      <c r="I314" s="84" t="s">
        <v>449</v>
      </c>
      <c r="J314" s="84" t="s">
        <v>1004</v>
      </c>
      <c r="K314" s="84" t="s">
        <v>449</v>
      </c>
      <c r="L314" s="84" t="s">
        <v>449</v>
      </c>
      <c r="M314" s="90" t="str">
        <f t="shared" si="5"/>
        <v>View on Google Map</v>
      </c>
    </row>
    <row r="315" spans="1:13" x14ac:dyDescent="0.2">
      <c r="A315" s="84">
        <v>1167</v>
      </c>
      <c r="B315" s="84" t="s">
        <v>1051</v>
      </c>
      <c r="C315" s="84" t="s">
        <v>1052</v>
      </c>
      <c r="D315" s="84" t="s">
        <v>449</v>
      </c>
      <c r="E315" s="84" t="s">
        <v>449</v>
      </c>
      <c r="F315" s="84" t="s">
        <v>449</v>
      </c>
      <c r="G315" s="84" t="s">
        <v>450</v>
      </c>
      <c r="H315" s="84" t="s">
        <v>1051</v>
      </c>
      <c r="I315" s="84" t="s">
        <v>449</v>
      </c>
      <c r="J315" s="84" t="s">
        <v>451</v>
      </c>
      <c r="K315" s="84" t="s">
        <v>449</v>
      </c>
      <c r="L315" s="84" t="s">
        <v>449</v>
      </c>
      <c r="M315" s="90" t="str">
        <f t="shared" si="5"/>
        <v>View on Google Map</v>
      </c>
    </row>
    <row r="316" spans="1:13" x14ac:dyDescent="0.2">
      <c r="A316" s="84">
        <v>1168</v>
      </c>
      <c r="B316" s="84" t="s">
        <v>1053</v>
      </c>
      <c r="C316" s="84" t="s">
        <v>1052</v>
      </c>
      <c r="D316" s="84" t="s">
        <v>449</v>
      </c>
      <c r="E316" s="84" t="s">
        <v>449</v>
      </c>
      <c r="F316" s="84" t="s">
        <v>449</v>
      </c>
      <c r="G316" s="84" t="s">
        <v>450</v>
      </c>
      <c r="H316" s="84" t="s">
        <v>1053</v>
      </c>
      <c r="I316" s="84" t="s">
        <v>449</v>
      </c>
      <c r="J316" s="84" t="s">
        <v>451</v>
      </c>
      <c r="K316" s="84" t="s">
        <v>449</v>
      </c>
      <c r="L316" s="84" t="s">
        <v>449</v>
      </c>
      <c r="M316" s="90" t="str">
        <f t="shared" si="5"/>
        <v>View on Google Map</v>
      </c>
    </row>
    <row r="317" spans="1:13" x14ac:dyDescent="0.2">
      <c r="A317" s="84">
        <v>125</v>
      </c>
      <c r="B317" s="84" t="s">
        <v>1054</v>
      </c>
      <c r="C317" s="84" t="s">
        <v>449</v>
      </c>
      <c r="D317" s="84">
        <v>68.52364</v>
      </c>
      <c r="E317" s="84">
        <v>-149.48141000000001</v>
      </c>
      <c r="F317" s="84">
        <v>881</v>
      </c>
      <c r="G317" s="84" t="s">
        <v>460</v>
      </c>
      <c r="H317" s="84" t="s">
        <v>1055</v>
      </c>
      <c r="I317" s="84" t="s">
        <v>449</v>
      </c>
      <c r="J317" s="84" t="s">
        <v>475</v>
      </c>
      <c r="K317" s="84" t="s">
        <v>449</v>
      </c>
      <c r="L317" s="84" t="s">
        <v>476</v>
      </c>
      <c r="M317" s="90" t="str">
        <f t="shared" si="5"/>
        <v>View on Google Map</v>
      </c>
    </row>
    <row r="318" spans="1:13" x14ac:dyDescent="0.2">
      <c r="A318" s="84">
        <v>110</v>
      </c>
      <c r="B318" s="84" t="s">
        <v>1056</v>
      </c>
      <c r="C318" s="84" t="s">
        <v>449</v>
      </c>
      <c r="D318" s="84">
        <v>68.687380000000005</v>
      </c>
      <c r="E318" s="84">
        <v>-149.67458999999999</v>
      </c>
      <c r="F318" s="84">
        <v>747</v>
      </c>
      <c r="G318" s="84" t="s">
        <v>460</v>
      </c>
      <c r="H318" s="84" t="s">
        <v>1057</v>
      </c>
      <c r="I318" s="84" t="s">
        <v>449</v>
      </c>
      <c r="J318" s="84" t="s">
        <v>475</v>
      </c>
      <c r="K318" s="84" t="s">
        <v>449</v>
      </c>
      <c r="L318" s="84" t="s">
        <v>449</v>
      </c>
      <c r="M318" s="90" t="str">
        <f t="shared" si="5"/>
        <v>View on Google Map</v>
      </c>
    </row>
    <row r="319" spans="1:13" x14ac:dyDescent="0.2">
      <c r="A319" s="84">
        <v>159</v>
      </c>
      <c r="B319" s="84" t="s">
        <v>1058</v>
      </c>
      <c r="C319" s="84" t="s">
        <v>449</v>
      </c>
      <c r="D319" s="84">
        <v>68.38333333333334</v>
      </c>
      <c r="E319" s="84">
        <v>-149.91666666666666</v>
      </c>
      <c r="F319" s="84">
        <v>681</v>
      </c>
      <c r="G319" s="84" t="s">
        <v>460</v>
      </c>
      <c r="H319" s="84" t="s">
        <v>1059</v>
      </c>
      <c r="I319" s="84" t="s">
        <v>449</v>
      </c>
      <c r="J319" s="84" t="s">
        <v>475</v>
      </c>
      <c r="K319" s="84" t="s">
        <v>449</v>
      </c>
      <c r="L319" s="84" t="s">
        <v>476</v>
      </c>
      <c r="M319" s="90" t="str">
        <f t="shared" si="5"/>
        <v>View on Google Map</v>
      </c>
    </row>
    <row r="320" spans="1:13" x14ac:dyDescent="0.2">
      <c r="B320" s="84" t="s">
        <v>1060</v>
      </c>
      <c r="C320" s="84" t="s">
        <v>1061</v>
      </c>
      <c r="D320" s="84">
        <v>68.590049999999991</v>
      </c>
      <c r="E320" s="84">
        <v>-149.72444166666699</v>
      </c>
      <c r="G320" s="84" t="s">
        <v>986</v>
      </c>
      <c r="J320" s="5" t="s">
        <v>475</v>
      </c>
      <c r="M320" s="90" t="str">
        <f t="shared" si="5"/>
        <v>View on Google Map</v>
      </c>
    </row>
    <row r="321" spans="1:13" x14ac:dyDescent="0.2">
      <c r="B321" s="84" t="s">
        <v>1062</v>
      </c>
      <c r="C321" s="84" t="s">
        <v>1061</v>
      </c>
      <c r="D321" s="84">
        <v>68.590219444444443</v>
      </c>
      <c r="E321" s="84">
        <v>-149.725272222222</v>
      </c>
      <c r="G321" s="84" t="s">
        <v>986</v>
      </c>
      <c r="J321" s="5" t="s">
        <v>475</v>
      </c>
      <c r="M321" s="90" t="str">
        <f t="shared" si="5"/>
        <v>View on Google Map</v>
      </c>
    </row>
    <row r="322" spans="1:13" x14ac:dyDescent="0.2">
      <c r="A322" s="84">
        <v>32</v>
      </c>
      <c r="B322" s="84" t="s">
        <v>1063</v>
      </c>
      <c r="C322" s="84" t="s">
        <v>449</v>
      </c>
      <c r="D322" s="84">
        <v>68.933499999999995</v>
      </c>
      <c r="E322" s="84">
        <v>-150.30600000000001</v>
      </c>
      <c r="F322" s="84" t="s">
        <v>449</v>
      </c>
      <c r="G322" s="84" t="s">
        <v>474</v>
      </c>
      <c r="H322" s="84" t="s">
        <v>1064</v>
      </c>
      <c r="I322" s="84" t="s">
        <v>449</v>
      </c>
      <c r="J322" s="84" t="s">
        <v>510</v>
      </c>
      <c r="K322" s="84" t="s">
        <v>449</v>
      </c>
      <c r="L322" s="84" t="s">
        <v>457</v>
      </c>
      <c r="M322" s="90" t="str">
        <f t="shared" si="5"/>
        <v>View on Google Map</v>
      </c>
    </row>
    <row r="323" spans="1:13" x14ac:dyDescent="0.2">
      <c r="A323" s="84">
        <v>33</v>
      </c>
      <c r="B323" s="84" t="s">
        <v>1065</v>
      </c>
      <c r="C323" s="84" t="s">
        <v>449</v>
      </c>
      <c r="D323" s="84">
        <v>68.908000000000001</v>
      </c>
      <c r="E323" s="84">
        <v>-150.114</v>
      </c>
      <c r="F323" s="84" t="s">
        <v>449</v>
      </c>
      <c r="G323" s="84" t="s">
        <v>474</v>
      </c>
      <c r="H323" s="84" t="s">
        <v>1066</v>
      </c>
      <c r="I323" s="84" t="s">
        <v>449</v>
      </c>
      <c r="J323" s="84" t="s">
        <v>510</v>
      </c>
      <c r="K323" s="84" t="s">
        <v>449</v>
      </c>
      <c r="L323" s="84" t="s">
        <v>457</v>
      </c>
      <c r="M323" s="90" t="str">
        <f t="shared" ref="M323:M386" si="6">HYPERLINK("http://maps.google.com/maps?q="&amp;D323&amp;","&amp;E323,"View on Google Map")</f>
        <v>View on Google Map</v>
      </c>
    </row>
    <row r="324" spans="1:13" x14ac:dyDescent="0.2">
      <c r="A324" s="84">
        <v>1</v>
      </c>
      <c r="B324" s="84" t="s">
        <v>1067</v>
      </c>
      <c r="C324" s="84" t="s">
        <v>1068</v>
      </c>
      <c r="D324" s="84">
        <v>68.639103747222222</v>
      </c>
      <c r="E324" s="84">
        <v>-149.39432556944399</v>
      </c>
      <c r="F324" s="84">
        <v>750.56600000000003</v>
      </c>
      <c r="G324" s="84" t="s">
        <v>986</v>
      </c>
      <c r="J324" s="5" t="s">
        <v>475</v>
      </c>
      <c r="M324" s="90" t="str">
        <f t="shared" si="6"/>
        <v>View on Google Map</v>
      </c>
    </row>
    <row r="325" spans="1:13" x14ac:dyDescent="0.2">
      <c r="A325" s="84">
        <v>1</v>
      </c>
      <c r="B325" s="84" t="s">
        <v>1069</v>
      </c>
      <c r="C325" s="84" t="s">
        <v>1061</v>
      </c>
      <c r="D325" s="84">
        <v>68.638060455555561</v>
      </c>
      <c r="E325" s="84">
        <v>-149.391843363889</v>
      </c>
      <c r="F325" s="84">
        <v>750.601</v>
      </c>
      <c r="G325" s="84" t="s">
        <v>986</v>
      </c>
      <c r="J325" s="5" t="s">
        <v>475</v>
      </c>
      <c r="M325" s="90" t="str">
        <f t="shared" si="6"/>
        <v>View on Google Map</v>
      </c>
    </row>
    <row r="326" spans="1:13" x14ac:dyDescent="0.2">
      <c r="A326" s="84">
        <v>1</v>
      </c>
      <c r="B326" s="84" t="s">
        <v>1070</v>
      </c>
      <c r="C326" s="84" t="s">
        <v>1071</v>
      </c>
      <c r="D326" s="84">
        <v>68.640747866666672</v>
      </c>
      <c r="E326" s="84">
        <v>-149.40056111111099</v>
      </c>
      <c r="F326" s="84">
        <v>747.74400000000003</v>
      </c>
      <c r="G326" s="84" t="s">
        <v>986</v>
      </c>
      <c r="J326" s="5" t="s">
        <v>475</v>
      </c>
      <c r="M326" s="90" t="str">
        <f t="shared" si="6"/>
        <v>View on Google Map</v>
      </c>
    </row>
    <row r="327" spans="1:13" x14ac:dyDescent="0.2">
      <c r="A327" s="84">
        <v>1</v>
      </c>
      <c r="B327" s="84" t="s">
        <v>1072</v>
      </c>
      <c r="C327" s="84" t="s">
        <v>1061</v>
      </c>
      <c r="D327" s="84">
        <v>68.638399647222229</v>
      </c>
      <c r="E327" s="84">
        <v>-149.38922950555599</v>
      </c>
      <c r="F327" s="84">
        <v>752.79899999999998</v>
      </c>
      <c r="G327" s="84" t="s">
        <v>986</v>
      </c>
      <c r="J327" s="5" t="s">
        <v>475</v>
      </c>
      <c r="M327" s="90" t="str">
        <f t="shared" si="6"/>
        <v>View on Google Map</v>
      </c>
    </row>
    <row r="328" spans="1:13" x14ac:dyDescent="0.2">
      <c r="A328" s="84">
        <v>1</v>
      </c>
      <c r="B328" s="84" t="s">
        <v>1073</v>
      </c>
      <c r="C328" s="84" t="s">
        <v>1061</v>
      </c>
      <c r="D328" s="84">
        <v>68.637445127777781</v>
      </c>
      <c r="E328" s="84">
        <v>-149.386685694444</v>
      </c>
      <c r="F328" s="84">
        <v>753.32</v>
      </c>
      <c r="G328" s="84" t="s">
        <v>986</v>
      </c>
      <c r="J328" s="5" t="s">
        <v>475</v>
      </c>
      <c r="M328" s="90" t="str">
        <f t="shared" si="6"/>
        <v>View on Google Map</v>
      </c>
    </row>
    <row r="329" spans="1:13" x14ac:dyDescent="0.2">
      <c r="A329" s="84">
        <v>1</v>
      </c>
      <c r="B329" s="84" t="s">
        <v>1074</v>
      </c>
      <c r="C329" s="84" t="s">
        <v>846</v>
      </c>
      <c r="D329" s="84">
        <v>68.642054250000001</v>
      </c>
      <c r="E329" s="84">
        <v>-149.40350056666699</v>
      </c>
      <c r="F329" s="84">
        <v>746.26800000000003</v>
      </c>
      <c r="G329" s="84" t="s">
        <v>986</v>
      </c>
      <c r="J329" s="5" t="s">
        <v>475</v>
      </c>
      <c r="M329" s="90" t="str">
        <f t="shared" si="6"/>
        <v>View on Google Map</v>
      </c>
    </row>
    <row r="330" spans="1:13" x14ac:dyDescent="0.2">
      <c r="A330" s="84">
        <v>1</v>
      </c>
      <c r="B330" s="84" t="s">
        <v>1075</v>
      </c>
      <c r="C330" s="84" t="s">
        <v>1076</v>
      </c>
      <c r="D330" s="84">
        <v>68.641460652777781</v>
      </c>
      <c r="E330" s="84">
        <v>-149.40187098888899</v>
      </c>
      <c r="F330" s="84">
        <v>747.17499999999995</v>
      </c>
      <c r="G330" s="84" t="s">
        <v>986</v>
      </c>
      <c r="J330" s="5" t="s">
        <v>475</v>
      </c>
      <c r="M330" s="90" t="str">
        <f t="shared" si="6"/>
        <v>View on Google Map</v>
      </c>
    </row>
    <row r="331" spans="1:13" x14ac:dyDescent="0.2">
      <c r="A331" s="84">
        <v>1</v>
      </c>
      <c r="B331" s="84" t="s">
        <v>1077</v>
      </c>
      <c r="C331" s="84" t="s">
        <v>846</v>
      </c>
      <c r="D331" s="84">
        <v>68.643159841666673</v>
      </c>
      <c r="E331" s="84">
        <v>-149.40326701388901</v>
      </c>
      <c r="F331" s="84">
        <v>746.55200000000002</v>
      </c>
      <c r="G331" s="84" t="s">
        <v>986</v>
      </c>
      <c r="J331" s="5" t="s">
        <v>475</v>
      </c>
      <c r="M331" s="90" t="str">
        <f t="shared" si="6"/>
        <v>View on Google Map</v>
      </c>
    </row>
    <row r="332" spans="1:13" x14ac:dyDescent="0.2">
      <c r="A332" s="84">
        <v>1</v>
      </c>
      <c r="B332" s="84" t="s">
        <v>1078</v>
      </c>
      <c r="C332" s="84" t="s">
        <v>1071</v>
      </c>
      <c r="D332" s="84">
        <v>68.636731430555557</v>
      </c>
      <c r="E332" s="84">
        <v>-149.38318683611101</v>
      </c>
      <c r="F332" s="84">
        <v>755.19299999999998</v>
      </c>
      <c r="G332" s="84" t="s">
        <v>986</v>
      </c>
      <c r="J332" s="5" t="s">
        <v>475</v>
      </c>
      <c r="M332" s="90" t="str">
        <f t="shared" si="6"/>
        <v>View on Google Map</v>
      </c>
    </row>
    <row r="333" spans="1:13" x14ac:dyDescent="0.2">
      <c r="A333" s="84">
        <v>1</v>
      </c>
      <c r="B333" s="84" t="s">
        <v>1079</v>
      </c>
      <c r="C333" s="84" t="s">
        <v>1071</v>
      </c>
      <c r="D333" s="84">
        <v>68.643629936111111</v>
      </c>
      <c r="E333" s="84">
        <v>-149.40249773333301</v>
      </c>
      <c r="F333" s="84">
        <v>745.85199999999998</v>
      </c>
      <c r="G333" s="84" t="s">
        <v>986</v>
      </c>
      <c r="J333" s="5" t="s">
        <v>475</v>
      </c>
      <c r="M333" s="90" t="str">
        <f t="shared" si="6"/>
        <v>View on Google Map</v>
      </c>
    </row>
    <row r="334" spans="1:13" x14ac:dyDescent="0.2">
      <c r="A334" s="84">
        <v>1</v>
      </c>
      <c r="B334" s="84" t="s">
        <v>1080</v>
      </c>
      <c r="C334" s="84" t="s">
        <v>1061</v>
      </c>
      <c r="D334" s="84">
        <v>68.644659113888892</v>
      </c>
      <c r="E334" s="84">
        <v>-149.405160461111</v>
      </c>
      <c r="F334" s="84">
        <v>744.06100000000004</v>
      </c>
      <c r="G334" s="84" t="s">
        <v>986</v>
      </c>
      <c r="J334" s="5" t="s">
        <v>475</v>
      </c>
      <c r="M334" s="90" t="str">
        <f t="shared" si="6"/>
        <v>View on Google Map</v>
      </c>
    </row>
    <row r="335" spans="1:13" x14ac:dyDescent="0.2">
      <c r="A335" s="84">
        <v>1</v>
      </c>
      <c r="B335" s="84" t="s">
        <v>1081</v>
      </c>
      <c r="C335" s="84" t="s">
        <v>846</v>
      </c>
      <c r="D335" s="84">
        <v>68.646338200000002</v>
      </c>
      <c r="E335" s="84">
        <v>-149.41002641666699</v>
      </c>
      <c r="F335" s="84">
        <v>741.68899999999996</v>
      </c>
      <c r="G335" s="84" t="s">
        <v>986</v>
      </c>
      <c r="J335" s="5" t="s">
        <v>475</v>
      </c>
      <c r="M335" s="90" t="str">
        <f t="shared" si="6"/>
        <v>View on Google Map</v>
      </c>
    </row>
    <row r="336" spans="1:13" x14ac:dyDescent="0.2">
      <c r="A336" s="84">
        <v>1</v>
      </c>
      <c r="B336" s="84" t="s">
        <v>1082</v>
      </c>
      <c r="C336" s="84" t="s">
        <v>1083</v>
      </c>
      <c r="D336" s="84">
        <v>68.646228841666669</v>
      </c>
      <c r="E336" s="84">
        <v>-149.40909021388899</v>
      </c>
      <c r="F336" s="84">
        <v>742.04</v>
      </c>
      <c r="G336" s="84" t="s">
        <v>986</v>
      </c>
      <c r="J336" s="5" t="s">
        <v>475</v>
      </c>
      <c r="M336" s="90" t="str">
        <f t="shared" si="6"/>
        <v>View on Google Map</v>
      </c>
    </row>
    <row r="337" spans="1:13" x14ac:dyDescent="0.2">
      <c r="A337" s="84">
        <v>1</v>
      </c>
      <c r="B337" s="84" t="s">
        <v>1084</v>
      </c>
      <c r="C337" s="84" t="s">
        <v>1061</v>
      </c>
      <c r="D337" s="84">
        <v>68.647812641666675</v>
      </c>
      <c r="E337" s="84">
        <v>-149.41565431111101</v>
      </c>
      <c r="F337" s="84">
        <v>738.87300000000005</v>
      </c>
      <c r="G337" s="84" t="s">
        <v>986</v>
      </c>
      <c r="J337" s="5" t="s">
        <v>475</v>
      </c>
      <c r="M337" s="90" t="str">
        <f t="shared" si="6"/>
        <v>View on Google Map</v>
      </c>
    </row>
    <row r="338" spans="1:13" x14ac:dyDescent="0.2">
      <c r="A338" s="84">
        <v>1</v>
      </c>
      <c r="B338" s="84" t="s">
        <v>1085</v>
      </c>
      <c r="C338" s="84" t="s">
        <v>846</v>
      </c>
      <c r="D338" s="84">
        <v>68.649547222222225</v>
      </c>
      <c r="E338" s="84">
        <v>-149.41615246388901</v>
      </c>
      <c r="F338" s="84">
        <v>737.07399999999996</v>
      </c>
      <c r="G338" s="84" t="s">
        <v>986</v>
      </c>
      <c r="J338" s="5" t="s">
        <v>475</v>
      </c>
      <c r="M338" s="90" t="str">
        <f t="shared" si="6"/>
        <v>View on Google Map</v>
      </c>
    </row>
    <row r="339" spans="1:13" x14ac:dyDescent="0.2">
      <c r="A339" s="84">
        <v>1</v>
      </c>
      <c r="B339" s="84" t="s">
        <v>1086</v>
      </c>
      <c r="C339" s="84" t="s">
        <v>1071</v>
      </c>
      <c r="D339" s="84">
        <v>68.65164966388889</v>
      </c>
      <c r="E339" s="84">
        <v>-149.41647778611099</v>
      </c>
      <c r="F339" s="84">
        <v>735.41800000000001</v>
      </c>
      <c r="G339" s="84" t="s">
        <v>986</v>
      </c>
      <c r="J339" s="5" t="s">
        <v>475</v>
      </c>
      <c r="M339" s="90" t="str">
        <f t="shared" si="6"/>
        <v>View on Google Map</v>
      </c>
    </row>
    <row r="340" spans="1:13" x14ac:dyDescent="0.2">
      <c r="A340" s="84">
        <v>1</v>
      </c>
      <c r="B340" s="84" t="s">
        <v>1087</v>
      </c>
      <c r="C340" s="84" t="s">
        <v>846</v>
      </c>
      <c r="D340" s="84">
        <v>68.652284541666674</v>
      </c>
      <c r="E340" s="84">
        <v>-149.41517665000001</v>
      </c>
      <c r="F340" s="84">
        <v>734.78499999999997</v>
      </c>
      <c r="G340" s="84" t="s">
        <v>986</v>
      </c>
      <c r="J340" s="5" t="s">
        <v>475</v>
      </c>
      <c r="M340" s="90" t="str">
        <f t="shared" si="6"/>
        <v>View on Google Map</v>
      </c>
    </row>
    <row r="341" spans="1:13" x14ac:dyDescent="0.2">
      <c r="A341" s="84">
        <v>1</v>
      </c>
      <c r="B341" s="84" t="s">
        <v>1088</v>
      </c>
      <c r="C341" s="84" t="s">
        <v>1061</v>
      </c>
      <c r="D341" s="84">
        <v>68.653667241666668</v>
      </c>
      <c r="E341" s="84">
        <v>-149.420855111111</v>
      </c>
      <c r="F341" s="84">
        <v>732.173</v>
      </c>
      <c r="G341" s="84" t="s">
        <v>986</v>
      </c>
      <c r="J341" s="5" t="s">
        <v>475</v>
      </c>
      <c r="M341" s="90" t="str">
        <f t="shared" si="6"/>
        <v>View on Google Map</v>
      </c>
    </row>
    <row r="342" spans="1:13" x14ac:dyDescent="0.2">
      <c r="A342" s="84">
        <v>1</v>
      </c>
      <c r="B342" s="84" t="s">
        <v>1089</v>
      </c>
      <c r="C342" s="84" t="s">
        <v>846</v>
      </c>
      <c r="D342" s="84">
        <v>68.658785577777778</v>
      </c>
      <c r="E342" s="84">
        <v>-149.42446433055599</v>
      </c>
      <c r="F342" s="84">
        <v>726.91899999999998</v>
      </c>
      <c r="G342" s="84" t="s">
        <v>986</v>
      </c>
      <c r="J342" s="5" t="s">
        <v>475</v>
      </c>
      <c r="M342" s="90" t="str">
        <f t="shared" si="6"/>
        <v>View on Google Map</v>
      </c>
    </row>
    <row r="343" spans="1:13" x14ac:dyDescent="0.2">
      <c r="A343" s="84">
        <v>1</v>
      </c>
      <c r="B343" s="84" t="s">
        <v>1090</v>
      </c>
      <c r="C343" s="84" t="s">
        <v>1091</v>
      </c>
      <c r="D343" s="84">
        <v>68.638340663999998</v>
      </c>
      <c r="E343" s="84">
        <v>-149.39350505600001</v>
      </c>
      <c r="G343" s="84" t="s">
        <v>986</v>
      </c>
      <c r="J343" s="5" t="s">
        <v>475</v>
      </c>
      <c r="M343" s="90" t="str">
        <f t="shared" si="6"/>
        <v>View on Google Map</v>
      </c>
    </row>
    <row r="344" spans="1:13" x14ac:dyDescent="0.2">
      <c r="A344" s="84">
        <v>1</v>
      </c>
      <c r="B344" s="5" t="s">
        <v>1092</v>
      </c>
      <c r="C344" s="5" t="s">
        <v>1092</v>
      </c>
      <c r="D344" s="84">
        <v>68.647525999999999</v>
      </c>
      <c r="E344" s="84">
        <v>-149.411416</v>
      </c>
      <c r="F344" s="84">
        <v>731</v>
      </c>
      <c r="G344" s="84" t="s">
        <v>474</v>
      </c>
      <c r="H344" s="84" t="s">
        <v>1093</v>
      </c>
      <c r="I344" s="84" t="s">
        <v>449</v>
      </c>
      <c r="J344" s="84" t="s">
        <v>475</v>
      </c>
      <c r="K344" s="84" t="s">
        <v>449</v>
      </c>
      <c r="L344" s="84" t="s">
        <v>449</v>
      </c>
      <c r="M344" s="90" t="str">
        <f t="shared" si="6"/>
        <v>View on Google Map</v>
      </c>
    </row>
    <row r="345" spans="1:13" x14ac:dyDescent="0.2">
      <c r="A345" s="84">
        <v>19</v>
      </c>
      <c r="B345" s="84" t="s">
        <v>1094</v>
      </c>
      <c r="C345" s="84" t="s">
        <v>449</v>
      </c>
      <c r="D345" s="84">
        <v>68.967611000000005</v>
      </c>
      <c r="E345" s="84">
        <v>-149.705342</v>
      </c>
      <c r="F345" s="84">
        <v>411</v>
      </c>
      <c r="G345" s="84" t="s">
        <v>474</v>
      </c>
      <c r="H345" s="84" t="s">
        <v>1095</v>
      </c>
      <c r="I345" s="84" t="s">
        <v>449</v>
      </c>
      <c r="J345" s="84" t="s">
        <v>475</v>
      </c>
      <c r="K345" s="84" t="s">
        <v>449</v>
      </c>
      <c r="L345" s="84" t="s">
        <v>449</v>
      </c>
      <c r="M345" s="90" t="str">
        <f t="shared" si="6"/>
        <v>View on Google Map</v>
      </c>
    </row>
    <row r="346" spans="1:13" x14ac:dyDescent="0.2">
      <c r="A346" s="84">
        <v>16</v>
      </c>
      <c r="B346" s="84" t="s">
        <v>1096</v>
      </c>
      <c r="C346" s="84" t="s">
        <v>449</v>
      </c>
      <c r="D346" s="84" t="s">
        <v>449</v>
      </c>
      <c r="E346" s="84" t="s">
        <v>449</v>
      </c>
      <c r="F346" s="84" t="s">
        <v>449</v>
      </c>
      <c r="G346" s="84" t="s">
        <v>474</v>
      </c>
      <c r="H346" s="84" t="s">
        <v>449</v>
      </c>
      <c r="I346" s="84" t="s">
        <v>449</v>
      </c>
      <c r="J346" s="84" t="s">
        <v>475</v>
      </c>
      <c r="K346" s="84" t="s">
        <v>449</v>
      </c>
      <c r="L346" s="84" t="s">
        <v>449</v>
      </c>
      <c r="M346" s="90" t="str">
        <f t="shared" si="6"/>
        <v>View on Google Map</v>
      </c>
    </row>
    <row r="347" spans="1:13" x14ac:dyDescent="0.2">
      <c r="A347" s="84">
        <v>1198</v>
      </c>
      <c r="B347" s="84" t="s">
        <v>1097</v>
      </c>
      <c r="C347" s="84" t="s">
        <v>633</v>
      </c>
      <c r="D347" s="84">
        <v>69.297460909999998</v>
      </c>
      <c r="E347" s="84">
        <v>-150.32340117999999</v>
      </c>
      <c r="F347" s="84" t="s">
        <v>449</v>
      </c>
      <c r="G347" s="84" t="s">
        <v>450</v>
      </c>
      <c r="H347" s="84" t="s">
        <v>449</v>
      </c>
      <c r="I347" s="84" t="s">
        <v>449</v>
      </c>
      <c r="J347" s="84" t="s">
        <v>456</v>
      </c>
      <c r="K347" s="84" t="s">
        <v>449</v>
      </c>
      <c r="L347" s="84" t="s">
        <v>457</v>
      </c>
      <c r="M347" s="90" t="str">
        <f t="shared" si="6"/>
        <v>View on Google Map</v>
      </c>
    </row>
    <row r="348" spans="1:13" x14ac:dyDescent="0.2">
      <c r="A348" s="84">
        <v>135</v>
      </c>
      <c r="B348" s="84" t="s">
        <v>1098</v>
      </c>
      <c r="C348" s="84" t="s">
        <v>449</v>
      </c>
      <c r="D348" s="84">
        <v>70.333333333333329</v>
      </c>
      <c r="E348" s="84">
        <v>-148.80000000000001</v>
      </c>
      <c r="F348" s="84">
        <v>4</v>
      </c>
      <c r="G348" s="84" t="s">
        <v>460</v>
      </c>
      <c r="H348" s="84" t="s">
        <v>1099</v>
      </c>
      <c r="I348" s="84" t="s">
        <v>449</v>
      </c>
      <c r="J348" s="84" t="s">
        <v>475</v>
      </c>
      <c r="K348" s="84" t="s">
        <v>449</v>
      </c>
      <c r="L348" s="84" t="s">
        <v>476</v>
      </c>
      <c r="M348" s="90" t="str">
        <f t="shared" si="6"/>
        <v>View on Google Map</v>
      </c>
    </row>
    <row r="349" spans="1:13" x14ac:dyDescent="0.2">
      <c r="A349" s="84">
        <v>126</v>
      </c>
      <c r="B349" s="84" t="s">
        <v>1100</v>
      </c>
      <c r="C349" s="84" t="s">
        <v>449</v>
      </c>
      <c r="D349" s="84">
        <v>68.733333333333334</v>
      </c>
      <c r="E349" s="84">
        <v>-148.93333333333334</v>
      </c>
      <c r="F349" s="84">
        <v>556</v>
      </c>
      <c r="G349" s="84" t="s">
        <v>460</v>
      </c>
      <c r="H349" s="84" t="s">
        <v>1101</v>
      </c>
      <c r="I349" s="84" t="s">
        <v>449</v>
      </c>
      <c r="J349" s="84" t="s">
        <v>475</v>
      </c>
      <c r="K349" s="84" t="s">
        <v>449</v>
      </c>
      <c r="L349" s="84" t="s">
        <v>476</v>
      </c>
      <c r="M349" s="90" t="str">
        <f t="shared" si="6"/>
        <v>View on Google Map</v>
      </c>
    </row>
    <row r="350" spans="1:13" x14ac:dyDescent="0.2">
      <c r="A350" s="84">
        <v>134</v>
      </c>
      <c r="B350" s="84" t="s">
        <v>1102</v>
      </c>
      <c r="C350" s="84" t="s">
        <v>449</v>
      </c>
      <c r="D350" s="84">
        <v>70.349999999999994</v>
      </c>
      <c r="E350" s="84">
        <v>-148.58333333333334</v>
      </c>
      <c r="F350" s="84">
        <v>2</v>
      </c>
      <c r="G350" s="84" t="s">
        <v>460</v>
      </c>
      <c r="H350" s="84" t="s">
        <v>1103</v>
      </c>
      <c r="I350" s="84" t="s">
        <v>449</v>
      </c>
      <c r="J350" s="84" t="s">
        <v>475</v>
      </c>
      <c r="K350" s="84" t="s">
        <v>449</v>
      </c>
      <c r="L350" s="84" t="s">
        <v>476</v>
      </c>
      <c r="M350" s="90" t="str">
        <f t="shared" si="6"/>
        <v>View on Google Map</v>
      </c>
    </row>
    <row r="351" spans="1:13" x14ac:dyDescent="0.2">
      <c r="A351" s="84">
        <v>128</v>
      </c>
      <c r="B351" s="84" t="s">
        <v>1104</v>
      </c>
      <c r="C351" s="84" t="s">
        <v>449</v>
      </c>
      <c r="D351" s="84">
        <v>69.033333333333331</v>
      </c>
      <c r="E351" s="84">
        <v>-148.85</v>
      </c>
      <c r="F351" s="84">
        <v>319</v>
      </c>
      <c r="G351" s="84" t="s">
        <v>460</v>
      </c>
      <c r="H351" s="84" t="s">
        <v>1105</v>
      </c>
      <c r="I351" s="84" t="s">
        <v>449</v>
      </c>
      <c r="J351" s="84" t="s">
        <v>475</v>
      </c>
      <c r="K351" s="84" t="s">
        <v>449</v>
      </c>
      <c r="L351" s="84" t="s">
        <v>476</v>
      </c>
      <c r="M351" s="90" t="str">
        <f t="shared" si="6"/>
        <v>View on Google Map</v>
      </c>
    </row>
    <row r="352" spans="1:13" x14ac:dyDescent="0.2">
      <c r="A352" s="84">
        <v>139</v>
      </c>
      <c r="B352" s="84" t="s">
        <v>1106</v>
      </c>
      <c r="C352" s="84" t="s">
        <v>449</v>
      </c>
      <c r="D352" s="84">
        <v>70.216666666666669</v>
      </c>
      <c r="E352" s="84">
        <v>-142.46666666666701</v>
      </c>
      <c r="F352" s="84">
        <v>15</v>
      </c>
      <c r="G352" s="84" t="s">
        <v>460</v>
      </c>
      <c r="H352" s="84" t="s">
        <v>1107</v>
      </c>
      <c r="I352" s="84" t="s">
        <v>1108</v>
      </c>
      <c r="J352" s="84" t="s">
        <v>475</v>
      </c>
      <c r="K352" s="84" t="s">
        <v>449</v>
      </c>
      <c r="L352" s="84" t="s">
        <v>476</v>
      </c>
      <c r="M352" s="90" t="str">
        <f t="shared" si="6"/>
        <v>View on Google Map</v>
      </c>
    </row>
    <row r="353" spans="1:14" x14ac:dyDescent="0.2">
      <c r="A353" s="84">
        <v>127</v>
      </c>
      <c r="B353" s="84" t="s">
        <v>1109</v>
      </c>
      <c r="C353" s="84" t="s">
        <v>449</v>
      </c>
      <c r="D353" s="84">
        <v>68.733333333333334</v>
      </c>
      <c r="E353" s="84">
        <v>-148.96666666666667</v>
      </c>
      <c r="F353" s="84">
        <v>597</v>
      </c>
      <c r="G353" s="84" t="s">
        <v>460</v>
      </c>
      <c r="H353" s="84" t="s">
        <v>1110</v>
      </c>
      <c r="I353" s="84" t="s">
        <v>449</v>
      </c>
      <c r="J353" s="84" t="s">
        <v>475</v>
      </c>
      <c r="K353" s="84" t="s">
        <v>449</v>
      </c>
      <c r="L353" s="84" t="s">
        <v>476</v>
      </c>
      <c r="M353" s="90" t="str">
        <f t="shared" si="6"/>
        <v>View on Google Map</v>
      </c>
    </row>
    <row r="354" spans="1:14" x14ac:dyDescent="0.2">
      <c r="A354" s="84">
        <v>133</v>
      </c>
      <c r="B354" s="84" t="s">
        <v>1111</v>
      </c>
      <c r="C354" s="84" t="s">
        <v>449</v>
      </c>
      <c r="D354" s="84">
        <v>70.36666666666666</v>
      </c>
      <c r="E354" s="84">
        <v>-148.5</v>
      </c>
      <c r="F354" s="84">
        <v>2</v>
      </c>
      <c r="G354" s="84" t="s">
        <v>460</v>
      </c>
      <c r="H354" s="84" t="s">
        <v>1112</v>
      </c>
      <c r="I354" s="84" t="s">
        <v>449</v>
      </c>
      <c r="J354" s="84" t="s">
        <v>475</v>
      </c>
      <c r="K354" s="84" t="s">
        <v>449</v>
      </c>
      <c r="L354" s="84" t="s">
        <v>476</v>
      </c>
      <c r="M354" s="90" t="str">
        <f t="shared" si="6"/>
        <v>View on Google Map</v>
      </c>
    </row>
    <row r="355" spans="1:14" x14ac:dyDescent="0.2">
      <c r="A355" s="84">
        <v>140</v>
      </c>
      <c r="B355" s="84" t="s">
        <v>1113</v>
      </c>
      <c r="C355" s="84" t="s">
        <v>449</v>
      </c>
      <c r="D355" s="84">
        <v>69.583333333333329</v>
      </c>
      <c r="E355" s="84">
        <v>-148.63333333333301</v>
      </c>
      <c r="F355" s="84">
        <v>145</v>
      </c>
      <c r="G355" s="84" t="s">
        <v>460</v>
      </c>
      <c r="H355" s="84" t="s">
        <v>1114</v>
      </c>
      <c r="I355" s="84" t="s">
        <v>1115</v>
      </c>
      <c r="J355" s="84" t="s">
        <v>475</v>
      </c>
      <c r="K355" s="84" t="s">
        <v>449</v>
      </c>
      <c r="L355" s="84" t="s">
        <v>476</v>
      </c>
      <c r="M355" s="90" t="str">
        <f t="shared" si="6"/>
        <v>View on Google Map</v>
      </c>
    </row>
    <row r="356" spans="1:14" x14ac:dyDescent="0.2">
      <c r="A356" s="84">
        <v>247</v>
      </c>
      <c r="B356" s="84" t="s">
        <v>1116</v>
      </c>
      <c r="C356" s="84" t="s">
        <v>1117</v>
      </c>
      <c r="D356" s="84">
        <v>68.687318124800001</v>
      </c>
      <c r="E356" s="84">
        <v>-150.043661294</v>
      </c>
      <c r="F356" s="84">
        <v>670</v>
      </c>
      <c r="G356" s="84" t="s">
        <v>460</v>
      </c>
      <c r="H356" s="84" t="s">
        <v>1118</v>
      </c>
      <c r="I356" s="84" t="s">
        <v>449</v>
      </c>
      <c r="J356" s="84" t="s">
        <v>742</v>
      </c>
      <c r="K356" s="84" t="s">
        <v>449</v>
      </c>
      <c r="L356" s="84" t="s">
        <v>743</v>
      </c>
      <c r="M356" s="90" t="str">
        <f t="shared" si="6"/>
        <v>View on Google Map</v>
      </c>
      <c r="N356" s="84">
        <f t="shared" ref="N356:N419" si="7">VALUE(MID(H356,5,3))</f>
        <v>1</v>
      </c>
    </row>
    <row r="357" spans="1:14" x14ac:dyDescent="0.2">
      <c r="A357" s="84">
        <v>248</v>
      </c>
      <c r="B357" s="84" t="s">
        <v>1119</v>
      </c>
      <c r="C357" s="84" t="s">
        <v>1120</v>
      </c>
      <c r="D357" s="84">
        <v>68.691799913400004</v>
      </c>
      <c r="E357" s="84">
        <v>-150.04995633499999</v>
      </c>
      <c r="F357" s="84">
        <v>670</v>
      </c>
      <c r="G357" s="84" t="s">
        <v>460</v>
      </c>
      <c r="H357" s="84" t="s">
        <v>1121</v>
      </c>
      <c r="I357" s="84" t="s">
        <v>449</v>
      </c>
      <c r="J357" s="84" t="s">
        <v>742</v>
      </c>
      <c r="K357" s="84" t="s">
        <v>449</v>
      </c>
      <c r="L357" s="84" t="s">
        <v>743</v>
      </c>
      <c r="M357" s="90" t="str">
        <f t="shared" si="6"/>
        <v>View on Google Map</v>
      </c>
      <c r="N357" s="84">
        <f t="shared" si="7"/>
        <v>2</v>
      </c>
    </row>
    <row r="358" spans="1:14" x14ac:dyDescent="0.2">
      <c r="A358" s="84">
        <v>249</v>
      </c>
      <c r="B358" s="84" t="s">
        <v>1122</v>
      </c>
      <c r="C358" s="84" t="s">
        <v>1123</v>
      </c>
      <c r="D358" s="84">
        <v>68.692272706200001</v>
      </c>
      <c r="E358" s="84">
        <v>-150.05393183499999</v>
      </c>
      <c r="F358" s="84">
        <v>670</v>
      </c>
      <c r="G358" s="84" t="s">
        <v>460</v>
      </c>
      <c r="H358" s="84" t="s">
        <v>1124</v>
      </c>
      <c r="I358" s="84" t="s">
        <v>449</v>
      </c>
      <c r="J358" s="84" t="s">
        <v>742</v>
      </c>
      <c r="K358" s="84" t="s">
        <v>449</v>
      </c>
      <c r="L358" s="84" t="s">
        <v>743</v>
      </c>
      <c r="M358" s="90" t="str">
        <f t="shared" si="6"/>
        <v>View on Google Map</v>
      </c>
      <c r="N358" s="84">
        <f t="shared" si="7"/>
        <v>3</v>
      </c>
    </row>
    <row r="359" spans="1:14" x14ac:dyDescent="0.2">
      <c r="A359" s="84">
        <v>250</v>
      </c>
      <c r="B359" s="84" t="s">
        <v>1125</v>
      </c>
      <c r="C359" s="84" t="s">
        <v>1126</v>
      </c>
      <c r="D359" s="84">
        <v>68.694180615799993</v>
      </c>
      <c r="E359" s="84">
        <v>-150.05828837300001</v>
      </c>
      <c r="F359" s="84">
        <v>670</v>
      </c>
      <c r="G359" s="84" t="s">
        <v>460</v>
      </c>
      <c r="H359" s="84" t="s">
        <v>1127</v>
      </c>
      <c r="I359" s="84" t="s">
        <v>449</v>
      </c>
      <c r="J359" s="84" t="s">
        <v>742</v>
      </c>
      <c r="K359" s="84" t="s">
        <v>449</v>
      </c>
      <c r="L359" s="84" t="s">
        <v>743</v>
      </c>
      <c r="M359" s="90" t="str">
        <f t="shared" si="6"/>
        <v>View on Google Map</v>
      </c>
      <c r="N359" s="84">
        <f t="shared" si="7"/>
        <v>4</v>
      </c>
    </row>
    <row r="360" spans="1:14" x14ac:dyDescent="0.2">
      <c r="A360" s="84">
        <v>251</v>
      </c>
      <c r="B360" s="84" t="s">
        <v>1128</v>
      </c>
      <c r="C360" s="84" t="s">
        <v>1129</v>
      </c>
      <c r="D360" s="84">
        <v>68.7077131315</v>
      </c>
      <c r="E360" s="84">
        <v>-150.04654580600001</v>
      </c>
      <c r="F360" s="84">
        <v>580</v>
      </c>
      <c r="G360" s="84" t="s">
        <v>460</v>
      </c>
      <c r="H360" s="84" t="s">
        <v>1130</v>
      </c>
      <c r="I360" s="84" t="s">
        <v>449</v>
      </c>
      <c r="J360" s="84" t="s">
        <v>742</v>
      </c>
      <c r="K360" s="84" t="s">
        <v>449</v>
      </c>
      <c r="L360" s="84" t="s">
        <v>743</v>
      </c>
      <c r="M360" s="90" t="str">
        <f t="shared" si="6"/>
        <v>View on Google Map</v>
      </c>
      <c r="N360" s="84">
        <f t="shared" si="7"/>
        <v>5</v>
      </c>
    </row>
    <row r="361" spans="1:14" x14ac:dyDescent="0.2">
      <c r="A361" s="84">
        <v>252</v>
      </c>
      <c r="B361" s="84" t="s">
        <v>1131</v>
      </c>
      <c r="C361" s="84" t="s">
        <v>1132</v>
      </c>
      <c r="D361" s="84">
        <v>68.713583961699996</v>
      </c>
      <c r="E361" s="84">
        <v>-150.03096474</v>
      </c>
      <c r="F361" s="84">
        <v>550</v>
      </c>
      <c r="G361" s="84" t="s">
        <v>460</v>
      </c>
      <c r="H361" s="84" t="s">
        <v>1133</v>
      </c>
      <c r="I361" s="84" t="s">
        <v>449</v>
      </c>
      <c r="J361" s="84" t="s">
        <v>742</v>
      </c>
      <c r="K361" s="84" t="s">
        <v>449</v>
      </c>
      <c r="L361" s="84" t="s">
        <v>743</v>
      </c>
      <c r="M361" s="90" t="str">
        <f t="shared" si="6"/>
        <v>View on Google Map</v>
      </c>
      <c r="N361" s="84">
        <f t="shared" si="7"/>
        <v>6</v>
      </c>
    </row>
    <row r="362" spans="1:14" x14ac:dyDescent="0.2">
      <c r="A362" s="84">
        <v>253</v>
      </c>
      <c r="B362" s="84" t="s">
        <v>1134</v>
      </c>
      <c r="C362" s="84" t="s">
        <v>1135</v>
      </c>
      <c r="D362" s="84">
        <v>68.717696468200003</v>
      </c>
      <c r="E362" s="84">
        <v>-150.03558023400001</v>
      </c>
      <c r="F362" s="84">
        <v>550</v>
      </c>
      <c r="G362" s="84" t="s">
        <v>460</v>
      </c>
      <c r="H362" s="84" t="s">
        <v>1136</v>
      </c>
      <c r="I362" s="84" t="s">
        <v>449</v>
      </c>
      <c r="J362" s="84" t="s">
        <v>742</v>
      </c>
      <c r="K362" s="84" t="s">
        <v>449</v>
      </c>
      <c r="L362" s="84" t="s">
        <v>743</v>
      </c>
      <c r="M362" s="90" t="str">
        <f t="shared" si="6"/>
        <v>View on Google Map</v>
      </c>
      <c r="N362" s="84">
        <f t="shared" si="7"/>
        <v>7</v>
      </c>
    </row>
    <row r="363" spans="1:14" x14ac:dyDescent="0.2">
      <c r="A363" s="84">
        <v>254</v>
      </c>
      <c r="B363" s="84" t="s">
        <v>1137</v>
      </c>
      <c r="C363" s="84" t="s">
        <v>1138</v>
      </c>
      <c r="D363" s="84">
        <v>68.724625849299997</v>
      </c>
      <c r="E363" s="84">
        <v>-150.02664640699999</v>
      </c>
      <c r="F363" s="84">
        <v>520</v>
      </c>
      <c r="G363" s="84" t="s">
        <v>460</v>
      </c>
      <c r="H363" s="84" t="s">
        <v>1139</v>
      </c>
      <c r="I363" s="84" t="s">
        <v>449</v>
      </c>
      <c r="J363" s="84" t="s">
        <v>742</v>
      </c>
      <c r="K363" s="84" t="s">
        <v>449</v>
      </c>
      <c r="L363" s="84" t="s">
        <v>743</v>
      </c>
      <c r="M363" s="90" t="str">
        <f t="shared" si="6"/>
        <v>View on Google Map</v>
      </c>
      <c r="N363" s="84">
        <f t="shared" si="7"/>
        <v>8</v>
      </c>
    </row>
    <row r="364" spans="1:14" x14ac:dyDescent="0.2">
      <c r="A364" s="84">
        <v>255</v>
      </c>
      <c r="B364" s="84" t="s">
        <v>1140</v>
      </c>
      <c r="C364" s="84" t="s">
        <v>1141</v>
      </c>
      <c r="D364" s="84">
        <v>68.728073916699998</v>
      </c>
      <c r="E364" s="84">
        <v>-150.03359923599999</v>
      </c>
      <c r="F364" s="84">
        <v>520</v>
      </c>
      <c r="G364" s="84" t="s">
        <v>460</v>
      </c>
      <c r="H364" s="84" t="s">
        <v>1142</v>
      </c>
      <c r="I364" s="84" t="s">
        <v>449</v>
      </c>
      <c r="J364" s="84" t="s">
        <v>742</v>
      </c>
      <c r="K364" s="84" t="s">
        <v>449</v>
      </c>
      <c r="L364" s="84" t="s">
        <v>743</v>
      </c>
      <c r="M364" s="90" t="str">
        <f t="shared" si="6"/>
        <v>View on Google Map</v>
      </c>
      <c r="N364" s="84">
        <f t="shared" si="7"/>
        <v>9</v>
      </c>
    </row>
    <row r="365" spans="1:14" x14ac:dyDescent="0.2">
      <c r="A365" s="84">
        <v>256</v>
      </c>
      <c r="B365" s="84" t="s">
        <v>1143</v>
      </c>
      <c r="C365" s="84" t="s">
        <v>1144</v>
      </c>
      <c r="D365" s="84">
        <v>68.701700654700005</v>
      </c>
      <c r="E365" s="84">
        <v>-149.74902999599999</v>
      </c>
      <c r="F365" s="84">
        <v>760</v>
      </c>
      <c r="G365" s="84" t="s">
        <v>460</v>
      </c>
      <c r="H365" s="84" t="s">
        <v>1145</v>
      </c>
      <c r="I365" s="84" t="s">
        <v>449</v>
      </c>
      <c r="J365" s="84" t="s">
        <v>742</v>
      </c>
      <c r="K365" s="84" t="s">
        <v>449</v>
      </c>
      <c r="L365" s="84" t="s">
        <v>743</v>
      </c>
      <c r="M365" s="90" t="str">
        <f t="shared" si="6"/>
        <v>View on Google Map</v>
      </c>
      <c r="N365" s="84">
        <f t="shared" si="7"/>
        <v>10</v>
      </c>
    </row>
    <row r="366" spans="1:14" x14ac:dyDescent="0.2">
      <c r="A366" s="84">
        <v>257</v>
      </c>
      <c r="B366" s="84" t="s">
        <v>1146</v>
      </c>
      <c r="C366" s="84" t="s">
        <v>1147</v>
      </c>
      <c r="D366" s="84">
        <v>68.701945515000006</v>
      </c>
      <c r="E366" s="84">
        <v>-149.745520981</v>
      </c>
      <c r="F366" s="84">
        <v>760</v>
      </c>
      <c r="G366" s="84" t="s">
        <v>460</v>
      </c>
      <c r="H366" s="84" t="s">
        <v>1148</v>
      </c>
      <c r="I366" s="84" t="s">
        <v>449</v>
      </c>
      <c r="J366" s="84" t="s">
        <v>742</v>
      </c>
      <c r="K366" s="84" t="s">
        <v>449</v>
      </c>
      <c r="L366" s="84" t="s">
        <v>743</v>
      </c>
      <c r="M366" s="90" t="str">
        <f t="shared" si="6"/>
        <v>View on Google Map</v>
      </c>
      <c r="N366" s="84">
        <f t="shared" si="7"/>
        <v>11</v>
      </c>
    </row>
    <row r="367" spans="1:14" x14ac:dyDescent="0.2">
      <c r="A367" s="84">
        <v>258</v>
      </c>
      <c r="B367" s="84" t="s">
        <v>1149</v>
      </c>
      <c r="C367" s="84" t="s">
        <v>1150</v>
      </c>
      <c r="D367" s="84">
        <v>68.704802601699996</v>
      </c>
      <c r="E367" s="84">
        <v>-149.73409678600001</v>
      </c>
      <c r="F367" s="84">
        <v>730</v>
      </c>
      <c r="G367" s="84" t="s">
        <v>460</v>
      </c>
      <c r="H367" s="84" t="s">
        <v>1151</v>
      </c>
      <c r="I367" s="84" t="s">
        <v>449</v>
      </c>
      <c r="J367" s="84" t="s">
        <v>742</v>
      </c>
      <c r="K367" s="84" t="s">
        <v>449</v>
      </c>
      <c r="L367" s="84" t="s">
        <v>743</v>
      </c>
      <c r="M367" s="90" t="str">
        <f t="shared" si="6"/>
        <v>View on Google Map</v>
      </c>
      <c r="N367" s="84">
        <f t="shared" si="7"/>
        <v>12</v>
      </c>
    </row>
    <row r="368" spans="1:14" x14ac:dyDescent="0.2">
      <c r="A368" s="84">
        <v>259</v>
      </c>
      <c r="B368" s="84" t="s">
        <v>1152</v>
      </c>
      <c r="C368" s="84" t="s">
        <v>1153</v>
      </c>
      <c r="D368" s="84">
        <v>68.703579720799993</v>
      </c>
      <c r="E368" s="84">
        <v>-149.717697128</v>
      </c>
      <c r="F368" s="84">
        <v>690</v>
      </c>
      <c r="G368" s="84" t="s">
        <v>460</v>
      </c>
      <c r="H368" s="84" t="s">
        <v>1154</v>
      </c>
      <c r="I368" s="84" t="s">
        <v>449</v>
      </c>
      <c r="J368" s="84" t="s">
        <v>742</v>
      </c>
      <c r="K368" s="84" t="s">
        <v>449</v>
      </c>
      <c r="L368" s="84" t="s">
        <v>743</v>
      </c>
      <c r="M368" s="90" t="str">
        <f t="shared" si="6"/>
        <v>View on Google Map</v>
      </c>
      <c r="N368" s="84">
        <f t="shared" si="7"/>
        <v>13</v>
      </c>
    </row>
    <row r="369" spans="1:14" x14ac:dyDescent="0.2">
      <c r="A369" s="84">
        <v>260</v>
      </c>
      <c r="B369" s="84" t="s">
        <v>1155</v>
      </c>
      <c r="C369" s="84" t="s">
        <v>1156</v>
      </c>
      <c r="D369" s="84">
        <v>68.702004088500004</v>
      </c>
      <c r="E369" s="84">
        <v>-149.71011160800001</v>
      </c>
      <c r="F369" s="84">
        <v>650</v>
      </c>
      <c r="G369" s="84" t="s">
        <v>460</v>
      </c>
      <c r="H369" s="84" t="s">
        <v>1157</v>
      </c>
      <c r="I369" s="84" t="s">
        <v>449</v>
      </c>
      <c r="J369" s="84" t="s">
        <v>742</v>
      </c>
      <c r="K369" s="84" t="s">
        <v>449</v>
      </c>
      <c r="L369" s="84" t="s">
        <v>743</v>
      </c>
      <c r="M369" s="90" t="str">
        <f t="shared" si="6"/>
        <v>View on Google Map</v>
      </c>
      <c r="N369" s="84">
        <f t="shared" si="7"/>
        <v>14</v>
      </c>
    </row>
    <row r="370" spans="1:14" x14ac:dyDescent="0.2">
      <c r="A370" s="84">
        <v>261</v>
      </c>
      <c r="B370" s="84" t="s">
        <v>1158</v>
      </c>
      <c r="C370" s="84" t="s">
        <v>1159</v>
      </c>
      <c r="D370" s="84">
        <v>68.707978848899998</v>
      </c>
      <c r="E370" s="84">
        <v>-149.715105897</v>
      </c>
      <c r="F370" s="84">
        <v>650</v>
      </c>
      <c r="G370" s="84" t="s">
        <v>460</v>
      </c>
      <c r="H370" s="84" t="s">
        <v>1160</v>
      </c>
      <c r="I370" s="84" t="s">
        <v>449</v>
      </c>
      <c r="J370" s="84" t="s">
        <v>742</v>
      </c>
      <c r="K370" s="84" t="s">
        <v>449</v>
      </c>
      <c r="L370" s="84" t="s">
        <v>743</v>
      </c>
      <c r="M370" s="90" t="str">
        <f t="shared" si="6"/>
        <v>View on Google Map</v>
      </c>
      <c r="N370" s="84">
        <f t="shared" si="7"/>
        <v>15</v>
      </c>
    </row>
    <row r="371" spans="1:14" x14ac:dyDescent="0.2">
      <c r="A371" s="84">
        <v>262</v>
      </c>
      <c r="B371" s="84" t="s">
        <v>1161</v>
      </c>
      <c r="C371" s="84" t="s">
        <v>1162</v>
      </c>
      <c r="D371" s="84">
        <v>68.707847844300005</v>
      </c>
      <c r="E371" s="84">
        <v>-149.69962200099999</v>
      </c>
      <c r="F371" s="84">
        <v>650</v>
      </c>
      <c r="G371" s="84" t="s">
        <v>460</v>
      </c>
      <c r="H371" s="84" t="s">
        <v>1163</v>
      </c>
      <c r="I371" s="84" t="s">
        <v>449</v>
      </c>
      <c r="J371" s="84" t="s">
        <v>742</v>
      </c>
      <c r="K371" s="84" t="s">
        <v>449</v>
      </c>
      <c r="L371" s="84" t="s">
        <v>743</v>
      </c>
      <c r="M371" s="90" t="str">
        <f t="shared" si="6"/>
        <v>View on Google Map</v>
      </c>
      <c r="N371" s="84">
        <f t="shared" si="7"/>
        <v>16</v>
      </c>
    </row>
    <row r="372" spans="1:14" x14ac:dyDescent="0.2">
      <c r="A372" s="84">
        <v>263</v>
      </c>
      <c r="B372" s="84" t="s">
        <v>1164</v>
      </c>
      <c r="C372" s="84" t="s">
        <v>1165</v>
      </c>
      <c r="D372" s="84">
        <v>68.7041606871</v>
      </c>
      <c r="E372" s="84">
        <v>-149.68743035400001</v>
      </c>
      <c r="F372" s="84">
        <v>650</v>
      </c>
      <c r="G372" s="84" t="s">
        <v>460</v>
      </c>
      <c r="H372" s="84" t="s">
        <v>1166</v>
      </c>
      <c r="I372" s="84" t="s">
        <v>449</v>
      </c>
      <c r="J372" s="84" t="s">
        <v>742</v>
      </c>
      <c r="K372" s="84" t="s">
        <v>449</v>
      </c>
      <c r="L372" s="84" t="s">
        <v>743</v>
      </c>
      <c r="M372" s="90" t="str">
        <f t="shared" si="6"/>
        <v>View on Google Map</v>
      </c>
      <c r="N372" s="84">
        <f t="shared" si="7"/>
        <v>17</v>
      </c>
    </row>
    <row r="373" spans="1:14" x14ac:dyDescent="0.2">
      <c r="A373" s="84">
        <v>264</v>
      </c>
      <c r="B373" s="84" t="s">
        <v>1167</v>
      </c>
      <c r="C373" s="84" t="s">
        <v>1168</v>
      </c>
      <c r="D373" s="84">
        <v>68.699385523999993</v>
      </c>
      <c r="E373" s="84">
        <v>-149.69396666399999</v>
      </c>
      <c r="F373" s="84">
        <v>650</v>
      </c>
      <c r="G373" s="84" t="s">
        <v>460</v>
      </c>
      <c r="H373" s="84" t="s">
        <v>1169</v>
      </c>
      <c r="I373" s="84" t="s">
        <v>449</v>
      </c>
      <c r="J373" s="84" t="s">
        <v>742</v>
      </c>
      <c r="K373" s="84" t="s">
        <v>449</v>
      </c>
      <c r="L373" s="84" t="s">
        <v>743</v>
      </c>
      <c r="M373" s="90" t="str">
        <f t="shared" si="6"/>
        <v>View on Google Map</v>
      </c>
      <c r="N373" s="84">
        <f t="shared" si="7"/>
        <v>18</v>
      </c>
    </row>
    <row r="374" spans="1:14" x14ac:dyDescent="0.2">
      <c r="A374" s="84">
        <v>265</v>
      </c>
      <c r="B374" s="84" t="s">
        <v>1170</v>
      </c>
      <c r="C374" s="84" t="s">
        <v>1171</v>
      </c>
      <c r="D374" s="84">
        <v>68.7022801743</v>
      </c>
      <c r="E374" s="84">
        <v>-149.70382138400001</v>
      </c>
      <c r="F374" s="84">
        <v>650</v>
      </c>
      <c r="G374" s="84" t="s">
        <v>460</v>
      </c>
      <c r="H374" s="84" t="s">
        <v>1172</v>
      </c>
      <c r="I374" s="84" t="s">
        <v>449</v>
      </c>
      <c r="J374" s="84" t="s">
        <v>742</v>
      </c>
      <c r="K374" s="84" t="s">
        <v>449</v>
      </c>
      <c r="L374" s="84" t="s">
        <v>743</v>
      </c>
      <c r="M374" s="90" t="str">
        <f t="shared" si="6"/>
        <v>View on Google Map</v>
      </c>
      <c r="N374" s="84">
        <f t="shared" si="7"/>
        <v>19</v>
      </c>
    </row>
    <row r="375" spans="1:14" x14ac:dyDescent="0.2">
      <c r="A375" s="84">
        <v>266</v>
      </c>
      <c r="B375" s="84" t="s">
        <v>1173</v>
      </c>
      <c r="C375" s="84" t="s">
        <v>1174</v>
      </c>
      <c r="D375" s="84">
        <v>68.691324054399999</v>
      </c>
      <c r="E375" s="84">
        <v>-149.78520674699999</v>
      </c>
      <c r="F375" s="84">
        <v>650</v>
      </c>
      <c r="G375" s="84" t="s">
        <v>460</v>
      </c>
      <c r="H375" s="84" t="s">
        <v>1175</v>
      </c>
      <c r="I375" s="84" t="s">
        <v>449</v>
      </c>
      <c r="J375" s="84" t="s">
        <v>742</v>
      </c>
      <c r="K375" s="84" t="s">
        <v>449</v>
      </c>
      <c r="L375" s="84" t="s">
        <v>743</v>
      </c>
      <c r="M375" s="90" t="str">
        <f t="shared" si="6"/>
        <v>View on Google Map</v>
      </c>
      <c r="N375" s="84">
        <f t="shared" si="7"/>
        <v>20</v>
      </c>
    </row>
    <row r="376" spans="1:14" x14ac:dyDescent="0.2">
      <c r="A376" s="84">
        <v>267</v>
      </c>
      <c r="B376" s="84" t="s">
        <v>1176</v>
      </c>
      <c r="C376" s="84" t="s">
        <v>1177</v>
      </c>
      <c r="D376" s="84">
        <v>68.682528721799997</v>
      </c>
      <c r="E376" s="84">
        <v>-149.77156908800001</v>
      </c>
      <c r="F376" s="84">
        <v>630</v>
      </c>
      <c r="G376" s="84" t="s">
        <v>460</v>
      </c>
      <c r="H376" s="84" t="s">
        <v>1178</v>
      </c>
      <c r="I376" s="84" t="s">
        <v>449</v>
      </c>
      <c r="J376" s="84" t="s">
        <v>742</v>
      </c>
      <c r="K376" s="84" t="s">
        <v>449</v>
      </c>
      <c r="L376" s="84" t="s">
        <v>743</v>
      </c>
      <c r="M376" s="90" t="str">
        <f t="shared" si="6"/>
        <v>View on Google Map</v>
      </c>
      <c r="N376" s="84">
        <f t="shared" si="7"/>
        <v>21</v>
      </c>
    </row>
    <row r="377" spans="1:14" x14ac:dyDescent="0.2">
      <c r="A377" s="84">
        <v>268</v>
      </c>
      <c r="B377" s="84" t="s">
        <v>1179</v>
      </c>
      <c r="C377" s="84" t="s">
        <v>1180</v>
      </c>
      <c r="D377" s="84">
        <v>68.6833666064</v>
      </c>
      <c r="E377" s="84">
        <v>-149.78602037900001</v>
      </c>
      <c r="F377" s="84">
        <v>620</v>
      </c>
      <c r="G377" s="84" t="s">
        <v>460</v>
      </c>
      <c r="H377" s="84" t="s">
        <v>1181</v>
      </c>
      <c r="I377" s="84" t="s">
        <v>449</v>
      </c>
      <c r="J377" s="84" t="s">
        <v>742</v>
      </c>
      <c r="K377" s="84" t="s">
        <v>449</v>
      </c>
      <c r="L377" s="84" t="s">
        <v>743</v>
      </c>
      <c r="M377" s="90" t="str">
        <f t="shared" si="6"/>
        <v>View on Google Map</v>
      </c>
      <c r="N377" s="84">
        <f t="shared" si="7"/>
        <v>22</v>
      </c>
    </row>
    <row r="378" spans="1:14" x14ac:dyDescent="0.2">
      <c r="A378" s="84">
        <v>269</v>
      </c>
      <c r="B378" s="84" t="s">
        <v>1182</v>
      </c>
      <c r="C378" s="84" t="s">
        <v>1183</v>
      </c>
      <c r="D378" s="84">
        <v>68.685049484000004</v>
      </c>
      <c r="E378" s="84">
        <v>-149.801322572</v>
      </c>
      <c r="F378" s="84">
        <v>590</v>
      </c>
      <c r="G378" s="84" t="s">
        <v>460</v>
      </c>
      <c r="H378" s="84" t="s">
        <v>1184</v>
      </c>
      <c r="I378" s="84" t="s">
        <v>449</v>
      </c>
      <c r="J378" s="84" t="s">
        <v>742</v>
      </c>
      <c r="K378" s="84" t="s">
        <v>449</v>
      </c>
      <c r="L378" s="84" t="s">
        <v>743</v>
      </c>
      <c r="M378" s="90" t="str">
        <f t="shared" si="6"/>
        <v>View on Google Map</v>
      </c>
      <c r="N378" s="84">
        <f t="shared" si="7"/>
        <v>23</v>
      </c>
    </row>
    <row r="379" spans="1:14" x14ac:dyDescent="0.2">
      <c r="A379" s="84">
        <v>270</v>
      </c>
      <c r="B379" s="84" t="s">
        <v>1185</v>
      </c>
      <c r="C379" s="84" t="s">
        <v>1186</v>
      </c>
      <c r="D379" s="84">
        <v>68.6853960145</v>
      </c>
      <c r="E379" s="84">
        <v>-149.80798693200001</v>
      </c>
      <c r="F379" s="84">
        <v>590</v>
      </c>
      <c r="G379" s="84" t="s">
        <v>460</v>
      </c>
      <c r="H379" s="84" t="s">
        <v>1187</v>
      </c>
      <c r="I379" s="84" t="s">
        <v>449</v>
      </c>
      <c r="J379" s="84" t="s">
        <v>742</v>
      </c>
      <c r="K379" s="84" t="s">
        <v>449</v>
      </c>
      <c r="L379" s="84" t="s">
        <v>743</v>
      </c>
      <c r="M379" s="90" t="str">
        <f t="shared" si="6"/>
        <v>View on Google Map</v>
      </c>
      <c r="N379" s="84">
        <f t="shared" si="7"/>
        <v>24</v>
      </c>
    </row>
    <row r="380" spans="1:14" x14ac:dyDescent="0.2">
      <c r="A380" s="84">
        <v>271</v>
      </c>
      <c r="B380" s="84" t="s">
        <v>1188</v>
      </c>
      <c r="C380" s="84" t="s">
        <v>1189</v>
      </c>
      <c r="D380" s="84">
        <v>68.682885549900007</v>
      </c>
      <c r="E380" s="84">
        <v>-149.809163652</v>
      </c>
      <c r="F380" s="84">
        <v>590</v>
      </c>
      <c r="G380" s="84" t="s">
        <v>460</v>
      </c>
      <c r="H380" s="84" t="s">
        <v>1190</v>
      </c>
      <c r="I380" s="84" t="s">
        <v>449</v>
      </c>
      <c r="J380" s="84" t="s">
        <v>742</v>
      </c>
      <c r="K380" s="84" t="s">
        <v>449</v>
      </c>
      <c r="L380" s="84" t="s">
        <v>743</v>
      </c>
      <c r="M380" s="90" t="str">
        <f t="shared" si="6"/>
        <v>View on Google Map</v>
      </c>
      <c r="N380" s="84">
        <f t="shared" si="7"/>
        <v>25</v>
      </c>
    </row>
    <row r="381" spans="1:14" x14ac:dyDescent="0.2">
      <c r="A381" s="84">
        <v>272</v>
      </c>
      <c r="B381" s="84" t="s">
        <v>1191</v>
      </c>
      <c r="C381" s="84" t="s">
        <v>1192</v>
      </c>
      <c r="D381" s="84">
        <v>68.682270906200003</v>
      </c>
      <c r="E381" s="84">
        <v>-149.81202356599999</v>
      </c>
      <c r="F381" s="84" t="s">
        <v>449</v>
      </c>
      <c r="G381" s="84" t="s">
        <v>460</v>
      </c>
      <c r="H381" s="84" t="s">
        <v>1193</v>
      </c>
      <c r="I381" s="84" t="s">
        <v>449</v>
      </c>
      <c r="J381" s="84" t="s">
        <v>742</v>
      </c>
      <c r="K381" s="84" t="s">
        <v>449</v>
      </c>
      <c r="L381" s="84" t="s">
        <v>743</v>
      </c>
      <c r="M381" s="90" t="str">
        <f t="shared" si="6"/>
        <v>View on Google Map</v>
      </c>
      <c r="N381" s="84">
        <f t="shared" si="7"/>
        <v>26</v>
      </c>
    </row>
    <row r="382" spans="1:14" x14ac:dyDescent="0.2">
      <c r="A382" s="84">
        <v>315</v>
      </c>
      <c r="B382" s="84" t="s">
        <v>1194</v>
      </c>
      <c r="C382" s="84" t="s">
        <v>1195</v>
      </c>
      <c r="D382" s="84">
        <v>68.568206306199997</v>
      </c>
      <c r="E382" s="84">
        <v>-149.167395043</v>
      </c>
      <c r="F382" s="84" t="s">
        <v>449</v>
      </c>
      <c r="G382" s="84" t="s">
        <v>460</v>
      </c>
      <c r="H382" s="84" t="s">
        <v>1196</v>
      </c>
      <c r="I382" s="84" t="s">
        <v>449</v>
      </c>
      <c r="J382" s="84" t="s">
        <v>742</v>
      </c>
      <c r="K382" s="84" t="s">
        <v>449</v>
      </c>
      <c r="L382" s="84" t="s">
        <v>743</v>
      </c>
      <c r="M382" s="90" t="str">
        <f t="shared" si="6"/>
        <v>View on Google Map</v>
      </c>
      <c r="N382" s="84">
        <f t="shared" si="7"/>
        <v>27</v>
      </c>
    </row>
    <row r="383" spans="1:14" x14ac:dyDescent="0.2">
      <c r="A383" s="84">
        <v>316</v>
      </c>
      <c r="B383" s="84" t="s">
        <v>1197</v>
      </c>
      <c r="C383" s="84" t="s">
        <v>1198</v>
      </c>
      <c r="D383" s="84">
        <v>68.563566134699997</v>
      </c>
      <c r="E383" s="84">
        <v>-149.17548626199999</v>
      </c>
      <c r="F383" s="84" t="s">
        <v>449</v>
      </c>
      <c r="G383" s="84" t="s">
        <v>460</v>
      </c>
      <c r="H383" s="84" t="s">
        <v>1199</v>
      </c>
      <c r="I383" s="84" t="s">
        <v>449</v>
      </c>
      <c r="J383" s="84" t="s">
        <v>742</v>
      </c>
      <c r="K383" s="84" t="s">
        <v>449</v>
      </c>
      <c r="L383" s="84" t="s">
        <v>743</v>
      </c>
      <c r="M383" s="90" t="str">
        <f t="shared" si="6"/>
        <v>View on Google Map</v>
      </c>
      <c r="N383" s="84">
        <f t="shared" si="7"/>
        <v>28</v>
      </c>
    </row>
    <row r="384" spans="1:14" x14ac:dyDescent="0.2">
      <c r="A384" s="84">
        <v>317</v>
      </c>
      <c r="B384" s="84" t="s">
        <v>1200</v>
      </c>
      <c r="C384" s="84" t="s">
        <v>1201</v>
      </c>
      <c r="D384" s="84">
        <v>68.567753827800004</v>
      </c>
      <c r="E384" s="84">
        <v>-149.18255546</v>
      </c>
      <c r="F384" s="84" t="s">
        <v>449</v>
      </c>
      <c r="G384" s="84" t="s">
        <v>460</v>
      </c>
      <c r="H384" s="84" t="s">
        <v>1202</v>
      </c>
      <c r="I384" s="84" t="s">
        <v>449</v>
      </c>
      <c r="J384" s="84" t="s">
        <v>742</v>
      </c>
      <c r="K384" s="84" t="s">
        <v>449</v>
      </c>
      <c r="L384" s="84" t="s">
        <v>743</v>
      </c>
      <c r="M384" s="90" t="str">
        <f t="shared" si="6"/>
        <v>View on Google Map</v>
      </c>
      <c r="N384" s="84">
        <f t="shared" si="7"/>
        <v>29</v>
      </c>
    </row>
    <row r="385" spans="1:14" x14ac:dyDescent="0.2">
      <c r="A385" s="84">
        <v>318</v>
      </c>
      <c r="B385" s="84" t="s">
        <v>1203</v>
      </c>
      <c r="C385" s="84" t="s">
        <v>1204</v>
      </c>
      <c r="D385" s="84">
        <v>68.575143231300004</v>
      </c>
      <c r="E385" s="84">
        <v>-149.187493434</v>
      </c>
      <c r="F385" s="84">
        <v>899</v>
      </c>
      <c r="G385" s="84" t="s">
        <v>460</v>
      </c>
      <c r="H385" s="84" t="s">
        <v>1205</v>
      </c>
      <c r="I385" s="84" t="s">
        <v>449</v>
      </c>
      <c r="J385" s="84" t="s">
        <v>742</v>
      </c>
      <c r="K385" s="84" t="s">
        <v>449</v>
      </c>
      <c r="L385" s="84" t="s">
        <v>743</v>
      </c>
      <c r="M385" s="90" t="str">
        <f t="shared" si="6"/>
        <v>View on Google Map</v>
      </c>
      <c r="N385" s="84">
        <f t="shared" si="7"/>
        <v>30</v>
      </c>
    </row>
    <row r="386" spans="1:14" x14ac:dyDescent="0.2">
      <c r="A386" s="84">
        <v>319</v>
      </c>
      <c r="B386" s="84" t="s">
        <v>1206</v>
      </c>
      <c r="C386" s="84" t="s">
        <v>1207</v>
      </c>
      <c r="D386" s="84">
        <v>68.575979722100001</v>
      </c>
      <c r="E386" s="84">
        <v>-149.19939190100001</v>
      </c>
      <c r="F386" s="84" t="s">
        <v>449</v>
      </c>
      <c r="G386" s="84" t="s">
        <v>460</v>
      </c>
      <c r="H386" s="84" t="s">
        <v>1208</v>
      </c>
      <c r="I386" s="84" t="s">
        <v>449</v>
      </c>
      <c r="J386" s="84" t="s">
        <v>742</v>
      </c>
      <c r="K386" s="84" t="s">
        <v>449</v>
      </c>
      <c r="L386" s="84" t="s">
        <v>743</v>
      </c>
      <c r="M386" s="90" t="str">
        <f t="shared" si="6"/>
        <v>View on Google Map</v>
      </c>
      <c r="N386" s="84">
        <f t="shared" si="7"/>
        <v>31</v>
      </c>
    </row>
    <row r="387" spans="1:14" x14ac:dyDescent="0.2">
      <c r="A387" s="84">
        <v>320</v>
      </c>
      <c r="B387" s="84" t="s">
        <v>1209</v>
      </c>
      <c r="C387" s="84" t="s">
        <v>1210</v>
      </c>
      <c r="D387" s="84">
        <v>68.576887217199996</v>
      </c>
      <c r="E387" s="84">
        <v>-149.17782305899999</v>
      </c>
      <c r="F387" s="84">
        <v>891</v>
      </c>
      <c r="G387" s="84" t="s">
        <v>460</v>
      </c>
      <c r="H387" s="84" t="s">
        <v>1211</v>
      </c>
      <c r="I387" s="84" t="s">
        <v>449</v>
      </c>
      <c r="J387" s="84" t="s">
        <v>742</v>
      </c>
      <c r="K387" s="84" t="s">
        <v>449</v>
      </c>
      <c r="L387" s="84" t="s">
        <v>743</v>
      </c>
      <c r="M387" s="90" t="str">
        <f t="shared" ref="M387:M450" si="8">HYPERLINK("http://maps.google.com/maps?q="&amp;D387&amp;","&amp;E387,"View on Google Map")</f>
        <v>View on Google Map</v>
      </c>
      <c r="N387" s="84">
        <f t="shared" si="7"/>
        <v>32</v>
      </c>
    </row>
    <row r="388" spans="1:14" x14ac:dyDescent="0.2">
      <c r="A388" s="84">
        <v>321</v>
      </c>
      <c r="B388" s="84" t="s">
        <v>1212</v>
      </c>
      <c r="C388" s="84" t="s">
        <v>1213</v>
      </c>
      <c r="D388" s="84">
        <v>68.581215404199995</v>
      </c>
      <c r="E388" s="84">
        <v>-149.17874205800001</v>
      </c>
      <c r="F388" s="84">
        <v>891</v>
      </c>
      <c r="G388" s="84" t="s">
        <v>460</v>
      </c>
      <c r="H388" s="84" t="s">
        <v>1214</v>
      </c>
      <c r="I388" s="84" t="s">
        <v>449</v>
      </c>
      <c r="J388" s="84" t="s">
        <v>742</v>
      </c>
      <c r="K388" s="84" t="s">
        <v>449</v>
      </c>
      <c r="L388" s="84" t="s">
        <v>743</v>
      </c>
      <c r="M388" s="90" t="str">
        <f t="shared" si="8"/>
        <v>View on Google Map</v>
      </c>
      <c r="N388" s="84">
        <f t="shared" si="7"/>
        <v>33</v>
      </c>
    </row>
    <row r="389" spans="1:14" x14ac:dyDescent="0.2">
      <c r="A389" s="84">
        <v>322</v>
      </c>
      <c r="B389" s="84" t="s">
        <v>1215</v>
      </c>
      <c r="C389" s="84" t="s">
        <v>1216</v>
      </c>
      <c r="D389" s="84">
        <v>68.587382761699999</v>
      </c>
      <c r="E389" s="84">
        <v>-149.144248847</v>
      </c>
      <c r="F389" s="84" t="s">
        <v>449</v>
      </c>
      <c r="G389" s="84" t="s">
        <v>460</v>
      </c>
      <c r="H389" s="84" t="s">
        <v>1217</v>
      </c>
      <c r="I389" s="84" t="s">
        <v>449</v>
      </c>
      <c r="J389" s="84" t="s">
        <v>742</v>
      </c>
      <c r="K389" s="84" t="s">
        <v>449</v>
      </c>
      <c r="L389" s="84" t="s">
        <v>743</v>
      </c>
      <c r="M389" s="90" t="str">
        <f t="shared" si="8"/>
        <v>View on Google Map</v>
      </c>
      <c r="N389" s="84">
        <f t="shared" si="7"/>
        <v>34</v>
      </c>
    </row>
    <row r="390" spans="1:14" x14ac:dyDescent="0.2">
      <c r="A390" s="84">
        <v>323</v>
      </c>
      <c r="B390" s="84" t="s">
        <v>1218</v>
      </c>
      <c r="C390" s="84" t="s">
        <v>1219</v>
      </c>
      <c r="D390" s="84">
        <v>68.548407480700007</v>
      </c>
      <c r="E390" s="84">
        <v>-150.03700547700001</v>
      </c>
      <c r="F390" s="84" t="s">
        <v>449</v>
      </c>
      <c r="G390" s="84" t="s">
        <v>460</v>
      </c>
      <c r="H390" s="84" t="s">
        <v>1220</v>
      </c>
      <c r="I390" s="84" t="s">
        <v>449</v>
      </c>
      <c r="J390" s="84" t="s">
        <v>742</v>
      </c>
      <c r="K390" s="84" t="s">
        <v>449</v>
      </c>
      <c r="L390" s="84" t="s">
        <v>743</v>
      </c>
      <c r="M390" s="90" t="str">
        <f t="shared" si="8"/>
        <v>View on Google Map</v>
      </c>
      <c r="N390" s="84">
        <f t="shared" si="7"/>
        <v>35</v>
      </c>
    </row>
    <row r="391" spans="1:14" x14ac:dyDescent="0.2">
      <c r="A391" s="84">
        <v>324</v>
      </c>
      <c r="B391" s="84" t="s">
        <v>1221</v>
      </c>
      <c r="C391" s="84" t="s">
        <v>1222</v>
      </c>
      <c r="D391" s="84">
        <v>68.550052273099993</v>
      </c>
      <c r="E391" s="84">
        <v>-150.02948327199999</v>
      </c>
      <c r="F391" s="84" t="s">
        <v>449</v>
      </c>
      <c r="G391" s="84" t="s">
        <v>460</v>
      </c>
      <c r="H391" s="84" t="s">
        <v>1223</v>
      </c>
      <c r="I391" s="84" t="s">
        <v>449</v>
      </c>
      <c r="J391" s="84" t="s">
        <v>742</v>
      </c>
      <c r="K391" s="84" t="s">
        <v>449</v>
      </c>
      <c r="L391" s="84" t="s">
        <v>743</v>
      </c>
      <c r="M391" s="90" t="str">
        <f t="shared" si="8"/>
        <v>View on Google Map</v>
      </c>
      <c r="N391" s="84">
        <f t="shared" si="7"/>
        <v>36</v>
      </c>
    </row>
    <row r="392" spans="1:14" x14ac:dyDescent="0.2">
      <c r="A392" s="84">
        <v>325</v>
      </c>
      <c r="B392" s="84" t="s">
        <v>1224</v>
      </c>
      <c r="C392" s="84" t="s">
        <v>1225</v>
      </c>
      <c r="D392" s="84">
        <v>68.5460242857</v>
      </c>
      <c r="E392" s="84">
        <v>-150.02463014</v>
      </c>
      <c r="F392" s="84" t="s">
        <v>449</v>
      </c>
      <c r="G392" s="84" t="s">
        <v>460</v>
      </c>
      <c r="H392" s="84" t="s">
        <v>1226</v>
      </c>
      <c r="I392" s="84" t="s">
        <v>449</v>
      </c>
      <c r="J392" s="84" t="s">
        <v>742</v>
      </c>
      <c r="K392" s="84" t="s">
        <v>449</v>
      </c>
      <c r="L392" s="84" t="s">
        <v>743</v>
      </c>
      <c r="M392" s="90" t="str">
        <f t="shared" si="8"/>
        <v>View on Google Map</v>
      </c>
      <c r="N392" s="84">
        <f t="shared" si="7"/>
        <v>37</v>
      </c>
    </row>
    <row r="393" spans="1:14" x14ac:dyDescent="0.2">
      <c r="A393" s="84">
        <v>326</v>
      </c>
      <c r="B393" s="84" t="s">
        <v>1227</v>
      </c>
      <c r="C393" s="84" t="s">
        <v>1228</v>
      </c>
      <c r="D393" s="84">
        <v>68.550135830100004</v>
      </c>
      <c r="E393" s="84">
        <v>-150.01499602000001</v>
      </c>
      <c r="F393" s="84" t="s">
        <v>449</v>
      </c>
      <c r="G393" s="84" t="s">
        <v>460</v>
      </c>
      <c r="H393" s="84" t="s">
        <v>1229</v>
      </c>
      <c r="I393" s="84" t="s">
        <v>449</v>
      </c>
      <c r="J393" s="84" t="s">
        <v>742</v>
      </c>
      <c r="K393" s="84" t="s">
        <v>449</v>
      </c>
      <c r="L393" s="84" t="s">
        <v>743</v>
      </c>
      <c r="M393" s="90" t="str">
        <f t="shared" si="8"/>
        <v>View on Google Map</v>
      </c>
      <c r="N393" s="84">
        <f t="shared" si="7"/>
        <v>38</v>
      </c>
    </row>
    <row r="394" spans="1:14" x14ac:dyDescent="0.2">
      <c r="A394" s="84">
        <v>327</v>
      </c>
      <c r="B394" s="84" t="s">
        <v>1230</v>
      </c>
      <c r="C394" s="84" t="s">
        <v>1231</v>
      </c>
      <c r="D394" s="84">
        <v>68.556356553000001</v>
      </c>
      <c r="E394" s="84">
        <v>-150.01283142599999</v>
      </c>
      <c r="F394" s="84" t="s">
        <v>449</v>
      </c>
      <c r="G394" s="84" t="s">
        <v>460</v>
      </c>
      <c r="H394" s="84" t="s">
        <v>1232</v>
      </c>
      <c r="I394" s="84" t="s">
        <v>449</v>
      </c>
      <c r="J394" s="84" t="s">
        <v>742</v>
      </c>
      <c r="K394" s="84" t="s">
        <v>449</v>
      </c>
      <c r="L394" s="84" t="s">
        <v>743</v>
      </c>
      <c r="M394" s="90" t="str">
        <f t="shared" si="8"/>
        <v>View on Google Map</v>
      </c>
      <c r="N394" s="84">
        <f t="shared" si="7"/>
        <v>39</v>
      </c>
    </row>
    <row r="395" spans="1:14" x14ac:dyDescent="0.2">
      <c r="A395" s="84">
        <v>328</v>
      </c>
      <c r="B395" s="84" t="s">
        <v>1233</v>
      </c>
      <c r="C395" s="84" t="s">
        <v>1234</v>
      </c>
      <c r="D395" s="84">
        <v>68.565564884200001</v>
      </c>
      <c r="E395" s="84">
        <v>-150.00164362699999</v>
      </c>
      <c r="F395" s="84" t="s">
        <v>449</v>
      </c>
      <c r="G395" s="84" t="s">
        <v>460</v>
      </c>
      <c r="H395" s="84" t="s">
        <v>1235</v>
      </c>
      <c r="I395" s="84" t="s">
        <v>449</v>
      </c>
      <c r="J395" s="84" t="s">
        <v>742</v>
      </c>
      <c r="K395" s="84" t="s">
        <v>449</v>
      </c>
      <c r="L395" s="84" t="s">
        <v>743</v>
      </c>
      <c r="M395" s="90" t="str">
        <f t="shared" si="8"/>
        <v>View on Google Map</v>
      </c>
      <c r="N395" s="84">
        <f t="shared" si="7"/>
        <v>40</v>
      </c>
    </row>
    <row r="396" spans="1:14" x14ac:dyDescent="0.2">
      <c r="A396" s="84">
        <v>329</v>
      </c>
      <c r="B396" s="84" t="s">
        <v>1236</v>
      </c>
      <c r="C396" s="84" t="s">
        <v>1237</v>
      </c>
      <c r="D396" s="84">
        <v>68.567838099200003</v>
      </c>
      <c r="E396" s="84">
        <v>-149.99849875500001</v>
      </c>
      <c r="F396" s="84" t="s">
        <v>449</v>
      </c>
      <c r="G396" s="84" t="s">
        <v>460</v>
      </c>
      <c r="H396" s="84" t="s">
        <v>1238</v>
      </c>
      <c r="I396" s="84" t="s">
        <v>449</v>
      </c>
      <c r="J396" s="84" t="s">
        <v>742</v>
      </c>
      <c r="K396" s="84" t="s">
        <v>449</v>
      </c>
      <c r="L396" s="84" t="s">
        <v>743</v>
      </c>
      <c r="M396" s="90" t="str">
        <f t="shared" si="8"/>
        <v>View on Google Map</v>
      </c>
      <c r="N396" s="84">
        <f t="shared" si="7"/>
        <v>41</v>
      </c>
    </row>
    <row r="397" spans="1:14" x14ac:dyDescent="0.2">
      <c r="A397" s="84">
        <v>330</v>
      </c>
      <c r="B397" s="84" t="s">
        <v>1239</v>
      </c>
      <c r="C397" s="84" t="s">
        <v>1240</v>
      </c>
      <c r="D397" s="84">
        <v>68.5855663241</v>
      </c>
      <c r="E397" s="84">
        <v>-149.98167511</v>
      </c>
      <c r="F397" s="84" t="s">
        <v>449</v>
      </c>
      <c r="G397" s="84" t="s">
        <v>460</v>
      </c>
      <c r="H397" s="84" t="s">
        <v>1241</v>
      </c>
      <c r="I397" s="84" t="s">
        <v>449</v>
      </c>
      <c r="J397" s="84" t="s">
        <v>742</v>
      </c>
      <c r="K397" s="84" t="s">
        <v>449</v>
      </c>
      <c r="L397" s="84" t="s">
        <v>743</v>
      </c>
      <c r="M397" s="90" t="str">
        <f t="shared" si="8"/>
        <v>View on Google Map</v>
      </c>
      <c r="N397" s="84">
        <f t="shared" si="7"/>
        <v>42</v>
      </c>
    </row>
    <row r="398" spans="1:14" x14ac:dyDescent="0.2">
      <c r="A398" s="84">
        <v>331</v>
      </c>
      <c r="B398" s="84" t="s">
        <v>1242</v>
      </c>
      <c r="C398" s="84" t="s">
        <v>1243</v>
      </c>
      <c r="D398" s="84">
        <v>68.534049837699996</v>
      </c>
      <c r="E398" s="84">
        <v>-149.157309078</v>
      </c>
      <c r="F398" s="84">
        <v>926</v>
      </c>
      <c r="G398" s="84" t="s">
        <v>460</v>
      </c>
      <c r="H398" s="84" t="s">
        <v>1244</v>
      </c>
      <c r="I398" s="84" t="s">
        <v>449</v>
      </c>
      <c r="J398" s="84" t="s">
        <v>742</v>
      </c>
      <c r="K398" s="84" t="s">
        <v>449</v>
      </c>
      <c r="L398" s="84" t="s">
        <v>743</v>
      </c>
      <c r="M398" s="90" t="str">
        <f t="shared" si="8"/>
        <v>View on Google Map</v>
      </c>
      <c r="N398" s="84">
        <f t="shared" si="7"/>
        <v>43</v>
      </c>
    </row>
    <row r="399" spans="1:14" x14ac:dyDescent="0.2">
      <c r="A399" s="84">
        <v>332</v>
      </c>
      <c r="B399" s="84" t="s">
        <v>1245</v>
      </c>
      <c r="C399" s="84" t="s">
        <v>1246</v>
      </c>
      <c r="D399" s="84">
        <v>68.533584622000006</v>
      </c>
      <c r="E399" s="84">
        <v>-149.16705049699999</v>
      </c>
      <c r="F399" s="84" t="s">
        <v>449</v>
      </c>
      <c r="G399" s="84" t="s">
        <v>460</v>
      </c>
      <c r="H399" s="84" t="s">
        <v>1247</v>
      </c>
      <c r="I399" s="84" t="s">
        <v>449</v>
      </c>
      <c r="J399" s="84" t="s">
        <v>742</v>
      </c>
      <c r="K399" s="84" t="s">
        <v>449</v>
      </c>
      <c r="L399" s="84" t="s">
        <v>743</v>
      </c>
      <c r="M399" s="90" t="str">
        <f t="shared" si="8"/>
        <v>View on Google Map</v>
      </c>
      <c r="N399" s="84">
        <f t="shared" si="7"/>
        <v>44</v>
      </c>
    </row>
    <row r="400" spans="1:14" x14ac:dyDescent="0.2">
      <c r="A400" s="84">
        <v>333</v>
      </c>
      <c r="B400" s="84" t="s">
        <v>1248</v>
      </c>
      <c r="C400" s="84" t="s">
        <v>1249</v>
      </c>
      <c r="D400" s="84">
        <v>68.533269411600003</v>
      </c>
      <c r="E400" s="84">
        <v>-149.19565723900001</v>
      </c>
      <c r="F400" s="84">
        <v>899</v>
      </c>
      <c r="G400" s="84" t="s">
        <v>460</v>
      </c>
      <c r="H400" s="84" t="s">
        <v>1250</v>
      </c>
      <c r="I400" s="84" t="s">
        <v>449</v>
      </c>
      <c r="J400" s="84" t="s">
        <v>742</v>
      </c>
      <c r="K400" s="84" t="s">
        <v>449</v>
      </c>
      <c r="L400" s="84" t="s">
        <v>743</v>
      </c>
      <c r="M400" s="90" t="str">
        <f t="shared" si="8"/>
        <v>View on Google Map</v>
      </c>
      <c r="N400" s="84">
        <f t="shared" si="7"/>
        <v>45</v>
      </c>
    </row>
    <row r="401" spans="1:14" x14ac:dyDescent="0.2">
      <c r="A401" s="84">
        <v>335</v>
      </c>
      <c r="B401" s="84" t="s">
        <v>1251</v>
      </c>
      <c r="C401" s="84" t="s">
        <v>1252</v>
      </c>
      <c r="D401" s="84">
        <v>68.516771954500001</v>
      </c>
      <c r="E401" s="84">
        <v>-150.05742084799999</v>
      </c>
      <c r="F401" s="84" t="s">
        <v>449</v>
      </c>
      <c r="G401" s="84" t="s">
        <v>460</v>
      </c>
      <c r="H401" s="84" t="s">
        <v>1253</v>
      </c>
      <c r="I401" s="84" t="s">
        <v>449</v>
      </c>
      <c r="J401" s="84" t="s">
        <v>742</v>
      </c>
      <c r="K401" s="84" t="s">
        <v>449</v>
      </c>
      <c r="L401" s="84" t="s">
        <v>743</v>
      </c>
      <c r="M401" s="90" t="str">
        <f t="shared" si="8"/>
        <v>View on Google Map</v>
      </c>
      <c r="N401" s="84">
        <f t="shared" si="7"/>
        <v>47</v>
      </c>
    </row>
    <row r="402" spans="1:14" x14ac:dyDescent="0.2">
      <c r="A402" s="84">
        <v>336</v>
      </c>
      <c r="B402" s="84" t="s">
        <v>1254</v>
      </c>
      <c r="C402" s="84" t="s">
        <v>1255</v>
      </c>
      <c r="D402" s="84">
        <v>68.531484729400006</v>
      </c>
      <c r="E402" s="84">
        <v>-150.04821666999999</v>
      </c>
      <c r="F402" s="84" t="s">
        <v>449</v>
      </c>
      <c r="G402" s="84" t="s">
        <v>460</v>
      </c>
      <c r="H402" s="84" t="s">
        <v>1256</v>
      </c>
      <c r="I402" s="84" t="s">
        <v>449</v>
      </c>
      <c r="J402" s="84" t="s">
        <v>742</v>
      </c>
      <c r="K402" s="84" t="s">
        <v>449</v>
      </c>
      <c r="L402" s="84" t="s">
        <v>743</v>
      </c>
      <c r="M402" s="90" t="str">
        <f t="shared" si="8"/>
        <v>View on Google Map</v>
      </c>
      <c r="N402" s="84">
        <f t="shared" si="7"/>
        <v>48</v>
      </c>
    </row>
    <row r="403" spans="1:14" x14ac:dyDescent="0.2">
      <c r="A403" s="84">
        <v>337</v>
      </c>
      <c r="B403" s="84" t="s">
        <v>1257</v>
      </c>
      <c r="C403" s="84" t="s">
        <v>1258</v>
      </c>
      <c r="D403" s="84">
        <v>68.525496449800002</v>
      </c>
      <c r="E403" s="84">
        <v>-150.03164010200001</v>
      </c>
      <c r="F403" s="84" t="s">
        <v>449</v>
      </c>
      <c r="G403" s="84" t="s">
        <v>460</v>
      </c>
      <c r="H403" s="84" t="s">
        <v>1259</v>
      </c>
      <c r="I403" s="84" t="s">
        <v>449</v>
      </c>
      <c r="J403" s="84" t="s">
        <v>742</v>
      </c>
      <c r="K403" s="84" t="s">
        <v>449</v>
      </c>
      <c r="L403" s="84" t="s">
        <v>743</v>
      </c>
      <c r="M403" s="90" t="str">
        <f t="shared" si="8"/>
        <v>View on Google Map</v>
      </c>
      <c r="N403" s="84">
        <f t="shared" si="7"/>
        <v>49</v>
      </c>
    </row>
    <row r="404" spans="1:14" x14ac:dyDescent="0.2">
      <c r="A404" s="84">
        <v>338</v>
      </c>
      <c r="B404" s="84" t="s">
        <v>1260</v>
      </c>
      <c r="C404" s="84" t="s">
        <v>1261</v>
      </c>
      <c r="D404" s="84">
        <v>68.522395926599998</v>
      </c>
      <c r="E404" s="84">
        <v>-150.02260567299999</v>
      </c>
      <c r="F404" s="84" t="s">
        <v>449</v>
      </c>
      <c r="G404" s="84" t="s">
        <v>460</v>
      </c>
      <c r="H404" s="84" t="s">
        <v>1262</v>
      </c>
      <c r="I404" s="84" t="s">
        <v>449</v>
      </c>
      <c r="J404" s="84" t="s">
        <v>742</v>
      </c>
      <c r="K404" s="84" t="s">
        <v>449</v>
      </c>
      <c r="L404" s="84" t="s">
        <v>743</v>
      </c>
      <c r="M404" s="90" t="str">
        <f t="shared" si="8"/>
        <v>View on Google Map</v>
      </c>
      <c r="N404" s="84">
        <f t="shared" si="7"/>
        <v>50</v>
      </c>
    </row>
    <row r="405" spans="1:14" x14ac:dyDescent="0.2">
      <c r="A405" s="84">
        <v>339</v>
      </c>
      <c r="B405" s="84" t="s">
        <v>1263</v>
      </c>
      <c r="C405" s="84" t="s">
        <v>1264</v>
      </c>
      <c r="D405" s="84">
        <v>68.574095052399997</v>
      </c>
      <c r="E405" s="84">
        <v>-149.97662969199999</v>
      </c>
      <c r="F405" s="84" t="s">
        <v>449</v>
      </c>
      <c r="G405" s="84" t="s">
        <v>460</v>
      </c>
      <c r="H405" s="84" t="s">
        <v>1265</v>
      </c>
      <c r="I405" s="84" t="s">
        <v>449</v>
      </c>
      <c r="J405" s="84" t="s">
        <v>742</v>
      </c>
      <c r="K405" s="84" t="s">
        <v>449</v>
      </c>
      <c r="L405" s="84" t="s">
        <v>743</v>
      </c>
      <c r="M405" s="90" t="str">
        <f t="shared" si="8"/>
        <v>View on Google Map</v>
      </c>
      <c r="N405" s="84">
        <f t="shared" si="7"/>
        <v>51</v>
      </c>
    </row>
    <row r="406" spans="1:14" x14ac:dyDescent="0.2">
      <c r="A406" s="84">
        <v>340</v>
      </c>
      <c r="B406" s="84" t="s">
        <v>1266</v>
      </c>
      <c r="C406" s="84" t="s">
        <v>1267</v>
      </c>
      <c r="D406" s="84">
        <v>68.571671305899997</v>
      </c>
      <c r="E406" s="84">
        <v>-149.972667672</v>
      </c>
      <c r="F406" s="84" t="s">
        <v>449</v>
      </c>
      <c r="G406" s="84" t="s">
        <v>460</v>
      </c>
      <c r="H406" s="84" t="s">
        <v>1268</v>
      </c>
      <c r="I406" s="84" t="s">
        <v>449</v>
      </c>
      <c r="J406" s="84" t="s">
        <v>742</v>
      </c>
      <c r="K406" s="84" t="s">
        <v>449</v>
      </c>
      <c r="L406" s="84" t="s">
        <v>743</v>
      </c>
      <c r="M406" s="90" t="str">
        <f t="shared" si="8"/>
        <v>View on Google Map</v>
      </c>
      <c r="N406" s="84">
        <f t="shared" si="7"/>
        <v>52</v>
      </c>
    </row>
    <row r="407" spans="1:14" x14ac:dyDescent="0.2">
      <c r="A407" s="84">
        <v>341</v>
      </c>
      <c r="B407" s="84" t="s">
        <v>1269</v>
      </c>
      <c r="C407" s="84" t="s">
        <v>1270</v>
      </c>
      <c r="D407" s="84">
        <v>68.562791718200003</v>
      </c>
      <c r="E407" s="84">
        <v>-149.977791473</v>
      </c>
      <c r="F407" s="84" t="s">
        <v>449</v>
      </c>
      <c r="G407" s="84" t="s">
        <v>460</v>
      </c>
      <c r="H407" s="84" t="s">
        <v>1271</v>
      </c>
      <c r="I407" s="84" t="s">
        <v>449</v>
      </c>
      <c r="J407" s="84" t="s">
        <v>742</v>
      </c>
      <c r="K407" s="84" t="s">
        <v>449</v>
      </c>
      <c r="L407" s="84" t="s">
        <v>743</v>
      </c>
      <c r="M407" s="90" t="str">
        <f t="shared" si="8"/>
        <v>View on Google Map</v>
      </c>
      <c r="N407" s="84">
        <f t="shared" si="7"/>
        <v>53</v>
      </c>
    </row>
    <row r="408" spans="1:14" x14ac:dyDescent="0.2">
      <c r="A408" s="84">
        <v>342</v>
      </c>
      <c r="B408" s="84" t="s">
        <v>1272</v>
      </c>
      <c r="C408" s="84" t="s">
        <v>1273</v>
      </c>
      <c r="D408" s="84">
        <v>68.556077412199997</v>
      </c>
      <c r="E408" s="84">
        <v>-149.93361884199999</v>
      </c>
      <c r="F408" s="84" t="s">
        <v>449</v>
      </c>
      <c r="G408" s="84" t="s">
        <v>460</v>
      </c>
      <c r="H408" s="84" t="s">
        <v>1274</v>
      </c>
      <c r="I408" s="84" t="s">
        <v>449</v>
      </c>
      <c r="J408" s="84" t="s">
        <v>742</v>
      </c>
      <c r="K408" s="84" t="s">
        <v>449</v>
      </c>
      <c r="L408" s="84" t="s">
        <v>743</v>
      </c>
      <c r="M408" s="90" t="str">
        <f t="shared" si="8"/>
        <v>View on Google Map</v>
      </c>
      <c r="N408" s="84">
        <f t="shared" si="7"/>
        <v>54</v>
      </c>
    </row>
    <row r="409" spans="1:14" x14ac:dyDescent="0.2">
      <c r="A409" s="84">
        <v>343</v>
      </c>
      <c r="B409" s="84" t="s">
        <v>1275</v>
      </c>
      <c r="C409" s="84" t="s">
        <v>1276</v>
      </c>
      <c r="D409" s="84">
        <v>68.567959712100006</v>
      </c>
      <c r="E409" s="84">
        <v>-149.89938475599999</v>
      </c>
      <c r="F409" s="84" t="s">
        <v>449</v>
      </c>
      <c r="G409" s="84" t="s">
        <v>460</v>
      </c>
      <c r="H409" s="84" t="s">
        <v>1277</v>
      </c>
      <c r="I409" s="84" t="s">
        <v>449</v>
      </c>
      <c r="J409" s="84" t="s">
        <v>742</v>
      </c>
      <c r="K409" s="84" t="s">
        <v>449</v>
      </c>
      <c r="L409" s="84" t="s">
        <v>743</v>
      </c>
      <c r="M409" s="90" t="str">
        <f t="shared" si="8"/>
        <v>View on Google Map</v>
      </c>
      <c r="N409" s="84">
        <f t="shared" si="7"/>
        <v>55</v>
      </c>
    </row>
    <row r="410" spans="1:14" x14ac:dyDescent="0.2">
      <c r="A410" s="84">
        <v>344</v>
      </c>
      <c r="B410" s="84" t="s">
        <v>1278</v>
      </c>
      <c r="C410" s="84" t="s">
        <v>1279</v>
      </c>
      <c r="D410" s="84">
        <v>68.615854386999999</v>
      </c>
      <c r="E410" s="84">
        <v>-149.123111674</v>
      </c>
      <c r="F410" s="84" t="s">
        <v>449</v>
      </c>
      <c r="G410" s="84" t="s">
        <v>460</v>
      </c>
      <c r="H410" s="84" t="s">
        <v>1280</v>
      </c>
      <c r="I410" s="84" t="s">
        <v>449</v>
      </c>
      <c r="J410" s="84" t="s">
        <v>742</v>
      </c>
      <c r="K410" s="84" t="s">
        <v>449</v>
      </c>
      <c r="L410" s="84" t="s">
        <v>743</v>
      </c>
      <c r="M410" s="90" t="str">
        <f t="shared" si="8"/>
        <v>View on Google Map</v>
      </c>
      <c r="N410" s="84">
        <f t="shared" si="7"/>
        <v>56</v>
      </c>
    </row>
    <row r="411" spans="1:14" x14ac:dyDescent="0.2">
      <c r="A411" s="84">
        <v>345</v>
      </c>
      <c r="B411" s="84" t="s">
        <v>1281</v>
      </c>
      <c r="C411" s="84" t="s">
        <v>1282</v>
      </c>
      <c r="D411" s="84">
        <v>68.622759303600006</v>
      </c>
      <c r="E411" s="84">
        <v>-149.15087640600001</v>
      </c>
      <c r="F411" s="84">
        <v>861</v>
      </c>
      <c r="G411" s="84" t="s">
        <v>460</v>
      </c>
      <c r="H411" s="84" t="s">
        <v>1283</v>
      </c>
      <c r="I411" s="84" t="s">
        <v>449</v>
      </c>
      <c r="J411" s="84" t="s">
        <v>742</v>
      </c>
      <c r="K411" s="84" t="s">
        <v>449</v>
      </c>
      <c r="L411" s="84" t="s">
        <v>743</v>
      </c>
      <c r="M411" s="90" t="str">
        <f t="shared" si="8"/>
        <v>View on Google Map</v>
      </c>
      <c r="N411" s="84">
        <f t="shared" si="7"/>
        <v>57</v>
      </c>
    </row>
    <row r="412" spans="1:14" x14ac:dyDescent="0.2">
      <c r="A412" s="84">
        <v>346</v>
      </c>
      <c r="B412" s="84" t="s">
        <v>1284</v>
      </c>
      <c r="C412" s="84" t="s">
        <v>1285</v>
      </c>
      <c r="D412" s="84">
        <v>68.625381351599998</v>
      </c>
      <c r="E412" s="84">
        <v>-149.13918719200001</v>
      </c>
      <c r="F412" s="84">
        <v>877</v>
      </c>
      <c r="G412" s="84" t="s">
        <v>460</v>
      </c>
      <c r="H412" s="84" t="s">
        <v>1286</v>
      </c>
      <c r="I412" s="84" t="s">
        <v>449</v>
      </c>
      <c r="J412" s="84" t="s">
        <v>742</v>
      </c>
      <c r="K412" s="84" t="s">
        <v>449</v>
      </c>
      <c r="L412" s="84" t="s">
        <v>743</v>
      </c>
      <c r="M412" s="90" t="str">
        <f t="shared" si="8"/>
        <v>View on Google Map</v>
      </c>
      <c r="N412" s="84">
        <f t="shared" si="7"/>
        <v>58</v>
      </c>
    </row>
    <row r="413" spans="1:14" x14ac:dyDescent="0.2">
      <c r="A413" s="84">
        <v>347</v>
      </c>
      <c r="B413" s="84" t="s">
        <v>1287</v>
      </c>
      <c r="C413" s="84" t="s">
        <v>1288</v>
      </c>
      <c r="D413" s="84">
        <v>68.630955107899993</v>
      </c>
      <c r="E413" s="84">
        <v>-149.161535972</v>
      </c>
      <c r="F413" s="84">
        <v>858</v>
      </c>
      <c r="G413" s="84" t="s">
        <v>460</v>
      </c>
      <c r="H413" s="84" t="s">
        <v>1289</v>
      </c>
      <c r="I413" s="84" t="s">
        <v>449</v>
      </c>
      <c r="J413" s="84" t="s">
        <v>742</v>
      </c>
      <c r="K413" s="84" t="s">
        <v>449</v>
      </c>
      <c r="L413" s="84" t="s">
        <v>743</v>
      </c>
      <c r="M413" s="90" t="str">
        <f t="shared" si="8"/>
        <v>View on Google Map</v>
      </c>
      <c r="N413" s="84">
        <f t="shared" si="7"/>
        <v>59</v>
      </c>
    </row>
    <row r="414" spans="1:14" x14ac:dyDescent="0.2">
      <c r="A414" s="84">
        <v>348</v>
      </c>
      <c r="B414" s="84" t="s">
        <v>1290</v>
      </c>
      <c r="C414" s="84" t="s">
        <v>1291</v>
      </c>
      <c r="D414" s="84">
        <v>68.636431312400006</v>
      </c>
      <c r="E414" s="84">
        <v>-149.14390222200001</v>
      </c>
      <c r="F414" s="84" t="s">
        <v>449</v>
      </c>
      <c r="G414" s="84" t="s">
        <v>460</v>
      </c>
      <c r="H414" s="84" t="s">
        <v>1292</v>
      </c>
      <c r="I414" s="84" t="s">
        <v>449</v>
      </c>
      <c r="J414" s="84" t="s">
        <v>742</v>
      </c>
      <c r="K414" s="84" t="s">
        <v>449</v>
      </c>
      <c r="L414" s="84" t="s">
        <v>743</v>
      </c>
      <c r="M414" s="90" t="str">
        <f t="shared" si="8"/>
        <v>View on Google Map</v>
      </c>
      <c r="N414" s="84">
        <f t="shared" si="7"/>
        <v>60</v>
      </c>
    </row>
    <row r="415" spans="1:14" x14ac:dyDescent="0.2">
      <c r="A415" s="84">
        <v>349</v>
      </c>
      <c r="B415" s="84" t="s">
        <v>1293</v>
      </c>
      <c r="C415" s="84" t="s">
        <v>1294</v>
      </c>
      <c r="D415" s="84">
        <v>68.638723598300004</v>
      </c>
      <c r="E415" s="84">
        <v>-149.17862426400001</v>
      </c>
      <c r="F415" s="84" t="s">
        <v>449</v>
      </c>
      <c r="G415" s="84" t="s">
        <v>460</v>
      </c>
      <c r="H415" s="84" t="s">
        <v>1295</v>
      </c>
      <c r="I415" s="84" t="s">
        <v>449</v>
      </c>
      <c r="J415" s="84" t="s">
        <v>742</v>
      </c>
      <c r="K415" s="84" t="s">
        <v>449</v>
      </c>
      <c r="L415" s="84" t="s">
        <v>743</v>
      </c>
      <c r="M415" s="90" t="str">
        <f t="shared" si="8"/>
        <v>View on Google Map</v>
      </c>
      <c r="N415" s="84">
        <f t="shared" si="7"/>
        <v>61</v>
      </c>
    </row>
    <row r="416" spans="1:14" x14ac:dyDescent="0.2">
      <c r="A416" s="84">
        <v>350</v>
      </c>
      <c r="B416" s="84" t="s">
        <v>1296</v>
      </c>
      <c r="C416" s="84" t="s">
        <v>1297</v>
      </c>
      <c r="D416" s="84">
        <v>68.634874735899999</v>
      </c>
      <c r="E416" s="84">
        <v>-149.193728236</v>
      </c>
      <c r="F416" s="84" t="s">
        <v>449</v>
      </c>
      <c r="G416" s="84" t="s">
        <v>460</v>
      </c>
      <c r="H416" s="84" t="s">
        <v>1298</v>
      </c>
      <c r="I416" s="84" t="s">
        <v>449</v>
      </c>
      <c r="J416" s="84" t="s">
        <v>742</v>
      </c>
      <c r="K416" s="84" t="s">
        <v>449</v>
      </c>
      <c r="L416" s="84" t="s">
        <v>743</v>
      </c>
      <c r="M416" s="90" t="str">
        <f t="shared" si="8"/>
        <v>View on Google Map</v>
      </c>
      <c r="N416" s="84">
        <f t="shared" si="7"/>
        <v>62</v>
      </c>
    </row>
    <row r="417" spans="1:14" x14ac:dyDescent="0.2">
      <c r="A417" s="84">
        <v>351</v>
      </c>
      <c r="B417" s="84" t="s">
        <v>1299</v>
      </c>
      <c r="C417" s="84" t="s">
        <v>1300</v>
      </c>
      <c r="D417" s="84">
        <v>68.630921065799996</v>
      </c>
      <c r="E417" s="84">
        <v>-149.19135200100001</v>
      </c>
      <c r="F417" s="84" t="s">
        <v>449</v>
      </c>
      <c r="G417" s="84" t="s">
        <v>460</v>
      </c>
      <c r="H417" s="84" t="s">
        <v>1301</v>
      </c>
      <c r="I417" s="84" t="s">
        <v>449</v>
      </c>
      <c r="J417" s="84" t="s">
        <v>742</v>
      </c>
      <c r="K417" s="84" t="s">
        <v>449</v>
      </c>
      <c r="L417" s="84" t="s">
        <v>743</v>
      </c>
      <c r="M417" s="90" t="str">
        <f t="shared" si="8"/>
        <v>View on Google Map</v>
      </c>
      <c r="N417" s="84">
        <f t="shared" si="7"/>
        <v>63</v>
      </c>
    </row>
    <row r="418" spans="1:14" x14ac:dyDescent="0.2">
      <c r="A418" s="84">
        <v>352</v>
      </c>
      <c r="B418" s="84" t="s">
        <v>1302</v>
      </c>
      <c r="C418" s="84" t="s">
        <v>1303</v>
      </c>
      <c r="D418" s="84">
        <v>68.635774522800006</v>
      </c>
      <c r="E418" s="84">
        <v>-149.20688041899999</v>
      </c>
      <c r="F418" s="84" t="s">
        <v>449</v>
      </c>
      <c r="G418" s="84" t="s">
        <v>460</v>
      </c>
      <c r="H418" s="84" t="s">
        <v>1304</v>
      </c>
      <c r="I418" s="84" t="s">
        <v>449</v>
      </c>
      <c r="J418" s="84" t="s">
        <v>742</v>
      </c>
      <c r="K418" s="84" t="s">
        <v>449</v>
      </c>
      <c r="L418" s="84" t="s">
        <v>743</v>
      </c>
      <c r="M418" s="90" t="str">
        <f t="shared" si="8"/>
        <v>View on Google Map</v>
      </c>
      <c r="N418" s="84">
        <f t="shared" si="7"/>
        <v>64</v>
      </c>
    </row>
    <row r="419" spans="1:14" x14ac:dyDescent="0.2">
      <c r="A419" s="84">
        <v>353</v>
      </c>
      <c r="B419" s="84" t="s">
        <v>1305</v>
      </c>
      <c r="C419" s="84" t="s">
        <v>1306</v>
      </c>
      <c r="D419" s="84">
        <v>68.585080002200002</v>
      </c>
      <c r="E419" s="84">
        <v>-149.208359645</v>
      </c>
      <c r="F419" s="84">
        <v>898</v>
      </c>
      <c r="G419" s="84" t="s">
        <v>460</v>
      </c>
      <c r="H419" s="84" t="s">
        <v>1307</v>
      </c>
      <c r="I419" s="84" t="s">
        <v>449</v>
      </c>
      <c r="J419" s="84" t="s">
        <v>742</v>
      </c>
      <c r="K419" s="84" t="s">
        <v>449</v>
      </c>
      <c r="L419" s="84" t="s">
        <v>743</v>
      </c>
      <c r="M419" s="90" t="str">
        <f t="shared" si="8"/>
        <v>View on Google Map</v>
      </c>
      <c r="N419" s="84">
        <f t="shared" si="7"/>
        <v>65</v>
      </c>
    </row>
    <row r="420" spans="1:14" x14ac:dyDescent="0.2">
      <c r="A420" s="84">
        <v>354</v>
      </c>
      <c r="B420" s="84" t="s">
        <v>1308</v>
      </c>
      <c r="C420" s="84" t="s">
        <v>1309</v>
      </c>
      <c r="D420" s="84">
        <v>68.583148055099997</v>
      </c>
      <c r="E420" s="84">
        <v>-149.19950362399999</v>
      </c>
      <c r="F420" s="84">
        <v>896</v>
      </c>
      <c r="G420" s="84" t="s">
        <v>460</v>
      </c>
      <c r="H420" s="84" t="s">
        <v>1310</v>
      </c>
      <c r="I420" s="84" t="s">
        <v>449</v>
      </c>
      <c r="J420" s="84" t="s">
        <v>742</v>
      </c>
      <c r="K420" s="84" t="s">
        <v>449</v>
      </c>
      <c r="L420" s="84" t="s">
        <v>743</v>
      </c>
      <c r="M420" s="90" t="str">
        <f t="shared" si="8"/>
        <v>View on Google Map</v>
      </c>
      <c r="N420" s="84">
        <f t="shared" ref="N420:N434" si="9">VALUE(MID(H420,5,3))</f>
        <v>66</v>
      </c>
    </row>
    <row r="421" spans="1:14" x14ac:dyDescent="0.2">
      <c r="A421" s="84">
        <v>355</v>
      </c>
      <c r="B421" s="84" t="s">
        <v>1311</v>
      </c>
      <c r="C421" s="84" t="s">
        <v>1312</v>
      </c>
      <c r="D421" s="84">
        <v>68.589302268899999</v>
      </c>
      <c r="E421" s="84">
        <v>-149.18432651699999</v>
      </c>
      <c r="F421" s="84">
        <v>880</v>
      </c>
      <c r="G421" s="84" t="s">
        <v>460</v>
      </c>
      <c r="H421" s="84" t="s">
        <v>1313</v>
      </c>
      <c r="I421" s="84" t="s">
        <v>449</v>
      </c>
      <c r="J421" s="84" t="s">
        <v>742</v>
      </c>
      <c r="K421" s="84" t="s">
        <v>449</v>
      </c>
      <c r="L421" s="84" t="s">
        <v>743</v>
      </c>
      <c r="M421" s="90" t="str">
        <f t="shared" si="8"/>
        <v>View on Google Map</v>
      </c>
      <c r="N421" s="84">
        <f t="shared" si="9"/>
        <v>67</v>
      </c>
    </row>
    <row r="422" spans="1:14" x14ac:dyDescent="0.2">
      <c r="A422" s="84">
        <v>357</v>
      </c>
      <c r="B422" s="84" t="s">
        <v>1314</v>
      </c>
      <c r="C422" s="84" t="s">
        <v>1315</v>
      </c>
      <c r="D422" s="84">
        <v>68.595953562800005</v>
      </c>
      <c r="E422" s="84">
        <v>-149.161045868</v>
      </c>
      <c r="F422" s="84" t="s">
        <v>449</v>
      </c>
      <c r="G422" s="84" t="s">
        <v>460</v>
      </c>
      <c r="H422" s="84" t="s">
        <v>1316</v>
      </c>
      <c r="I422" s="84" t="s">
        <v>449</v>
      </c>
      <c r="J422" s="84" t="s">
        <v>742</v>
      </c>
      <c r="K422" s="84" t="s">
        <v>449</v>
      </c>
      <c r="L422" s="84" t="s">
        <v>743</v>
      </c>
      <c r="M422" s="90" t="str">
        <f t="shared" si="8"/>
        <v>View on Google Map</v>
      </c>
      <c r="N422" s="84">
        <f t="shared" si="9"/>
        <v>69</v>
      </c>
    </row>
    <row r="423" spans="1:14" x14ac:dyDescent="0.2">
      <c r="A423" s="84">
        <v>358</v>
      </c>
      <c r="B423" s="84" t="s">
        <v>1317</v>
      </c>
      <c r="C423" s="84" t="s">
        <v>1318</v>
      </c>
      <c r="D423" s="84">
        <v>68.590721600400002</v>
      </c>
      <c r="E423" s="84">
        <v>-149.17612158099999</v>
      </c>
      <c r="F423" s="84" t="s">
        <v>449</v>
      </c>
      <c r="G423" s="84" t="s">
        <v>460</v>
      </c>
      <c r="H423" s="84" t="s">
        <v>1319</v>
      </c>
      <c r="I423" s="84" t="s">
        <v>449</v>
      </c>
      <c r="J423" s="84" t="s">
        <v>742</v>
      </c>
      <c r="K423" s="84" t="s">
        <v>449</v>
      </c>
      <c r="L423" s="84" t="s">
        <v>743</v>
      </c>
      <c r="M423" s="90" t="str">
        <f t="shared" si="8"/>
        <v>View on Google Map</v>
      </c>
      <c r="N423" s="84">
        <f t="shared" si="9"/>
        <v>70</v>
      </c>
    </row>
    <row r="424" spans="1:14" x14ac:dyDescent="0.2">
      <c r="A424" s="84">
        <v>359</v>
      </c>
      <c r="B424" s="84" t="s">
        <v>1320</v>
      </c>
      <c r="C424" s="84" t="s">
        <v>1321</v>
      </c>
      <c r="D424" s="84">
        <v>68.600362864999994</v>
      </c>
      <c r="E424" s="84">
        <v>-149.14055367099999</v>
      </c>
      <c r="F424" s="84" t="s">
        <v>449</v>
      </c>
      <c r="G424" s="84" t="s">
        <v>460</v>
      </c>
      <c r="H424" s="84" t="s">
        <v>1322</v>
      </c>
      <c r="I424" s="84" t="s">
        <v>449</v>
      </c>
      <c r="J424" s="84" t="s">
        <v>742</v>
      </c>
      <c r="K424" s="84" t="s">
        <v>449</v>
      </c>
      <c r="L424" s="84" t="s">
        <v>743</v>
      </c>
      <c r="M424" s="90" t="str">
        <f t="shared" si="8"/>
        <v>View on Google Map</v>
      </c>
      <c r="N424" s="84">
        <f t="shared" si="9"/>
        <v>71</v>
      </c>
    </row>
    <row r="425" spans="1:14" x14ac:dyDescent="0.2">
      <c r="A425" s="84">
        <v>360</v>
      </c>
      <c r="B425" s="84" t="s">
        <v>1323</v>
      </c>
      <c r="C425" s="84" t="s">
        <v>1324</v>
      </c>
      <c r="D425" s="84">
        <v>68.610380375800005</v>
      </c>
      <c r="E425" s="84">
        <v>-149.15074315300001</v>
      </c>
      <c r="F425" s="84" t="s">
        <v>449</v>
      </c>
      <c r="G425" s="84" t="s">
        <v>460</v>
      </c>
      <c r="H425" s="84" t="s">
        <v>1325</v>
      </c>
      <c r="I425" s="84" t="s">
        <v>449</v>
      </c>
      <c r="J425" s="84" t="s">
        <v>742</v>
      </c>
      <c r="K425" s="84" t="s">
        <v>449</v>
      </c>
      <c r="L425" s="84" t="s">
        <v>743</v>
      </c>
      <c r="M425" s="90" t="str">
        <f t="shared" si="8"/>
        <v>View on Google Map</v>
      </c>
      <c r="N425" s="84">
        <f t="shared" si="9"/>
        <v>72</v>
      </c>
    </row>
    <row r="426" spans="1:14" x14ac:dyDescent="0.2">
      <c r="A426" s="84">
        <v>361</v>
      </c>
      <c r="B426" s="84" t="s">
        <v>1326</v>
      </c>
      <c r="C426" s="84" t="s">
        <v>1327</v>
      </c>
      <c r="D426" s="84">
        <v>68.6163784405</v>
      </c>
      <c r="E426" s="84">
        <v>-149.16060521700001</v>
      </c>
      <c r="F426" s="84" t="s">
        <v>449</v>
      </c>
      <c r="G426" s="84" t="s">
        <v>460</v>
      </c>
      <c r="H426" s="84" t="s">
        <v>1328</v>
      </c>
      <c r="I426" s="84" t="s">
        <v>449</v>
      </c>
      <c r="J426" s="84" t="s">
        <v>742</v>
      </c>
      <c r="K426" s="84" t="s">
        <v>449</v>
      </c>
      <c r="L426" s="84" t="s">
        <v>743</v>
      </c>
      <c r="M426" s="90" t="str">
        <f t="shared" si="8"/>
        <v>View on Google Map</v>
      </c>
      <c r="N426" s="84">
        <f t="shared" si="9"/>
        <v>73</v>
      </c>
    </row>
    <row r="427" spans="1:14" x14ac:dyDescent="0.2">
      <c r="A427" s="84">
        <v>362</v>
      </c>
      <c r="B427" s="84" t="s">
        <v>1329</v>
      </c>
      <c r="C427" s="84" t="s">
        <v>1330</v>
      </c>
      <c r="D427" s="84">
        <v>68.617934232500005</v>
      </c>
      <c r="E427" s="84">
        <v>-149.18594585299999</v>
      </c>
      <c r="F427" s="84" t="s">
        <v>449</v>
      </c>
      <c r="G427" s="84" t="s">
        <v>460</v>
      </c>
      <c r="H427" s="84" t="s">
        <v>1331</v>
      </c>
      <c r="I427" s="84" t="s">
        <v>449</v>
      </c>
      <c r="J427" s="84" t="s">
        <v>742</v>
      </c>
      <c r="K427" s="84" t="s">
        <v>449</v>
      </c>
      <c r="L427" s="84" t="s">
        <v>743</v>
      </c>
      <c r="M427" s="90" t="str">
        <f t="shared" si="8"/>
        <v>View on Google Map</v>
      </c>
      <c r="N427" s="84">
        <f t="shared" si="9"/>
        <v>74</v>
      </c>
    </row>
    <row r="428" spans="1:14" x14ac:dyDescent="0.2">
      <c r="A428" s="84">
        <v>363</v>
      </c>
      <c r="B428" s="84" t="s">
        <v>1332</v>
      </c>
      <c r="C428" s="84" t="s">
        <v>1333</v>
      </c>
      <c r="D428" s="84">
        <v>68.614396448299999</v>
      </c>
      <c r="E428" s="84">
        <v>-149.19403818800001</v>
      </c>
      <c r="F428" s="84" t="s">
        <v>449</v>
      </c>
      <c r="G428" s="84" t="s">
        <v>460</v>
      </c>
      <c r="H428" s="84" t="s">
        <v>1334</v>
      </c>
      <c r="I428" s="84" t="s">
        <v>449</v>
      </c>
      <c r="J428" s="84" t="s">
        <v>742</v>
      </c>
      <c r="K428" s="84" t="s">
        <v>449</v>
      </c>
      <c r="L428" s="84" t="s">
        <v>743</v>
      </c>
      <c r="M428" s="90" t="str">
        <f t="shared" si="8"/>
        <v>View on Google Map</v>
      </c>
      <c r="N428" s="84">
        <f t="shared" si="9"/>
        <v>75</v>
      </c>
    </row>
    <row r="429" spans="1:14" x14ac:dyDescent="0.2">
      <c r="A429" s="84">
        <v>364</v>
      </c>
      <c r="B429" s="84" t="s">
        <v>1335</v>
      </c>
      <c r="C429" s="84" t="s">
        <v>1336</v>
      </c>
      <c r="D429" s="84">
        <v>68.694256581000005</v>
      </c>
      <c r="E429" s="84">
        <v>-149.73679655699999</v>
      </c>
      <c r="F429" s="84" t="s">
        <v>449</v>
      </c>
      <c r="G429" s="84" t="s">
        <v>460</v>
      </c>
      <c r="H429" s="84" t="s">
        <v>1337</v>
      </c>
      <c r="I429" s="84" t="s">
        <v>449</v>
      </c>
      <c r="J429" s="84" t="s">
        <v>742</v>
      </c>
      <c r="K429" s="84" t="s">
        <v>449</v>
      </c>
      <c r="L429" s="84" t="s">
        <v>743</v>
      </c>
      <c r="M429" s="90" t="str">
        <f t="shared" si="8"/>
        <v>View on Google Map</v>
      </c>
      <c r="N429" s="84">
        <f t="shared" si="9"/>
        <v>76</v>
      </c>
    </row>
    <row r="430" spans="1:14" x14ac:dyDescent="0.2">
      <c r="A430" s="84">
        <v>365</v>
      </c>
      <c r="B430" s="84" t="s">
        <v>1338</v>
      </c>
      <c r="C430" s="84" t="s">
        <v>1339</v>
      </c>
      <c r="D430" s="84">
        <v>68.696056827099994</v>
      </c>
      <c r="E430" s="84">
        <v>-149.73131395300001</v>
      </c>
      <c r="F430" s="84" t="s">
        <v>449</v>
      </c>
      <c r="G430" s="84" t="s">
        <v>460</v>
      </c>
      <c r="H430" s="84" t="s">
        <v>1340</v>
      </c>
      <c r="I430" s="84" t="s">
        <v>449</v>
      </c>
      <c r="J430" s="84" t="s">
        <v>742</v>
      </c>
      <c r="K430" s="84" t="s">
        <v>449</v>
      </c>
      <c r="L430" s="84" t="s">
        <v>743</v>
      </c>
      <c r="M430" s="90" t="str">
        <f t="shared" si="8"/>
        <v>View on Google Map</v>
      </c>
      <c r="N430" s="84">
        <f t="shared" si="9"/>
        <v>77</v>
      </c>
    </row>
    <row r="431" spans="1:14" x14ac:dyDescent="0.2">
      <c r="A431" s="84">
        <v>366</v>
      </c>
      <c r="B431" s="84" t="s">
        <v>1341</v>
      </c>
      <c r="C431" s="84" t="s">
        <v>1342</v>
      </c>
      <c r="D431" s="84">
        <v>68.696468206399999</v>
      </c>
      <c r="E431" s="84">
        <v>-149.708828248</v>
      </c>
      <c r="F431" s="84" t="s">
        <v>449</v>
      </c>
      <c r="G431" s="84" t="s">
        <v>460</v>
      </c>
      <c r="H431" s="84" t="s">
        <v>1343</v>
      </c>
      <c r="I431" s="84" t="s">
        <v>449</v>
      </c>
      <c r="J431" s="84" t="s">
        <v>742</v>
      </c>
      <c r="K431" s="84" t="s">
        <v>449</v>
      </c>
      <c r="L431" s="84" t="s">
        <v>743</v>
      </c>
      <c r="M431" s="90" t="str">
        <f t="shared" si="8"/>
        <v>View on Google Map</v>
      </c>
      <c r="N431" s="84">
        <f t="shared" si="9"/>
        <v>78</v>
      </c>
    </row>
    <row r="432" spans="1:14" x14ac:dyDescent="0.2">
      <c r="A432" s="84">
        <v>367</v>
      </c>
      <c r="B432" s="84" t="s">
        <v>1344</v>
      </c>
      <c r="C432" s="84" t="s">
        <v>1345</v>
      </c>
      <c r="D432" s="84">
        <v>68.688141157800004</v>
      </c>
      <c r="E432" s="84">
        <v>-149.73555264800001</v>
      </c>
      <c r="F432" s="84" t="s">
        <v>449</v>
      </c>
      <c r="G432" s="84" t="s">
        <v>460</v>
      </c>
      <c r="H432" s="84" t="s">
        <v>1346</v>
      </c>
      <c r="I432" s="84" t="s">
        <v>449</v>
      </c>
      <c r="J432" s="84" t="s">
        <v>742</v>
      </c>
      <c r="K432" s="84" t="s">
        <v>449</v>
      </c>
      <c r="L432" s="84" t="s">
        <v>743</v>
      </c>
      <c r="M432" s="90" t="str">
        <f t="shared" si="8"/>
        <v>View on Google Map</v>
      </c>
      <c r="N432" s="84">
        <f t="shared" si="9"/>
        <v>79</v>
      </c>
    </row>
    <row r="433" spans="1:14" x14ac:dyDescent="0.2">
      <c r="A433" s="84">
        <v>368</v>
      </c>
      <c r="B433" s="84" t="s">
        <v>1347</v>
      </c>
      <c r="C433" s="84" t="s">
        <v>1348</v>
      </c>
      <c r="D433" s="84">
        <v>68.682810930000002</v>
      </c>
      <c r="E433" s="84">
        <v>-149.73974315500001</v>
      </c>
      <c r="F433" s="84" t="s">
        <v>449</v>
      </c>
      <c r="G433" s="84" t="s">
        <v>460</v>
      </c>
      <c r="H433" s="84" t="s">
        <v>1349</v>
      </c>
      <c r="I433" s="84" t="s">
        <v>449</v>
      </c>
      <c r="J433" s="84" t="s">
        <v>742</v>
      </c>
      <c r="K433" s="84" t="s">
        <v>449</v>
      </c>
      <c r="L433" s="84" t="s">
        <v>743</v>
      </c>
      <c r="M433" s="90" t="str">
        <f t="shared" si="8"/>
        <v>View on Google Map</v>
      </c>
      <c r="N433" s="84">
        <f t="shared" si="9"/>
        <v>80</v>
      </c>
    </row>
    <row r="434" spans="1:14" x14ac:dyDescent="0.2">
      <c r="A434" s="84">
        <v>369</v>
      </c>
      <c r="B434" s="84" t="s">
        <v>1350</v>
      </c>
      <c r="C434" s="84" t="s">
        <v>1351</v>
      </c>
      <c r="D434" s="84">
        <v>68.682815967099998</v>
      </c>
      <c r="E434" s="84">
        <v>-149.759701116</v>
      </c>
      <c r="F434" s="84" t="s">
        <v>449</v>
      </c>
      <c r="G434" s="84" t="s">
        <v>460</v>
      </c>
      <c r="H434" s="84" t="s">
        <v>1352</v>
      </c>
      <c r="I434" s="84" t="s">
        <v>449</v>
      </c>
      <c r="J434" s="84" t="s">
        <v>742</v>
      </c>
      <c r="K434" s="84" t="s">
        <v>449</v>
      </c>
      <c r="L434" s="84" t="s">
        <v>743</v>
      </c>
      <c r="M434" s="90" t="str">
        <f t="shared" si="8"/>
        <v>View on Google Map</v>
      </c>
      <c r="N434" s="84">
        <f t="shared" si="9"/>
        <v>81</v>
      </c>
    </row>
    <row r="435" spans="1:14" x14ac:dyDescent="0.2">
      <c r="A435" s="84">
        <v>1225</v>
      </c>
      <c r="B435" s="84" t="s">
        <v>1353</v>
      </c>
      <c r="C435" s="5" t="s">
        <v>1354</v>
      </c>
      <c r="D435" s="84">
        <v>68.641727000000003</v>
      </c>
      <c r="E435" s="84">
        <v>-149.58665300000001</v>
      </c>
      <c r="F435" s="84">
        <v>724</v>
      </c>
      <c r="G435" s="84" t="s">
        <v>450</v>
      </c>
      <c r="H435" s="84" t="s">
        <v>449</v>
      </c>
      <c r="I435" s="84" t="s">
        <v>449</v>
      </c>
      <c r="J435" s="84" t="s">
        <v>475</v>
      </c>
      <c r="K435" s="84" t="s">
        <v>449</v>
      </c>
      <c r="L435" s="84" t="s">
        <v>449</v>
      </c>
      <c r="M435" s="90" t="str">
        <f t="shared" si="8"/>
        <v>View on Google Map</v>
      </c>
    </row>
    <row r="436" spans="1:14" x14ac:dyDescent="0.2">
      <c r="B436" s="84" t="s">
        <v>1355</v>
      </c>
      <c r="C436" s="92" t="s">
        <v>1356</v>
      </c>
      <c r="D436" s="84">
        <v>68.622865000000004</v>
      </c>
      <c r="E436" s="84">
        <v>-149.60854499999999</v>
      </c>
      <c r="F436" s="84">
        <v>758</v>
      </c>
      <c r="G436" s="84" t="s">
        <v>450</v>
      </c>
      <c r="J436" s="84" t="s">
        <v>475</v>
      </c>
      <c r="M436" s="90" t="str">
        <f t="shared" si="8"/>
        <v>View on Google Map</v>
      </c>
    </row>
    <row r="437" spans="1:14" x14ac:dyDescent="0.2">
      <c r="A437" s="84">
        <v>1220</v>
      </c>
      <c r="B437" s="84" t="s">
        <v>1357</v>
      </c>
      <c r="C437" s="5" t="s">
        <v>1358</v>
      </c>
      <c r="D437" s="84">
        <v>68.624410999999995</v>
      </c>
      <c r="E437" s="84">
        <v>-149.609589</v>
      </c>
      <c r="F437" s="84">
        <v>750</v>
      </c>
      <c r="G437" s="84" t="s">
        <v>450</v>
      </c>
      <c r="H437" s="84" t="s">
        <v>449</v>
      </c>
      <c r="I437" s="84" t="s">
        <v>449</v>
      </c>
      <c r="J437" s="84" t="s">
        <v>475</v>
      </c>
      <c r="K437" s="84" t="s">
        <v>449</v>
      </c>
      <c r="L437" s="84" t="s">
        <v>449</v>
      </c>
      <c r="M437" s="90" t="str">
        <f t="shared" si="8"/>
        <v>View on Google Map</v>
      </c>
    </row>
    <row r="438" spans="1:14" x14ac:dyDescent="0.2">
      <c r="A438" s="84">
        <v>1222</v>
      </c>
      <c r="B438" s="84" t="s">
        <v>1359</v>
      </c>
      <c r="C438" s="5" t="s">
        <v>1360</v>
      </c>
      <c r="D438" s="84">
        <v>68.629636000000005</v>
      </c>
      <c r="E438" s="84">
        <v>-149.57565600000001</v>
      </c>
      <c r="F438" s="84">
        <v>755</v>
      </c>
      <c r="G438" s="84" t="s">
        <v>450</v>
      </c>
      <c r="H438" s="84" t="s">
        <v>449</v>
      </c>
      <c r="I438" s="84" t="s">
        <v>449</v>
      </c>
      <c r="J438" s="84" t="s">
        <v>475</v>
      </c>
      <c r="K438" s="84" t="s">
        <v>449</v>
      </c>
      <c r="L438" s="84" t="s">
        <v>449</v>
      </c>
      <c r="M438" s="90" t="str">
        <f t="shared" si="8"/>
        <v>View on Google Map</v>
      </c>
    </row>
    <row r="439" spans="1:14" x14ac:dyDescent="0.2">
      <c r="A439" s="84">
        <v>1228</v>
      </c>
      <c r="B439" s="84" t="s">
        <v>1361</v>
      </c>
      <c r="C439" s="5" t="s">
        <v>1362</v>
      </c>
      <c r="D439" s="84">
        <v>68.634530999999996</v>
      </c>
      <c r="E439" s="84">
        <v>-149.64205799999999</v>
      </c>
      <c r="F439" s="84">
        <v>748</v>
      </c>
      <c r="G439" s="84" t="s">
        <v>450</v>
      </c>
      <c r="H439" s="84" t="s">
        <v>449</v>
      </c>
      <c r="I439" s="84" t="s">
        <v>449</v>
      </c>
      <c r="J439" s="84" t="s">
        <v>475</v>
      </c>
      <c r="K439" s="84" t="s">
        <v>449</v>
      </c>
      <c r="L439" s="84" t="s">
        <v>449</v>
      </c>
      <c r="M439" s="90" t="str">
        <f t="shared" si="8"/>
        <v>View on Google Map</v>
      </c>
    </row>
    <row r="440" spans="1:14" x14ac:dyDescent="0.2">
      <c r="A440" s="84">
        <v>1227</v>
      </c>
      <c r="B440" s="84" t="s">
        <v>1363</v>
      </c>
      <c r="C440" s="5" t="s">
        <v>1364</v>
      </c>
      <c r="D440" s="84">
        <v>68.634039000000001</v>
      </c>
      <c r="E440" s="84">
        <v>-149.63704899999999</v>
      </c>
      <c r="F440" s="84">
        <v>750</v>
      </c>
      <c r="G440" s="84" t="s">
        <v>450</v>
      </c>
      <c r="H440" s="84" t="s">
        <v>449</v>
      </c>
      <c r="I440" s="84" t="s">
        <v>449</v>
      </c>
      <c r="J440" s="84" t="s">
        <v>475</v>
      </c>
      <c r="K440" s="84" t="s">
        <v>449</v>
      </c>
      <c r="L440" s="84" t="s">
        <v>449</v>
      </c>
      <c r="M440" s="90" t="str">
        <f t="shared" si="8"/>
        <v>View on Google Map</v>
      </c>
    </row>
    <row r="441" spans="1:14" x14ac:dyDescent="0.2">
      <c r="A441" s="84">
        <v>1223</v>
      </c>
      <c r="B441" s="84" t="s">
        <v>1365</v>
      </c>
      <c r="C441" s="5" t="s">
        <v>1366</v>
      </c>
      <c r="D441" s="84">
        <v>68.635624000000007</v>
      </c>
      <c r="E441" s="84">
        <v>-149.587064</v>
      </c>
      <c r="F441" s="84">
        <v>745</v>
      </c>
      <c r="G441" s="84" t="s">
        <v>450</v>
      </c>
      <c r="H441" s="84" t="s">
        <v>449</v>
      </c>
      <c r="I441" s="84" t="s">
        <v>449</v>
      </c>
      <c r="J441" s="84" t="s">
        <v>475</v>
      </c>
      <c r="K441" s="84" t="s">
        <v>449</v>
      </c>
      <c r="L441" s="84" t="s">
        <v>449</v>
      </c>
      <c r="M441" s="90" t="str">
        <f t="shared" si="8"/>
        <v>View on Google Map</v>
      </c>
    </row>
    <row r="442" spans="1:14" x14ac:dyDescent="0.2">
      <c r="A442" s="84">
        <v>1224</v>
      </c>
      <c r="B442" s="84" t="s">
        <v>1367</v>
      </c>
      <c r="C442" s="5" t="s">
        <v>1368</v>
      </c>
      <c r="D442" s="84">
        <v>68.638692000000006</v>
      </c>
      <c r="E442" s="84">
        <v>-149.567789</v>
      </c>
      <c r="F442" s="84">
        <v>731</v>
      </c>
      <c r="G442" s="84" t="s">
        <v>450</v>
      </c>
      <c r="H442" s="84" t="s">
        <v>449</v>
      </c>
      <c r="I442" s="84" t="s">
        <v>449</v>
      </c>
      <c r="J442" s="84" t="s">
        <v>475</v>
      </c>
      <c r="K442" s="84" t="s">
        <v>449</v>
      </c>
      <c r="L442" s="84" t="s">
        <v>449</v>
      </c>
      <c r="M442" s="90" t="str">
        <f t="shared" si="8"/>
        <v>View on Google Map</v>
      </c>
    </row>
    <row r="443" spans="1:14" x14ac:dyDescent="0.2">
      <c r="A443" s="84">
        <v>1221</v>
      </c>
      <c r="B443" s="84" t="s">
        <v>1369</v>
      </c>
      <c r="C443" s="5" t="s">
        <v>1370</v>
      </c>
      <c r="D443" s="84">
        <v>68.625440999999995</v>
      </c>
      <c r="E443" s="84">
        <v>-149.60287299999999</v>
      </c>
      <c r="F443" s="84">
        <v>717</v>
      </c>
      <c r="G443" s="84" t="s">
        <v>450</v>
      </c>
      <c r="H443" s="84" t="s">
        <v>449</v>
      </c>
      <c r="I443" s="84" t="s">
        <v>449</v>
      </c>
      <c r="J443" s="84" t="s">
        <v>475</v>
      </c>
      <c r="K443" s="84" t="s">
        <v>449</v>
      </c>
      <c r="L443" s="84" t="s">
        <v>449</v>
      </c>
      <c r="M443" s="90" t="str">
        <f t="shared" si="8"/>
        <v>View on Google Map</v>
      </c>
    </row>
    <row r="444" spans="1:14" x14ac:dyDescent="0.2">
      <c r="A444" s="84">
        <v>1226</v>
      </c>
      <c r="B444" s="5" t="s">
        <v>1371</v>
      </c>
      <c r="C444" s="5" t="s">
        <v>1372</v>
      </c>
      <c r="D444" s="84">
        <v>68.647621999999998</v>
      </c>
      <c r="E444" s="84">
        <v>-149.57729800000001</v>
      </c>
      <c r="F444" s="84">
        <v>719</v>
      </c>
      <c r="G444" s="84" t="s">
        <v>450</v>
      </c>
      <c r="H444" s="84" t="s">
        <v>449</v>
      </c>
      <c r="I444" s="84" t="s">
        <v>449</v>
      </c>
      <c r="J444" s="84" t="s">
        <v>475</v>
      </c>
      <c r="K444" s="84" t="s">
        <v>449</v>
      </c>
      <c r="L444" s="84" t="s">
        <v>449</v>
      </c>
      <c r="M444" s="90" t="str">
        <f t="shared" si="8"/>
        <v>View on Google Map</v>
      </c>
    </row>
    <row r="445" spans="1:14" x14ac:dyDescent="0.2">
      <c r="A445" s="84">
        <v>487</v>
      </c>
      <c r="B445" s="84" t="s">
        <v>1373</v>
      </c>
      <c r="C445" s="84" t="s">
        <v>449</v>
      </c>
      <c r="D445" s="84">
        <v>68.961583332999993</v>
      </c>
      <c r="E445" s="84">
        <v>-150.20961666700001</v>
      </c>
      <c r="F445" s="84">
        <v>380</v>
      </c>
      <c r="G445" s="84" t="s">
        <v>460</v>
      </c>
      <c r="H445" s="84" t="s">
        <v>449</v>
      </c>
      <c r="I445" s="84" t="s">
        <v>449</v>
      </c>
      <c r="J445" s="84" t="s">
        <v>510</v>
      </c>
      <c r="K445" s="84" t="s">
        <v>449</v>
      </c>
      <c r="L445" s="84" t="s">
        <v>457</v>
      </c>
      <c r="M445" s="90" t="str">
        <f t="shared" si="8"/>
        <v>View on Google Map</v>
      </c>
    </row>
    <row r="446" spans="1:14" x14ac:dyDescent="0.2">
      <c r="A446" s="84">
        <v>23</v>
      </c>
      <c r="B446" s="84" t="s">
        <v>1374</v>
      </c>
      <c r="C446" s="84" t="s">
        <v>449</v>
      </c>
      <c r="D446" s="84" t="s">
        <v>449</v>
      </c>
      <c r="E446" s="84" t="s">
        <v>449</v>
      </c>
      <c r="F446" s="84" t="s">
        <v>449</v>
      </c>
      <c r="G446" s="84" t="s">
        <v>474</v>
      </c>
      <c r="H446" s="84" t="s">
        <v>449</v>
      </c>
      <c r="I446" s="84" t="s">
        <v>449</v>
      </c>
      <c r="J446" s="84" t="s">
        <v>475</v>
      </c>
      <c r="K446" s="84" t="s">
        <v>449</v>
      </c>
      <c r="L446" s="84" t="s">
        <v>449</v>
      </c>
      <c r="M446" s="90" t="str">
        <f t="shared" si="8"/>
        <v>View on Google Map</v>
      </c>
    </row>
    <row r="447" spans="1:14" x14ac:dyDescent="0.2">
      <c r="A447" s="84">
        <v>529</v>
      </c>
      <c r="B447" s="84" t="s">
        <v>1375</v>
      </c>
      <c r="C447" s="84" t="s">
        <v>855</v>
      </c>
      <c r="D447" s="84">
        <v>68.672934999999995</v>
      </c>
      <c r="E447" s="84">
        <v>-149.61752300000001</v>
      </c>
      <c r="F447" s="84">
        <v>708</v>
      </c>
      <c r="G447" s="84" t="s">
        <v>460</v>
      </c>
      <c r="H447" s="84" t="s">
        <v>449</v>
      </c>
      <c r="I447" s="84" t="s">
        <v>449</v>
      </c>
      <c r="J447" s="84" t="s">
        <v>461</v>
      </c>
      <c r="K447" s="84" t="s">
        <v>449</v>
      </c>
      <c r="L447" s="84" t="s">
        <v>856</v>
      </c>
      <c r="M447" s="90" t="str">
        <f t="shared" si="8"/>
        <v>View on Google Map</v>
      </c>
    </row>
    <row r="448" spans="1:14" x14ac:dyDescent="0.2">
      <c r="A448" s="84">
        <v>494</v>
      </c>
      <c r="B448" s="84" t="s">
        <v>1376</v>
      </c>
      <c r="C448" s="84" t="s">
        <v>449</v>
      </c>
      <c r="D448" s="84">
        <v>68.673756999999995</v>
      </c>
      <c r="E448" s="84">
        <v>-149.618268</v>
      </c>
      <c r="F448" s="84">
        <v>701</v>
      </c>
      <c r="G448" s="84" t="s">
        <v>474</v>
      </c>
      <c r="H448" s="84" t="s">
        <v>449</v>
      </c>
      <c r="I448" s="84" t="s">
        <v>449</v>
      </c>
      <c r="J448" s="84" t="s">
        <v>1377</v>
      </c>
      <c r="K448" s="84" t="s">
        <v>449</v>
      </c>
      <c r="L448" s="84" t="s">
        <v>856</v>
      </c>
      <c r="M448" s="90" t="str">
        <f t="shared" si="8"/>
        <v>View on Google Map</v>
      </c>
    </row>
    <row r="449" spans="1:13" x14ac:dyDescent="0.2">
      <c r="A449" s="84">
        <v>189</v>
      </c>
      <c r="B449" s="84" t="s">
        <v>1378</v>
      </c>
      <c r="C449" s="84" t="s">
        <v>449</v>
      </c>
      <c r="D449" s="84">
        <v>68.622</v>
      </c>
      <c r="E449" s="84">
        <v>-149.590666</v>
      </c>
      <c r="F449" s="84">
        <v>725</v>
      </c>
      <c r="G449" s="84" t="s">
        <v>474</v>
      </c>
      <c r="H449" s="84" t="s">
        <v>1379</v>
      </c>
      <c r="I449" s="84" t="s">
        <v>1380</v>
      </c>
      <c r="J449" s="84" t="s">
        <v>475</v>
      </c>
      <c r="K449" s="84" t="s">
        <v>449</v>
      </c>
      <c r="L449" s="84" t="s">
        <v>864</v>
      </c>
      <c r="M449" s="90" t="str">
        <f t="shared" si="8"/>
        <v>View on Google Map</v>
      </c>
    </row>
    <row r="450" spans="1:13" x14ac:dyDescent="0.2">
      <c r="A450" s="84">
        <v>273</v>
      </c>
      <c r="B450" s="84" t="s">
        <v>1381</v>
      </c>
      <c r="C450" s="84" t="s">
        <v>449</v>
      </c>
      <c r="D450" s="84">
        <v>68.620166670000003</v>
      </c>
      <c r="E450" s="84">
        <v>-149.56816599999999</v>
      </c>
      <c r="F450" s="84">
        <v>739</v>
      </c>
      <c r="G450" s="84" t="s">
        <v>474</v>
      </c>
      <c r="H450" s="84" t="s">
        <v>1382</v>
      </c>
      <c r="I450" s="84" t="s">
        <v>1383</v>
      </c>
      <c r="J450" s="84" t="s">
        <v>475</v>
      </c>
      <c r="K450" s="84" t="s">
        <v>449</v>
      </c>
      <c r="L450" s="84" t="s">
        <v>864</v>
      </c>
      <c r="M450" s="90" t="str">
        <f t="shared" si="8"/>
        <v>View on Google Map</v>
      </c>
    </row>
    <row r="451" spans="1:13" x14ac:dyDescent="0.2">
      <c r="A451" s="84">
        <v>1175</v>
      </c>
      <c r="B451" s="84" t="s">
        <v>1384</v>
      </c>
      <c r="C451" s="84" t="s">
        <v>449</v>
      </c>
      <c r="D451" s="84">
        <v>68.951925000000003</v>
      </c>
      <c r="E451" s="84">
        <v>-150.20976669999999</v>
      </c>
      <c r="F451" s="84" t="s">
        <v>449</v>
      </c>
      <c r="G451" s="84" t="s">
        <v>474</v>
      </c>
      <c r="H451" s="84" t="s">
        <v>449</v>
      </c>
      <c r="I451" s="84" t="s">
        <v>449</v>
      </c>
      <c r="J451" s="84" t="s">
        <v>1004</v>
      </c>
      <c r="K451" s="84" t="s">
        <v>449</v>
      </c>
      <c r="L451" s="84" t="s">
        <v>449</v>
      </c>
      <c r="M451" s="90" t="str">
        <f t="shared" ref="M451:M514" si="10">HYPERLINK("http://maps.google.com/maps?q="&amp;D451&amp;","&amp;E451,"View on Google Map")</f>
        <v>View on Google Map</v>
      </c>
    </row>
    <row r="452" spans="1:13" x14ac:dyDescent="0.2">
      <c r="A452" s="84">
        <v>103</v>
      </c>
      <c r="B452" s="84" t="s">
        <v>1385</v>
      </c>
      <c r="C452" s="84" t="s">
        <v>449</v>
      </c>
      <c r="D452" s="84">
        <v>68.639893935800004</v>
      </c>
      <c r="E452" s="84">
        <v>-149.606965643</v>
      </c>
      <c r="F452" s="84">
        <v>731</v>
      </c>
      <c r="G452" s="84" t="s">
        <v>460</v>
      </c>
      <c r="H452" s="84" t="s">
        <v>1386</v>
      </c>
      <c r="I452" s="84" t="s">
        <v>1387</v>
      </c>
      <c r="J452" s="84" t="s">
        <v>475</v>
      </c>
      <c r="K452" s="84" t="s">
        <v>449</v>
      </c>
      <c r="L452" s="84" t="s">
        <v>449</v>
      </c>
      <c r="M452" s="90" t="str">
        <f t="shared" si="10"/>
        <v>View on Google Map</v>
      </c>
    </row>
    <row r="453" spans="1:13" x14ac:dyDescent="0.2">
      <c r="A453" s="84">
        <v>104</v>
      </c>
      <c r="B453" s="84" t="s">
        <v>1388</v>
      </c>
      <c r="C453" s="84" t="s">
        <v>449</v>
      </c>
      <c r="D453" s="84">
        <v>68.640947234500004</v>
      </c>
      <c r="E453" s="84">
        <v>-149.625086307</v>
      </c>
      <c r="F453" s="84">
        <v>724</v>
      </c>
      <c r="G453" s="84" t="s">
        <v>460</v>
      </c>
      <c r="H453" s="84" t="s">
        <v>1389</v>
      </c>
      <c r="I453" s="84" t="s">
        <v>1390</v>
      </c>
      <c r="J453" s="84" t="s">
        <v>475</v>
      </c>
      <c r="K453" s="84" t="s">
        <v>449</v>
      </c>
      <c r="L453" s="84" t="s">
        <v>449</v>
      </c>
      <c r="M453" s="90" t="str">
        <f t="shared" si="10"/>
        <v>View on Google Map</v>
      </c>
    </row>
    <row r="454" spans="1:13" x14ac:dyDescent="0.2">
      <c r="A454" s="84">
        <v>105</v>
      </c>
      <c r="B454" s="84" t="s">
        <v>1391</v>
      </c>
      <c r="C454" s="84" t="s">
        <v>449</v>
      </c>
      <c r="D454" s="84">
        <v>68.642385337299999</v>
      </c>
      <c r="E454" s="84">
        <v>-149.630769851</v>
      </c>
      <c r="F454" s="84" t="s">
        <v>449</v>
      </c>
      <c r="G454" s="84" t="s">
        <v>460</v>
      </c>
      <c r="H454" s="84" t="s">
        <v>1392</v>
      </c>
      <c r="I454" s="84" t="s">
        <v>449</v>
      </c>
      <c r="J454" s="84" t="s">
        <v>475</v>
      </c>
      <c r="K454" s="84" t="s">
        <v>449</v>
      </c>
      <c r="L454" s="84" t="s">
        <v>449</v>
      </c>
      <c r="M454" s="90" t="str">
        <f t="shared" si="10"/>
        <v>View on Google Map</v>
      </c>
    </row>
    <row r="455" spans="1:13" x14ac:dyDescent="0.2">
      <c r="A455" s="84">
        <v>245</v>
      </c>
      <c r="B455" s="84" t="s">
        <v>1393</v>
      </c>
      <c r="C455" s="84" t="s">
        <v>449</v>
      </c>
      <c r="D455" s="84">
        <v>68.645120702900002</v>
      </c>
      <c r="E455" s="84">
        <v>-149.64028014900001</v>
      </c>
      <c r="F455" s="84" t="s">
        <v>449</v>
      </c>
      <c r="G455" s="84" t="s">
        <v>460</v>
      </c>
      <c r="H455" s="84" t="s">
        <v>1394</v>
      </c>
      <c r="I455" s="84" t="s">
        <v>449</v>
      </c>
      <c r="J455" s="84" t="s">
        <v>475</v>
      </c>
      <c r="K455" s="84" t="s">
        <v>449</v>
      </c>
      <c r="L455" s="84" t="s">
        <v>449</v>
      </c>
      <c r="M455" s="90" t="str">
        <f t="shared" si="10"/>
        <v>View on Google Map</v>
      </c>
    </row>
    <row r="456" spans="1:13" x14ac:dyDescent="0.2">
      <c r="A456" s="84">
        <v>240</v>
      </c>
      <c r="B456" s="84" t="s">
        <v>1395</v>
      </c>
      <c r="C456" s="84" t="s">
        <v>449</v>
      </c>
      <c r="D456" s="84">
        <v>68.645428204500007</v>
      </c>
      <c r="E456" s="84">
        <v>-149.62885531000001</v>
      </c>
      <c r="F456" s="84" t="s">
        <v>449</v>
      </c>
      <c r="G456" s="84" t="s">
        <v>460</v>
      </c>
      <c r="H456" s="84" t="s">
        <v>1396</v>
      </c>
      <c r="I456" s="84" t="s">
        <v>449</v>
      </c>
      <c r="J456" s="84" t="s">
        <v>475</v>
      </c>
      <c r="K456" s="84" t="s">
        <v>449</v>
      </c>
      <c r="L456" s="84" t="s">
        <v>449</v>
      </c>
      <c r="M456" s="90" t="str">
        <f t="shared" si="10"/>
        <v>View on Google Map</v>
      </c>
    </row>
    <row r="457" spans="1:13" x14ac:dyDescent="0.2">
      <c r="A457" s="84">
        <v>508</v>
      </c>
      <c r="B457" s="84" t="s">
        <v>1397</v>
      </c>
      <c r="C457" s="84" t="s">
        <v>459</v>
      </c>
      <c r="D457" s="84">
        <v>68.396288999999996</v>
      </c>
      <c r="E457" s="84">
        <v>-150.58781500000001</v>
      </c>
      <c r="F457" s="84">
        <v>841</v>
      </c>
      <c r="G457" s="84" t="s">
        <v>460</v>
      </c>
      <c r="H457" s="84" t="s">
        <v>462</v>
      </c>
      <c r="I457" s="84" t="s">
        <v>449</v>
      </c>
      <c r="J457" s="84" t="s">
        <v>461</v>
      </c>
      <c r="K457" s="84" t="s">
        <v>449</v>
      </c>
      <c r="L457" s="84" t="s">
        <v>462</v>
      </c>
      <c r="M457" s="90" t="str">
        <f t="shared" si="10"/>
        <v>View on Google Map</v>
      </c>
    </row>
    <row r="458" spans="1:13" x14ac:dyDescent="0.2">
      <c r="A458" s="84">
        <v>513</v>
      </c>
      <c r="B458" s="84" t="s">
        <v>1398</v>
      </c>
      <c r="C458" s="84" t="s">
        <v>459</v>
      </c>
      <c r="D458" s="84">
        <v>68.362488999999997</v>
      </c>
      <c r="E458" s="84">
        <v>-151.70717300000001</v>
      </c>
      <c r="F458" s="84">
        <v>792</v>
      </c>
      <c r="G458" s="84" t="s">
        <v>460</v>
      </c>
      <c r="H458" s="84" t="s">
        <v>449</v>
      </c>
      <c r="I458" s="84" t="s">
        <v>449</v>
      </c>
      <c r="J458" s="84" t="s">
        <v>461</v>
      </c>
      <c r="K458" s="84" t="s">
        <v>449</v>
      </c>
      <c r="L458" s="84" t="s">
        <v>462</v>
      </c>
      <c r="M458" s="90" t="str">
        <f t="shared" si="10"/>
        <v>View on Google Map</v>
      </c>
    </row>
    <row r="459" spans="1:13" x14ac:dyDescent="0.2">
      <c r="A459" s="84">
        <v>512</v>
      </c>
      <c r="B459" s="84" t="s">
        <v>1399</v>
      </c>
      <c r="C459" s="84" t="s">
        <v>459</v>
      </c>
      <c r="D459" s="84">
        <v>68.351332999999997</v>
      </c>
      <c r="E459" s="84">
        <v>-151.702167</v>
      </c>
      <c r="F459" s="84">
        <v>789</v>
      </c>
      <c r="G459" s="84" t="s">
        <v>460</v>
      </c>
      <c r="H459" s="84" t="s">
        <v>449</v>
      </c>
      <c r="I459" s="84" t="s">
        <v>449</v>
      </c>
      <c r="J459" s="84" t="s">
        <v>461</v>
      </c>
      <c r="K459" s="84" t="s">
        <v>449</v>
      </c>
      <c r="L459" s="84" t="s">
        <v>462</v>
      </c>
      <c r="M459" s="90" t="str">
        <f t="shared" si="10"/>
        <v>View on Google Map</v>
      </c>
    </row>
    <row r="460" spans="1:13" x14ac:dyDescent="0.2">
      <c r="A460" s="84">
        <v>511</v>
      </c>
      <c r="B460" s="84" t="s">
        <v>1400</v>
      </c>
      <c r="C460" s="84" t="s">
        <v>459</v>
      </c>
      <c r="D460" s="84">
        <v>68.347333000000006</v>
      </c>
      <c r="E460" s="84">
        <v>-151.70316700000001</v>
      </c>
      <c r="F460" s="84">
        <v>798</v>
      </c>
      <c r="G460" s="84" t="s">
        <v>460</v>
      </c>
      <c r="H460" s="84" t="s">
        <v>449</v>
      </c>
      <c r="I460" s="84" t="s">
        <v>449</v>
      </c>
      <c r="J460" s="84" t="s">
        <v>461</v>
      </c>
      <c r="K460" s="84" t="s">
        <v>449</v>
      </c>
      <c r="L460" s="84" t="s">
        <v>462</v>
      </c>
      <c r="M460" s="90" t="str">
        <f t="shared" si="10"/>
        <v>View on Google Map</v>
      </c>
    </row>
    <row r="461" spans="1:13" x14ac:dyDescent="0.2">
      <c r="A461" s="84">
        <v>510</v>
      </c>
      <c r="B461" s="84" t="s">
        <v>1401</v>
      </c>
      <c r="C461" s="84" t="s">
        <v>459</v>
      </c>
      <c r="D461" s="84">
        <v>68.351332999999997</v>
      </c>
      <c r="E461" s="84">
        <v>-151.702167</v>
      </c>
      <c r="F461" s="84">
        <v>810</v>
      </c>
      <c r="G461" s="84" t="s">
        <v>460</v>
      </c>
      <c r="H461" s="84" t="s">
        <v>449</v>
      </c>
      <c r="I461" s="84" t="s">
        <v>449</v>
      </c>
      <c r="J461" s="84" t="s">
        <v>461</v>
      </c>
      <c r="K461" s="84" t="s">
        <v>449</v>
      </c>
      <c r="L461" s="84" t="s">
        <v>462</v>
      </c>
      <c r="M461" s="90" t="str">
        <f t="shared" si="10"/>
        <v>View on Google Map</v>
      </c>
    </row>
    <row r="462" spans="1:13" x14ac:dyDescent="0.2">
      <c r="A462" s="84">
        <v>233</v>
      </c>
      <c r="B462" s="84" t="s">
        <v>1402</v>
      </c>
      <c r="C462" s="84" t="s">
        <v>449</v>
      </c>
      <c r="D462" s="84">
        <v>68.643783170000006</v>
      </c>
      <c r="E462" s="84">
        <v>-149.58949436200001</v>
      </c>
      <c r="F462" s="84">
        <v>716</v>
      </c>
      <c r="G462" s="84" t="s">
        <v>460</v>
      </c>
      <c r="H462" s="84" t="s">
        <v>1403</v>
      </c>
      <c r="I462" s="84" t="s">
        <v>449</v>
      </c>
      <c r="J462" s="84" t="s">
        <v>475</v>
      </c>
      <c r="K462" s="84" t="s">
        <v>449</v>
      </c>
      <c r="L462" s="84" t="s">
        <v>449</v>
      </c>
      <c r="M462" s="90" t="str">
        <f t="shared" si="10"/>
        <v>View on Google Map</v>
      </c>
    </row>
    <row r="463" spans="1:13" x14ac:dyDescent="0.2">
      <c r="A463" s="84">
        <v>147</v>
      </c>
      <c r="B463" s="84" t="s">
        <v>1404</v>
      </c>
      <c r="C463" s="84" t="s">
        <v>449</v>
      </c>
      <c r="D463" s="84">
        <v>68.646325005500003</v>
      </c>
      <c r="E463" s="84">
        <v>-149.58272243900001</v>
      </c>
      <c r="F463" s="84">
        <v>716</v>
      </c>
      <c r="G463" s="84" t="s">
        <v>460</v>
      </c>
      <c r="H463" s="84" t="s">
        <v>1405</v>
      </c>
      <c r="I463" s="84" t="s">
        <v>449</v>
      </c>
      <c r="J463" s="84" t="s">
        <v>475</v>
      </c>
      <c r="K463" s="84" t="s">
        <v>449</v>
      </c>
      <c r="L463" s="84" t="s">
        <v>449</v>
      </c>
      <c r="M463" s="90" t="str">
        <f t="shared" si="10"/>
        <v>View on Google Map</v>
      </c>
    </row>
    <row r="464" spans="1:13" x14ac:dyDescent="0.2">
      <c r="A464" s="84">
        <v>234</v>
      </c>
      <c r="B464" s="84" t="s">
        <v>1406</v>
      </c>
      <c r="C464" s="84" t="s">
        <v>449</v>
      </c>
      <c r="D464" s="84">
        <v>68.650192520999994</v>
      </c>
      <c r="E464" s="84">
        <v>-149.58255972500001</v>
      </c>
      <c r="F464" s="84">
        <v>731</v>
      </c>
      <c r="G464" s="84" t="s">
        <v>460</v>
      </c>
      <c r="H464" s="84" t="s">
        <v>1407</v>
      </c>
      <c r="I464" s="84" t="s">
        <v>449</v>
      </c>
      <c r="J464" s="84" t="s">
        <v>475</v>
      </c>
      <c r="K464" s="84" t="s">
        <v>449</v>
      </c>
      <c r="L464" s="84" t="s">
        <v>449</v>
      </c>
      <c r="M464" s="90" t="str">
        <f t="shared" si="10"/>
        <v>View on Google Map</v>
      </c>
    </row>
    <row r="465" spans="1:13" x14ac:dyDescent="0.2">
      <c r="A465" s="84">
        <v>306</v>
      </c>
      <c r="B465" s="84" t="s">
        <v>1408</v>
      </c>
      <c r="C465" s="84" t="s">
        <v>449</v>
      </c>
      <c r="D465" s="84" t="s">
        <v>449</v>
      </c>
      <c r="E465" s="84" t="s">
        <v>449</v>
      </c>
      <c r="F465" s="84">
        <v>731</v>
      </c>
      <c r="G465" s="84" t="s">
        <v>460</v>
      </c>
      <c r="H465" s="84" t="s">
        <v>1409</v>
      </c>
      <c r="I465" s="84" t="s">
        <v>449</v>
      </c>
      <c r="J465" s="84" t="s">
        <v>475</v>
      </c>
      <c r="K465" s="84" t="s">
        <v>449</v>
      </c>
      <c r="L465" s="84" t="s">
        <v>449</v>
      </c>
      <c r="M465" s="90" t="str">
        <f t="shared" si="10"/>
        <v>View on Google Map</v>
      </c>
    </row>
    <row r="466" spans="1:13" x14ac:dyDescent="0.2">
      <c r="A466" s="84">
        <v>235</v>
      </c>
      <c r="B466" s="84" t="s">
        <v>1410</v>
      </c>
      <c r="C466" s="84" t="s">
        <v>449</v>
      </c>
      <c r="D466" s="84" t="s">
        <v>449</v>
      </c>
      <c r="E466" s="84" t="s">
        <v>449</v>
      </c>
      <c r="F466" s="84">
        <v>716</v>
      </c>
      <c r="G466" s="84" t="s">
        <v>460</v>
      </c>
      <c r="H466" s="84" t="s">
        <v>1411</v>
      </c>
      <c r="I466" s="84" t="s">
        <v>449</v>
      </c>
      <c r="J466" s="84" t="s">
        <v>475</v>
      </c>
      <c r="K466" s="84" t="s">
        <v>449</v>
      </c>
      <c r="L466" s="84" t="s">
        <v>449</v>
      </c>
      <c r="M466" s="90" t="str">
        <f t="shared" si="10"/>
        <v>View on Google Map</v>
      </c>
    </row>
    <row r="467" spans="1:13" x14ac:dyDescent="0.2">
      <c r="A467" s="84">
        <v>307</v>
      </c>
      <c r="B467" s="84" t="s">
        <v>1412</v>
      </c>
      <c r="C467" s="84" t="s">
        <v>449</v>
      </c>
      <c r="D467" s="84" t="s">
        <v>449</v>
      </c>
      <c r="E467" s="84" t="s">
        <v>449</v>
      </c>
      <c r="F467" s="84">
        <v>716</v>
      </c>
      <c r="G467" s="84" t="s">
        <v>460</v>
      </c>
      <c r="H467" s="84" t="s">
        <v>1413</v>
      </c>
      <c r="I467" s="84" t="s">
        <v>449</v>
      </c>
      <c r="J467" s="84" t="s">
        <v>475</v>
      </c>
      <c r="K467" s="84" t="s">
        <v>449</v>
      </c>
      <c r="L467" s="84" t="s">
        <v>449</v>
      </c>
      <c r="M467" s="90" t="str">
        <f t="shared" si="10"/>
        <v>View on Google Map</v>
      </c>
    </row>
    <row r="468" spans="1:13" x14ac:dyDescent="0.2">
      <c r="A468" s="84">
        <v>236</v>
      </c>
      <c r="B468" s="84" t="s">
        <v>1414</v>
      </c>
      <c r="C468" s="84" t="s">
        <v>449</v>
      </c>
      <c r="D468" s="84">
        <v>68.653572283900004</v>
      </c>
      <c r="E468" s="84">
        <v>-149.58091106399999</v>
      </c>
      <c r="F468" s="84">
        <v>731</v>
      </c>
      <c r="G468" s="84" t="s">
        <v>460</v>
      </c>
      <c r="H468" s="84" t="s">
        <v>1415</v>
      </c>
      <c r="I468" s="84" t="s">
        <v>449</v>
      </c>
      <c r="J468" s="84" t="s">
        <v>475</v>
      </c>
      <c r="K468" s="84" t="s">
        <v>449</v>
      </c>
      <c r="L468" s="84" t="s">
        <v>449</v>
      </c>
      <c r="M468" s="90" t="str">
        <f t="shared" si="10"/>
        <v>View on Google Map</v>
      </c>
    </row>
    <row r="469" spans="1:13" x14ac:dyDescent="0.2">
      <c r="A469" s="84">
        <v>308</v>
      </c>
      <c r="B469" s="84" t="s">
        <v>1416</v>
      </c>
      <c r="C469" s="84" t="s">
        <v>449</v>
      </c>
      <c r="D469" s="84">
        <v>68.652551279199997</v>
      </c>
      <c r="E469" s="84">
        <v>-149.58676006799999</v>
      </c>
      <c r="F469" s="84">
        <v>731</v>
      </c>
      <c r="G469" s="84" t="s">
        <v>460</v>
      </c>
      <c r="H469" s="84" t="s">
        <v>1417</v>
      </c>
      <c r="I469" s="84" t="s">
        <v>449</v>
      </c>
      <c r="J469" s="84" t="s">
        <v>475</v>
      </c>
      <c r="K469" s="84" t="s">
        <v>449</v>
      </c>
      <c r="L469" s="84" t="s">
        <v>449</v>
      </c>
      <c r="M469" s="90" t="str">
        <f t="shared" si="10"/>
        <v>View on Google Map</v>
      </c>
    </row>
    <row r="470" spans="1:13" x14ac:dyDescent="0.2">
      <c r="A470" s="84">
        <v>446</v>
      </c>
      <c r="B470" s="84" t="s">
        <v>1418</v>
      </c>
      <c r="C470" s="84" t="s">
        <v>449</v>
      </c>
      <c r="D470" s="84">
        <v>68.653536133599999</v>
      </c>
      <c r="E470" s="84">
        <v>-149.59622183299999</v>
      </c>
      <c r="F470" s="84">
        <v>747</v>
      </c>
      <c r="G470" s="84" t="s">
        <v>460</v>
      </c>
      <c r="H470" s="84" t="s">
        <v>1419</v>
      </c>
      <c r="I470" s="84" t="s">
        <v>449</v>
      </c>
      <c r="J470" s="84" t="s">
        <v>475</v>
      </c>
      <c r="K470" s="84" t="s">
        <v>449</v>
      </c>
      <c r="L470" s="84" t="s">
        <v>449</v>
      </c>
      <c r="M470" s="90" t="str">
        <f t="shared" si="10"/>
        <v>View on Google Map</v>
      </c>
    </row>
    <row r="471" spans="1:13" x14ac:dyDescent="0.2">
      <c r="A471" s="84">
        <v>447</v>
      </c>
      <c r="B471" s="84" t="s">
        <v>1420</v>
      </c>
      <c r="C471" s="84" t="s">
        <v>449</v>
      </c>
      <c r="D471" s="84">
        <v>68.652588284900006</v>
      </c>
      <c r="E471" s="84">
        <v>-149.60764069300001</v>
      </c>
      <c r="F471" s="84" t="s">
        <v>449</v>
      </c>
      <c r="G471" s="84" t="s">
        <v>460</v>
      </c>
      <c r="H471" s="84" t="s">
        <v>1421</v>
      </c>
      <c r="I471" s="84" t="s">
        <v>449</v>
      </c>
      <c r="J471" s="84" t="s">
        <v>475</v>
      </c>
      <c r="K471" s="84" t="s">
        <v>449</v>
      </c>
      <c r="L471" s="84" t="s">
        <v>449</v>
      </c>
      <c r="M471" s="90" t="str">
        <f t="shared" si="10"/>
        <v>View on Google Map</v>
      </c>
    </row>
    <row r="472" spans="1:13" x14ac:dyDescent="0.2">
      <c r="A472" s="84">
        <v>504</v>
      </c>
      <c r="B472" s="84" t="s">
        <v>1422</v>
      </c>
      <c r="C472" s="84" t="s">
        <v>449</v>
      </c>
      <c r="D472" s="84">
        <v>68.647407723699999</v>
      </c>
      <c r="E472" s="84">
        <v>-149.60936597400001</v>
      </c>
      <c r="F472" s="84">
        <v>731</v>
      </c>
      <c r="G472" s="84" t="s">
        <v>460</v>
      </c>
      <c r="H472" s="84" t="s">
        <v>449</v>
      </c>
      <c r="I472" s="84" t="s">
        <v>449</v>
      </c>
      <c r="J472" s="84" t="s">
        <v>475</v>
      </c>
      <c r="K472" s="84" t="s">
        <v>449</v>
      </c>
      <c r="L472" s="84" t="s">
        <v>449</v>
      </c>
      <c r="M472" s="90" t="str">
        <f t="shared" si="10"/>
        <v>View on Google Map</v>
      </c>
    </row>
    <row r="473" spans="1:13" x14ac:dyDescent="0.2">
      <c r="A473" s="84">
        <v>108</v>
      </c>
      <c r="B473" s="84" t="s">
        <v>1423</v>
      </c>
      <c r="C473" s="84" t="s">
        <v>449</v>
      </c>
      <c r="D473" s="84">
        <v>68.650000000000006</v>
      </c>
      <c r="E473" s="84">
        <v>-149.61666666666667</v>
      </c>
      <c r="F473" s="84">
        <v>699</v>
      </c>
      <c r="G473" s="84" t="s">
        <v>460</v>
      </c>
      <c r="H473" s="84" t="s">
        <v>1424</v>
      </c>
      <c r="I473" s="84" t="s">
        <v>449</v>
      </c>
      <c r="J473" s="84" t="s">
        <v>475</v>
      </c>
      <c r="K473" s="84" t="s">
        <v>449</v>
      </c>
      <c r="L473" s="84" t="s">
        <v>449</v>
      </c>
      <c r="M473" s="90" t="str">
        <f t="shared" si="10"/>
        <v>View on Google Map</v>
      </c>
    </row>
    <row r="474" spans="1:13" x14ac:dyDescent="0.2">
      <c r="A474" s="84">
        <v>309</v>
      </c>
      <c r="B474" s="84" t="s">
        <v>1425</v>
      </c>
      <c r="C474" s="84" t="s">
        <v>449</v>
      </c>
      <c r="D474" s="84" t="s">
        <v>449</v>
      </c>
      <c r="E474" s="84" t="s">
        <v>449</v>
      </c>
      <c r="F474" s="84" t="s">
        <v>449</v>
      </c>
      <c r="G474" s="84" t="s">
        <v>460</v>
      </c>
      <c r="H474" s="84" t="s">
        <v>1426</v>
      </c>
      <c r="I474" s="84" t="s">
        <v>449</v>
      </c>
      <c r="J474" s="84" t="s">
        <v>475</v>
      </c>
      <c r="K474" s="84" t="s">
        <v>449</v>
      </c>
      <c r="L474" s="84" t="s">
        <v>449</v>
      </c>
      <c r="M474" s="90" t="str">
        <f t="shared" si="10"/>
        <v>View on Google Map</v>
      </c>
    </row>
    <row r="475" spans="1:13" x14ac:dyDescent="0.2">
      <c r="A475" s="84">
        <v>109</v>
      </c>
      <c r="B475" s="84" t="s">
        <v>1427</v>
      </c>
      <c r="C475" s="84" t="s">
        <v>449</v>
      </c>
      <c r="D475" s="84">
        <v>68.683333333333337</v>
      </c>
      <c r="E475" s="84">
        <v>-149.61666666666667</v>
      </c>
      <c r="F475" s="84">
        <v>701</v>
      </c>
      <c r="G475" s="84" t="s">
        <v>460</v>
      </c>
      <c r="H475" s="84" t="s">
        <v>1428</v>
      </c>
      <c r="I475" s="84" t="s">
        <v>449</v>
      </c>
      <c r="J475" s="84" t="s">
        <v>475</v>
      </c>
      <c r="K475" s="84" t="s">
        <v>449</v>
      </c>
      <c r="L475" s="84" t="s">
        <v>449</v>
      </c>
      <c r="M475" s="90" t="str">
        <f t="shared" si="10"/>
        <v>View on Google Map</v>
      </c>
    </row>
    <row r="476" spans="1:13" x14ac:dyDescent="0.2">
      <c r="A476" s="84">
        <v>497</v>
      </c>
      <c r="B476" s="84" t="s">
        <v>1429</v>
      </c>
      <c r="C476" s="84" t="s">
        <v>1430</v>
      </c>
      <c r="D476" s="84">
        <v>68.674931999999998</v>
      </c>
      <c r="E476" s="84">
        <v>-149.625439</v>
      </c>
      <c r="F476" s="84">
        <v>701</v>
      </c>
      <c r="G476" s="84" t="s">
        <v>460</v>
      </c>
      <c r="H476" s="84" t="s">
        <v>449</v>
      </c>
      <c r="I476" s="84" t="s">
        <v>449</v>
      </c>
      <c r="J476" s="84" t="s">
        <v>1377</v>
      </c>
      <c r="K476" s="84" t="s">
        <v>449</v>
      </c>
      <c r="L476" s="84" t="s">
        <v>856</v>
      </c>
      <c r="M476" s="90" t="str">
        <f t="shared" si="10"/>
        <v>View on Google Map</v>
      </c>
    </row>
    <row r="477" spans="1:13" x14ac:dyDescent="0.2">
      <c r="A477" s="84">
        <v>498</v>
      </c>
      <c r="B477" s="84" t="s">
        <v>1431</v>
      </c>
      <c r="C477" s="84" t="s">
        <v>449</v>
      </c>
      <c r="D477" s="84">
        <v>68.677723</v>
      </c>
      <c r="E477" s="84">
        <v>-149.62402800000001</v>
      </c>
      <c r="F477" s="84">
        <v>701</v>
      </c>
      <c r="G477" s="84" t="s">
        <v>474</v>
      </c>
      <c r="H477" s="84" t="s">
        <v>449</v>
      </c>
      <c r="I477" s="84" t="s">
        <v>449</v>
      </c>
      <c r="J477" s="84" t="s">
        <v>1377</v>
      </c>
      <c r="K477" s="84" t="s">
        <v>449</v>
      </c>
      <c r="L477" s="84" t="s">
        <v>856</v>
      </c>
      <c r="M477" s="90" t="str">
        <f t="shared" si="10"/>
        <v>View on Google Map</v>
      </c>
    </row>
    <row r="478" spans="1:13" x14ac:dyDescent="0.2">
      <c r="A478" s="84">
        <v>495</v>
      </c>
      <c r="B478" s="84" t="s">
        <v>1432</v>
      </c>
      <c r="C478" s="84" t="s">
        <v>449</v>
      </c>
      <c r="D478" s="84">
        <v>68.674121999999997</v>
      </c>
      <c r="E478" s="84">
        <v>-149.62885</v>
      </c>
      <c r="F478" s="84">
        <v>701</v>
      </c>
      <c r="G478" s="84" t="s">
        <v>474</v>
      </c>
      <c r="H478" s="84" t="s">
        <v>449</v>
      </c>
      <c r="I478" s="84" t="s">
        <v>449</v>
      </c>
      <c r="J478" s="84" t="s">
        <v>1377</v>
      </c>
      <c r="K478" s="84" t="s">
        <v>449</v>
      </c>
      <c r="L478" s="84" t="s">
        <v>856</v>
      </c>
      <c r="M478" s="90" t="str">
        <f t="shared" si="10"/>
        <v>View on Google Map</v>
      </c>
    </row>
    <row r="479" spans="1:13" x14ac:dyDescent="0.2">
      <c r="A479" s="84">
        <v>448</v>
      </c>
      <c r="B479" s="84" t="s">
        <v>1433</v>
      </c>
      <c r="C479" s="84" t="s">
        <v>449</v>
      </c>
      <c r="D479" s="84">
        <v>68.655874034999997</v>
      </c>
      <c r="E479" s="84">
        <v>-149.58555905599999</v>
      </c>
      <c r="F479" s="84" t="s">
        <v>449</v>
      </c>
      <c r="G479" s="84" t="s">
        <v>460</v>
      </c>
      <c r="H479" s="84" t="s">
        <v>1434</v>
      </c>
      <c r="I479" s="84" t="s">
        <v>449</v>
      </c>
      <c r="J479" s="84" t="s">
        <v>475</v>
      </c>
      <c r="K479" s="84" t="s">
        <v>449</v>
      </c>
      <c r="L479" s="84" t="s">
        <v>449</v>
      </c>
      <c r="M479" s="90" t="str">
        <f t="shared" si="10"/>
        <v>View on Google Map</v>
      </c>
    </row>
    <row r="480" spans="1:13" x14ac:dyDescent="0.2">
      <c r="A480" s="84">
        <v>449</v>
      </c>
      <c r="B480" s="84" t="s">
        <v>1435</v>
      </c>
      <c r="C480" s="84" t="s">
        <v>449</v>
      </c>
      <c r="D480" s="84">
        <v>68.661045276899998</v>
      </c>
      <c r="E480" s="84">
        <v>-149.586664767</v>
      </c>
      <c r="F480" s="84" t="s">
        <v>449</v>
      </c>
      <c r="G480" s="84" t="s">
        <v>460</v>
      </c>
      <c r="H480" s="84" t="s">
        <v>1436</v>
      </c>
      <c r="I480" s="84" t="s">
        <v>449</v>
      </c>
      <c r="J480" s="84" t="s">
        <v>475</v>
      </c>
      <c r="K480" s="84" t="s">
        <v>449</v>
      </c>
      <c r="L480" s="84" t="s">
        <v>449</v>
      </c>
      <c r="M480" s="90" t="str">
        <f t="shared" si="10"/>
        <v>View on Google Map</v>
      </c>
    </row>
    <row r="481" spans="1:13" x14ac:dyDescent="0.2">
      <c r="A481" s="84">
        <v>171</v>
      </c>
      <c r="B481" s="84" t="s">
        <v>1437</v>
      </c>
      <c r="C481" s="84" t="s">
        <v>449</v>
      </c>
      <c r="D481" s="84">
        <v>68.652645483100002</v>
      </c>
      <c r="E481" s="84">
        <v>-149.59947366200001</v>
      </c>
      <c r="F481" s="84">
        <v>747</v>
      </c>
      <c r="G481" s="84" t="s">
        <v>460</v>
      </c>
      <c r="H481" s="84" t="s">
        <v>1438</v>
      </c>
      <c r="I481" s="84" t="s">
        <v>1439</v>
      </c>
      <c r="J481" s="84" t="s">
        <v>475</v>
      </c>
      <c r="K481" s="84" t="s">
        <v>449</v>
      </c>
      <c r="L481" s="84" t="s">
        <v>449</v>
      </c>
      <c r="M481" s="90" t="str">
        <f t="shared" si="10"/>
        <v>View on Google Map</v>
      </c>
    </row>
    <row r="482" spans="1:13" x14ac:dyDescent="0.2">
      <c r="A482" s="84">
        <v>499</v>
      </c>
      <c r="B482" s="84" t="s">
        <v>1440</v>
      </c>
      <c r="C482" s="84" t="s">
        <v>449</v>
      </c>
      <c r="D482" s="84">
        <v>68.829610000000002</v>
      </c>
      <c r="E482" s="84">
        <v>-149.77901</v>
      </c>
      <c r="F482" s="84">
        <v>633</v>
      </c>
      <c r="G482" s="84" t="s">
        <v>460</v>
      </c>
      <c r="H482" s="84" t="s">
        <v>1441</v>
      </c>
      <c r="I482" s="84" t="s">
        <v>1442</v>
      </c>
      <c r="J482" s="84" t="s">
        <v>461</v>
      </c>
      <c r="K482" s="84" t="s">
        <v>449</v>
      </c>
      <c r="L482" s="84" t="s">
        <v>449</v>
      </c>
      <c r="M482" s="90" t="str">
        <f t="shared" si="10"/>
        <v>View on Google Map</v>
      </c>
    </row>
    <row r="483" spans="1:13" x14ac:dyDescent="0.2">
      <c r="A483" s="84">
        <v>500</v>
      </c>
      <c r="B483" s="84" t="s">
        <v>1443</v>
      </c>
      <c r="C483" s="84" t="s">
        <v>449</v>
      </c>
      <c r="D483" s="84">
        <v>68.832999999999998</v>
      </c>
      <c r="E483" s="84">
        <v>-149.76808</v>
      </c>
      <c r="F483" s="84">
        <v>624</v>
      </c>
      <c r="G483" s="84" t="s">
        <v>460</v>
      </c>
      <c r="H483" s="84" t="s">
        <v>1444</v>
      </c>
      <c r="I483" s="84" t="s">
        <v>1445</v>
      </c>
      <c r="J483" s="84" t="s">
        <v>461</v>
      </c>
      <c r="K483" s="84" t="s">
        <v>449</v>
      </c>
      <c r="L483" s="84" t="s">
        <v>449</v>
      </c>
      <c r="M483" s="90" t="str">
        <f t="shared" si="10"/>
        <v>View on Google Map</v>
      </c>
    </row>
    <row r="484" spans="1:13" x14ac:dyDescent="0.2">
      <c r="A484" s="84">
        <v>501</v>
      </c>
      <c r="B484" s="84" t="s">
        <v>1446</v>
      </c>
      <c r="C484" s="84" t="s">
        <v>449</v>
      </c>
      <c r="D484" s="84">
        <v>68.828299999999999</v>
      </c>
      <c r="E484" s="84">
        <v>-149.76473999999999</v>
      </c>
      <c r="F484" s="84">
        <v>624</v>
      </c>
      <c r="G484" s="84" t="s">
        <v>460</v>
      </c>
      <c r="H484" s="84" t="s">
        <v>1447</v>
      </c>
      <c r="I484" s="84" t="s">
        <v>1448</v>
      </c>
      <c r="J484" s="84" t="s">
        <v>461</v>
      </c>
      <c r="K484" s="84" t="s">
        <v>449</v>
      </c>
      <c r="L484" s="84" t="s">
        <v>449</v>
      </c>
      <c r="M484" s="90" t="str">
        <f t="shared" si="10"/>
        <v>View on Google Map</v>
      </c>
    </row>
    <row r="485" spans="1:13" x14ac:dyDescent="0.2">
      <c r="A485" s="84">
        <v>502</v>
      </c>
      <c r="B485" s="84" t="s">
        <v>1449</v>
      </c>
      <c r="C485" s="84" t="s">
        <v>449</v>
      </c>
      <c r="D485" s="84">
        <v>68.826520000000002</v>
      </c>
      <c r="E485" s="84">
        <v>-149.75897000000001</v>
      </c>
      <c r="F485" s="84">
        <v>592</v>
      </c>
      <c r="G485" s="84" t="s">
        <v>460</v>
      </c>
      <c r="H485" s="84" t="s">
        <v>1450</v>
      </c>
      <c r="I485" s="84" t="s">
        <v>1451</v>
      </c>
      <c r="J485" s="84" t="s">
        <v>461</v>
      </c>
      <c r="K485" s="84" t="s">
        <v>449</v>
      </c>
      <c r="L485" s="84" t="s">
        <v>449</v>
      </c>
      <c r="M485" s="90" t="str">
        <f t="shared" si="10"/>
        <v>View on Google Map</v>
      </c>
    </row>
    <row r="486" spans="1:13" x14ac:dyDescent="0.2">
      <c r="A486" s="84">
        <v>503</v>
      </c>
      <c r="B486" s="84" t="s">
        <v>1452</v>
      </c>
      <c r="C486" s="84" t="s">
        <v>449</v>
      </c>
      <c r="D486" s="84">
        <v>68.827259999999995</v>
      </c>
      <c r="E486" s="84">
        <v>-149.75089</v>
      </c>
      <c r="F486" s="84">
        <v>592</v>
      </c>
      <c r="G486" s="84" t="s">
        <v>460</v>
      </c>
      <c r="H486" s="84" t="s">
        <v>1453</v>
      </c>
      <c r="I486" s="84" t="s">
        <v>1454</v>
      </c>
      <c r="J486" s="84" t="s">
        <v>461</v>
      </c>
      <c r="K486" s="84" t="s">
        <v>449</v>
      </c>
      <c r="L486" s="84" t="s">
        <v>449</v>
      </c>
      <c r="M486" s="90" t="str">
        <f t="shared" si="10"/>
        <v>View on Google Map</v>
      </c>
    </row>
    <row r="487" spans="1:13" x14ac:dyDescent="0.2">
      <c r="A487" s="84">
        <v>488</v>
      </c>
      <c r="B487" s="84" t="s">
        <v>1455</v>
      </c>
      <c r="C487" s="84" t="s">
        <v>449</v>
      </c>
      <c r="D487" s="84">
        <v>69.329949999999997</v>
      </c>
      <c r="E487" s="84">
        <v>-150.95275000000001</v>
      </c>
      <c r="F487" s="84">
        <v>127</v>
      </c>
      <c r="G487" s="84" t="s">
        <v>460</v>
      </c>
      <c r="H487" s="84" t="s">
        <v>449</v>
      </c>
      <c r="I487" s="84" t="s">
        <v>449</v>
      </c>
      <c r="J487" s="84" t="s">
        <v>510</v>
      </c>
      <c r="K487" s="84" t="s">
        <v>449</v>
      </c>
      <c r="L487" s="84" t="s">
        <v>457</v>
      </c>
      <c r="M487" s="90" t="str">
        <f t="shared" si="10"/>
        <v>View on Google Map</v>
      </c>
    </row>
    <row r="488" spans="1:13" x14ac:dyDescent="0.2">
      <c r="A488" s="84">
        <v>489</v>
      </c>
      <c r="B488" s="84" t="s">
        <v>1456</v>
      </c>
      <c r="C488" s="84" t="s">
        <v>449</v>
      </c>
      <c r="D488" s="84" t="s">
        <v>449</v>
      </c>
      <c r="E488" s="84" t="s">
        <v>449</v>
      </c>
      <c r="F488" s="84">
        <v>127</v>
      </c>
      <c r="G488" s="84" t="s">
        <v>474</v>
      </c>
      <c r="H488" s="84" t="s">
        <v>449</v>
      </c>
      <c r="I488" s="84" t="s">
        <v>449</v>
      </c>
      <c r="J488" s="84" t="s">
        <v>510</v>
      </c>
      <c r="K488" s="84" t="s">
        <v>449</v>
      </c>
      <c r="L488" s="84" t="s">
        <v>457</v>
      </c>
      <c r="M488" s="90" t="str">
        <f t="shared" si="10"/>
        <v>View on Google Map</v>
      </c>
    </row>
    <row r="489" spans="1:13" x14ac:dyDescent="0.2">
      <c r="A489" s="84">
        <v>490</v>
      </c>
      <c r="B489" s="84" t="s">
        <v>1457</v>
      </c>
      <c r="C489" s="84" t="s">
        <v>449</v>
      </c>
      <c r="D489" s="84" t="s">
        <v>449</v>
      </c>
      <c r="E489" s="84" t="s">
        <v>449</v>
      </c>
      <c r="F489" s="84">
        <v>127</v>
      </c>
      <c r="G489" s="84" t="s">
        <v>460</v>
      </c>
      <c r="H489" s="84" t="s">
        <v>449</v>
      </c>
      <c r="I489" s="84" t="s">
        <v>449</v>
      </c>
      <c r="J489" s="84" t="s">
        <v>510</v>
      </c>
      <c r="K489" s="84" t="s">
        <v>449</v>
      </c>
      <c r="L489" s="84" t="s">
        <v>457</v>
      </c>
      <c r="M489" s="90" t="str">
        <f t="shared" si="10"/>
        <v>View on Google Map</v>
      </c>
    </row>
    <row r="490" spans="1:13" x14ac:dyDescent="0.2">
      <c r="A490" s="84">
        <v>34</v>
      </c>
      <c r="B490" s="84" t="s">
        <v>1458</v>
      </c>
      <c r="C490" s="84" t="s">
        <v>449</v>
      </c>
      <c r="D490" s="84">
        <v>69.057400000000001</v>
      </c>
      <c r="E490" s="84">
        <v>-150.39599999999999</v>
      </c>
      <c r="F490" s="84">
        <v>274</v>
      </c>
      <c r="G490" s="84" t="s">
        <v>474</v>
      </c>
      <c r="H490" s="84" t="s">
        <v>449</v>
      </c>
      <c r="I490" s="84" t="s">
        <v>449</v>
      </c>
      <c r="J490" s="84" t="s">
        <v>510</v>
      </c>
      <c r="K490" s="84" t="s">
        <v>449</v>
      </c>
      <c r="L490" s="84" t="s">
        <v>457</v>
      </c>
      <c r="M490" s="90" t="str">
        <f t="shared" si="10"/>
        <v>View on Google Map</v>
      </c>
    </row>
    <row r="491" spans="1:13" x14ac:dyDescent="0.2">
      <c r="A491" s="84">
        <v>45</v>
      </c>
      <c r="B491" s="84" t="s">
        <v>1459</v>
      </c>
      <c r="C491" s="84" t="s">
        <v>449</v>
      </c>
      <c r="D491" s="84">
        <v>69.063298000000003</v>
      </c>
      <c r="E491" s="84">
        <v>-150.394711</v>
      </c>
      <c r="F491" s="84" t="s">
        <v>449</v>
      </c>
      <c r="G491" s="84" t="s">
        <v>474</v>
      </c>
      <c r="H491" s="84" t="s">
        <v>449</v>
      </c>
      <c r="I491" s="84" t="s">
        <v>449</v>
      </c>
      <c r="J491" s="84" t="s">
        <v>1460</v>
      </c>
      <c r="K491" s="84" t="s">
        <v>449</v>
      </c>
      <c r="L491" s="84" t="s">
        <v>457</v>
      </c>
      <c r="M491" s="90" t="str">
        <f t="shared" si="10"/>
        <v>View on Google Map</v>
      </c>
    </row>
    <row r="492" spans="1:13" x14ac:dyDescent="0.2">
      <c r="B492" s="84" t="s">
        <v>1461</v>
      </c>
      <c r="C492" s="84" t="s">
        <v>1462</v>
      </c>
      <c r="D492" s="84">
        <v>69.138333333333335</v>
      </c>
      <c r="E492" s="84">
        <v>-150.64916666666701</v>
      </c>
      <c r="G492" s="84" t="s">
        <v>468</v>
      </c>
      <c r="J492" s="84" t="s">
        <v>456</v>
      </c>
      <c r="L492" s="84" t="s">
        <v>457</v>
      </c>
      <c r="M492" s="90" t="str">
        <f t="shared" si="10"/>
        <v>View on Google Map</v>
      </c>
    </row>
    <row r="493" spans="1:13" x14ac:dyDescent="0.2">
      <c r="B493" s="84" t="s">
        <v>1463</v>
      </c>
      <c r="C493" s="84" t="s">
        <v>846</v>
      </c>
      <c r="D493" s="84">
        <v>69.152500000000003</v>
      </c>
      <c r="E493" s="84">
        <v>-150.706111111111</v>
      </c>
      <c r="G493" s="84" t="s">
        <v>468</v>
      </c>
      <c r="J493" s="84" t="s">
        <v>456</v>
      </c>
      <c r="L493" s="84" t="s">
        <v>457</v>
      </c>
      <c r="M493" s="90" t="str">
        <f t="shared" si="10"/>
        <v>View on Google Map</v>
      </c>
    </row>
    <row r="494" spans="1:13" x14ac:dyDescent="0.2">
      <c r="A494" s="84">
        <v>35</v>
      </c>
      <c r="B494" s="84" t="s">
        <v>1464</v>
      </c>
      <c r="C494" s="84" t="s">
        <v>449</v>
      </c>
      <c r="D494" s="84">
        <v>69.063333333333333</v>
      </c>
      <c r="E494" s="84">
        <v>-150.39333333333335</v>
      </c>
      <c r="F494" s="84">
        <v>281</v>
      </c>
      <c r="G494" s="84" t="s">
        <v>474</v>
      </c>
      <c r="H494" s="84" t="s">
        <v>449</v>
      </c>
      <c r="I494" s="84" t="s">
        <v>449</v>
      </c>
      <c r="J494" s="84" t="s">
        <v>510</v>
      </c>
      <c r="K494" s="84" t="s">
        <v>449</v>
      </c>
      <c r="L494" s="84" t="s">
        <v>457</v>
      </c>
      <c r="M494" s="90" t="str">
        <f t="shared" si="10"/>
        <v>View on Google Map</v>
      </c>
    </row>
    <row r="495" spans="1:13" x14ac:dyDescent="0.2">
      <c r="A495" s="84">
        <v>161</v>
      </c>
      <c r="B495" s="84" t="s">
        <v>1465</v>
      </c>
      <c r="C495" s="84" t="s">
        <v>1466</v>
      </c>
      <c r="D495" s="84">
        <v>68.599999999999994</v>
      </c>
      <c r="E495" s="84">
        <v>-149.18333333333334</v>
      </c>
      <c r="F495" s="84">
        <v>876</v>
      </c>
      <c r="G495" s="84" t="s">
        <v>460</v>
      </c>
      <c r="H495" s="84" t="s">
        <v>1467</v>
      </c>
      <c r="I495" s="84" t="s">
        <v>449</v>
      </c>
      <c r="J495" s="84" t="s">
        <v>475</v>
      </c>
      <c r="K495" s="84" t="s">
        <v>449</v>
      </c>
      <c r="L495" s="84" t="s">
        <v>476</v>
      </c>
      <c r="M495" s="90" t="str">
        <f t="shared" si="10"/>
        <v>View on Google Map</v>
      </c>
    </row>
    <row r="496" spans="1:13" x14ac:dyDescent="0.2">
      <c r="A496" s="84">
        <v>162</v>
      </c>
      <c r="B496" s="84" t="s">
        <v>1468</v>
      </c>
      <c r="C496" s="84" t="s">
        <v>1466</v>
      </c>
      <c r="D496" s="84">
        <v>68.583333333333329</v>
      </c>
      <c r="E496" s="84">
        <v>-149.19999999999999</v>
      </c>
      <c r="F496" s="84">
        <v>892</v>
      </c>
      <c r="G496" s="84" t="s">
        <v>460</v>
      </c>
      <c r="H496" s="84" t="s">
        <v>1469</v>
      </c>
      <c r="I496" s="84" t="s">
        <v>449</v>
      </c>
      <c r="J496" s="84" t="s">
        <v>475</v>
      </c>
      <c r="K496" s="84" t="s">
        <v>449</v>
      </c>
      <c r="L496" s="84" t="s">
        <v>476</v>
      </c>
      <c r="M496" s="90" t="str">
        <f t="shared" si="10"/>
        <v>View on Google Map</v>
      </c>
    </row>
    <row r="497" spans="1:13" x14ac:dyDescent="0.2">
      <c r="A497" s="84">
        <v>163</v>
      </c>
      <c r="B497" s="84" t="s">
        <v>1470</v>
      </c>
      <c r="C497" s="84" t="s">
        <v>1466</v>
      </c>
      <c r="D497" s="84">
        <v>68.599999999999994</v>
      </c>
      <c r="E497" s="84">
        <v>-149.16666666666666</v>
      </c>
      <c r="F497" s="84">
        <v>876</v>
      </c>
      <c r="G497" s="84" t="s">
        <v>460</v>
      </c>
      <c r="H497" s="84" t="s">
        <v>1471</v>
      </c>
      <c r="I497" s="84" t="s">
        <v>449</v>
      </c>
      <c r="J497" s="84" t="s">
        <v>475</v>
      </c>
      <c r="K497" s="84" t="s">
        <v>449</v>
      </c>
      <c r="L497" s="84" t="s">
        <v>476</v>
      </c>
      <c r="M497" s="90" t="str">
        <f t="shared" si="10"/>
        <v>View on Google Map</v>
      </c>
    </row>
    <row r="498" spans="1:13" x14ac:dyDescent="0.2">
      <c r="A498" s="84">
        <v>5</v>
      </c>
      <c r="B498" s="84" t="s">
        <v>1472</v>
      </c>
      <c r="C498" s="84" t="s">
        <v>1061</v>
      </c>
      <c r="D498" s="84">
        <v>68.671486221999999</v>
      </c>
      <c r="E498" s="84">
        <v>-149.1281271</v>
      </c>
      <c r="F498" s="84">
        <v>761.75599999999997</v>
      </c>
      <c r="G498" s="84" t="s">
        <v>986</v>
      </c>
      <c r="J498" s="5" t="s">
        <v>475</v>
      </c>
      <c r="M498" s="90" t="str">
        <f t="shared" si="10"/>
        <v>View on Google Map</v>
      </c>
    </row>
    <row r="499" spans="1:13" x14ac:dyDescent="0.2">
      <c r="A499" s="84">
        <v>5</v>
      </c>
      <c r="B499" s="84" t="s">
        <v>1473</v>
      </c>
      <c r="C499" s="84" t="s">
        <v>1061</v>
      </c>
      <c r="D499" s="84">
        <v>68.671371694000001</v>
      </c>
      <c r="E499" s="84">
        <v>-149.131155484</v>
      </c>
      <c r="F499" s="84">
        <v>763.88099999999997</v>
      </c>
      <c r="G499" s="84" t="s">
        <v>986</v>
      </c>
      <c r="J499" s="5" t="s">
        <v>475</v>
      </c>
      <c r="M499" s="90" t="str">
        <f t="shared" si="10"/>
        <v>View on Google Map</v>
      </c>
    </row>
    <row r="500" spans="1:13" x14ac:dyDescent="0.2">
      <c r="A500" s="84">
        <v>5</v>
      </c>
      <c r="B500" s="84" t="s">
        <v>1474</v>
      </c>
      <c r="C500" s="84" t="s">
        <v>1061</v>
      </c>
      <c r="D500" s="84">
        <v>68.671018009999997</v>
      </c>
      <c r="E500" s="84">
        <v>-149.13789268599999</v>
      </c>
      <c r="F500" s="84">
        <v>764.53700000000003</v>
      </c>
      <c r="G500" s="84" t="s">
        <v>986</v>
      </c>
      <c r="J500" s="5" t="s">
        <v>475</v>
      </c>
      <c r="M500" s="90" t="str">
        <f t="shared" si="10"/>
        <v>View on Google Map</v>
      </c>
    </row>
    <row r="501" spans="1:13" x14ac:dyDescent="0.2">
      <c r="A501" s="84">
        <v>5</v>
      </c>
      <c r="B501" s="84" t="s">
        <v>1475</v>
      </c>
      <c r="C501" s="84" t="s">
        <v>1071</v>
      </c>
      <c r="D501" s="84">
        <v>68.677193270000004</v>
      </c>
      <c r="E501" s="84">
        <v>-149.121792258</v>
      </c>
      <c r="F501" s="84">
        <v>763.74300000000005</v>
      </c>
      <c r="G501" s="84" t="s">
        <v>986</v>
      </c>
      <c r="J501" s="5" t="s">
        <v>475</v>
      </c>
      <c r="M501" s="90" t="str">
        <f t="shared" si="10"/>
        <v>View on Google Map</v>
      </c>
    </row>
    <row r="502" spans="1:13" x14ac:dyDescent="0.2">
      <c r="A502" s="84">
        <v>5</v>
      </c>
      <c r="B502" s="84" t="s">
        <v>1476</v>
      </c>
      <c r="C502" s="84" t="s">
        <v>1071</v>
      </c>
      <c r="D502" s="84">
        <v>68.679780992000005</v>
      </c>
      <c r="E502" s="84">
        <v>-149.114206438</v>
      </c>
      <c r="F502" s="84">
        <v>762.678</v>
      </c>
      <c r="G502" s="84" t="s">
        <v>986</v>
      </c>
      <c r="J502" s="5" t="s">
        <v>475</v>
      </c>
      <c r="M502" s="90" t="str">
        <f t="shared" si="10"/>
        <v>View on Google Map</v>
      </c>
    </row>
    <row r="503" spans="1:13" x14ac:dyDescent="0.2">
      <c r="A503" s="84">
        <v>5</v>
      </c>
      <c r="B503" s="84" t="s">
        <v>1477</v>
      </c>
      <c r="C503" s="84" t="s">
        <v>473</v>
      </c>
      <c r="D503" s="84">
        <v>68.687399999999997</v>
      </c>
      <c r="E503" s="84">
        <v>-149.095</v>
      </c>
      <c r="F503" s="84">
        <v>754</v>
      </c>
      <c r="G503" s="84" t="s">
        <v>474</v>
      </c>
      <c r="H503" s="84" t="s">
        <v>1478</v>
      </c>
      <c r="I503" s="84" t="s">
        <v>1479</v>
      </c>
      <c r="J503" s="84" t="s">
        <v>475</v>
      </c>
      <c r="K503" s="84" t="s">
        <v>449</v>
      </c>
      <c r="L503" s="84" t="s">
        <v>476</v>
      </c>
      <c r="M503" s="90" t="str">
        <f t="shared" si="10"/>
        <v>View on Google Map</v>
      </c>
    </row>
    <row r="504" spans="1:13" x14ac:dyDescent="0.2">
      <c r="A504" s="84">
        <v>5</v>
      </c>
      <c r="B504" s="84" t="s">
        <v>1480</v>
      </c>
      <c r="C504" s="84" t="s">
        <v>1091</v>
      </c>
      <c r="D504" s="84">
        <v>68.672870447999998</v>
      </c>
      <c r="E504" s="84">
        <v>-149.124843486</v>
      </c>
      <c r="G504" s="84" t="s">
        <v>986</v>
      </c>
      <c r="J504" s="5" t="s">
        <v>475</v>
      </c>
      <c r="M504" s="90" t="str">
        <f t="shared" si="10"/>
        <v>View on Google Map</v>
      </c>
    </row>
    <row r="505" spans="1:13" x14ac:dyDescent="0.2">
      <c r="A505" s="84">
        <v>5</v>
      </c>
      <c r="B505" s="84" t="s">
        <v>1481</v>
      </c>
      <c r="C505" s="84" t="s">
        <v>1482</v>
      </c>
      <c r="D505" s="84">
        <v>68.686037823000007</v>
      </c>
      <c r="E505" s="84">
        <v>-149.0990032</v>
      </c>
      <c r="G505" s="84" t="s">
        <v>986</v>
      </c>
      <c r="J505" s="5" t="s">
        <v>475</v>
      </c>
      <c r="M505" s="90" t="str">
        <f t="shared" si="10"/>
        <v>View on Google Map</v>
      </c>
    </row>
    <row r="506" spans="1:13" x14ac:dyDescent="0.2">
      <c r="A506" s="84">
        <v>491</v>
      </c>
      <c r="B506" s="84" t="s">
        <v>1483</v>
      </c>
      <c r="C506" s="84" t="s">
        <v>449</v>
      </c>
      <c r="D506" s="84">
        <v>68.941266666999994</v>
      </c>
      <c r="E506" s="84">
        <v>-150.5068</v>
      </c>
      <c r="F506" s="84">
        <v>408</v>
      </c>
      <c r="G506" s="84" t="s">
        <v>460</v>
      </c>
      <c r="H506" s="84" t="s">
        <v>1484</v>
      </c>
      <c r="I506" s="84" t="s">
        <v>449</v>
      </c>
      <c r="J506" s="84" t="s">
        <v>510</v>
      </c>
      <c r="K506" s="84" t="s">
        <v>449</v>
      </c>
      <c r="L506" s="84" t="s">
        <v>457</v>
      </c>
      <c r="M506" s="90" t="str">
        <f t="shared" si="10"/>
        <v>View on Google Map</v>
      </c>
    </row>
    <row r="507" spans="1:13" x14ac:dyDescent="0.2">
      <c r="A507" s="84">
        <v>492</v>
      </c>
      <c r="B507" s="84" t="s">
        <v>1485</v>
      </c>
      <c r="C507" s="84" t="s">
        <v>449</v>
      </c>
      <c r="D507" s="84" t="s">
        <v>449</v>
      </c>
      <c r="E507" s="84" t="s">
        <v>449</v>
      </c>
      <c r="F507" s="84">
        <v>408</v>
      </c>
      <c r="G507" s="84" t="s">
        <v>460</v>
      </c>
      <c r="H507" s="84" t="s">
        <v>1486</v>
      </c>
      <c r="I507" s="84" t="s">
        <v>449</v>
      </c>
      <c r="J507" s="84" t="s">
        <v>510</v>
      </c>
      <c r="K507" s="84" t="s">
        <v>449</v>
      </c>
      <c r="L507" s="84" t="s">
        <v>457</v>
      </c>
      <c r="M507" s="90" t="str">
        <f t="shared" si="10"/>
        <v>View on Google Map</v>
      </c>
    </row>
    <row r="508" spans="1:13" x14ac:dyDescent="0.2">
      <c r="A508" s="84">
        <v>1172</v>
      </c>
      <c r="B508" s="84" t="s">
        <v>1487</v>
      </c>
      <c r="C508" s="84" t="s">
        <v>449</v>
      </c>
      <c r="D508" s="84">
        <v>68.99666666666667</v>
      </c>
      <c r="E508" s="84">
        <v>-150.21249999999998</v>
      </c>
      <c r="F508" s="84" t="s">
        <v>449</v>
      </c>
      <c r="G508" s="84" t="s">
        <v>450</v>
      </c>
      <c r="H508" s="84" t="s">
        <v>1488</v>
      </c>
      <c r="I508" s="84" t="s">
        <v>449</v>
      </c>
      <c r="J508" s="84" t="s">
        <v>456</v>
      </c>
      <c r="K508" s="84" t="s">
        <v>449</v>
      </c>
      <c r="L508" s="84" t="s">
        <v>457</v>
      </c>
      <c r="M508" s="90" t="str">
        <f t="shared" si="10"/>
        <v>View on Google Map</v>
      </c>
    </row>
    <row r="509" spans="1:13" x14ac:dyDescent="0.2">
      <c r="A509" s="84">
        <v>493</v>
      </c>
      <c r="B509" s="84" t="s">
        <v>1489</v>
      </c>
      <c r="C509" s="84" t="s">
        <v>449</v>
      </c>
      <c r="D509" s="84">
        <v>68.974933332999996</v>
      </c>
      <c r="E509" s="84">
        <v>-150.221066667</v>
      </c>
      <c r="F509" s="84">
        <v>364</v>
      </c>
      <c r="G509" s="84" t="s">
        <v>460</v>
      </c>
      <c r="H509" s="84" t="s">
        <v>449</v>
      </c>
      <c r="I509" s="84" t="s">
        <v>449</v>
      </c>
      <c r="J509" s="84" t="s">
        <v>510</v>
      </c>
      <c r="K509" s="84" t="s">
        <v>449</v>
      </c>
      <c r="L509" s="84" t="s">
        <v>457</v>
      </c>
      <c r="M509" s="90" t="str">
        <f t="shared" si="10"/>
        <v>View on Google Map</v>
      </c>
    </row>
    <row r="510" spans="1:13" x14ac:dyDescent="0.2">
      <c r="A510" s="84">
        <v>405</v>
      </c>
      <c r="B510" s="84" t="s">
        <v>1490</v>
      </c>
      <c r="C510" s="84" t="s">
        <v>449</v>
      </c>
      <c r="D510" s="84" t="s">
        <v>449</v>
      </c>
      <c r="E510" s="84" t="s">
        <v>449</v>
      </c>
      <c r="F510" s="84" t="s">
        <v>449</v>
      </c>
      <c r="G510" s="84" t="s">
        <v>460</v>
      </c>
      <c r="H510" s="84" t="s">
        <v>449</v>
      </c>
      <c r="I510" s="84" t="s">
        <v>449</v>
      </c>
      <c r="J510" s="84" t="s">
        <v>475</v>
      </c>
      <c r="K510" s="84" t="s">
        <v>449</v>
      </c>
      <c r="L510" s="84" t="s">
        <v>631</v>
      </c>
      <c r="M510" s="90" t="str">
        <f t="shared" si="10"/>
        <v>View on Google Map</v>
      </c>
    </row>
    <row r="511" spans="1:13" x14ac:dyDescent="0.2">
      <c r="A511" s="84">
        <v>505</v>
      </c>
      <c r="B511" s="84" t="s">
        <v>1491</v>
      </c>
      <c r="C511" s="84" t="s">
        <v>449</v>
      </c>
      <c r="D511" s="84">
        <v>68.921059</v>
      </c>
      <c r="E511" s="84">
        <v>-150.34784300000001</v>
      </c>
      <c r="F511" s="84" t="s">
        <v>449</v>
      </c>
      <c r="G511" s="84" t="s">
        <v>460</v>
      </c>
      <c r="H511" s="84" t="s">
        <v>449</v>
      </c>
      <c r="I511" s="84" t="s">
        <v>449</v>
      </c>
      <c r="J511" s="84" t="s">
        <v>510</v>
      </c>
      <c r="K511" s="84" t="s">
        <v>449</v>
      </c>
      <c r="L511" s="84" t="s">
        <v>457</v>
      </c>
      <c r="M511" s="90" t="str">
        <f t="shared" si="10"/>
        <v>View on Google Map</v>
      </c>
    </row>
    <row r="512" spans="1:13" x14ac:dyDescent="0.2">
      <c r="A512" s="84">
        <v>506</v>
      </c>
      <c r="B512" s="84" t="s">
        <v>1492</v>
      </c>
      <c r="C512" s="84" t="s">
        <v>449</v>
      </c>
      <c r="D512" s="84">
        <v>68.921186000000006</v>
      </c>
      <c r="E512" s="84">
        <v>-150.37015</v>
      </c>
      <c r="F512" s="84" t="s">
        <v>449</v>
      </c>
      <c r="G512" s="84" t="s">
        <v>460</v>
      </c>
      <c r="H512" s="84" t="s">
        <v>449</v>
      </c>
      <c r="I512" s="84" t="s">
        <v>449</v>
      </c>
      <c r="J512" s="84" t="s">
        <v>510</v>
      </c>
      <c r="K512" s="84" t="s">
        <v>449</v>
      </c>
      <c r="L512" s="84" t="s">
        <v>457</v>
      </c>
      <c r="M512" s="90" t="str">
        <f t="shared" si="10"/>
        <v>View on Google Map</v>
      </c>
    </row>
    <row r="513" spans="1:13" x14ac:dyDescent="0.2">
      <c r="A513" s="84">
        <v>507</v>
      </c>
      <c r="B513" s="84" t="s">
        <v>1493</v>
      </c>
      <c r="C513" s="84" t="s">
        <v>449</v>
      </c>
      <c r="D513" s="84">
        <v>68.936953000000003</v>
      </c>
      <c r="E513" s="84">
        <v>-150.35309699999999</v>
      </c>
      <c r="F513" s="84" t="s">
        <v>449</v>
      </c>
      <c r="G513" s="84" t="s">
        <v>460</v>
      </c>
      <c r="H513" s="84" t="s">
        <v>449</v>
      </c>
      <c r="I513" s="84" t="s">
        <v>449</v>
      </c>
      <c r="J513" s="84" t="s">
        <v>510</v>
      </c>
      <c r="K513" s="84" t="s">
        <v>449</v>
      </c>
      <c r="L513" s="84" t="s">
        <v>457</v>
      </c>
      <c r="M513" s="90" t="str">
        <f t="shared" si="10"/>
        <v>View on Google Map</v>
      </c>
    </row>
    <row r="514" spans="1:13" x14ac:dyDescent="0.2">
      <c r="A514" s="84">
        <v>12</v>
      </c>
      <c r="B514" s="84" t="s">
        <v>1494</v>
      </c>
      <c r="C514" s="84" t="s">
        <v>449</v>
      </c>
      <c r="D514" s="84" t="s">
        <v>449</v>
      </c>
      <c r="E514" s="84" t="s">
        <v>449</v>
      </c>
      <c r="F514" s="84" t="s">
        <v>449</v>
      </c>
      <c r="G514" s="84" t="s">
        <v>474</v>
      </c>
      <c r="H514" s="84" t="s">
        <v>449</v>
      </c>
      <c r="I514" s="84" t="s">
        <v>449</v>
      </c>
      <c r="J514" s="84" t="s">
        <v>475</v>
      </c>
      <c r="K514" s="84" t="s">
        <v>449</v>
      </c>
      <c r="L514" s="84" t="s">
        <v>449</v>
      </c>
      <c r="M514" s="90" t="str">
        <f t="shared" si="10"/>
        <v>View on Google Map</v>
      </c>
    </row>
    <row r="515" spans="1:13" x14ac:dyDescent="0.2">
      <c r="A515" s="84">
        <v>4</v>
      </c>
      <c r="B515" s="84" t="s">
        <v>1495</v>
      </c>
      <c r="C515" s="84" t="s">
        <v>473</v>
      </c>
      <c r="D515" s="84">
        <v>68.38333333333334</v>
      </c>
      <c r="E515" s="84">
        <v>-149.31666666666666</v>
      </c>
      <c r="F515" s="84">
        <v>869</v>
      </c>
      <c r="G515" s="84" t="s">
        <v>474</v>
      </c>
      <c r="H515" s="84" t="s">
        <v>1496</v>
      </c>
      <c r="I515" s="84" t="s">
        <v>1497</v>
      </c>
      <c r="J515" s="84" t="s">
        <v>475</v>
      </c>
      <c r="K515" s="84" t="s">
        <v>449</v>
      </c>
      <c r="L515" s="84" t="s">
        <v>476</v>
      </c>
      <c r="M515" s="90" t="str">
        <f t="shared" ref="M515:M578" si="11">HYPERLINK("http://maps.google.com/maps?q="&amp;D515&amp;","&amp;E515,"View on Google Map")</f>
        <v>View on Google Map</v>
      </c>
    </row>
    <row r="516" spans="1:13" x14ac:dyDescent="0.2">
      <c r="A516" s="84">
        <v>148</v>
      </c>
      <c r="B516" s="84" t="s">
        <v>1498</v>
      </c>
      <c r="C516" s="84" t="s">
        <v>449</v>
      </c>
      <c r="D516" s="84">
        <v>68.624535966600007</v>
      </c>
      <c r="E516" s="84">
        <v>-149.60216609099999</v>
      </c>
      <c r="F516" s="84">
        <v>720</v>
      </c>
      <c r="G516" s="84" t="s">
        <v>460</v>
      </c>
      <c r="H516" s="84" t="s">
        <v>449</v>
      </c>
      <c r="I516" s="84" t="s">
        <v>449</v>
      </c>
      <c r="J516" s="84" t="s">
        <v>475</v>
      </c>
      <c r="K516" s="84" t="s">
        <v>449</v>
      </c>
      <c r="L516" s="84" t="s">
        <v>449</v>
      </c>
      <c r="M516" s="90" t="str">
        <f t="shared" si="11"/>
        <v>View on Google Map</v>
      </c>
    </row>
    <row r="517" spans="1:13" x14ac:dyDescent="0.2">
      <c r="A517" s="84">
        <v>241</v>
      </c>
      <c r="B517" s="84" t="s">
        <v>1498</v>
      </c>
      <c r="C517" s="84" t="s">
        <v>449</v>
      </c>
      <c r="D517" s="84">
        <v>68.624535966600007</v>
      </c>
      <c r="E517" s="84">
        <v>-149.60216609099999</v>
      </c>
      <c r="F517" s="84" t="s">
        <v>449</v>
      </c>
      <c r="G517" s="84" t="s">
        <v>460</v>
      </c>
      <c r="H517" s="84" t="s">
        <v>449</v>
      </c>
      <c r="I517" s="84" t="s">
        <v>449</v>
      </c>
      <c r="J517" s="84" t="s">
        <v>475</v>
      </c>
      <c r="K517" s="84" t="s">
        <v>449</v>
      </c>
      <c r="L517" s="84" t="s">
        <v>449</v>
      </c>
      <c r="M517" s="90" t="str">
        <f t="shared" si="11"/>
        <v>View on Google Map</v>
      </c>
    </row>
    <row r="518" spans="1:13" x14ac:dyDescent="0.2">
      <c r="A518" s="84">
        <v>149</v>
      </c>
      <c r="B518" s="84" t="s">
        <v>1499</v>
      </c>
      <c r="C518" s="84" t="s">
        <v>449</v>
      </c>
      <c r="D518" s="84">
        <v>68.627169078600005</v>
      </c>
      <c r="E518" s="84">
        <v>-149.61135296200001</v>
      </c>
      <c r="F518" s="84">
        <v>720</v>
      </c>
      <c r="G518" s="84" t="s">
        <v>460</v>
      </c>
      <c r="H518" s="84" t="s">
        <v>449</v>
      </c>
      <c r="I518" s="84" t="s">
        <v>449</v>
      </c>
      <c r="J518" s="84" t="s">
        <v>475</v>
      </c>
      <c r="K518" s="84" t="s">
        <v>449</v>
      </c>
      <c r="L518" s="84" t="s">
        <v>449</v>
      </c>
      <c r="M518" s="90" t="str">
        <f t="shared" si="11"/>
        <v>View on Google Map</v>
      </c>
    </row>
    <row r="519" spans="1:13" x14ac:dyDescent="0.2">
      <c r="A519" s="84">
        <v>150</v>
      </c>
      <c r="B519" s="84" t="s">
        <v>1500</v>
      </c>
      <c r="C519" s="84" t="s">
        <v>449</v>
      </c>
      <c r="D519" s="84">
        <v>68.628818623300006</v>
      </c>
      <c r="E519" s="84">
        <v>-149.62482197599999</v>
      </c>
      <c r="F519" s="84">
        <v>720</v>
      </c>
      <c r="G519" s="84" t="s">
        <v>460</v>
      </c>
      <c r="H519" s="84" t="s">
        <v>449</v>
      </c>
      <c r="I519" s="84" t="s">
        <v>449</v>
      </c>
      <c r="J519" s="84" t="s">
        <v>475</v>
      </c>
      <c r="K519" s="84" t="s">
        <v>449</v>
      </c>
      <c r="L519" s="84" t="s">
        <v>449</v>
      </c>
      <c r="M519" s="90" t="str">
        <f t="shared" si="11"/>
        <v>View on Google Map</v>
      </c>
    </row>
    <row r="520" spans="1:13" x14ac:dyDescent="0.2">
      <c r="A520" s="84">
        <v>151</v>
      </c>
      <c r="B520" s="84" t="s">
        <v>1501</v>
      </c>
      <c r="C520" s="84" t="s">
        <v>449</v>
      </c>
      <c r="D520" s="84">
        <v>68.630949932700005</v>
      </c>
      <c r="E520" s="84">
        <v>-149.62993150400001</v>
      </c>
      <c r="F520" s="84" t="s">
        <v>449</v>
      </c>
      <c r="G520" s="84" t="s">
        <v>460</v>
      </c>
      <c r="H520" s="84" t="s">
        <v>449</v>
      </c>
      <c r="I520" s="84" t="s">
        <v>449</v>
      </c>
      <c r="J520" s="84" t="s">
        <v>475</v>
      </c>
      <c r="K520" s="84" t="s">
        <v>449</v>
      </c>
      <c r="L520" s="84" t="s">
        <v>449</v>
      </c>
      <c r="M520" s="90" t="str">
        <f t="shared" si="11"/>
        <v>View on Google Map</v>
      </c>
    </row>
    <row r="521" spans="1:13" x14ac:dyDescent="0.2">
      <c r="A521" s="84">
        <v>106</v>
      </c>
      <c r="B521" s="84" t="s">
        <v>1502</v>
      </c>
      <c r="C521" s="84" t="s">
        <v>449</v>
      </c>
      <c r="D521" s="84">
        <v>68.631431924799998</v>
      </c>
      <c r="E521" s="84">
        <v>-149.63669249099999</v>
      </c>
      <c r="F521" s="84">
        <v>725</v>
      </c>
      <c r="G521" s="84" t="s">
        <v>460</v>
      </c>
      <c r="H521" s="84" t="s">
        <v>1503</v>
      </c>
      <c r="I521" s="84" t="s">
        <v>449</v>
      </c>
      <c r="J521" s="84" t="s">
        <v>475</v>
      </c>
      <c r="K521" s="84" t="s">
        <v>449</v>
      </c>
      <c r="L521" s="84" t="s">
        <v>449</v>
      </c>
      <c r="M521" s="90" t="str">
        <f t="shared" si="11"/>
        <v>View on Google Map</v>
      </c>
    </row>
    <row r="522" spans="1:13" x14ac:dyDescent="0.2">
      <c r="A522" s="84">
        <v>107</v>
      </c>
      <c r="B522" s="84" t="s">
        <v>1504</v>
      </c>
      <c r="C522" s="84" t="s">
        <v>449</v>
      </c>
      <c r="D522" s="84">
        <v>68.629379781599994</v>
      </c>
      <c r="E522" s="84">
        <v>-149.64162329499999</v>
      </c>
      <c r="F522" s="84">
        <v>731</v>
      </c>
      <c r="G522" s="84" t="s">
        <v>460</v>
      </c>
      <c r="H522" s="84" t="s">
        <v>1505</v>
      </c>
      <c r="I522" s="84" t="s">
        <v>449</v>
      </c>
      <c r="J522" s="84" t="s">
        <v>475</v>
      </c>
      <c r="K522" s="84" t="s">
        <v>449</v>
      </c>
      <c r="L522" s="84" t="s">
        <v>449</v>
      </c>
      <c r="M522" s="90" t="str">
        <f t="shared" si="11"/>
        <v>View on Google Map</v>
      </c>
    </row>
    <row r="523" spans="1:13" x14ac:dyDescent="0.2">
      <c r="A523" s="84">
        <v>1603</v>
      </c>
      <c r="B523" s="84" t="s">
        <v>1506</v>
      </c>
      <c r="C523" s="84" t="s">
        <v>449</v>
      </c>
      <c r="D523" s="84" t="s">
        <v>449</v>
      </c>
      <c r="E523" s="84" t="s">
        <v>449</v>
      </c>
      <c r="F523" s="84" t="s">
        <v>449</v>
      </c>
      <c r="G523" s="84" t="s">
        <v>474</v>
      </c>
      <c r="H523" s="84" t="s">
        <v>1507</v>
      </c>
      <c r="I523" s="84" t="s">
        <v>1508</v>
      </c>
      <c r="J523" s="84" t="s">
        <v>475</v>
      </c>
      <c r="K523" s="84" t="s">
        <v>449</v>
      </c>
      <c r="L523" s="84" t="s">
        <v>449</v>
      </c>
      <c r="M523" s="90" t="str">
        <f t="shared" si="11"/>
        <v>View on Google Map</v>
      </c>
    </row>
    <row r="524" spans="1:13" x14ac:dyDescent="0.2">
      <c r="A524" s="84">
        <v>152</v>
      </c>
      <c r="B524" s="84" t="s">
        <v>1509</v>
      </c>
      <c r="C524" s="84" t="s">
        <v>449</v>
      </c>
      <c r="D524" s="84">
        <v>68.630062744699998</v>
      </c>
      <c r="E524" s="84">
        <v>-149.64444178900001</v>
      </c>
      <c r="F524" s="84">
        <v>731</v>
      </c>
      <c r="G524" s="84" t="s">
        <v>460</v>
      </c>
      <c r="H524" s="84" t="s">
        <v>449</v>
      </c>
      <c r="I524" s="84" t="s">
        <v>449</v>
      </c>
      <c r="J524" s="84" t="s">
        <v>475</v>
      </c>
      <c r="K524" s="84" t="s">
        <v>449</v>
      </c>
      <c r="L524" s="84" t="s">
        <v>449</v>
      </c>
      <c r="M524" s="90" t="str">
        <f t="shared" si="11"/>
        <v>View on Google Map</v>
      </c>
    </row>
    <row r="525" spans="1:13" x14ac:dyDescent="0.2">
      <c r="A525" s="84">
        <v>1601</v>
      </c>
      <c r="B525" s="84" t="s">
        <v>1510</v>
      </c>
      <c r="C525" s="84" t="s">
        <v>449</v>
      </c>
      <c r="D525" s="84" t="s">
        <v>449</v>
      </c>
      <c r="E525" s="84" t="s">
        <v>449</v>
      </c>
      <c r="F525" s="84" t="s">
        <v>449</v>
      </c>
      <c r="G525" s="84" t="s">
        <v>449</v>
      </c>
      <c r="H525" s="84" t="s">
        <v>1511</v>
      </c>
      <c r="I525" s="84" t="s">
        <v>1512</v>
      </c>
      <c r="J525" s="5" t="s">
        <v>475</v>
      </c>
      <c r="K525" s="84" t="s">
        <v>449</v>
      </c>
      <c r="L525" s="84" t="s">
        <v>449</v>
      </c>
      <c r="M525" s="90" t="str">
        <f t="shared" si="11"/>
        <v>View on Google Map</v>
      </c>
    </row>
    <row r="526" spans="1:13" x14ac:dyDescent="0.2">
      <c r="A526" s="84">
        <v>1602</v>
      </c>
      <c r="B526" s="84" t="s">
        <v>1513</v>
      </c>
      <c r="C526" s="84" t="s">
        <v>449</v>
      </c>
      <c r="D526" s="84" t="s">
        <v>449</v>
      </c>
      <c r="E526" s="84" t="s">
        <v>449</v>
      </c>
      <c r="F526" s="84" t="s">
        <v>449</v>
      </c>
      <c r="G526" s="84" t="s">
        <v>449</v>
      </c>
      <c r="H526" s="84" t="s">
        <v>1514</v>
      </c>
      <c r="I526" s="84" t="s">
        <v>1515</v>
      </c>
      <c r="J526" s="5" t="s">
        <v>475</v>
      </c>
      <c r="K526" s="84" t="s">
        <v>449</v>
      </c>
      <c r="L526" s="84" t="s">
        <v>449</v>
      </c>
      <c r="M526" s="90" t="str">
        <f t="shared" si="11"/>
        <v>View on Google Map</v>
      </c>
    </row>
    <row r="527" spans="1:13" x14ac:dyDescent="0.2">
      <c r="A527" s="84">
        <v>153</v>
      </c>
      <c r="B527" s="84" t="s">
        <v>1516</v>
      </c>
      <c r="C527" s="84" t="s">
        <v>449</v>
      </c>
      <c r="D527" s="84" t="s">
        <v>449</v>
      </c>
      <c r="E527" s="84" t="s">
        <v>449</v>
      </c>
      <c r="F527" s="84" t="s">
        <v>449</v>
      </c>
      <c r="G527" s="84" t="s">
        <v>460</v>
      </c>
      <c r="H527" s="84" t="s">
        <v>449</v>
      </c>
      <c r="I527" s="84" t="s">
        <v>449</v>
      </c>
      <c r="J527" s="84" t="s">
        <v>475</v>
      </c>
      <c r="K527" s="84" t="s">
        <v>449</v>
      </c>
      <c r="L527" s="84" t="s">
        <v>449</v>
      </c>
      <c r="M527" s="90" t="str">
        <f t="shared" si="11"/>
        <v>View on Google Map</v>
      </c>
    </row>
    <row r="528" spans="1:13" x14ac:dyDescent="0.2">
      <c r="A528" s="84">
        <v>154</v>
      </c>
      <c r="B528" s="84" t="s">
        <v>1517</v>
      </c>
      <c r="C528" s="84" t="s">
        <v>449</v>
      </c>
      <c r="D528" s="84" t="s">
        <v>449</v>
      </c>
      <c r="E528" s="84" t="s">
        <v>449</v>
      </c>
      <c r="F528" s="84" t="s">
        <v>449</v>
      </c>
      <c r="G528" s="84" t="s">
        <v>460</v>
      </c>
      <c r="H528" s="84" t="s">
        <v>449</v>
      </c>
      <c r="I528" s="84" t="s">
        <v>449</v>
      </c>
      <c r="J528" s="84" t="s">
        <v>475</v>
      </c>
      <c r="K528" s="84" t="s">
        <v>449</v>
      </c>
      <c r="L528" s="84" t="s">
        <v>449</v>
      </c>
      <c r="M528" s="90" t="str">
        <f t="shared" si="11"/>
        <v>View on Google Map</v>
      </c>
    </row>
    <row r="529" spans="1:13" x14ac:dyDescent="0.2">
      <c r="A529" s="84">
        <v>155</v>
      </c>
      <c r="B529" s="84" t="s">
        <v>1518</v>
      </c>
      <c r="C529" s="84" t="s">
        <v>449</v>
      </c>
      <c r="D529" s="84" t="s">
        <v>449</v>
      </c>
      <c r="E529" s="84" t="s">
        <v>449</v>
      </c>
      <c r="F529" s="84" t="s">
        <v>449</v>
      </c>
      <c r="G529" s="84" t="s">
        <v>460</v>
      </c>
      <c r="H529" s="84" t="s">
        <v>449</v>
      </c>
      <c r="I529" s="84" t="s">
        <v>449</v>
      </c>
      <c r="J529" s="84" t="s">
        <v>475</v>
      </c>
      <c r="K529" s="84" t="s">
        <v>449</v>
      </c>
      <c r="L529" s="84" t="s">
        <v>449</v>
      </c>
      <c r="M529" s="90" t="str">
        <f t="shared" si="11"/>
        <v>View on Google Map</v>
      </c>
    </row>
    <row r="530" spans="1:13" x14ac:dyDescent="0.2">
      <c r="A530" s="84">
        <v>156</v>
      </c>
      <c r="B530" s="84" t="s">
        <v>1519</v>
      </c>
      <c r="C530" s="84" t="s">
        <v>449</v>
      </c>
      <c r="D530" s="84">
        <v>68.630148048999999</v>
      </c>
      <c r="E530" s="84">
        <v>-149.65057914499999</v>
      </c>
      <c r="F530" s="84">
        <v>750</v>
      </c>
      <c r="G530" s="84" t="s">
        <v>460</v>
      </c>
      <c r="H530" s="84" t="s">
        <v>449</v>
      </c>
      <c r="I530" s="84" t="s">
        <v>449</v>
      </c>
      <c r="J530" s="84" t="s">
        <v>475</v>
      </c>
      <c r="K530" s="84" t="s">
        <v>449</v>
      </c>
      <c r="L530" s="84" t="s">
        <v>449</v>
      </c>
      <c r="M530" s="90" t="str">
        <f t="shared" si="11"/>
        <v>View on Google Map</v>
      </c>
    </row>
    <row r="531" spans="1:13" x14ac:dyDescent="0.2">
      <c r="A531" s="84">
        <v>157</v>
      </c>
      <c r="B531" s="84" t="s">
        <v>1520</v>
      </c>
      <c r="C531" s="84" t="s">
        <v>449</v>
      </c>
      <c r="D531" s="84">
        <v>68.629627802900004</v>
      </c>
      <c r="E531" s="84">
        <v>-149.655880887</v>
      </c>
      <c r="F531" s="84">
        <v>754</v>
      </c>
      <c r="G531" s="84" t="s">
        <v>460</v>
      </c>
      <c r="H531" s="84" t="s">
        <v>449</v>
      </c>
      <c r="I531" s="84" t="s">
        <v>449</v>
      </c>
      <c r="J531" s="84" t="s">
        <v>475</v>
      </c>
      <c r="K531" s="84" t="s">
        <v>449</v>
      </c>
      <c r="L531" s="84" t="s">
        <v>449</v>
      </c>
      <c r="M531" s="90" t="str">
        <f t="shared" si="11"/>
        <v>View on Google Map</v>
      </c>
    </row>
    <row r="532" spans="1:13" x14ac:dyDescent="0.2">
      <c r="A532" s="84">
        <v>158</v>
      </c>
      <c r="B532" s="84" t="s">
        <v>1521</v>
      </c>
      <c r="C532" s="84" t="s">
        <v>449</v>
      </c>
      <c r="D532" s="84">
        <v>68.631486568699998</v>
      </c>
      <c r="E532" s="84">
        <v>-149.65910231699999</v>
      </c>
      <c r="F532" s="84">
        <v>754</v>
      </c>
      <c r="G532" s="84" t="s">
        <v>460</v>
      </c>
      <c r="H532" s="84" t="s">
        <v>449</v>
      </c>
      <c r="I532" s="84" t="s">
        <v>449</v>
      </c>
      <c r="J532" s="84" t="s">
        <v>475</v>
      </c>
      <c r="K532" s="84" t="s">
        <v>449</v>
      </c>
      <c r="L532" s="84" t="s">
        <v>449</v>
      </c>
      <c r="M532" s="90" t="str">
        <f t="shared" si="11"/>
        <v>View on Google Map</v>
      </c>
    </row>
    <row r="533" spans="1:13" x14ac:dyDescent="0.2">
      <c r="A533" s="84">
        <v>169</v>
      </c>
      <c r="B533" s="84" t="s">
        <v>1522</v>
      </c>
      <c r="C533" s="84" t="s">
        <v>449</v>
      </c>
      <c r="D533" s="84" t="s">
        <v>449</v>
      </c>
      <c r="E533" s="84" t="s">
        <v>449</v>
      </c>
      <c r="F533" s="84" t="s">
        <v>449</v>
      </c>
      <c r="G533" s="84" t="s">
        <v>460</v>
      </c>
      <c r="H533" s="84" t="s">
        <v>449</v>
      </c>
      <c r="I533" s="84" t="s">
        <v>449</v>
      </c>
      <c r="J533" s="84" t="s">
        <v>475</v>
      </c>
      <c r="K533" s="84" t="s">
        <v>449</v>
      </c>
      <c r="L533" s="84" t="s">
        <v>449</v>
      </c>
      <c r="M533" s="90" t="str">
        <f t="shared" si="11"/>
        <v>View on Google Map</v>
      </c>
    </row>
    <row r="534" spans="1:13" x14ac:dyDescent="0.2">
      <c r="A534" s="84">
        <v>170</v>
      </c>
      <c r="B534" s="84" t="s">
        <v>1523</v>
      </c>
      <c r="C534" s="84" t="s">
        <v>449</v>
      </c>
      <c r="D534" s="84" t="s">
        <v>449</v>
      </c>
      <c r="E534" s="84" t="s">
        <v>449</v>
      </c>
      <c r="F534" s="84" t="s">
        <v>449</v>
      </c>
      <c r="G534" s="84" t="s">
        <v>460</v>
      </c>
      <c r="H534" s="84" t="s">
        <v>449</v>
      </c>
      <c r="I534" s="84" t="s">
        <v>449</v>
      </c>
      <c r="J534" s="84" t="s">
        <v>475</v>
      </c>
      <c r="K534" s="84" t="s">
        <v>449</v>
      </c>
      <c r="L534" s="84" t="s">
        <v>449</v>
      </c>
      <c r="M534" s="90" t="str">
        <f t="shared" si="11"/>
        <v>View on Google Map</v>
      </c>
    </row>
    <row r="535" spans="1:13" x14ac:dyDescent="0.2">
      <c r="A535" s="84">
        <v>136</v>
      </c>
      <c r="B535" s="84" t="s">
        <v>1524</v>
      </c>
      <c r="C535" s="84" t="s">
        <v>449</v>
      </c>
      <c r="D535" s="84">
        <v>70.233333333333334</v>
      </c>
      <c r="E535" s="84">
        <v>-148.25</v>
      </c>
      <c r="F535" s="84">
        <v>10</v>
      </c>
      <c r="G535" s="84" t="s">
        <v>460</v>
      </c>
      <c r="H535" s="84" t="s">
        <v>1525</v>
      </c>
      <c r="I535" s="84" t="s">
        <v>449</v>
      </c>
      <c r="J535" s="84" t="s">
        <v>475</v>
      </c>
      <c r="K535" s="84" t="s">
        <v>449</v>
      </c>
      <c r="L535" s="84" t="s">
        <v>476</v>
      </c>
      <c r="M535" s="90" t="str">
        <f t="shared" si="11"/>
        <v>View on Google Map</v>
      </c>
    </row>
    <row r="536" spans="1:13" x14ac:dyDescent="0.2">
      <c r="A536" s="84">
        <v>6</v>
      </c>
      <c r="B536" s="84" t="s">
        <v>1526</v>
      </c>
      <c r="C536" s="84" t="s">
        <v>449</v>
      </c>
      <c r="D536" s="84" t="s">
        <v>449</v>
      </c>
      <c r="E536" s="84" t="s">
        <v>449</v>
      </c>
      <c r="F536" s="84">
        <v>457</v>
      </c>
      <c r="G536" s="84" t="s">
        <v>474</v>
      </c>
      <c r="H536" s="84" t="s">
        <v>1527</v>
      </c>
      <c r="I536" s="84" t="s">
        <v>1528</v>
      </c>
      <c r="J536" s="84" t="s">
        <v>475</v>
      </c>
      <c r="K536" s="84" t="s">
        <v>449</v>
      </c>
      <c r="L536" s="84" t="s">
        <v>476</v>
      </c>
      <c r="M536" s="90" t="str">
        <f t="shared" si="11"/>
        <v>View on Google Map</v>
      </c>
    </row>
    <row r="537" spans="1:13" x14ac:dyDescent="0.2">
      <c r="A537" s="84">
        <v>20</v>
      </c>
      <c r="B537" s="84" t="s">
        <v>1529</v>
      </c>
      <c r="C537" s="84" t="s">
        <v>449</v>
      </c>
      <c r="D537" s="84" t="s">
        <v>449</v>
      </c>
      <c r="E537" s="84" t="s">
        <v>449</v>
      </c>
      <c r="F537" s="84" t="s">
        <v>449</v>
      </c>
      <c r="G537" s="84" t="s">
        <v>474</v>
      </c>
      <c r="H537" s="84" t="s">
        <v>449</v>
      </c>
      <c r="I537" s="84" t="s">
        <v>449</v>
      </c>
      <c r="J537" s="84" t="s">
        <v>475</v>
      </c>
      <c r="K537" s="84" t="s">
        <v>449</v>
      </c>
      <c r="L537" s="84" t="s">
        <v>449</v>
      </c>
      <c r="M537" s="90" t="str">
        <f t="shared" si="11"/>
        <v>View on Google Map</v>
      </c>
    </row>
    <row r="538" spans="1:13" x14ac:dyDescent="0.2">
      <c r="A538" s="84">
        <v>1176</v>
      </c>
      <c r="B538" s="84" t="s">
        <v>1530</v>
      </c>
      <c r="C538" s="84" t="s">
        <v>481</v>
      </c>
      <c r="D538" s="84">
        <v>68.996418329999997</v>
      </c>
      <c r="E538" s="84">
        <v>-150.27895670000001</v>
      </c>
      <c r="F538" s="84" t="s">
        <v>449</v>
      </c>
      <c r="G538" s="84" t="s">
        <v>450</v>
      </c>
      <c r="H538" s="84" t="s">
        <v>449</v>
      </c>
      <c r="I538" s="84" t="s">
        <v>449</v>
      </c>
      <c r="J538" s="84" t="s">
        <v>456</v>
      </c>
      <c r="K538" s="84" t="s">
        <v>449</v>
      </c>
      <c r="L538" s="84" t="s">
        <v>457</v>
      </c>
      <c r="M538" s="90" t="str">
        <f t="shared" si="11"/>
        <v>View on Google Map</v>
      </c>
    </row>
    <row r="539" spans="1:13" x14ac:dyDescent="0.2">
      <c r="A539" s="84">
        <v>509</v>
      </c>
      <c r="B539" s="84" t="s">
        <v>1531</v>
      </c>
      <c r="C539" s="84" t="s">
        <v>459</v>
      </c>
      <c r="D539" s="84">
        <v>68.338126000000003</v>
      </c>
      <c r="E539" s="84">
        <v>-151.061735</v>
      </c>
      <c r="F539" s="84">
        <v>840</v>
      </c>
      <c r="G539" s="84" t="s">
        <v>460</v>
      </c>
      <c r="H539" s="84" t="s">
        <v>449</v>
      </c>
      <c r="I539" s="84" t="s">
        <v>449</v>
      </c>
      <c r="J539" s="84" t="s">
        <v>461</v>
      </c>
      <c r="K539" s="84" t="s">
        <v>449</v>
      </c>
      <c r="L539" s="84" t="s">
        <v>462</v>
      </c>
      <c r="M539" s="90" t="str">
        <f t="shared" si="11"/>
        <v>View on Google Map</v>
      </c>
    </row>
    <row r="540" spans="1:13" x14ac:dyDescent="0.2">
      <c r="A540" s="84">
        <v>36</v>
      </c>
      <c r="B540" s="84" t="s">
        <v>1532</v>
      </c>
      <c r="C540" s="84" t="s">
        <v>449</v>
      </c>
      <c r="D540" s="84">
        <v>69.233333333333334</v>
      </c>
      <c r="E540" s="84">
        <v>-150.804383333</v>
      </c>
      <c r="F540" s="84">
        <v>181.97</v>
      </c>
      <c r="G540" s="84" t="s">
        <v>474</v>
      </c>
      <c r="H540" s="84" t="s">
        <v>449</v>
      </c>
      <c r="I540" s="84" t="s">
        <v>449</v>
      </c>
      <c r="J540" s="84" t="s">
        <v>510</v>
      </c>
      <c r="K540" s="84" t="s">
        <v>449</v>
      </c>
      <c r="L540" s="84" t="s">
        <v>457</v>
      </c>
      <c r="M540" s="90" t="str">
        <f t="shared" si="11"/>
        <v>View on Google Map</v>
      </c>
    </row>
    <row r="541" spans="1:13" x14ac:dyDescent="0.2">
      <c r="A541" s="84">
        <v>37</v>
      </c>
      <c r="B541" s="84" t="s">
        <v>1533</v>
      </c>
      <c r="C541" s="84" t="s">
        <v>449</v>
      </c>
      <c r="D541" s="84">
        <v>68.289683333333329</v>
      </c>
      <c r="E541" s="84">
        <v>-150.91499999999999</v>
      </c>
      <c r="F541" s="84">
        <v>392</v>
      </c>
      <c r="G541" s="84" t="s">
        <v>474</v>
      </c>
      <c r="H541" s="84" t="s">
        <v>449</v>
      </c>
      <c r="I541" s="84" t="s">
        <v>449</v>
      </c>
      <c r="J541" s="84" t="s">
        <v>510</v>
      </c>
      <c r="K541" s="84" t="s">
        <v>449</v>
      </c>
      <c r="L541" s="84" t="s">
        <v>457</v>
      </c>
      <c r="M541" s="90" t="str">
        <f t="shared" si="11"/>
        <v>View on Google Map</v>
      </c>
    </row>
    <row r="542" spans="1:13" x14ac:dyDescent="0.2">
      <c r="A542" s="84">
        <v>130</v>
      </c>
      <c r="B542" s="84" t="s">
        <v>1534</v>
      </c>
      <c r="C542" s="84" t="s">
        <v>1535</v>
      </c>
      <c r="D542" s="84">
        <v>70.083333333333329</v>
      </c>
      <c r="E542" s="84">
        <v>-148.53333333333299</v>
      </c>
      <c r="F542" s="84">
        <v>24</v>
      </c>
      <c r="G542" s="84" t="s">
        <v>460</v>
      </c>
      <c r="H542" s="84" t="s">
        <v>1536</v>
      </c>
      <c r="I542" s="84" t="s">
        <v>449</v>
      </c>
      <c r="J542" s="84" t="s">
        <v>475</v>
      </c>
      <c r="K542" s="84" t="s">
        <v>449</v>
      </c>
      <c r="L542" s="84" t="s">
        <v>476</v>
      </c>
      <c r="M542" s="90" t="str">
        <f t="shared" si="11"/>
        <v>View on Google Map</v>
      </c>
    </row>
    <row r="543" spans="1:13" x14ac:dyDescent="0.2">
      <c r="A543" s="84">
        <v>519</v>
      </c>
      <c r="B543" s="84" t="s">
        <v>1537</v>
      </c>
      <c r="C543" s="84" t="s">
        <v>459</v>
      </c>
      <c r="D543" s="84">
        <v>68.802636000000007</v>
      </c>
      <c r="E543" s="84">
        <v>-150.78539699999999</v>
      </c>
      <c r="F543" s="84">
        <v>411</v>
      </c>
      <c r="G543" s="84" t="s">
        <v>460</v>
      </c>
      <c r="H543" s="84" t="s">
        <v>449</v>
      </c>
      <c r="I543" s="84" t="s">
        <v>449</v>
      </c>
      <c r="J543" s="84" t="s">
        <v>461</v>
      </c>
      <c r="K543" s="84" t="s">
        <v>449</v>
      </c>
      <c r="L543" s="84" t="s">
        <v>462</v>
      </c>
      <c r="M543" s="90" t="str">
        <f t="shared" si="11"/>
        <v>View on Google Map</v>
      </c>
    </row>
    <row r="544" spans="1:13" x14ac:dyDescent="0.2">
      <c r="A544" s="84">
        <v>452</v>
      </c>
      <c r="B544" s="84" t="s">
        <v>1538</v>
      </c>
      <c r="C544" s="84" t="s">
        <v>449</v>
      </c>
      <c r="D544" s="84">
        <v>68.794960000000003</v>
      </c>
      <c r="E544" s="84">
        <v>-149.04813999999999</v>
      </c>
      <c r="F544" s="84">
        <v>754</v>
      </c>
      <c r="G544" s="84" t="s">
        <v>460</v>
      </c>
      <c r="H544" s="84" t="s">
        <v>449</v>
      </c>
      <c r="I544" s="84" t="s">
        <v>449</v>
      </c>
      <c r="J544" s="84" t="s">
        <v>461</v>
      </c>
      <c r="K544" s="84" t="s">
        <v>449</v>
      </c>
      <c r="L544" s="84" t="s">
        <v>449</v>
      </c>
      <c r="M544" s="90" t="str">
        <f t="shared" si="11"/>
        <v>View on Google Map</v>
      </c>
    </row>
    <row r="545" spans="1:13" x14ac:dyDescent="0.2">
      <c r="A545" s="84">
        <v>453</v>
      </c>
      <c r="B545" s="84" t="s">
        <v>1539</v>
      </c>
      <c r="C545" s="84" t="s">
        <v>449</v>
      </c>
      <c r="D545" s="84">
        <v>68.810460000000006</v>
      </c>
      <c r="E545" s="84">
        <v>-149.05207999999999</v>
      </c>
      <c r="F545" s="84">
        <v>727</v>
      </c>
      <c r="G545" s="84" t="s">
        <v>460</v>
      </c>
      <c r="H545" s="84" t="s">
        <v>449</v>
      </c>
      <c r="I545" s="84" t="s">
        <v>449</v>
      </c>
      <c r="J545" s="84" t="s">
        <v>461</v>
      </c>
      <c r="K545" s="84" t="s">
        <v>449</v>
      </c>
      <c r="L545" s="84" t="s">
        <v>449</v>
      </c>
      <c r="M545" s="90" t="str">
        <f t="shared" si="11"/>
        <v>View on Google Map</v>
      </c>
    </row>
    <row r="546" spans="1:13" x14ac:dyDescent="0.2">
      <c r="A546" s="84">
        <v>454</v>
      </c>
      <c r="B546" s="84" t="s">
        <v>1540</v>
      </c>
      <c r="C546" s="84" t="s">
        <v>449</v>
      </c>
      <c r="D546" s="84">
        <v>68.815870000000004</v>
      </c>
      <c r="E546" s="84">
        <v>-149.06173999999999</v>
      </c>
      <c r="F546" s="84">
        <v>715</v>
      </c>
      <c r="G546" s="84" t="s">
        <v>460</v>
      </c>
      <c r="H546" s="84" t="s">
        <v>449</v>
      </c>
      <c r="I546" s="84" t="s">
        <v>449</v>
      </c>
      <c r="J546" s="84" t="s">
        <v>461</v>
      </c>
      <c r="K546" s="84" t="s">
        <v>449</v>
      </c>
      <c r="L546" s="84" t="s">
        <v>449</v>
      </c>
      <c r="M546" s="90" t="str">
        <f t="shared" si="11"/>
        <v>View on Google Map</v>
      </c>
    </row>
    <row r="547" spans="1:13" x14ac:dyDescent="0.2">
      <c r="A547" s="84">
        <v>455</v>
      </c>
      <c r="B547" s="84" t="s">
        <v>1541</v>
      </c>
      <c r="C547" s="84" t="s">
        <v>449</v>
      </c>
      <c r="D547" s="84">
        <v>68.810519999999997</v>
      </c>
      <c r="E547" s="84">
        <v>-149.06282999999999</v>
      </c>
      <c r="F547" s="84">
        <v>728</v>
      </c>
      <c r="G547" s="84" t="s">
        <v>460</v>
      </c>
      <c r="H547" s="84" t="s">
        <v>449</v>
      </c>
      <c r="I547" s="84" t="s">
        <v>449</v>
      </c>
      <c r="J547" s="84" t="s">
        <v>461</v>
      </c>
      <c r="K547" s="84" t="s">
        <v>449</v>
      </c>
      <c r="L547" s="84" t="s">
        <v>449</v>
      </c>
      <c r="M547" s="90" t="str">
        <f t="shared" si="11"/>
        <v>View on Google Map</v>
      </c>
    </row>
    <row r="548" spans="1:13" x14ac:dyDescent="0.2">
      <c r="A548" s="84">
        <v>456</v>
      </c>
      <c r="B548" s="84" t="s">
        <v>1542</v>
      </c>
      <c r="C548" s="84" t="s">
        <v>449</v>
      </c>
      <c r="D548" s="84">
        <v>68.812290000000004</v>
      </c>
      <c r="E548" s="84">
        <v>-149.06899000000001</v>
      </c>
      <c r="F548" s="84">
        <v>730</v>
      </c>
      <c r="G548" s="84" t="s">
        <v>460</v>
      </c>
      <c r="H548" s="84" t="s">
        <v>449</v>
      </c>
      <c r="I548" s="84" t="s">
        <v>449</v>
      </c>
      <c r="J548" s="84" t="s">
        <v>461</v>
      </c>
      <c r="K548" s="84" t="s">
        <v>449</v>
      </c>
      <c r="L548" s="84" t="s">
        <v>449</v>
      </c>
      <c r="M548" s="90" t="str">
        <f t="shared" si="11"/>
        <v>View on Google Map</v>
      </c>
    </row>
    <row r="549" spans="1:13" x14ac:dyDescent="0.2">
      <c r="A549" s="84">
        <v>457</v>
      </c>
      <c r="B549" s="84" t="s">
        <v>1543</v>
      </c>
      <c r="C549" s="84" t="s">
        <v>449</v>
      </c>
      <c r="D549" s="84">
        <v>68.814369999999997</v>
      </c>
      <c r="E549" s="84">
        <v>-149.06774999999999</v>
      </c>
      <c r="F549" s="84">
        <v>724</v>
      </c>
      <c r="G549" s="84" t="s">
        <v>460</v>
      </c>
      <c r="H549" s="84" t="s">
        <v>449</v>
      </c>
      <c r="I549" s="84" t="s">
        <v>449</v>
      </c>
      <c r="J549" s="84" t="s">
        <v>461</v>
      </c>
      <c r="K549" s="84" t="s">
        <v>449</v>
      </c>
      <c r="L549" s="84" t="s">
        <v>449</v>
      </c>
      <c r="M549" s="90" t="str">
        <f t="shared" si="11"/>
        <v>View on Google Map</v>
      </c>
    </row>
    <row r="550" spans="1:13" x14ac:dyDescent="0.2">
      <c r="A550" s="84">
        <v>38</v>
      </c>
      <c r="B550" s="84" t="s">
        <v>1544</v>
      </c>
      <c r="C550" s="84" t="s">
        <v>449</v>
      </c>
      <c r="D550" s="84">
        <v>69.011899999999997</v>
      </c>
      <c r="E550" s="84">
        <v>-150.30000000000001</v>
      </c>
      <c r="F550" s="84">
        <v>321</v>
      </c>
      <c r="G550" s="84" t="s">
        <v>474</v>
      </c>
      <c r="H550" s="84" t="s">
        <v>1545</v>
      </c>
      <c r="I550" s="84" t="s">
        <v>1546</v>
      </c>
      <c r="J550" s="84" t="s">
        <v>510</v>
      </c>
      <c r="K550" s="84" t="s">
        <v>449</v>
      </c>
      <c r="L550" s="84" t="s">
        <v>457</v>
      </c>
      <c r="M550" s="90" t="str">
        <f t="shared" si="11"/>
        <v>View on Google Map</v>
      </c>
    </row>
    <row r="551" spans="1:13" x14ac:dyDescent="0.2">
      <c r="A551" s="84">
        <v>1211</v>
      </c>
      <c r="B551" s="84" t="s">
        <v>1547</v>
      </c>
      <c r="C551" s="84" t="s">
        <v>633</v>
      </c>
      <c r="D551" s="84">
        <v>68.996700000000004</v>
      </c>
      <c r="E551" s="84">
        <v>-150.28142</v>
      </c>
      <c r="F551" s="84" t="s">
        <v>449</v>
      </c>
      <c r="G551" s="84" t="s">
        <v>450</v>
      </c>
      <c r="H551" s="84" t="s">
        <v>449</v>
      </c>
      <c r="I551" s="84" t="s">
        <v>449</v>
      </c>
      <c r="J551" s="84" t="s">
        <v>456</v>
      </c>
      <c r="K551" s="84" t="s">
        <v>449</v>
      </c>
      <c r="L551" s="84" t="s">
        <v>457</v>
      </c>
      <c r="M551" s="90" t="str">
        <f t="shared" si="11"/>
        <v>View on Google Map</v>
      </c>
    </row>
    <row r="552" spans="1:13" x14ac:dyDescent="0.2">
      <c r="A552" s="84">
        <v>1210</v>
      </c>
      <c r="B552" s="84" t="s">
        <v>1548</v>
      </c>
      <c r="C552" s="84" t="s">
        <v>633</v>
      </c>
      <c r="D552" s="84">
        <v>68.996700000000004</v>
      </c>
      <c r="E552" s="84">
        <v>-150.28142</v>
      </c>
      <c r="F552" s="84" t="s">
        <v>449</v>
      </c>
      <c r="G552" s="84" t="s">
        <v>450</v>
      </c>
      <c r="H552" s="84" t="s">
        <v>449</v>
      </c>
      <c r="I552" s="84" t="s">
        <v>449</v>
      </c>
      <c r="J552" s="84" t="s">
        <v>456</v>
      </c>
      <c r="K552" s="84" t="s">
        <v>449</v>
      </c>
      <c r="L552" s="84" t="s">
        <v>457</v>
      </c>
      <c r="M552" s="90" t="str">
        <f t="shared" si="11"/>
        <v>View on Google Map</v>
      </c>
    </row>
    <row r="553" spans="1:13" x14ac:dyDescent="0.2">
      <c r="B553" s="84" t="s">
        <v>1549</v>
      </c>
      <c r="C553" s="84" t="s">
        <v>1462</v>
      </c>
      <c r="D553" s="84">
        <v>69.007500000000007</v>
      </c>
      <c r="E553" s="84">
        <v>-150.31388888888901</v>
      </c>
      <c r="G553" s="84" t="s">
        <v>468</v>
      </c>
      <c r="J553" s="84" t="s">
        <v>456</v>
      </c>
      <c r="L553" s="84" t="s">
        <v>457</v>
      </c>
      <c r="M553" s="90" t="str">
        <f t="shared" si="11"/>
        <v>View on Google Map</v>
      </c>
    </row>
    <row r="554" spans="1:13" x14ac:dyDescent="0.2">
      <c r="B554" s="84" t="s">
        <v>1550</v>
      </c>
      <c r="C554" s="84" t="s">
        <v>846</v>
      </c>
      <c r="D554" s="84">
        <v>69.043055555555554</v>
      </c>
      <c r="E554" s="84">
        <v>-150.42916666666699</v>
      </c>
      <c r="G554" s="84" t="s">
        <v>468</v>
      </c>
      <c r="J554" s="84" t="s">
        <v>456</v>
      </c>
      <c r="L554" s="84" t="s">
        <v>457</v>
      </c>
      <c r="M554" s="90" t="str">
        <f t="shared" si="11"/>
        <v>View on Google Map</v>
      </c>
    </row>
    <row r="555" spans="1:13" x14ac:dyDescent="0.2">
      <c r="A555" s="84">
        <v>39</v>
      </c>
      <c r="B555" s="84" t="s">
        <v>1551</v>
      </c>
      <c r="C555" s="84" t="s">
        <v>449</v>
      </c>
      <c r="D555" s="84">
        <v>68.994600000000005</v>
      </c>
      <c r="E555" s="84">
        <v>-150.30699999999999</v>
      </c>
      <c r="F555" s="84">
        <v>307</v>
      </c>
      <c r="G555" s="84" t="s">
        <v>474</v>
      </c>
      <c r="H555" s="84" t="s">
        <v>1552</v>
      </c>
      <c r="I555" s="84" t="s">
        <v>449</v>
      </c>
      <c r="J555" s="84" t="s">
        <v>510</v>
      </c>
      <c r="K555" s="84" t="s">
        <v>449</v>
      </c>
      <c r="L555" s="84" t="s">
        <v>457</v>
      </c>
      <c r="M555" s="90" t="str">
        <f t="shared" si="11"/>
        <v>View on Google Map</v>
      </c>
    </row>
    <row r="556" spans="1:13" x14ac:dyDescent="0.2">
      <c r="B556" s="84" t="s">
        <v>1553</v>
      </c>
      <c r="C556" s="84" t="s">
        <v>467</v>
      </c>
      <c r="D556" s="84">
        <v>69.570555555555558</v>
      </c>
      <c r="E556" s="84">
        <v>-150.893333333333</v>
      </c>
      <c r="G556" s="84" t="s">
        <v>468</v>
      </c>
      <c r="J556" s="84" t="s">
        <v>456</v>
      </c>
      <c r="L556" s="84" t="s">
        <v>457</v>
      </c>
      <c r="M556" s="90" t="str">
        <f t="shared" si="11"/>
        <v>View on Google Map</v>
      </c>
    </row>
    <row r="557" spans="1:13" x14ac:dyDescent="0.2">
      <c r="A557" s="84">
        <v>46</v>
      </c>
      <c r="B557" s="84" t="s">
        <v>1554</v>
      </c>
      <c r="C557" s="84" t="s">
        <v>449</v>
      </c>
      <c r="D557" s="84">
        <v>68.891069000000002</v>
      </c>
      <c r="E557" s="84">
        <v>-150.58501899999999</v>
      </c>
      <c r="F557" s="84" t="s">
        <v>449</v>
      </c>
      <c r="G557" s="84" t="s">
        <v>474</v>
      </c>
      <c r="H557" s="84" t="s">
        <v>449</v>
      </c>
      <c r="I557" s="84" t="s">
        <v>449</v>
      </c>
      <c r="J557" s="84" t="s">
        <v>1460</v>
      </c>
      <c r="K557" s="84" t="s">
        <v>449</v>
      </c>
      <c r="L557" s="84" t="s">
        <v>457</v>
      </c>
      <c r="M557" s="90" t="str">
        <f t="shared" si="11"/>
        <v>View on Google Map</v>
      </c>
    </row>
    <row r="558" spans="1:13" x14ac:dyDescent="0.2">
      <c r="A558" s="84">
        <v>47</v>
      </c>
      <c r="B558" s="84" t="s">
        <v>1555</v>
      </c>
      <c r="C558" s="84" t="s">
        <v>449</v>
      </c>
      <c r="D558" s="84">
        <v>68.966999999999999</v>
      </c>
      <c r="E558" s="84">
        <v>-150.56673000000001</v>
      </c>
      <c r="F558" s="84" t="s">
        <v>449</v>
      </c>
      <c r="G558" s="84" t="s">
        <v>474</v>
      </c>
      <c r="H558" s="84" t="s">
        <v>449</v>
      </c>
      <c r="I558" s="84" t="s">
        <v>449</v>
      </c>
      <c r="J558" s="84" t="s">
        <v>1460</v>
      </c>
      <c r="K558" s="84" t="s">
        <v>449</v>
      </c>
      <c r="L558" s="84" t="s">
        <v>457</v>
      </c>
      <c r="M558" s="90" t="str">
        <f t="shared" si="11"/>
        <v>View on Google Map</v>
      </c>
    </row>
    <row r="559" spans="1:13" x14ac:dyDescent="0.2">
      <c r="A559" s="84">
        <v>100</v>
      </c>
      <c r="B559" s="84" t="s">
        <v>1556</v>
      </c>
      <c r="C559" s="84" t="s">
        <v>1557</v>
      </c>
      <c r="D559" s="84">
        <v>68.629960999999994</v>
      </c>
      <c r="E559" s="84">
        <v>-149.61263299999999</v>
      </c>
      <c r="F559" s="84">
        <v>719</v>
      </c>
      <c r="G559" s="84" t="s">
        <v>460</v>
      </c>
      <c r="H559" s="84" t="s">
        <v>1558</v>
      </c>
      <c r="I559" s="84" t="s">
        <v>1559</v>
      </c>
      <c r="J559" s="84" t="s">
        <v>475</v>
      </c>
      <c r="K559" s="84" t="s">
        <v>449</v>
      </c>
      <c r="L559" s="84" t="s">
        <v>449</v>
      </c>
      <c r="M559" s="90" t="str">
        <f t="shared" si="11"/>
        <v>View on Google Map</v>
      </c>
    </row>
    <row r="560" spans="1:13" x14ac:dyDescent="0.2">
      <c r="A560" s="84">
        <v>523</v>
      </c>
      <c r="B560" s="84" t="s">
        <v>1560</v>
      </c>
      <c r="C560" s="84" t="s">
        <v>1561</v>
      </c>
      <c r="D560" s="84">
        <v>68.626671999999999</v>
      </c>
      <c r="E560" s="84">
        <v>-149.59784400000001</v>
      </c>
      <c r="F560" s="84">
        <v>719</v>
      </c>
      <c r="G560" s="84" t="s">
        <v>460</v>
      </c>
      <c r="H560" s="84" t="s">
        <v>449</v>
      </c>
      <c r="I560" s="84" t="s">
        <v>449</v>
      </c>
      <c r="J560" s="84" t="s">
        <v>461</v>
      </c>
      <c r="K560" s="84" t="s">
        <v>449</v>
      </c>
      <c r="L560" s="84" t="s">
        <v>1562</v>
      </c>
      <c r="M560" s="90" t="str">
        <f t="shared" si="11"/>
        <v>View on Google Map</v>
      </c>
    </row>
    <row r="561" spans="1:13" x14ac:dyDescent="0.2">
      <c r="A561" s="84">
        <v>524</v>
      </c>
      <c r="B561" s="84" t="s">
        <v>1563</v>
      </c>
      <c r="C561" s="84" t="s">
        <v>1561</v>
      </c>
      <c r="D561" s="84">
        <v>68.632586000000003</v>
      </c>
      <c r="E561" s="84">
        <v>-149.60089500000001</v>
      </c>
      <c r="F561" s="84">
        <v>719</v>
      </c>
      <c r="G561" s="84" t="s">
        <v>460</v>
      </c>
      <c r="H561" s="84" t="s">
        <v>449</v>
      </c>
      <c r="I561" s="84" t="s">
        <v>449</v>
      </c>
      <c r="J561" s="84" t="s">
        <v>461</v>
      </c>
      <c r="K561" s="84" t="s">
        <v>449</v>
      </c>
      <c r="L561" s="84" t="s">
        <v>1562</v>
      </c>
      <c r="M561" s="90" t="str">
        <f t="shared" si="11"/>
        <v>View on Google Map</v>
      </c>
    </row>
    <row r="562" spans="1:13" x14ac:dyDescent="0.2">
      <c r="A562" s="84">
        <v>525</v>
      </c>
      <c r="B562" s="84" t="s">
        <v>1564</v>
      </c>
      <c r="C562" s="84" t="s">
        <v>1561</v>
      </c>
      <c r="D562" s="84">
        <v>68.636390000000006</v>
      </c>
      <c r="E562" s="84">
        <v>-149.594774</v>
      </c>
      <c r="F562" s="84">
        <v>719</v>
      </c>
      <c r="G562" s="84" t="s">
        <v>460</v>
      </c>
      <c r="H562" s="84" t="s">
        <v>449</v>
      </c>
      <c r="I562" s="84" t="s">
        <v>449</v>
      </c>
      <c r="J562" s="84" t="s">
        <v>461</v>
      </c>
      <c r="K562" s="84" t="s">
        <v>449</v>
      </c>
      <c r="L562" s="84" t="s">
        <v>1562</v>
      </c>
      <c r="M562" s="90" t="str">
        <f t="shared" si="11"/>
        <v>View on Google Map</v>
      </c>
    </row>
    <row r="563" spans="1:13" x14ac:dyDescent="0.2">
      <c r="A563" s="84">
        <v>13</v>
      </c>
      <c r="B563" s="84" t="s">
        <v>1565</v>
      </c>
      <c r="C563" s="84" t="s">
        <v>449</v>
      </c>
      <c r="D563" s="84">
        <v>68.625600000000006</v>
      </c>
      <c r="E563" s="84">
        <v>-149.59604999999999</v>
      </c>
      <c r="F563" s="84">
        <v>719</v>
      </c>
      <c r="G563" s="84" t="s">
        <v>474</v>
      </c>
      <c r="H563" s="84" t="s">
        <v>1566</v>
      </c>
      <c r="I563" s="84" t="s">
        <v>1567</v>
      </c>
      <c r="J563" s="84" t="s">
        <v>475</v>
      </c>
      <c r="K563" s="84">
        <v>190</v>
      </c>
      <c r="L563" s="84" t="s">
        <v>864</v>
      </c>
      <c r="M563" s="90" t="str">
        <f t="shared" si="11"/>
        <v>View on Google Map</v>
      </c>
    </row>
    <row r="564" spans="1:13" x14ac:dyDescent="0.2">
      <c r="A564" s="84">
        <v>522</v>
      </c>
      <c r="B564" s="84" t="s">
        <v>1568</v>
      </c>
      <c r="C564" s="84" t="s">
        <v>1561</v>
      </c>
      <c r="D564" s="84">
        <v>68.625966000000005</v>
      </c>
      <c r="E564" s="84">
        <v>-149.59902199999999</v>
      </c>
      <c r="F564" s="84">
        <v>719</v>
      </c>
      <c r="G564" s="84" t="s">
        <v>460</v>
      </c>
      <c r="H564" s="84" t="s">
        <v>449</v>
      </c>
      <c r="I564" s="84" t="s">
        <v>449</v>
      </c>
      <c r="J564" s="84" t="s">
        <v>461</v>
      </c>
      <c r="K564" s="84" t="s">
        <v>449</v>
      </c>
      <c r="L564" s="84" t="s">
        <v>1562</v>
      </c>
      <c r="M564" s="90" t="str">
        <f t="shared" si="11"/>
        <v>View on Google Map</v>
      </c>
    </row>
    <row r="565" spans="1:13" x14ac:dyDescent="0.2">
      <c r="A565" s="84">
        <v>101</v>
      </c>
      <c r="B565" s="84" t="s">
        <v>1569</v>
      </c>
      <c r="C565" s="84" t="s">
        <v>1570</v>
      </c>
      <c r="D565" s="84" t="s">
        <v>449</v>
      </c>
      <c r="E565" s="84" t="s">
        <v>449</v>
      </c>
      <c r="F565" s="84">
        <v>719</v>
      </c>
      <c r="G565" s="84" t="s">
        <v>460</v>
      </c>
      <c r="H565" s="84" t="s">
        <v>449</v>
      </c>
      <c r="I565" s="84" t="s">
        <v>449</v>
      </c>
      <c r="J565" s="84" t="s">
        <v>475</v>
      </c>
      <c r="K565" s="84" t="s">
        <v>449</v>
      </c>
      <c r="L565" s="84" t="s">
        <v>449</v>
      </c>
      <c r="M565" s="90" t="str">
        <f t="shared" si="11"/>
        <v>View on Google Map</v>
      </c>
    </row>
    <row r="566" spans="1:13" x14ac:dyDescent="0.2">
      <c r="A566" s="84">
        <v>102</v>
      </c>
      <c r="B566" s="84" t="s">
        <v>1571</v>
      </c>
      <c r="C566" s="84" t="s">
        <v>1572</v>
      </c>
      <c r="D566" s="84">
        <v>68.638623999999993</v>
      </c>
      <c r="E566" s="84">
        <v>-149.610737</v>
      </c>
      <c r="F566" s="84">
        <v>719</v>
      </c>
      <c r="G566" s="84" t="s">
        <v>460</v>
      </c>
      <c r="H566" s="84" t="s">
        <v>1573</v>
      </c>
      <c r="I566" s="84" t="s">
        <v>1574</v>
      </c>
      <c r="J566" s="84" t="s">
        <v>475</v>
      </c>
      <c r="K566" s="84" t="s">
        <v>449</v>
      </c>
      <c r="L566" s="84" t="s">
        <v>449</v>
      </c>
      <c r="M566" s="90" t="str">
        <f t="shared" si="11"/>
        <v>View on Google Map</v>
      </c>
    </row>
    <row r="567" spans="1:13" x14ac:dyDescent="0.2">
      <c r="A567" s="84">
        <v>526</v>
      </c>
      <c r="B567" s="84" t="s">
        <v>1575</v>
      </c>
      <c r="C567" s="84" t="s">
        <v>1561</v>
      </c>
      <c r="D567" s="84">
        <v>68.633232000000007</v>
      </c>
      <c r="E567" s="84">
        <v>-149.61149</v>
      </c>
      <c r="F567" s="84">
        <v>719</v>
      </c>
      <c r="G567" s="84" t="s">
        <v>460</v>
      </c>
      <c r="H567" s="84" t="s">
        <v>449</v>
      </c>
      <c r="I567" s="84" t="s">
        <v>449</v>
      </c>
      <c r="J567" s="84" t="s">
        <v>461</v>
      </c>
      <c r="K567" s="84" t="s">
        <v>449</v>
      </c>
      <c r="L567" s="84" t="s">
        <v>1562</v>
      </c>
      <c r="M567" s="90" t="str">
        <f t="shared" si="11"/>
        <v>View on Google Map</v>
      </c>
    </row>
    <row r="568" spans="1:13" x14ac:dyDescent="0.2">
      <c r="A568" s="84">
        <v>14</v>
      </c>
      <c r="B568" s="84" t="s">
        <v>1576</v>
      </c>
      <c r="C568" s="84" t="s">
        <v>449</v>
      </c>
      <c r="D568" s="84" t="s">
        <v>449</v>
      </c>
      <c r="E568" s="84" t="s">
        <v>449</v>
      </c>
      <c r="F568" s="84">
        <v>719</v>
      </c>
      <c r="G568" s="84" t="s">
        <v>474</v>
      </c>
      <c r="H568" s="84" t="s">
        <v>1577</v>
      </c>
      <c r="I568" s="84" t="s">
        <v>449</v>
      </c>
      <c r="J568" s="84" t="s">
        <v>475</v>
      </c>
      <c r="K568" s="84" t="s">
        <v>449</v>
      </c>
      <c r="L568" s="84" t="s">
        <v>449</v>
      </c>
      <c r="M568" s="90" t="str">
        <f t="shared" si="11"/>
        <v>View on Google Map</v>
      </c>
    </row>
    <row r="569" spans="1:13" x14ac:dyDescent="0.2">
      <c r="A569" s="84">
        <v>527</v>
      </c>
      <c r="B569" s="84" t="s">
        <v>1578</v>
      </c>
      <c r="C569" s="84" t="s">
        <v>1561</v>
      </c>
      <c r="D569" s="84">
        <v>68.639894999999996</v>
      </c>
      <c r="E569" s="84">
        <v>-149.59610599999999</v>
      </c>
      <c r="F569" s="84">
        <v>719</v>
      </c>
      <c r="G569" s="84" t="s">
        <v>460</v>
      </c>
      <c r="H569" s="84" t="s">
        <v>449</v>
      </c>
      <c r="I569" s="84" t="s">
        <v>449</v>
      </c>
      <c r="J569" s="84" t="s">
        <v>461</v>
      </c>
      <c r="K569" s="84" t="s">
        <v>449</v>
      </c>
      <c r="L569" s="84" t="s">
        <v>1562</v>
      </c>
      <c r="M569" s="90" t="str">
        <f t="shared" si="11"/>
        <v>View on Google Map</v>
      </c>
    </row>
    <row r="570" spans="1:13" x14ac:dyDescent="0.2">
      <c r="A570" s="84">
        <v>9</v>
      </c>
      <c r="B570" s="84" t="s">
        <v>1579</v>
      </c>
      <c r="C570" s="84" t="s">
        <v>449</v>
      </c>
      <c r="D570" s="84" t="s">
        <v>449</v>
      </c>
      <c r="E570" s="84" t="s">
        <v>449</v>
      </c>
      <c r="F570" s="84">
        <v>823</v>
      </c>
      <c r="G570" s="84" t="s">
        <v>474</v>
      </c>
      <c r="H570" s="84" t="s">
        <v>449</v>
      </c>
      <c r="I570" s="84" t="s">
        <v>449</v>
      </c>
      <c r="J570" s="84" t="s">
        <v>475</v>
      </c>
      <c r="K570" s="84" t="s">
        <v>449</v>
      </c>
      <c r="L570" s="84" t="s">
        <v>449</v>
      </c>
      <c r="M570" s="90" t="str">
        <f t="shared" si="11"/>
        <v>View on Google Map</v>
      </c>
    </row>
    <row r="571" spans="1:13" x14ac:dyDescent="0.2">
      <c r="A571" s="84">
        <v>22</v>
      </c>
      <c r="B571" s="84" t="s">
        <v>1580</v>
      </c>
      <c r="C571" s="84" t="s">
        <v>449</v>
      </c>
      <c r="D571" s="84" t="s">
        <v>449</v>
      </c>
      <c r="E571" s="84" t="s">
        <v>449</v>
      </c>
      <c r="F571" s="84" t="s">
        <v>449</v>
      </c>
      <c r="G571" s="84" t="s">
        <v>474</v>
      </c>
      <c r="H571" s="84" t="s">
        <v>1581</v>
      </c>
      <c r="I571" s="84" t="s">
        <v>449</v>
      </c>
      <c r="J571" s="84" t="s">
        <v>475</v>
      </c>
      <c r="K571" s="84" t="s">
        <v>449</v>
      </c>
      <c r="L571" s="84" t="s">
        <v>449</v>
      </c>
      <c r="M571" s="90" t="str">
        <f t="shared" si="11"/>
        <v>View on Google Map</v>
      </c>
    </row>
    <row r="572" spans="1:13" x14ac:dyDescent="0.2">
      <c r="A572" s="84">
        <v>528</v>
      </c>
      <c r="B572" s="84" t="s">
        <v>1582</v>
      </c>
      <c r="C572" s="84" t="s">
        <v>1561</v>
      </c>
      <c r="D572" s="84">
        <v>68.634241000000003</v>
      </c>
      <c r="E572" s="84">
        <v>-149.60275899999999</v>
      </c>
      <c r="F572" s="84">
        <v>719</v>
      </c>
      <c r="G572" s="84" t="s">
        <v>460</v>
      </c>
      <c r="H572" s="84" t="s">
        <v>449</v>
      </c>
      <c r="I572" s="84" t="s">
        <v>449</v>
      </c>
      <c r="J572" s="84" t="s">
        <v>461</v>
      </c>
      <c r="K572" s="84" t="s">
        <v>449</v>
      </c>
      <c r="L572" s="84" t="s">
        <v>1562</v>
      </c>
      <c r="M572" s="90" t="str">
        <f t="shared" si="11"/>
        <v>View on Google Map</v>
      </c>
    </row>
    <row r="573" spans="1:13" x14ac:dyDescent="0.2">
      <c r="A573" s="84">
        <v>521</v>
      </c>
      <c r="B573" s="84" t="s">
        <v>1583</v>
      </c>
      <c r="C573" s="84" t="s">
        <v>1561</v>
      </c>
      <c r="D573" s="84">
        <v>68.628656000000007</v>
      </c>
      <c r="E573" s="84">
        <v>-149.59960599999999</v>
      </c>
      <c r="F573" s="84">
        <v>719</v>
      </c>
      <c r="G573" s="84" t="s">
        <v>460</v>
      </c>
      <c r="H573" s="84" t="s">
        <v>449</v>
      </c>
      <c r="I573" s="84" t="s">
        <v>449</v>
      </c>
      <c r="J573" s="84" t="s">
        <v>461</v>
      </c>
      <c r="K573" s="84" t="s">
        <v>449</v>
      </c>
      <c r="L573" s="84" t="s">
        <v>1562</v>
      </c>
      <c r="M573" s="90" t="str">
        <f t="shared" si="11"/>
        <v>View on Google Map</v>
      </c>
    </row>
    <row r="574" spans="1:13" x14ac:dyDescent="0.2">
      <c r="A574" s="84">
        <v>520</v>
      </c>
      <c r="B574" s="84" t="s">
        <v>1584</v>
      </c>
      <c r="C574" s="84" t="s">
        <v>1561</v>
      </c>
      <c r="D574" s="84">
        <v>68.633064000000005</v>
      </c>
      <c r="E574" s="84">
        <v>-149.62826999999999</v>
      </c>
      <c r="F574" s="84">
        <v>719</v>
      </c>
      <c r="G574" s="84" t="s">
        <v>460</v>
      </c>
      <c r="H574" s="84" t="s">
        <v>449</v>
      </c>
      <c r="I574" s="84" t="s">
        <v>449</v>
      </c>
      <c r="J574" s="84" t="s">
        <v>461</v>
      </c>
      <c r="K574" s="84" t="s">
        <v>449</v>
      </c>
      <c r="L574" s="84" t="s">
        <v>1562</v>
      </c>
      <c r="M574" s="90" t="str">
        <f t="shared" si="11"/>
        <v>View on Google Map</v>
      </c>
    </row>
    <row r="575" spans="1:13" x14ac:dyDescent="0.2">
      <c r="B575" s="84" t="s">
        <v>1585</v>
      </c>
      <c r="C575" s="84" t="s">
        <v>846</v>
      </c>
      <c r="D575" s="84">
        <v>68.695505999999995</v>
      </c>
      <c r="E575" s="84">
        <v>-149.207807</v>
      </c>
      <c r="G575" s="84" t="s">
        <v>986</v>
      </c>
      <c r="J575" s="5" t="s">
        <v>475</v>
      </c>
      <c r="M575" s="90" t="str">
        <f t="shared" si="11"/>
        <v>View on Google Map</v>
      </c>
    </row>
    <row r="576" spans="1:13" x14ac:dyDescent="0.2">
      <c r="B576" s="84" t="s">
        <v>1586</v>
      </c>
      <c r="C576" s="84" t="s">
        <v>846</v>
      </c>
      <c r="D576" s="84">
        <v>68.695696999999996</v>
      </c>
      <c r="E576" s="84">
        <v>-149.20482699999999</v>
      </c>
      <c r="G576" s="84" t="s">
        <v>986</v>
      </c>
      <c r="J576" s="5" t="s">
        <v>475</v>
      </c>
      <c r="M576" s="90" t="str">
        <f t="shared" si="11"/>
        <v>View on Google Map</v>
      </c>
    </row>
    <row r="577" spans="1:13" x14ac:dyDescent="0.2">
      <c r="B577" s="84" t="s">
        <v>1587</v>
      </c>
      <c r="C577" s="84" t="s">
        <v>846</v>
      </c>
      <c r="D577" s="84">
        <v>68.690700000000007</v>
      </c>
      <c r="E577" s="84">
        <v>-149.208371</v>
      </c>
      <c r="G577" s="84" t="s">
        <v>986</v>
      </c>
      <c r="J577" s="5" t="s">
        <v>475</v>
      </c>
      <c r="M577" s="90" t="str">
        <f t="shared" si="11"/>
        <v>View on Google Map</v>
      </c>
    </row>
    <row r="578" spans="1:13" x14ac:dyDescent="0.2">
      <c r="B578" s="84" t="s">
        <v>1588</v>
      </c>
      <c r="C578" s="84" t="s">
        <v>846</v>
      </c>
      <c r="D578" s="84">
        <v>68.693759</v>
      </c>
      <c r="E578" s="84">
        <v>-149.20405500000001</v>
      </c>
      <c r="G578" s="84" t="s">
        <v>986</v>
      </c>
      <c r="J578" s="5" t="s">
        <v>475</v>
      </c>
      <c r="M578" s="90" t="str">
        <f t="shared" si="11"/>
        <v>View on Google Map</v>
      </c>
    </row>
    <row r="579" spans="1:13" x14ac:dyDescent="0.2">
      <c r="A579" s="84">
        <v>901</v>
      </c>
      <c r="B579" s="84" t="s">
        <v>1589</v>
      </c>
      <c r="C579" s="84" t="s">
        <v>1590</v>
      </c>
      <c r="D579" s="84" t="s">
        <v>449</v>
      </c>
      <c r="E579" s="84" t="s">
        <v>449</v>
      </c>
      <c r="F579" s="84" t="s">
        <v>449</v>
      </c>
      <c r="G579" s="84" t="s">
        <v>449</v>
      </c>
      <c r="H579" s="84" t="s">
        <v>1591</v>
      </c>
      <c r="I579" s="84" t="s">
        <v>449</v>
      </c>
      <c r="J579" s="5" t="s">
        <v>475</v>
      </c>
      <c r="K579" s="84" t="s">
        <v>449</v>
      </c>
      <c r="L579" s="84" t="s">
        <v>449</v>
      </c>
      <c r="M579" s="90" t="str">
        <f t="shared" ref="M579:M637" si="12">HYPERLINK("http://maps.google.com/maps?q="&amp;D579&amp;","&amp;E579,"View on Google Map")</f>
        <v>View on Google Map</v>
      </c>
    </row>
    <row r="580" spans="1:13" x14ac:dyDescent="0.2">
      <c r="A580" s="84">
        <v>902</v>
      </c>
      <c r="B580" s="84" t="s">
        <v>1592</v>
      </c>
      <c r="C580" s="84" t="s">
        <v>1590</v>
      </c>
      <c r="D580" s="84" t="s">
        <v>449</v>
      </c>
      <c r="E580" s="84" t="s">
        <v>449</v>
      </c>
      <c r="F580" s="84">
        <v>757</v>
      </c>
      <c r="G580" s="84" t="s">
        <v>450</v>
      </c>
      <c r="H580" s="84" t="s">
        <v>1593</v>
      </c>
      <c r="I580" s="84" t="s">
        <v>449</v>
      </c>
      <c r="J580" s="84" t="s">
        <v>475</v>
      </c>
      <c r="K580" s="84" t="s">
        <v>449</v>
      </c>
      <c r="L580" s="84" t="s">
        <v>449</v>
      </c>
      <c r="M580" s="90" t="str">
        <f t="shared" si="12"/>
        <v>View on Google Map</v>
      </c>
    </row>
    <row r="581" spans="1:13" x14ac:dyDescent="0.2">
      <c r="A581" s="84">
        <v>903</v>
      </c>
      <c r="B581" s="84" t="s">
        <v>1594</v>
      </c>
      <c r="C581" s="84" t="s">
        <v>1590</v>
      </c>
      <c r="D581" s="84" t="s">
        <v>449</v>
      </c>
      <c r="E581" s="84" t="s">
        <v>449</v>
      </c>
      <c r="F581" s="84">
        <v>770</v>
      </c>
      <c r="G581" s="84" t="s">
        <v>450</v>
      </c>
      <c r="H581" s="84" t="s">
        <v>1595</v>
      </c>
      <c r="I581" s="84" t="s">
        <v>449</v>
      </c>
      <c r="J581" s="84" t="s">
        <v>475</v>
      </c>
      <c r="K581" s="84" t="s">
        <v>449</v>
      </c>
      <c r="L581" s="84" t="s">
        <v>449</v>
      </c>
      <c r="M581" s="90" t="str">
        <f t="shared" si="12"/>
        <v>View on Google Map</v>
      </c>
    </row>
    <row r="582" spans="1:13" x14ac:dyDescent="0.2">
      <c r="A582" s="84">
        <v>904</v>
      </c>
      <c r="B582" s="84" t="s">
        <v>1596</v>
      </c>
      <c r="C582" s="84" t="s">
        <v>1590</v>
      </c>
      <c r="D582" s="84" t="s">
        <v>449</v>
      </c>
      <c r="E582" s="84" t="s">
        <v>449</v>
      </c>
      <c r="F582" s="84">
        <v>770</v>
      </c>
      <c r="G582" s="84" t="s">
        <v>450</v>
      </c>
      <c r="H582" s="84" t="s">
        <v>1597</v>
      </c>
      <c r="I582" s="84" t="s">
        <v>449</v>
      </c>
      <c r="J582" s="84" t="s">
        <v>475</v>
      </c>
      <c r="K582" s="84" t="s">
        <v>449</v>
      </c>
      <c r="L582" s="84" t="s">
        <v>449</v>
      </c>
      <c r="M582" s="90" t="str">
        <f t="shared" si="12"/>
        <v>View on Google Map</v>
      </c>
    </row>
    <row r="583" spans="1:13" x14ac:dyDescent="0.2">
      <c r="A583" s="84">
        <v>905</v>
      </c>
      <c r="B583" s="84" t="s">
        <v>1598</v>
      </c>
      <c r="C583" s="84" t="s">
        <v>1590</v>
      </c>
      <c r="D583" s="84" t="s">
        <v>449</v>
      </c>
      <c r="E583" s="84" t="s">
        <v>449</v>
      </c>
      <c r="F583" s="84">
        <v>769</v>
      </c>
      <c r="G583" s="84" t="s">
        <v>450</v>
      </c>
      <c r="H583" s="84" t="s">
        <v>1599</v>
      </c>
      <c r="I583" s="84" t="s">
        <v>449</v>
      </c>
      <c r="J583" s="84" t="s">
        <v>475</v>
      </c>
      <c r="K583" s="84" t="s">
        <v>449</v>
      </c>
      <c r="L583" s="84" t="s">
        <v>449</v>
      </c>
      <c r="M583" s="90" t="str">
        <f t="shared" si="12"/>
        <v>View on Google Map</v>
      </c>
    </row>
    <row r="584" spans="1:13" x14ac:dyDescent="0.2">
      <c r="A584" s="84">
        <v>906</v>
      </c>
      <c r="B584" s="84" t="s">
        <v>1600</v>
      </c>
      <c r="C584" s="84" t="s">
        <v>1590</v>
      </c>
      <c r="D584" s="84" t="s">
        <v>449</v>
      </c>
      <c r="E584" s="84" t="s">
        <v>449</v>
      </c>
      <c r="F584" s="84">
        <v>769</v>
      </c>
      <c r="G584" s="84" t="s">
        <v>450</v>
      </c>
      <c r="H584" s="84" t="s">
        <v>1601</v>
      </c>
      <c r="I584" s="84" t="s">
        <v>449</v>
      </c>
      <c r="J584" s="84" t="s">
        <v>475</v>
      </c>
      <c r="K584" s="84" t="s">
        <v>449</v>
      </c>
      <c r="L584" s="84" t="s">
        <v>449</v>
      </c>
      <c r="M584" s="90" t="str">
        <f t="shared" si="12"/>
        <v>View on Google Map</v>
      </c>
    </row>
    <row r="585" spans="1:13" x14ac:dyDescent="0.2">
      <c r="A585" s="84">
        <v>907</v>
      </c>
      <c r="B585" s="84" t="s">
        <v>1602</v>
      </c>
      <c r="C585" s="84" t="s">
        <v>1590</v>
      </c>
      <c r="D585" s="84" t="s">
        <v>449</v>
      </c>
      <c r="E585" s="84" t="s">
        <v>449</v>
      </c>
      <c r="F585" s="84">
        <v>770</v>
      </c>
      <c r="G585" s="84" t="s">
        <v>450</v>
      </c>
      <c r="H585" s="84" t="s">
        <v>1603</v>
      </c>
      <c r="I585" s="84" t="s">
        <v>449</v>
      </c>
      <c r="J585" s="84" t="s">
        <v>475</v>
      </c>
      <c r="K585" s="84" t="s">
        <v>449</v>
      </c>
      <c r="L585" s="84" t="s">
        <v>449</v>
      </c>
      <c r="M585" s="90" t="str">
        <f t="shared" si="12"/>
        <v>View on Google Map</v>
      </c>
    </row>
    <row r="586" spans="1:13" x14ac:dyDescent="0.2">
      <c r="A586" s="84">
        <v>908</v>
      </c>
      <c r="B586" s="84" t="s">
        <v>1604</v>
      </c>
      <c r="C586" s="84" t="s">
        <v>1590</v>
      </c>
      <c r="D586" s="84" t="s">
        <v>449</v>
      </c>
      <c r="E586" s="84" t="s">
        <v>449</v>
      </c>
      <c r="F586" s="84">
        <v>770</v>
      </c>
      <c r="G586" s="84" t="s">
        <v>450</v>
      </c>
      <c r="H586" s="84" t="s">
        <v>1605</v>
      </c>
      <c r="I586" s="84" t="s">
        <v>449</v>
      </c>
      <c r="J586" s="84" t="s">
        <v>475</v>
      </c>
      <c r="K586" s="84" t="s">
        <v>449</v>
      </c>
      <c r="L586" s="84" t="s">
        <v>449</v>
      </c>
      <c r="M586" s="90" t="str">
        <f t="shared" si="12"/>
        <v>View on Google Map</v>
      </c>
    </row>
    <row r="587" spans="1:13" x14ac:dyDescent="0.2">
      <c r="A587" s="84">
        <v>909</v>
      </c>
      <c r="B587" s="84" t="s">
        <v>1606</v>
      </c>
      <c r="C587" s="84" t="s">
        <v>1590</v>
      </c>
      <c r="D587" s="84" t="s">
        <v>449</v>
      </c>
      <c r="E587" s="84" t="s">
        <v>449</v>
      </c>
      <c r="F587" s="84">
        <v>764</v>
      </c>
      <c r="G587" s="84" t="s">
        <v>450</v>
      </c>
      <c r="H587" s="84" t="s">
        <v>1607</v>
      </c>
      <c r="I587" s="84" t="s">
        <v>449</v>
      </c>
      <c r="J587" s="84" t="s">
        <v>475</v>
      </c>
      <c r="K587" s="84" t="s">
        <v>449</v>
      </c>
      <c r="L587" s="84" t="s">
        <v>449</v>
      </c>
      <c r="M587" s="90" t="str">
        <f t="shared" si="12"/>
        <v>View on Google Map</v>
      </c>
    </row>
    <row r="588" spans="1:13" x14ac:dyDescent="0.2">
      <c r="A588" s="84">
        <v>910</v>
      </c>
      <c r="B588" s="84" t="s">
        <v>1608</v>
      </c>
      <c r="C588" s="84" t="s">
        <v>1590</v>
      </c>
      <c r="D588" s="84" t="s">
        <v>449</v>
      </c>
      <c r="E588" s="84" t="s">
        <v>449</v>
      </c>
      <c r="F588" s="84">
        <v>764</v>
      </c>
      <c r="G588" s="84" t="s">
        <v>450</v>
      </c>
      <c r="H588" s="84" t="s">
        <v>1609</v>
      </c>
      <c r="I588" s="84" t="s">
        <v>449</v>
      </c>
      <c r="J588" s="84" t="s">
        <v>475</v>
      </c>
      <c r="K588" s="84" t="s">
        <v>449</v>
      </c>
      <c r="L588" s="84" t="s">
        <v>449</v>
      </c>
      <c r="M588" s="90" t="str">
        <f t="shared" si="12"/>
        <v>View on Google Map</v>
      </c>
    </row>
    <row r="589" spans="1:13" x14ac:dyDescent="0.2">
      <c r="A589" s="84">
        <v>911</v>
      </c>
      <c r="B589" s="84" t="s">
        <v>1610</v>
      </c>
      <c r="C589" s="84" t="s">
        <v>1590</v>
      </c>
      <c r="D589" s="84" t="s">
        <v>449</v>
      </c>
      <c r="E589" s="84" t="s">
        <v>449</v>
      </c>
      <c r="F589" s="84">
        <v>760</v>
      </c>
      <c r="G589" s="84" t="s">
        <v>450</v>
      </c>
      <c r="H589" s="84" t="s">
        <v>1611</v>
      </c>
      <c r="I589" s="84" t="s">
        <v>449</v>
      </c>
      <c r="J589" s="84" t="s">
        <v>475</v>
      </c>
      <c r="K589" s="84" t="s">
        <v>449</v>
      </c>
      <c r="L589" s="84" t="s">
        <v>449</v>
      </c>
      <c r="M589" s="90" t="str">
        <f t="shared" si="12"/>
        <v>View on Google Map</v>
      </c>
    </row>
    <row r="590" spans="1:13" x14ac:dyDescent="0.2">
      <c r="A590" s="84">
        <v>912</v>
      </c>
      <c r="B590" s="84" t="s">
        <v>1612</v>
      </c>
      <c r="C590" s="84" t="s">
        <v>1590</v>
      </c>
      <c r="D590" s="84" t="s">
        <v>449</v>
      </c>
      <c r="E590" s="84" t="s">
        <v>449</v>
      </c>
      <c r="F590" s="84">
        <v>760</v>
      </c>
      <c r="G590" s="84" t="s">
        <v>450</v>
      </c>
      <c r="H590" s="84" t="s">
        <v>1613</v>
      </c>
      <c r="I590" s="84" t="s">
        <v>449</v>
      </c>
      <c r="J590" s="84" t="s">
        <v>475</v>
      </c>
      <c r="K590" s="84" t="s">
        <v>449</v>
      </c>
      <c r="L590" s="84" t="s">
        <v>449</v>
      </c>
      <c r="M590" s="90" t="str">
        <f t="shared" si="12"/>
        <v>View on Google Map</v>
      </c>
    </row>
    <row r="591" spans="1:13" x14ac:dyDescent="0.2">
      <c r="A591" s="84">
        <v>913</v>
      </c>
      <c r="B591" s="84" t="s">
        <v>1614</v>
      </c>
      <c r="C591" s="84" t="s">
        <v>1590</v>
      </c>
      <c r="D591" s="84" t="s">
        <v>449</v>
      </c>
      <c r="E591" s="84" t="s">
        <v>449</v>
      </c>
      <c r="F591" s="84">
        <v>759</v>
      </c>
      <c r="G591" s="84" t="s">
        <v>450</v>
      </c>
      <c r="H591" s="84" t="s">
        <v>1615</v>
      </c>
      <c r="I591" s="84" t="s">
        <v>449</v>
      </c>
      <c r="J591" s="84" t="s">
        <v>475</v>
      </c>
      <c r="K591" s="84" t="s">
        <v>449</v>
      </c>
      <c r="L591" s="84" t="s">
        <v>449</v>
      </c>
      <c r="M591" s="90" t="str">
        <f t="shared" si="12"/>
        <v>View on Google Map</v>
      </c>
    </row>
    <row r="592" spans="1:13" x14ac:dyDescent="0.2">
      <c r="A592" s="84">
        <v>914</v>
      </c>
      <c r="B592" s="84" t="s">
        <v>1616</v>
      </c>
      <c r="C592" s="84" t="s">
        <v>1590</v>
      </c>
      <c r="D592" s="84" t="s">
        <v>449</v>
      </c>
      <c r="E592" s="84" t="s">
        <v>449</v>
      </c>
      <c r="F592" s="84">
        <v>758</v>
      </c>
      <c r="G592" s="84" t="s">
        <v>450</v>
      </c>
      <c r="H592" s="84" t="s">
        <v>1617</v>
      </c>
      <c r="I592" s="84" t="s">
        <v>449</v>
      </c>
      <c r="J592" s="84" t="s">
        <v>475</v>
      </c>
      <c r="K592" s="84" t="s">
        <v>449</v>
      </c>
      <c r="L592" s="84" t="s">
        <v>449</v>
      </c>
      <c r="M592" s="90" t="str">
        <f t="shared" si="12"/>
        <v>View on Google Map</v>
      </c>
    </row>
    <row r="593" spans="1:13" x14ac:dyDescent="0.2">
      <c r="A593" s="84">
        <v>915</v>
      </c>
      <c r="B593" s="84" t="s">
        <v>1618</v>
      </c>
      <c r="C593" s="84" t="s">
        <v>1619</v>
      </c>
      <c r="D593" s="84">
        <v>68.627900999999994</v>
      </c>
      <c r="E593" s="84">
        <v>-149.61295100000001</v>
      </c>
      <c r="F593" s="84">
        <v>759</v>
      </c>
      <c r="G593" s="84" t="s">
        <v>450</v>
      </c>
      <c r="H593" s="84" t="s">
        <v>1620</v>
      </c>
      <c r="I593" s="84" t="s">
        <v>1621</v>
      </c>
      <c r="J593" s="84" t="s">
        <v>475</v>
      </c>
      <c r="K593" s="84" t="s">
        <v>449</v>
      </c>
      <c r="L593" s="84" t="s">
        <v>449</v>
      </c>
      <c r="M593" s="90" t="str">
        <f t="shared" si="12"/>
        <v>View on Google Map</v>
      </c>
    </row>
    <row r="594" spans="1:13" x14ac:dyDescent="0.2">
      <c r="A594" s="84">
        <v>900</v>
      </c>
      <c r="B594" s="84" t="s">
        <v>1622</v>
      </c>
      <c r="C594" s="84" t="s">
        <v>449</v>
      </c>
      <c r="D594" s="84">
        <v>68.623487999999995</v>
      </c>
      <c r="E594" s="84">
        <v>-149.616559</v>
      </c>
      <c r="F594" s="84">
        <v>761</v>
      </c>
      <c r="G594" s="84" t="s">
        <v>450</v>
      </c>
      <c r="H594" s="84" t="s">
        <v>1623</v>
      </c>
      <c r="I594" s="84" t="s">
        <v>1624</v>
      </c>
      <c r="J594" s="84" t="s">
        <v>475</v>
      </c>
      <c r="K594" s="84" t="s">
        <v>449</v>
      </c>
      <c r="L594" s="84" t="s">
        <v>449</v>
      </c>
      <c r="M594" s="90" t="str">
        <f t="shared" si="12"/>
        <v>View on Google Map</v>
      </c>
    </row>
    <row r="595" spans="1:13" x14ac:dyDescent="0.2">
      <c r="B595" s="84" t="s">
        <v>1625</v>
      </c>
      <c r="C595" s="84" t="s">
        <v>1061</v>
      </c>
      <c r="D595" s="84">
        <v>68.549263888888888</v>
      </c>
      <c r="E595" s="84">
        <v>-149.306022222222</v>
      </c>
      <c r="G595" s="84" t="s">
        <v>986</v>
      </c>
      <c r="J595" s="5" t="s">
        <v>475</v>
      </c>
      <c r="M595" s="90" t="str">
        <f t="shared" si="12"/>
        <v>View on Google Map</v>
      </c>
    </row>
    <row r="596" spans="1:13" x14ac:dyDescent="0.2">
      <c r="B596" s="84" t="s">
        <v>1626</v>
      </c>
      <c r="C596" s="84" t="s">
        <v>1061</v>
      </c>
      <c r="D596" s="84">
        <v>68.550188888888883</v>
      </c>
      <c r="E596" s="84">
        <v>-149.310305555556</v>
      </c>
      <c r="G596" s="84" t="s">
        <v>986</v>
      </c>
      <c r="J596" s="5" t="s">
        <v>475</v>
      </c>
      <c r="M596" s="90" t="str">
        <f t="shared" si="12"/>
        <v>View on Google Map</v>
      </c>
    </row>
    <row r="597" spans="1:13" x14ac:dyDescent="0.2">
      <c r="B597" s="84" t="s">
        <v>1627</v>
      </c>
      <c r="C597" s="84" t="s">
        <v>1061</v>
      </c>
      <c r="D597" s="84">
        <v>68.549108333333336</v>
      </c>
      <c r="E597" s="84">
        <v>-149.30837777777799</v>
      </c>
      <c r="G597" s="84" t="s">
        <v>986</v>
      </c>
      <c r="J597" s="5" t="s">
        <v>475</v>
      </c>
      <c r="M597" s="90" t="str">
        <f t="shared" si="12"/>
        <v>View on Google Map</v>
      </c>
    </row>
    <row r="598" spans="1:13" x14ac:dyDescent="0.2">
      <c r="A598" s="84">
        <v>42</v>
      </c>
      <c r="B598" s="84" t="s">
        <v>1628</v>
      </c>
      <c r="C598" s="84" t="s">
        <v>449</v>
      </c>
      <c r="D598" s="84">
        <v>68.960555999999997</v>
      </c>
      <c r="E598" s="84">
        <v>-150.63055600000001</v>
      </c>
      <c r="F598" s="84" t="s">
        <v>449</v>
      </c>
      <c r="G598" s="84" t="s">
        <v>474</v>
      </c>
      <c r="H598" s="84" t="s">
        <v>1629</v>
      </c>
      <c r="I598" s="84" t="s">
        <v>449</v>
      </c>
      <c r="J598" s="84" t="s">
        <v>1460</v>
      </c>
      <c r="K598" s="84" t="s">
        <v>449</v>
      </c>
      <c r="L598" s="84" t="s">
        <v>457</v>
      </c>
      <c r="M598" s="90" t="str">
        <f t="shared" si="12"/>
        <v>View on Google Map</v>
      </c>
    </row>
    <row r="599" spans="1:13" x14ac:dyDescent="0.2">
      <c r="A599" s="84">
        <v>43</v>
      </c>
      <c r="B599" s="84" t="s">
        <v>1630</v>
      </c>
      <c r="C599" s="84" t="s">
        <v>449</v>
      </c>
      <c r="D599" s="84">
        <v>68.935101000000003</v>
      </c>
      <c r="E599" s="84">
        <v>-150.68391700000001</v>
      </c>
      <c r="F599" s="84" t="s">
        <v>449</v>
      </c>
      <c r="G599" s="84" t="s">
        <v>474</v>
      </c>
      <c r="H599" s="84" t="s">
        <v>1631</v>
      </c>
      <c r="I599" s="84" t="s">
        <v>449</v>
      </c>
      <c r="J599" s="84" t="s">
        <v>1460</v>
      </c>
      <c r="K599" s="84" t="s">
        <v>449</v>
      </c>
      <c r="L599" s="84" t="s">
        <v>457</v>
      </c>
      <c r="M599" s="90" t="str">
        <f t="shared" si="12"/>
        <v>View on Google Map</v>
      </c>
    </row>
    <row r="600" spans="1:13" x14ac:dyDescent="0.2">
      <c r="A600" s="84">
        <v>44</v>
      </c>
      <c r="B600" s="84" t="s">
        <v>1632</v>
      </c>
      <c r="C600" s="84" t="s">
        <v>449</v>
      </c>
      <c r="D600" s="84">
        <v>68.916987000000006</v>
      </c>
      <c r="E600" s="84">
        <v>-150.659291</v>
      </c>
      <c r="F600" s="84" t="s">
        <v>449</v>
      </c>
      <c r="G600" s="84" t="s">
        <v>474</v>
      </c>
      <c r="H600" s="84" t="s">
        <v>1633</v>
      </c>
      <c r="I600" s="84" t="s">
        <v>449</v>
      </c>
      <c r="J600" s="84" t="s">
        <v>1460</v>
      </c>
      <c r="K600" s="84" t="s">
        <v>449</v>
      </c>
      <c r="L600" s="84" t="s">
        <v>457</v>
      </c>
      <c r="M600" s="90" t="str">
        <f t="shared" si="12"/>
        <v>View on Google Map</v>
      </c>
    </row>
    <row r="601" spans="1:13" x14ac:dyDescent="0.2">
      <c r="B601" s="84" t="s">
        <v>1634</v>
      </c>
      <c r="C601" s="84" t="s">
        <v>1462</v>
      </c>
      <c r="D601" s="84">
        <v>69.132777777777775</v>
      </c>
      <c r="E601" s="84">
        <v>-150.710833333333</v>
      </c>
      <c r="G601" s="84" t="s">
        <v>468</v>
      </c>
      <c r="J601" s="84" t="s">
        <v>456</v>
      </c>
      <c r="L601" s="84" t="s">
        <v>457</v>
      </c>
      <c r="M601" s="90" t="str">
        <f t="shared" si="12"/>
        <v>View on Google Map</v>
      </c>
    </row>
    <row r="602" spans="1:13" x14ac:dyDescent="0.2">
      <c r="B602" s="84" t="s">
        <v>1635</v>
      </c>
      <c r="C602" s="84" t="s">
        <v>846</v>
      </c>
      <c r="D602" s="84">
        <v>69.13944444444445</v>
      </c>
      <c r="E602" s="84">
        <v>-150.68388888888899</v>
      </c>
      <c r="G602" s="84" t="s">
        <v>468</v>
      </c>
      <c r="J602" s="84" t="s">
        <v>456</v>
      </c>
      <c r="L602" s="84" t="s">
        <v>457</v>
      </c>
      <c r="M602" s="90" t="str">
        <f t="shared" si="12"/>
        <v>View on Google Map</v>
      </c>
    </row>
    <row r="603" spans="1:13" x14ac:dyDescent="0.2">
      <c r="B603" s="84" t="s">
        <v>1636</v>
      </c>
      <c r="C603" s="84" t="s">
        <v>1462</v>
      </c>
      <c r="D603" s="84">
        <v>68.960833333333341</v>
      </c>
      <c r="E603" s="84">
        <v>-150.719722222222</v>
      </c>
      <c r="G603" s="84" t="s">
        <v>468</v>
      </c>
      <c r="J603" s="84" t="s">
        <v>456</v>
      </c>
      <c r="L603" s="84" t="s">
        <v>457</v>
      </c>
      <c r="M603" s="90" t="str">
        <f t="shared" si="12"/>
        <v>View on Google Map</v>
      </c>
    </row>
    <row r="604" spans="1:13" x14ac:dyDescent="0.2">
      <c r="B604" s="84" t="s">
        <v>1637</v>
      </c>
      <c r="C604" s="84" t="s">
        <v>846</v>
      </c>
      <c r="D604" s="84">
        <v>69.055277777777775</v>
      </c>
      <c r="E604" s="84">
        <v>-150.80972222222201</v>
      </c>
      <c r="G604" s="84" t="s">
        <v>468</v>
      </c>
      <c r="J604" s="84" t="s">
        <v>456</v>
      </c>
      <c r="L604" s="84" t="s">
        <v>457</v>
      </c>
      <c r="M604" s="90" t="str">
        <f t="shared" si="12"/>
        <v>View on Google Map</v>
      </c>
    </row>
    <row r="605" spans="1:13" x14ac:dyDescent="0.2">
      <c r="A605" s="84">
        <v>932</v>
      </c>
      <c r="B605" s="84" t="s">
        <v>1638</v>
      </c>
      <c r="C605" s="84" t="s">
        <v>449</v>
      </c>
      <c r="D605" s="84" t="s">
        <v>449</v>
      </c>
      <c r="E605" s="84" t="s">
        <v>449</v>
      </c>
      <c r="F605" s="84">
        <v>750</v>
      </c>
      <c r="G605" s="84" t="s">
        <v>450</v>
      </c>
      <c r="H605" s="84" t="s">
        <v>1639</v>
      </c>
      <c r="I605" s="84" t="s">
        <v>1640</v>
      </c>
      <c r="J605" s="84" t="s">
        <v>475</v>
      </c>
      <c r="K605" s="84" t="s">
        <v>449</v>
      </c>
      <c r="L605" s="84" t="s">
        <v>449</v>
      </c>
      <c r="M605" s="90" t="str">
        <f t="shared" si="12"/>
        <v>View on Google Map</v>
      </c>
    </row>
    <row r="606" spans="1:13" x14ac:dyDescent="0.2">
      <c r="A606" s="84">
        <v>920</v>
      </c>
      <c r="B606" s="84" t="s">
        <v>1641</v>
      </c>
      <c r="C606" s="84" t="s">
        <v>449</v>
      </c>
      <c r="D606" s="84" t="s">
        <v>449</v>
      </c>
      <c r="E606" s="84" t="s">
        <v>449</v>
      </c>
      <c r="F606" s="84">
        <v>760</v>
      </c>
      <c r="G606" s="84" t="s">
        <v>450</v>
      </c>
      <c r="H606" s="84" t="s">
        <v>1642</v>
      </c>
      <c r="I606" s="84" t="s">
        <v>1643</v>
      </c>
      <c r="J606" s="84" t="s">
        <v>475</v>
      </c>
      <c r="K606" s="84" t="s">
        <v>449</v>
      </c>
      <c r="L606" s="84" t="s">
        <v>449</v>
      </c>
      <c r="M606" s="90" t="str">
        <f t="shared" si="12"/>
        <v>View on Google Map</v>
      </c>
    </row>
    <row r="607" spans="1:13" x14ac:dyDescent="0.2">
      <c r="A607" s="84">
        <v>921</v>
      </c>
      <c r="B607" s="84" t="s">
        <v>1644</v>
      </c>
      <c r="C607" s="84" t="s">
        <v>449</v>
      </c>
      <c r="D607" s="84" t="s">
        <v>449</v>
      </c>
      <c r="E607" s="84" t="s">
        <v>449</v>
      </c>
      <c r="F607" s="84">
        <v>720</v>
      </c>
      <c r="G607" s="84" t="s">
        <v>450</v>
      </c>
      <c r="H607" s="84" t="s">
        <v>1645</v>
      </c>
      <c r="I607" s="84" t="s">
        <v>1646</v>
      </c>
      <c r="J607" s="84" t="s">
        <v>475</v>
      </c>
      <c r="K607" s="84" t="s">
        <v>449</v>
      </c>
      <c r="L607" s="84" t="s">
        <v>449</v>
      </c>
      <c r="M607" s="90" t="str">
        <f t="shared" si="12"/>
        <v>View on Google Map</v>
      </c>
    </row>
    <row r="608" spans="1:13" x14ac:dyDescent="0.2">
      <c r="A608" s="84">
        <v>922</v>
      </c>
      <c r="B608" s="84" t="s">
        <v>1647</v>
      </c>
      <c r="C608" s="84" t="s">
        <v>449</v>
      </c>
      <c r="D608" s="84" t="s">
        <v>449</v>
      </c>
      <c r="E608" s="84" t="s">
        <v>449</v>
      </c>
      <c r="F608" s="84">
        <v>750</v>
      </c>
      <c r="G608" s="84" t="s">
        <v>450</v>
      </c>
      <c r="H608" s="84" t="s">
        <v>1648</v>
      </c>
      <c r="I608" s="84" t="s">
        <v>1649</v>
      </c>
      <c r="J608" s="84" t="s">
        <v>475</v>
      </c>
      <c r="K608" s="84" t="s">
        <v>449</v>
      </c>
      <c r="L608" s="84" t="s">
        <v>449</v>
      </c>
      <c r="M608" s="90" t="str">
        <f t="shared" si="12"/>
        <v>View on Google Map</v>
      </c>
    </row>
    <row r="609" spans="1:13" x14ac:dyDescent="0.2">
      <c r="A609" s="84">
        <v>923</v>
      </c>
      <c r="B609" s="84" t="s">
        <v>1650</v>
      </c>
      <c r="C609" s="84" t="s">
        <v>449</v>
      </c>
      <c r="D609" s="84" t="s">
        <v>449</v>
      </c>
      <c r="E609" s="84" t="s">
        <v>449</v>
      </c>
      <c r="F609" s="84">
        <v>750</v>
      </c>
      <c r="G609" s="84" t="s">
        <v>450</v>
      </c>
      <c r="H609" s="84" t="s">
        <v>1651</v>
      </c>
      <c r="I609" s="84" t="s">
        <v>1652</v>
      </c>
      <c r="J609" s="84" t="s">
        <v>475</v>
      </c>
      <c r="K609" s="84" t="s">
        <v>449</v>
      </c>
      <c r="L609" s="84" t="s">
        <v>449</v>
      </c>
      <c r="M609" s="90" t="str">
        <f t="shared" si="12"/>
        <v>View on Google Map</v>
      </c>
    </row>
    <row r="610" spans="1:13" x14ac:dyDescent="0.2">
      <c r="A610" s="84">
        <v>924</v>
      </c>
      <c r="B610" s="84" t="s">
        <v>1653</v>
      </c>
      <c r="C610" s="84" t="s">
        <v>449</v>
      </c>
      <c r="D610" s="84" t="s">
        <v>449</v>
      </c>
      <c r="E610" s="84" t="s">
        <v>449</v>
      </c>
      <c r="F610" s="84">
        <v>750</v>
      </c>
      <c r="G610" s="84" t="s">
        <v>450</v>
      </c>
      <c r="H610" s="84" t="s">
        <v>1654</v>
      </c>
      <c r="I610" s="84" t="s">
        <v>1655</v>
      </c>
      <c r="J610" s="84" t="s">
        <v>475</v>
      </c>
      <c r="K610" s="84" t="s">
        <v>449</v>
      </c>
      <c r="L610" s="84" t="s">
        <v>449</v>
      </c>
      <c r="M610" s="90" t="str">
        <f t="shared" si="12"/>
        <v>View on Google Map</v>
      </c>
    </row>
    <row r="611" spans="1:13" x14ac:dyDescent="0.2">
      <c r="A611" s="84">
        <v>925</v>
      </c>
      <c r="B611" s="84" t="s">
        <v>1656</v>
      </c>
      <c r="C611" s="84" t="s">
        <v>449</v>
      </c>
      <c r="D611" s="84" t="s">
        <v>449</v>
      </c>
      <c r="E611" s="84" t="s">
        <v>449</v>
      </c>
      <c r="F611" s="84">
        <v>750</v>
      </c>
      <c r="G611" s="84" t="s">
        <v>450</v>
      </c>
      <c r="H611" s="84" t="s">
        <v>1657</v>
      </c>
      <c r="I611" s="84" t="s">
        <v>1658</v>
      </c>
      <c r="J611" s="84" t="s">
        <v>475</v>
      </c>
      <c r="K611" s="84" t="s">
        <v>449</v>
      </c>
      <c r="L611" s="84" t="s">
        <v>449</v>
      </c>
      <c r="M611" s="90" t="str">
        <f t="shared" si="12"/>
        <v>View on Google Map</v>
      </c>
    </row>
    <row r="612" spans="1:13" x14ac:dyDescent="0.2">
      <c r="A612" s="84">
        <v>926</v>
      </c>
      <c r="B612" s="84" t="s">
        <v>1659</v>
      </c>
      <c r="C612" s="84" t="s">
        <v>449</v>
      </c>
      <c r="D612" s="84" t="s">
        <v>449</v>
      </c>
      <c r="E612" s="84" t="s">
        <v>449</v>
      </c>
      <c r="F612" s="84">
        <v>750</v>
      </c>
      <c r="G612" s="84" t="s">
        <v>450</v>
      </c>
      <c r="H612" s="84" t="s">
        <v>1660</v>
      </c>
      <c r="I612" s="84" t="s">
        <v>1661</v>
      </c>
      <c r="J612" s="84" t="s">
        <v>475</v>
      </c>
      <c r="K612" s="84" t="s">
        <v>449</v>
      </c>
      <c r="L612" s="84" t="s">
        <v>449</v>
      </c>
      <c r="M612" s="90" t="str">
        <f t="shared" si="12"/>
        <v>View on Google Map</v>
      </c>
    </row>
    <row r="613" spans="1:13" x14ac:dyDescent="0.2">
      <c r="A613" s="84">
        <v>927</v>
      </c>
      <c r="B613" s="84" t="s">
        <v>1662</v>
      </c>
      <c r="C613" s="84" t="s">
        <v>449</v>
      </c>
      <c r="D613" s="84" t="s">
        <v>449</v>
      </c>
      <c r="E613" s="84" t="s">
        <v>449</v>
      </c>
      <c r="F613" s="84">
        <v>750</v>
      </c>
      <c r="G613" s="84" t="s">
        <v>450</v>
      </c>
      <c r="H613" s="84" t="s">
        <v>1663</v>
      </c>
      <c r="I613" s="84" t="s">
        <v>1664</v>
      </c>
      <c r="J613" s="84" t="s">
        <v>475</v>
      </c>
      <c r="K613" s="84" t="s">
        <v>449</v>
      </c>
      <c r="L613" s="84" t="s">
        <v>449</v>
      </c>
      <c r="M613" s="90" t="str">
        <f t="shared" si="12"/>
        <v>View on Google Map</v>
      </c>
    </row>
    <row r="614" spans="1:13" x14ac:dyDescent="0.2">
      <c r="A614" s="84">
        <v>928</v>
      </c>
      <c r="B614" s="84" t="s">
        <v>1665</v>
      </c>
      <c r="C614" s="84" t="s">
        <v>449</v>
      </c>
      <c r="D614" s="84" t="s">
        <v>449</v>
      </c>
      <c r="E614" s="84" t="s">
        <v>449</v>
      </c>
      <c r="F614" s="84">
        <v>750</v>
      </c>
      <c r="G614" s="84" t="s">
        <v>450</v>
      </c>
      <c r="H614" s="84" t="s">
        <v>1666</v>
      </c>
      <c r="I614" s="84" t="s">
        <v>1667</v>
      </c>
      <c r="J614" s="84" t="s">
        <v>475</v>
      </c>
      <c r="K614" s="84" t="s">
        <v>449</v>
      </c>
      <c r="L614" s="84" t="s">
        <v>449</v>
      </c>
      <c r="M614" s="90" t="str">
        <f t="shared" si="12"/>
        <v>View on Google Map</v>
      </c>
    </row>
    <row r="615" spans="1:13" x14ac:dyDescent="0.2">
      <c r="A615" s="84">
        <v>929</v>
      </c>
      <c r="B615" s="84" t="s">
        <v>1668</v>
      </c>
      <c r="C615" s="84" t="s">
        <v>449</v>
      </c>
      <c r="D615" s="84" t="s">
        <v>449</v>
      </c>
      <c r="E615" s="84" t="s">
        <v>449</v>
      </c>
      <c r="F615" s="84">
        <v>750</v>
      </c>
      <c r="G615" s="84" t="s">
        <v>450</v>
      </c>
      <c r="H615" s="84" t="s">
        <v>1669</v>
      </c>
      <c r="I615" s="84" t="s">
        <v>1670</v>
      </c>
      <c r="J615" s="84" t="s">
        <v>475</v>
      </c>
      <c r="K615" s="84" t="s">
        <v>449</v>
      </c>
      <c r="L615" s="84" t="s">
        <v>449</v>
      </c>
      <c r="M615" s="90" t="str">
        <f t="shared" si="12"/>
        <v>View on Google Map</v>
      </c>
    </row>
    <row r="616" spans="1:13" x14ac:dyDescent="0.2">
      <c r="A616" s="84">
        <v>930</v>
      </c>
      <c r="B616" s="84" t="s">
        <v>1671</v>
      </c>
      <c r="C616" s="84" t="s">
        <v>449</v>
      </c>
      <c r="D616" s="84" t="s">
        <v>449</v>
      </c>
      <c r="E616" s="84" t="s">
        <v>449</v>
      </c>
      <c r="F616" s="84">
        <v>750</v>
      </c>
      <c r="G616" s="84" t="s">
        <v>450</v>
      </c>
      <c r="H616" s="84" t="s">
        <v>1672</v>
      </c>
      <c r="I616" s="84" t="s">
        <v>1673</v>
      </c>
      <c r="J616" s="84" t="s">
        <v>475</v>
      </c>
      <c r="K616" s="84" t="s">
        <v>449</v>
      </c>
      <c r="L616" s="84" t="s">
        <v>449</v>
      </c>
      <c r="M616" s="90" t="str">
        <f t="shared" si="12"/>
        <v>View on Google Map</v>
      </c>
    </row>
    <row r="617" spans="1:13" x14ac:dyDescent="0.2">
      <c r="A617" s="84">
        <v>931</v>
      </c>
      <c r="B617" s="84" t="s">
        <v>1674</v>
      </c>
      <c r="C617" s="84" t="s">
        <v>449</v>
      </c>
      <c r="D617" s="84" t="s">
        <v>449</v>
      </c>
      <c r="E617" s="84" t="s">
        <v>449</v>
      </c>
      <c r="F617" s="84">
        <v>750</v>
      </c>
      <c r="G617" s="84" t="s">
        <v>450</v>
      </c>
      <c r="H617" s="84" t="s">
        <v>1675</v>
      </c>
      <c r="I617" s="84" t="s">
        <v>1676</v>
      </c>
      <c r="J617" s="84" t="s">
        <v>475</v>
      </c>
      <c r="K617" s="84" t="s">
        <v>449</v>
      </c>
      <c r="L617" s="84" t="s">
        <v>449</v>
      </c>
      <c r="M617" s="90" t="str">
        <f t="shared" si="12"/>
        <v>View on Google Map</v>
      </c>
    </row>
    <row r="618" spans="1:13" x14ac:dyDescent="0.2">
      <c r="A618" s="84">
        <v>370</v>
      </c>
      <c r="B618" s="84" t="s">
        <v>1677</v>
      </c>
      <c r="C618" s="84" t="s">
        <v>449</v>
      </c>
      <c r="D618" s="84" t="s">
        <v>449</v>
      </c>
      <c r="E618" s="84" t="s">
        <v>449</v>
      </c>
      <c r="F618" s="84" t="s">
        <v>449</v>
      </c>
      <c r="G618" s="84" t="s">
        <v>460</v>
      </c>
      <c r="H618" s="84" t="s">
        <v>449</v>
      </c>
      <c r="I618" s="84" t="s">
        <v>449</v>
      </c>
      <c r="J618" s="84" t="s">
        <v>475</v>
      </c>
      <c r="K618" s="84" t="s">
        <v>449</v>
      </c>
      <c r="L618" s="84" t="s">
        <v>1678</v>
      </c>
      <c r="M618" s="90" t="str">
        <f t="shared" si="12"/>
        <v>View on Google Map</v>
      </c>
    </row>
    <row r="619" spans="1:13" x14ac:dyDescent="0.2">
      <c r="A619" s="84">
        <v>371</v>
      </c>
      <c r="B619" s="84" t="s">
        <v>1679</v>
      </c>
      <c r="C619" s="84" t="s">
        <v>449</v>
      </c>
      <c r="D619" s="84" t="s">
        <v>449</v>
      </c>
      <c r="E619" s="84" t="s">
        <v>449</v>
      </c>
      <c r="F619" s="84" t="s">
        <v>449</v>
      </c>
      <c r="G619" s="84" t="s">
        <v>460</v>
      </c>
      <c r="H619" s="84" t="s">
        <v>449</v>
      </c>
      <c r="I619" s="84" t="s">
        <v>449</v>
      </c>
      <c r="J619" s="84" t="s">
        <v>475</v>
      </c>
      <c r="K619" s="84" t="s">
        <v>449</v>
      </c>
      <c r="L619" s="84" t="s">
        <v>1678</v>
      </c>
      <c r="M619" s="90" t="str">
        <f t="shared" si="12"/>
        <v>View on Google Map</v>
      </c>
    </row>
    <row r="620" spans="1:13" x14ac:dyDescent="0.2">
      <c r="A620" s="84">
        <v>372</v>
      </c>
      <c r="B620" s="84" t="s">
        <v>1680</v>
      </c>
      <c r="C620" s="84" t="s">
        <v>449</v>
      </c>
      <c r="D620" s="84" t="s">
        <v>449</v>
      </c>
      <c r="E620" s="84" t="s">
        <v>449</v>
      </c>
      <c r="F620" s="84" t="s">
        <v>449</v>
      </c>
      <c r="G620" s="84" t="s">
        <v>460</v>
      </c>
      <c r="H620" s="84" t="s">
        <v>449</v>
      </c>
      <c r="I620" s="84" t="s">
        <v>449</v>
      </c>
      <c r="J620" s="84" t="s">
        <v>475</v>
      </c>
      <c r="K620" s="84" t="s">
        <v>449</v>
      </c>
      <c r="L620" s="84" t="s">
        <v>1678</v>
      </c>
      <c r="M620" s="90" t="str">
        <f t="shared" si="12"/>
        <v>View on Google Map</v>
      </c>
    </row>
    <row r="621" spans="1:13" x14ac:dyDescent="0.2">
      <c r="A621" s="84">
        <v>373</v>
      </c>
      <c r="B621" s="84" t="s">
        <v>1681</v>
      </c>
      <c r="C621" s="84" t="s">
        <v>449</v>
      </c>
      <c r="D621" s="84" t="s">
        <v>449</v>
      </c>
      <c r="E621" s="84" t="s">
        <v>449</v>
      </c>
      <c r="F621" s="84" t="s">
        <v>449</v>
      </c>
      <c r="G621" s="84" t="s">
        <v>460</v>
      </c>
      <c r="H621" s="84" t="s">
        <v>449</v>
      </c>
      <c r="I621" s="84" t="s">
        <v>449</v>
      </c>
      <c r="J621" s="84" t="s">
        <v>475</v>
      </c>
      <c r="K621" s="84" t="s">
        <v>449</v>
      </c>
      <c r="L621" s="84" t="s">
        <v>1678</v>
      </c>
      <c r="M621" s="90" t="str">
        <f t="shared" si="12"/>
        <v>View on Google Map</v>
      </c>
    </row>
    <row r="622" spans="1:13" x14ac:dyDescent="0.2">
      <c r="A622" s="84">
        <v>374</v>
      </c>
      <c r="B622" s="84" t="s">
        <v>1682</v>
      </c>
      <c r="C622" s="84" t="s">
        <v>449</v>
      </c>
      <c r="D622" s="84" t="s">
        <v>449</v>
      </c>
      <c r="E622" s="84" t="s">
        <v>449</v>
      </c>
      <c r="F622" s="84" t="s">
        <v>449</v>
      </c>
      <c r="G622" s="84" t="s">
        <v>460</v>
      </c>
      <c r="H622" s="84" t="s">
        <v>449</v>
      </c>
      <c r="I622" s="84" t="s">
        <v>449</v>
      </c>
      <c r="J622" s="84" t="s">
        <v>475</v>
      </c>
      <c r="K622" s="84" t="s">
        <v>449</v>
      </c>
      <c r="L622" s="84" t="s">
        <v>1678</v>
      </c>
      <c r="M622" s="90" t="str">
        <f t="shared" si="12"/>
        <v>View on Google Map</v>
      </c>
    </row>
    <row r="623" spans="1:13" x14ac:dyDescent="0.2">
      <c r="A623" s="84">
        <v>375</v>
      </c>
      <c r="B623" s="84" t="s">
        <v>1683</v>
      </c>
      <c r="C623" s="84" t="s">
        <v>449</v>
      </c>
      <c r="D623" s="84" t="s">
        <v>449</v>
      </c>
      <c r="E623" s="84" t="s">
        <v>449</v>
      </c>
      <c r="F623" s="84" t="s">
        <v>449</v>
      </c>
      <c r="G623" s="84" t="s">
        <v>460</v>
      </c>
      <c r="H623" s="84" t="s">
        <v>449</v>
      </c>
      <c r="I623" s="84" t="s">
        <v>449</v>
      </c>
      <c r="J623" s="84" t="s">
        <v>475</v>
      </c>
      <c r="K623" s="84" t="s">
        <v>449</v>
      </c>
      <c r="L623" s="84" t="s">
        <v>1678</v>
      </c>
      <c r="M623" s="90" t="str">
        <f t="shared" si="12"/>
        <v>View on Google Map</v>
      </c>
    </row>
    <row r="624" spans="1:13" x14ac:dyDescent="0.2">
      <c r="A624" s="84">
        <v>376</v>
      </c>
      <c r="B624" s="84" t="s">
        <v>1684</v>
      </c>
      <c r="C624" s="84" t="s">
        <v>449</v>
      </c>
      <c r="D624" s="84" t="s">
        <v>449</v>
      </c>
      <c r="E624" s="84" t="s">
        <v>449</v>
      </c>
      <c r="F624" s="84" t="s">
        <v>449</v>
      </c>
      <c r="G624" s="84" t="s">
        <v>460</v>
      </c>
      <c r="H624" s="84" t="s">
        <v>449</v>
      </c>
      <c r="I624" s="84" t="s">
        <v>449</v>
      </c>
      <c r="J624" s="84" t="s">
        <v>475</v>
      </c>
      <c r="K624" s="84" t="s">
        <v>449</v>
      </c>
      <c r="L624" s="84" t="s">
        <v>1678</v>
      </c>
      <c r="M624" s="90" t="str">
        <f t="shared" si="12"/>
        <v>View on Google Map</v>
      </c>
    </row>
    <row r="625" spans="1:13" x14ac:dyDescent="0.2">
      <c r="A625" s="84">
        <v>377</v>
      </c>
      <c r="B625" s="84" t="s">
        <v>1685</v>
      </c>
      <c r="C625" s="84" t="s">
        <v>449</v>
      </c>
      <c r="D625" s="84" t="s">
        <v>449</v>
      </c>
      <c r="E625" s="84" t="s">
        <v>449</v>
      </c>
      <c r="F625" s="84" t="s">
        <v>449</v>
      </c>
      <c r="G625" s="84" t="s">
        <v>460</v>
      </c>
      <c r="H625" s="84" t="s">
        <v>449</v>
      </c>
      <c r="I625" s="84" t="s">
        <v>449</v>
      </c>
      <c r="J625" s="84" t="s">
        <v>475</v>
      </c>
      <c r="K625" s="84" t="s">
        <v>449</v>
      </c>
      <c r="L625" s="84" t="s">
        <v>1678</v>
      </c>
      <c r="M625" s="90" t="str">
        <f t="shared" si="12"/>
        <v>View on Google Map</v>
      </c>
    </row>
    <row r="626" spans="1:13" x14ac:dyDescent="0.2">
      <c r="A626" s="84">
        <v>378</v>
      </c>
      <c r="B626" s="84" t="s">
        <v>1686</v>
      </c>
      <c r="C626" s="84" t="s">
        <v>449</v>
      </c>
      <c r="D626" s="84" t="s">
        <v>449</v>
      </c>
      <c r="E626" s="84" t="s">
        <v>449</v>
      </c>
      <c r="F626" s="84" t="s">
        <v>449</v>
      </c>
      <c r="G626" s="84" t="s">
        <v>460</v>
      </c>
      <c r="H626" s="84" t="s">
        <v>449</v>
      </c>
      <c r="I626" s="84" t="s">
        <v>449</v>
      </c>
      <c r="J626" s="84" t="s">
        <v>475</v>
      </c>
      <c r="K626" s="84" t="s">
        <v>449</v>
      </c>
      <c r="L626" s="84" t="s">
        <v>1678</v>
      </c>
      <c r="M626" s="90" t="str">
        <f t="shared" si="12"/>
        <v>View on Google Map</v>
      </c>
    </row>
    <row r="627" spans="1:13" x14ac:dyDescent="0.2">
      <c r="A627" s="84">
        <v>379</v>
      </c>
      <c r="B627" s="84" t="s">
        <v>1687</v>
      </c>
      <c r="C627" s="84" t="s">
        <v>449</v>
      </c>
      <c r="D627" s="84" t="s">
        <v>449</v>
      </c>
      <c r="E627" s="84" t="s">
        <v>449</v>
      </c>
      <c r="F627" s="84" t="s">
        <v>449</v>
      </c>
      <c r="G627" s="84" t="s">
        <v>460</v>
      </c>
      <c r="H627" s="84" t="s">
        <v>449</v>
      </c>
      <c r="I627" s="84" t="s">
        <v>449</v>
      </c>
      <c r="J627" s="84" t="s">
        <v>475</v>
      </c>
      <c r="K627" s="84" t="s">
        <v>449</v>
      </c>
      <c r="L627" s="84" t="s">
        <v>1678</v>
      </c>
      <c r="M627" s="90" t="str">
        <f t="shared" si="12"/>
        <v>View on Google Map</v>
      </c>
    </row>
    <row r="628" spans="1:13" x14ac:dyDescent="0.2">
      <c r="A628" s="84">
        <v>458</v>
      </c>
      <c r="B628" s="84" t="s">
        <v>1688</v>
      </c>
      <c r="C628" s="84" t="s">
        <v>449</v>
      </c>
      <c r="D628" s="84">
        <v>68.986329999999995</v>
      </c>
      <c r="E628" s="84">
        <v>-149.89803000000001</v>
      </c>
      <c r="F628" s="84">
        <v>419</v>
      </c>
      <c r="G628" s="84" t="s">
        <v>460</v>
      </c>
      <c r="H628" s="84" t="s">
        <v>449</v>
      </c>
      <c r="I628" s="84" t="s">
        <v>449</v>
      </c>
      <c r="J628" s="84" t="s">
        <v>461</v>
      </c>
      <c r="K628" s="84" t="s">
        <v>449</v>
      </c>
      <c r="L628" s="84" t="s">
        <v>449</v>
      </c>
      <c r="M628" s="90" t="str">
        <f t="shared" si="12"/>
        <v>View on Google Map</v>
      </c>
    </row>
    <row r="629" spans="1:13" x14ac:dyDescent="0.2">
      <c r="A629" s="84">
        <v>459</v>
      </c>
      <c r="B629" s="84" t="s">
        <v>1689</v>
      </c>
      <c r="C629" s="84" t="s">
        <v>449</v>
      </c>
      <c r="D629" s="84">
        <v>68.983530000000002</v>
      </c>
      <c r="E629" s="84">
        <v>-149.89436000000001</v>
      </c>
      <c r="F629" s="84">
        <v>408</v>
      </c>
      <c r="G629" s="84" t="s">
        <v>460</v>
      </c>
      <c r="H629" s="84" t="s">
        <v>449</v>
      </c>
      <c r="I629" s="84" t="s">
        <v>449</v>
      </c>
      <c r="J629" s="84" t="s">
        <v>461</v>
      </c>
      <c r="K629" s="84" t="s">
        <v>449</v>
      </c>
      <c r="L629" s="84" t="s">
        <v>449</v>
      </c>
      <c r="M629" s="90" t="str">
        <f t="shared" si="12"/>
        <v>View on Google Map</v>
      </c>
    </row>
    <row r="630" spans="1:13" x14ac:dyDescent="0.2">
      <c r="A630" s="84">
        <v>460</v>
      </c>
      <c r="B630" s="84" t="s">
        <v>1690</v>
      </c>
      <c r="C630" s="84" t="s">
        <v>449</v>
      </c>
      <c r="D630" s="84">
        <v>68.978710000000007</v>
      </c>
      <c r="E630" s="84">
        <v>-149.89182</v>
      </c>
      <c r="F630" s="84">
        <v>394</v>
      </c>
      <c r="G630" s="84" t="s">
        <v>460</v>
      </c>
      <c r="H630" s="84" t="s">
        <v>449</v>
      </c>
      <c r="I630" s="84" t="s">
        <v>449</v>
      </c>
      <c r="J630" s="84" t="s">
        <v>461</v>
      </c>
      <c r="K630" s="84" t="s">
        <v>449</v>
      </c>
      <c r="L630" s="84" t="s">
        <v>449</v>
      </c>
      <c r="M630" s="90" t="str">
        <f t="shared" si="12"/>
        <v>View on Google Map</v>
      </c>
    </row>
    <row r="631" spans="1:13" x14ac:dyDescent="0.2">
      <c r="A631" s="84">
        <v>461</v>
      </c>
      <c r="B631" s="84" t="s">
        <v>1691</v>
      </c>
      <c r="C631" s="84" t="s">
        <v>449</v>
      </c>
      <c r="D631" s="84">
        <v>68.861750000000001</v>
      </c>
      <c r="E631" s="84">
        <v>-149.03908000000001</v>
      </c>
      <c r="F631" s="84">
        <v>651</v>
      </c>
      <c r="G631" s="84" t="s">
        <v>460</v>
      </c>
      <c r="H631" s="84" t="s">
        <v>449</v>
      </c>
      <c r="I631" s="84" t="s">
        <v>449</v>
      </c>
      <c r="J631" s="84" t="s">
        <v>461</v>
      </c>
      <c r="K631" s="84" t="s">
        <v>449</v>
      </c>
      <c r="L631" s="84" t="s">
        <v>449</v>
      </c>
      <c r="M631" s="90" t="str">
        <f t="shared" si="12"/>
        <v>View on Google Map</v>
      </c>
    </row>
    <row r="632" spans="1:13" x14ac:dyDescent="0.2">
      <c r="A632" s="84">
        <v>462</v>
      </c>
      <c r="B632" s="84" t="s">
        <v>1692</v>
      </c>
      <c r="C632" s="84" t="s">
        <v>449</v>
      </c>
      <c r="D632" s="84">
        <v>68.867549999999994</v>
      </c>
      <c r="E632" s="84">
        <v>-149.03557000000001</v>
      </c>
      <c r="F632" s="84">
        <v>638</v>
      </c>
      <c r="G632" s="84" t="s">
        <v>460</v>
      </c>
      <c r="H632" s="84" t="s">
        <v>449</v>
      </c>
      <c r="I632" s="84" t="s">
        <v>449</v>
      </c>
      <c r="J632" s="84" t="s">
        <v>461</v>
      </c>
      <c r="K632" s="84" t="s">
        <v>449</v>
      </c>
      <c r="L632" s="84" t="s">
        <v>449</v>
      </c>
      <c r="M632" s="90" t="str">
        <f t="shared" si="12"/>
        <v>View on Google Map</v>
      </c>
    </row>
    <row r="633" spans="1:13" x14ac:dyDescent="0.2">
      <c r="A633" s="91">
        <v>463</v>
      </c>
      <c r="B633" s="91" t="s">
        <v>1693</v>
      </c>
      <c r="C633" s="91" t="s">
        <v>449</v>
      </c>
      <c r="D633" s="91">
        <v>68.873149999999995</v>
      </c>
      <c r="E633" s="91">
        <v>-149.04128</v>
      </c>
      <c r="F633" s="91">
        <v>637</v>
      </c>
      <c r="G633" s="91" t="s">
        <v>460</v>
      </c>
      <c r="H633" s="91" t="s">
        <v>449</v>
      </c>
      <c r="I633" s="91" t="s">
        <v>449</v>
      </c>
      <c r="J633" s="91" t="s">
        <v>461</v>
      </c>
      <c r="K633" s="91" t="s">
        <v>449</v>
      </c>
      <c r="L633" s="91" t="s">
        <v>449</v>
      </c>
      <c r="M633" s="90" t="str">
        <f t="shared" si="12"/>
        <v>View on Google Map</v>
      </c>
    </row>
    <row r="634" spans="1:13" x14ac:dyDescent="0.2">
      <c r="A634" s="84">
        <v>129</v>
      </c>
      <c r="B634" s="84" t="s">
        <v>1694</v>
      </c>
      <c r="C634" s="84" t="s">
        <v>1535</v>
      </c>
      <c r="D634" s="84">
        <v>69.966666666666669</v>
      </c>
      <c r="E634" s="84">
        <v>-148.73333333333301</v>
      </c>
      <c r="F634" s="84">
        <v>57</v>
      </c>
      <c r="G634" s="84" t="s">
        <v>460</v>
      </c>
      <c r="H634" s="84" t="s">
        <v>1695</v>
      </c>
      <c r="I634" s="84" t="s">
        <v>449</v>
      </c>
      <c r="J634" s="84" t="s">
        <v>475</v>
      </c>
      <c r="K634" s="84" t="s">
        <v>449</v>
      </c>
      <c r="L634" s="84" t="s">
        <v>476</v>
      </c>
      <c r="M634" s="90" t="str">
        <f t="shared" si="12"/>
        <v>View on Google Map</v>
      </c>
    </row>
    <row r="635" spans="1:13" x14ac:dyDescent="0.2">
      <c r="A635" s="84">
        <v>17</v>
      </c>
      <c r="B635" s="84" t="s">
        <v>1696</v>
      </c>
      <c r="C635" s="84" t="s">
        <v>1697</v>
      </c>
      <c r="D635" s="84" t="s">
        <v>449</v>
      </c>
      <c r="E635" s="84" t="s">
        <v>449</v>
      </c>
      <c r="F635" s="84" t="s">
        <v>449</v>
      </c>
      <c r="G635" s="84" t="s">
        <v>474</v>
      </c>
      <c r="H635" s="84" t="s">
        <v>449</v>
      </c>
      <c r="I635" s="84" t="s">
        <v>449</v>
      </c>
      <c r="J635" s="84" t="s">
        <v>475</v>
      </c>
      <c r="K635" s="84" t="s">
        <v>449</v>
      </c>
      <c r="L635" s="84" t="s">
        <v>449</v>
      </c>
      <c r="M635" s="90" t="str">
        <f t="shared" si="12"/>
        <v>View on Google Map</v>
      </c>
    </row>
    <row r="636" spans="1:13" x14ac:dyDescent="0.2">
      <c r="A636" s="84">
        <v>530</v>
      </c>
      <c r="B636" s="84" t="s">
        <v>1698</v>
      </c>
      <c r="C636" s="84" t="s">
        <v>855</v>
      </c>
      <c r="D636" s="84">
        <v>68.674332000000007</v>
      </c>
      <c r="E636" s="84">
        <v>-149.61694399999999</v>
      </c>
      <c r="F636" s="84">
        <v>701</v>
      </c>
      <c r="G636" s="84" t="s">
        <v>460</v>
      </c>
      <c r="H636" s="84" t="s">
        <v>449</v>
      </c>
      <c r="I636" s="84" t="s">
        <v>449</v>
      </c>
      <c r="J636" s="84" t="s">
        <v>461</v>
      </c>
      <c r="K636" s="84" t="s">
        <v>449</v>
      </c>
      <c r="L636" s="84" t="s">
        <v>856</v>
      </c>
      <c r="M636" s="90" t="str">
        <f t="shared" si="12"/>
        <v>View on Google Map</v>
      </c>
    </row>
    <row r="637" spans="1:13" x14ac:dyDescent="0.2">
      <c r="A637" s="84">
        <v>496</v>
      </c>
      <c r="B637" s="84" t="s">
        <v>1699</v>
      </c>
      <c r="C637" s="84" t="s">
        <v>449</v>
      </c>
      <c r="D637" s="84">
        <v>68.674149999999997</v>
      </c>
      <c r="E637" s="84">
        <v>-149.61810299999999</v>
      </c>
      <c r="F637" s="84">
        <v>701</v>
      </c>
      <c r="G637" s="84" t="s">
        <v>474</v>
      </c>
      <c r="H637" s="84" t="s">
        <v>1700</v>
      </c>
      <c r="I637" s="84" t="s">
        <v>449</v>
      </c>
      <c r="J637" s="84" t="s">
        <v>1377</v>
      </c>
      <c r="K637" s="84" t="s">
        <v>449</v>
      </c>
      <c r="L637" s="84" t="s">
        <v>856</v>
      </c>
      <c r="M637" s="90"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Roots</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Drysdale</dc:creator>
  <cp:lastModifiedBy>Jessica Drysdale</cp:lastModifiedBy>
  <dcterms:created xsi:type="dcterms:W3CDTF">2013-03-20T12:43:38Z</dcterms:created>
  <dcterms:modified xsi:type="dcterms:W3CDTF">2013-12-03T13:49:05Z</dcterms:modified>
</cp:coreProperties>
</file>