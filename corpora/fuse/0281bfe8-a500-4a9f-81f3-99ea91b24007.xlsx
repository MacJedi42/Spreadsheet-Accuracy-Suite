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35" windowHeight="12270"/>
  </bookViews>
  <sheets>
    <sheet name="Masonry" sheetId="3" r:id="rId1"/>
    <sheet name="Frame" sheetId="2" r:id="rId2"/>
  </sheets>
  <calcPr calcId="125725"/>
</workbook>
</file>

<file path=xl/calcChain.xml><?xml version="1.0" encoding="utf-8"?>
<calcChain xmlns="http://schemas.openxmlformats.org/spreadsheetml/2006/main">
  <c r="AQ17" i="2"/>
  <c r="AP17"/>
  <c r="AQ62"/>
  <c r="AP62"/>
  <c r="AQ61"/>
  <c r="AP61"/>
  <c r="AQ60"/>
  <c r="AP60"/>
  <c r="AQ59"/>
  <c r="AP59"/>
  <c r="AQ58"/>
  <c r="AP58"/>
  <c r="AQ57"/>
  <c r="AP57"/>
  <c r="AQ56"/>
  <c r="AP56"/>
  <c r="AQ55"/>
  <c r="AP55"/>
  <c r="AQ54"/>
  <c r="AP54"/>
  <c r="AQ53"/>
  <c r="AP53"/>
  <c r="AQ52"/>
  <c r="AP52"/>
  <c r="AQ51"/>
  <c r="AP51"/>
  <c r="AQ50"/>
  <c r="AP50"/>
  <c r="AQ49"/>
  <c r="AP49"/>
  <c r="AQ48"/>
  <c r="AP48"/>
  <c r="AQ47"/>
  <c r="AP47"/>
  <c r="AQ46"/>
  <c r="AP46"/>
  <c r="AQ45"/>
  <c r="AP45"/>
  <c r="AQ44"/>
  <c r="AP44"/>
  <c r="AQ43"/>
  <c r="AP43"/>
  <c r="AQ42"/>
  <c r="AP42"/>
  <c r="AQ41"/>
  <c r="AP41"/>
  <c r="AQ40"/>
  <c r="AP40"/>
  <c r="AQ39"/>
  <c r="AP39"/>
  <c r="AQ38"/>
  <c r="AP38"/>
  <c r="AQ37"/>
  <c r="AP37"/>
  <c r="AQ36"/>
  <c r="AP36"/>
  <c r="AQ35"/>
  <c r="AP35"/>
  <c r="AQ34"/>
  <c r="AP34"/>
  <c r="AQ33"/>
  <c r="AP33"/>
  <c r="AQ32"/>
  <c r="AP32"/>
  <c r="AQ31"/>
  <c r="AP31"/>
  <c r="AQ30"/>
  <c r="AP30"/>
  <c r="AQ29"/>
  <c r="AP29"/>
  <c r="AQ28"/>
  <c r="AP28"/>
  <c r="AQ27"/>
  <c r="AP27"/>
  <c r="AQ26"/>
  <c r="AP26"/>
  <c r="AQ25"/>
  <c r="AP25"/>
  <c r="AQ24"/>
  <c r="AP24"/>
  <c r="AQ23"/>
  <c r="AP23"/>
  <c r="AQ22"/>
  <c r="AP22"/>
  <c r="AQ21"/>
  <c r="AP21"/>
  <c r="AQ20"/>
  <c r="AP20"/>
  <c r="AQ19"/>
  <c r="AP19"/>
  <c r="AQ18"/>
  <c r="AP18"/>
  <c r="AQ62" i="3"/>
  <c r="AP62"/>
  <c r="AQ61"/>
  <c r="AP61"/>
  <c r="AQ60"/>
  <c r="AP60"/>
  <c r="AQ59"/>
  <c r="AP59"/>
  <c r="AQ58"/>
  <c r="AP58"/>
  <c r="AQ57"/>
  <c r="AP57"/>
  <c r="AQ56"/>
  <c r="AP56"/>
  <c r="AQ55"/>
  <c r="AP55"/>
  <c r="AQ54"/>
  <c r="AP54"/>
  <c r="AQ53"/>
  <c r="AP53"/>
  <c r="AQ52"/>
  <c r="AP52"/>
  <c r="AQ51"/>
  <c r="AP51"/>
  <c r="AQ50"/>
  <c r="AP50"/>
  <c r="AQ49"/>
  <c r="AP49"/>
  <c r="AQ48"/>
  <c r="AP48"/>
  <c r="AQ47"/>
  <c r="AP47"/>
  <c r="AQ46"/>
  <c r="AP46"/>
  <c r="AQ45"/>
  <c r="AP45"/>
  <c r="AQ44"/>
  <c r="AP44"/>
  <c r="AQ43"/>
  <c r="AP43"/>
  <c r="AQ42"/>
  <c r="AP42"/>
  <c r="AQ41"/>
  <c r="AP41"/>
  <c r="AQ40"/>
  <c r="AP40"/>
  <c r="AQ39"/>
  <c r="AP39"/>
  <c r="AQ38"/>
  <c r="AP38"/>
  <c r="AQ37"/>
  <c r="AP37"/>
  <c r="AQ36"/>
  <c r="AP36"/>
  <c r="AQ35"/>
  <c r="AP35"/>
  <c r="AQ34"/>
  <c r="AP34"/>
  <c r="AQ33"/>
  <c r="AP33"/>
  <c r="AQ32"/>
  <c r="AP32"/>
  <c r="AQ31"/>
  <c r="AP31"/>
  <c r="AQ30"/>
  <c r="AP30"/>
  <c r="AQ29"/>
  <c r="AP29"/>
  <c r="AQ28"/>
  <c r="AP28"/>
  <c r="AQ27"/>
  <c r="AP27"/>
  <c r="AQ26"/>
  <c r="AP26"/>
  <c r="AQ25"/>
  <c r="AP25"/>
  <c r="AQ24"/>
  <c r="AP24"/>
  <c r="AQ23"/>
  <c r="AP23"/>
  <c r="AQ22"/>
  <c r="AP22"/>
  <c r="AQ21"/>
  <c r="AP21"/>
  <c r="AQ20"/>
  <c r="AP20"/>
  <c r="AQ19"/>
  <c r="AP19"/>
  <c r="AQ18"/>
  <c r="AP18"/>
  <c r="AQ17"/>
  <c r="AP17"/>
</calcChain>
</file>

<file path=xl/sharedStrings.xml><?xml version="1.0" encoding="utf-8"?>
<sst xmlns="http://schemas.openxmlformats.org/spreadsheetml/2006/main" count="252" uniqueCount="87">
  <si>
    <t>SOUTH CAROLINA DEPARTMENT OF INSURANCE</t>
  </si>
  <si>
    <t>7.  Credit Score between 650-700 or equivalent.</t>
  </si>
  <si>
    <t>9.  Year Built 2005</t>
  </si>
  <si>
    <t>10.  No mitigation</t>
  </si>
  <si>
    <t>Effective Date:</t>
  </si>
  <si>
    <t>Territory</t>
  </si>
  <si>
    <t>With Wind</t>
  </si>
  <si>
    <t>Without Wind</t>
  </si>
  <si>
    <t>Abbeville</t>
  </si>
  <si>
    <t>Aiken</t>
  </si>
  <si>
    <t>Allendale</t>
  </si>
  <si>
    <t>Anderson</t>
  </si>
  <si>
    <t>Bamberg</t>
  </si>
  <si>
    <t>Barnwell</t>
  </si>
  <si>
    <t>Beaufort*</t>
  </si>
  <si>
    <t>Berkeley*</t>
  </si>
  <si>
    <t>Calhoun</t>
  </si>
  <si>
    <t>Charleston*</t>
  </si>
  <si>
    <t>Cherokee</t>
  </si>
  <si>
    <t xml:space="preserve">Chester </t>
  </si>
  <si>
    <t>Chesterfield</t>
  </si>
  <si>
    <t>Clarendon</t>
  </si>
  <si>
    <t>Colleton*</t>
  </si>
  <si>
    <t>Darlington</t>
  </si>
  <si>
    <t>Dillon</t>
  </si>
  <si>
    <t>Dorchester*</t>
  </si>
  <si>
    <t>Edgefield</t>
  </si>
  <si>
    <t>Fairfield</t>
  </si>
  <si>
    <t>Florence</t>
  </si>
  <si>
    <t>Georgetown*</t>
  </si>
  <si>
    <t>Greenville</t>
  </si>
  <si>
    <t>Greenwood</t>
  </si>
  <si>
    <t>Hampton</t>
  </si>
  <si>
    <t>Horry*</t>
  </si>
  <si>
    <t>Jasper*</t>
  </si>
  <si>
    <t>Kershaw</t>
  </si>
  <si>
    <t>Lancaster</t>
  </si>
  <si>
    <t>Laurens</t>
  </si>
  <si>
    <t>Lee</t>
  </si>
  <si>
    <t>Lexington</t>
  </si>
  <si>
    <t>Marion</t>
  </si>
  <si>
    <t>Marlboro</t>
  </si>
  <si>
    <t>McCormick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</si>
  <si>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</si>
  <si>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</si>
  <si>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</si>
  <si>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</si>
  <si>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</si>
  <si>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</si>
  <si>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</si>
  <si>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</si>
  <si>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</si>
  <si>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</si>
  <si>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</si>
  <si>
    <r>
      <t xml:space="preserve">5a.  For </t>
    </r>
    <r>
      <rPr>
        <b/>
        <sz val="11"/>
        <rFont val="Calibri"/>
        <family val="2"/>
        <scheme val="minor"/>
      </rPr>
      <t>coastal counties</t>
    </r>
    <r>
      <rPr>
        <sz val="11"/>
        <rFont val="Calibri"/>
        <family val="2"/>
        <scheme val="minor"/>
      </rPr>
      <t xml:space="preserve"> highlighted - use a 2% deductible, rather than flat $500.00</t>
    </r>
  </si>
  <si>
    <t>COMPARISON OF ANNUAL PREMIUMS - HO FRAME</t>
  </si>
  <si>
    <t>1.  Premiums shown are for a single family, owner occupied home with $150,000 amount of insurance written on</t>
  </si>
  <si>
    <t xml:space="preserve">      Form HO-3 or equivalent with full replacement costs.  If coverage form is substantially different, please footnote.</t>
  </si>
  <si>
    <t>2.  Protection class = 5.</t>
  </si>
  <si>
    <t>3.  The loss history is 5 years claim-free.</t>
  </si>
  <si>
    <t>4.  Liability coverage = $100,000 and Medical Payments = $1000.</t>
  </si>
  <si>
    <t>5.  Deductible amount = $500.  If the company does not offer a deductible of $500 for all perils, quote the closest to</t>
  </si>
  <si>
    <t xml:space="preserve">      $500 for % deductible and footnote the actual deductible used for rating.</t>
  </si>
  <si>
    <t xml:space="preserve">6.  For the territories that are subdivided, enter the highest applicable premiums on the attached form. </t>
  </si>
  <si>
    <r>
      <t xml:space="preserve">8.  *Include a Hurricane Deductible of 2 percent (2%) </t>
    </r>
    <r>
      <rPr>
        <i/>
        <sz val="11"/>
        <rFont val="Calibri"/>
        <family val="2"/>
        <scheme val="minor"/>
      </rPr>
      <t>for coastal counties only</t>
    </r>
  </si>
  <si>
    <t>Privilege Underwriters Reciprocal Exchange</t>
  </si>
  <si>
    <t>Universal North America</t>
  </si>
  <si>
    <t>Universal Insurance Company of North America</t>
  </si>
  <si>
    <t>USAA</t>
  </si>
  <si>
    <t>Average Premium</t>
  </si>
  <si>
    <t>Federal Insurance Company</t>
  </si>
  <si>
    <t>Pacific Indemnity Company</t>
  </si>
  <si>
    <t>South Carolina Farm Bureau Mutual Insurance Company</t>
  </si>
  <si>
    <t>State Farm Fire &amp; Casualty Company</t>
  </si>
  <si>
    <t>Travelers Home and Marine Insurance Company</t>
  </si>
  <si>
    <t>Trumbull Insurance Company</t>
  </si>
  <si>
    <t>USAA Casualty Insurance Company</t>
  </si>
  <si>
    <t>Foremost Insurance Company</t>
  </si>
  <si>
    <t>Allstate Vehicle and Property Insurance Company</t>
  </si>
  <si>
    <t>Allied P&amp;C Insurance Company</t>
  </si>
  <si>
    <t>Chartis Casualty Company</t>
  </si>
  <si>
    <t xml:space="preserve"> Automobile Insurance Company of Hartford, Connecticut</t>
  </si>
  <si>
    <t>Owners Insurance Company</t>
  </si>
  <si>
    <t>Safeco Insurance Company of America</t>
  </si>
  <si>
    <t>American Strategic Insurance Corp</t>
  </si>
  <si>
    <t>Auto-Owners Insurance Company</t>
  </si>
  <si>
    <t>COMPARISON OF ANNUAL PREMIUMS - HO MASONRY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</si>
</sst>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indexed="5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5" fillId="0" borderId="0" xfId="1" applyFont="1"/>
    <xf numFmtId="0" fontId="4" fillId="0" borderId="0" xfId="14" applyFont="1"/>
    <xf numFmtId="0" fontId="5" fillId="0" borderId="0" xfId="14" applyFont="1"/>
    <xf numFmtId="0" fontId="4" fillId="0" borderId="0" xfId="14" applyFont="1" applyBorder="1" applyAlignment="1"/>
    <xf numFmtId="0" fontId="4" fillId="0" borderId="0" xfId="14" applyFont="1" applyBorder="1"/>
    <xf numFmtId="14" fontId="4" fillId="0" borderId="0" xfId="14" applyNumberFormat="1" applyFont="1"/>
    <xf numFmtId="3" fontId="5" fillId="0" borderId="0" xfId="14" applyNumberFormat="1" applyFont="1"/>
    <xf numFmtId="3" fontId="5" fillId="0" borderId="0" xfId="14" applyNumberFormat="1" applyFont="1" applyAlignment="1"/>
    <xf numFmtId="0" fontId="5" fillId="0" borderId="0" xfId="14" applyFont="1" applyAlignment="1"/>
    <xf numFmtId="0" fontId="7" fillId="2" borderId="1" xfId="14" applyFont="1" applyFill="1" applyBorder="1" applyAlignment="1">
      <alignment horizontal="center" vertical="center"/>
    </xf>
    <xf numFmtId="0" fontId="7" fillId="2" borderId="1" xfId="16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3" fontId="8" fillId="3" borderId="2" xfId="14" applyNumberFormat="1" applyFont="1" applyFill="1" applyBorder="1"/>
    <xf numFmtId="3" fontId="8" fillId="3" borderId="2" xfId="15" applyNumberFormat="1" applyFont="1" applyFill="1" applyBorder="1" applyAlignment="1">
      <alignment horizontal="right"/>
    </xf>
    <xf numFmtId="164" fontId="8" fillId="3" borderId="2" xfId="17" applyNumberFormat="1" applyFont="1" applyFill="1" applyBorder="1" applyAlignment="1">
      <alignment horizontal="right"/>
    </xf>
    <xf numFmtId="164" fontId="8" fillId="3" borderId="6" xfId="17" applyNumberFormat="1" applyFont="1" applyFill="1" applyBorder="1" applyAlignment="1">
      <alignment horizontal="right"/>
    </xf>
    <xf numFmtId="3" fontId="8" fillId="0" borderId="2" xfId="14" applyNumberFormat="1" applyFont="1" applyBorder="1"/>
    <xf numFmtId="3" fontId="8" fillId="0" borderId="2" xfId="15" applyNumberFormat="1" applyFont="1" applyBorder="1" applyAlignment="1">
      <alignment horizontal="right"/>
    </xf>
    <xf numFmtId="164" fontId="8" fillId="0" borderId="2" xfId="17" applyNumberFormat="1" applyFont="1" applyBorder="1" applyAlignment="1">
      <alignment horizontal="right"/>
    </xf>
    <xf numFmtId="3" fontId="9" fillId="3" borderId="2" xfId="14" applyNumberFormat="1" applyFont="1" applyFill="1" applyBorder="1"/>
    <xf numFmtId="3" fontId="9" fillId="0" borderId="2" xfId="14" applyNumberFormat="1" applyFont="1" applyBorder="1"/>
    <xf numFmtId="164" fontId="10" fillId="0" borderId="0" xfId="17" applyNumberFormat="1" applyFont="1"/>
    <xf numFmtId="3" fontId="8" fillId="0" borderId="3" xfId="14" applyNumberFormat="1" applyFont="1" applyBorder="1"/>
    <xf numFmtId="3" fontId="8" fillId="0" borderId="3" xfId="15" applyNumberFormat="1" applyFont="1" applyBorder="1" applyAlignment="1">
      <alignment horizontal="right"/>
    </xf>
    <xf numFmtId="164" fontId="8" fillId="0" borderId="3" xfId="17" applyNumberFormat="1" applyFont="1" applyBorder="1" applyAlignment="1">
      <alignment horizontal="right"/>
    </xf>
    <xf numFmtId="0" fontId="5" fillId="0" borderId="0" xfId="14" applyFont="1" applyAlignment="1">
      <alignment horizontal="left"/>
    </xf>
    <xf numFmtId="14" fontId="4" fillId="0" borderId="0" xfId="14" applyNumberFormat="1" applyFont="1" applyAlignment="1"/>
    <xf numFmtId="0" fontId="1" fillId="0" borderId="0" xfId="0" applyFont="1" applyFill="1"/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14" fontId="4" fillId="0" borderId="0" xfId="14" applyNumberFormat="1" applyFont="1" applyAlignment="1">
      <alignment horizontal="center"/>
    </xf>
  </cellXfs>
  <cellStyles count="18">
    <cellStyle name="Comma" xfId="17" builtinId="3"/>
    <cellStyle name="Comma 2" xfId="6"/>
    <cellStyle name="Currency 2" xfId="2"/>
    <cellStyle name="Currency 3" xfId="15"/>
    <cellStyle name="Normal" xfId="0" builtinId="0"/>
    <cellStyle name="Normal 2" xfId="1"/>
    <cellStyle name="Normal 2 2" xfId="3"/>
    <cellStyle name="Normal 2 3" xfId="8"/>
    <cellStyle name="Normal 2 4" xfId="9"/>
    <cellStyle name="Normal 2 5" xfId="10"/>
    <cellStyle name="Normal 2 6" xfId="11"/>
    <cellStyle name="Normal 2 7" xfId="16"/>
    <cellStyle name="Normal 3" xfId="4"/>
    <cellStyle name="Normal 4" xfId="5"/>
    <cellStyle name="Normal 5" xfId="12"/>
    <cellStyle name="Normal 6" xfId="13"/>
    <cellStyle name="Normal 7" xfId="14"/>
    <cellStyle name="Percent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80"/>
  <sheetViews>
    <sheetView tabSelected="1" zoomScale="70" zoomScaleNormal="70" workbookViewId="0">
      <selection activeCell="AQ10" sqref="AQ10"/>
    </sheetView>
  </sheetViews>
  <sheetFormatPr defaultColWidth="14.7109375" defaultRowHeight="15"/>
  <cols>
    <col min="1" max="1" width="14.42578125" style="1" customWidth="1"/>
    <col min="2" max="43" width="10.85546875" style="1" customWidth="1"/>
    <col min="44" max="45" width="10.85546875" style="29" customWidth="1"/>
    <col min="46" max="16384" width="14.7109375" style="29"/>
  </cols>
  <sheetData>
    <row r="1" spans="1:43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43">
      <c r="A2" s="5" t="s">
        <v>86</v>
      </c>
      <c r="B2" s="6"/>
      <c r="C2" s="6"/>
      <c r="D2" s="6"/>
      <c r="E2" s="6"/>
      <c r="F2" s="6"/>
      <c r="G2" s="6"/>
      <c r="H2" s="6"/>
      <c r="I2" s="6"/>
    </row>
    <row r="3" spans="1:43">
      <c r="A3" s="5"/>
      <c r="B3" s="6"/>
      <c r="C3" s="6"/>
      <c r="D3" s="6"/>
      <c r="E3" s="6"/>
      <c r="F3" s="6"/>
      <c r="G3" s="6"/>
      <c r="H3" s="6"/>
      <c r="I3" s="6"/>
    </row>
    <row r="4" spans="1:43">
      <c r="A4" s="2" t="s">
        <v>56</v>
      </c>
      <c r="B4" s="2"/>
      <c r="C4" s="2"/>
      <c r="D4" s="2"/>
      <c r="E4" s="2"/>
      <c r="F4" s="2"/>
      <c r="G4" s="2"/>
      <c r="H4" s="2"/>
      <c r="I4" s="2"/>
      <c r="J4" s="2"/>
      <c r="K4" s="2" t="s">
        <v>54</v>
      </c>
      <c r="L4" s="2"/>
      <c r="M4" s="2"/>
    </row>
    <row r="5" spans="1:43">
      <c r="A5" s="2" t="s">
        <v>57</v>
      </c>
      <c r="B5" s="2"/>
      <c r="C5" s="2"/>
      <c r="D5" s="2"/>
      <c r="E5" s="2"/>
      <c r="F5" s="2"/>
      <c r="G5" s="2"/>
      <c r="H5" s="2"/>
      <c r="I5" s="2"/>
      <c r="J5" s="2"/>
      <c r="K5" s="2" t="s">
        <v>63</v>
      </c>
      <c r="L5" s="2"/>
      <c r="M5" s="2"/>
    </row>
    <row r="6" spans="1:43">
      <c r="A6" s="2" t="s">
        <v>58</v>
      </c>
      <c r="B6" s="2"/>
      <c r="C6" s="2"/>
      <c r="D6" s="2"/>
      <c r="E6" s="2"/>
      <c r="F6" s="2"/>
      <c r="G6" s="2"/>
      <c r="H6" s="2"/>
      <c r="I6" s="2"/>
      <c r="J6" s="2"/>
      <c r="K6" s="2" t="s">
        <v>1</v>
      </c>
      <c r="L6" s="2"/>
      <c r="M6" s="2"/>
    </row>
    <row r="7" spans="1:43">
      <c r="A7" s="2" t="s">
        <v>59</v>
      </c>
      <c r="B7" s="2"/>
      <c r="C7" s="2"/>
      <c r="D7" s="2"/>
      <c r="E7" s="2"/>
      <c r="F7" s="2"/>
      <c r="G7" s="2"/>
      <c r="H7" s="2"/>
      <c r="I7" s="2"/>
      <c r="J7" s="2"/>
      <c r="K7" s="2" t="s">
        <v>64</v>
      </c>
      <c r="L7" s="2"/>
      <c r="M7" s="2"/>
    </row>
    <row r="8" spans="1:43">
      <c r="A8" s="2" t="s">
        <v>60</v>
      </c>
      <c r="B8" s="2"/>
      <c r="C8" s="2"/>
      <c r="D8" s="2"/>
      <c r="E8" s="2"/>
      <c r="F8" s="2"/>
      <c r="G8" s="2"/>
      <c r="H8" s="2"/>
      <c r="I8" s="2"/>
      <c r="J8" s="2"/>
      <c r="K8" s="2" t="s">
        <v>2</v>
      </c>
      <c r="L8" s="2"/>
      <c r="M8" s="2"/>
    </row>
    <row r="9" spans="1:43">
      <c r="A9" s="2" t="s">
        <v>61</v>
      </c>
      <c r="B9" s="2"/>
      <c r="C9" s="2"/>
      <c r="D9" s="2"/>
      <c r="E9" s="2"/>
      <c r="F9" s="2"/>
      <c r="G9" s="2"/>
      <c r="H9" s="2"/>
      <c r="I9" s="2"/>
      <c r="J9" s="2"/>
      <c r="K9" s="2" t="s">
        <v>3</v>
      </c>
      <c r="L9" s="2"/>
      <c r="M9" s="2"/>
    </row>
    <row r="10" spans="1:43">
      <c r="A10" s="2" t="s">
        <v>62</v>
      </c>
      <c r="B10" s="2"/>
      <c r="C10" s="2"/>
      <c r="D10" s="2"/>
      <c r="E10" s="2"/>
      <c r="F10" s="2"/>
      <c r="G10" s="2"/>
      <c r="H10" s="2"/>
      <c r="I10" s="2"/>
    </row>
    <row r="12" spans="1:43">
      <c r="A12" s="3"/>
    </row>
    <row r="13" spans="1:43">
      <c r="A13" s="27" t="s">
        <v>4</v>
      </c>
      <c r="B13" s="28"/>
      <c r="C13" s="32">
        <v>41275</v>
      </c>
      <c r="D13" s="32"/>
      <c r="E13" s="4"/>
      <c r="F13" s="4"/>
      <c r="G13" s="4"/>
      <c r="H13" s="4"/>
      <c r="I13" s="4"/>
    </row>
    <row r="14" spans="1:43">
      <c r="A14" s="4"/>
      <c r="B14" s="7"/>
      <c r="C14" s="7"/>
      <c r="D14" s="4"/>
      <c r="E14" s="4"/>
      <c r="F14" s="4"/>
      <c r="G14" s="4"/>
      <c r="H14" s="4"/>
      <c r="I14" s="4"/>
    </row>
    <row r="15" spans="1:43" ht="75.75" customHeight="1">
      <c r="A15" s="11" t="s">
        <v>5</v>
      </c>
      <c r="B15" s="30" t="s">
        <v>78</v>
      </c>
      <c r="C15" s="31"/>
      <c r="D15" s="30" t="s">
        <v>79</v>
      </c>
      <c r="E15" s="31"/>
      <c r="F15" s="30" t="s">
        <v>84</v>
      </c>
      <c r="G15" s="31"/>
      <c r="H15" s="30" t="s">
        <v>81</v>
      </c>
      <c r="I15" s="31"/>
      <c r="J15" s="30" t="s">
        <v>85</v>
      </c>
      <c r="K15" s="31"/>
      <c r="L15" s="30" t="s">
        <v>80</v>
      </c>
      <c r="M15" s="31"/>
      <c r="N15" s="30" t="s">
        <v>70</v>
      </c>
      <c r="O15" s="31"/>
      <c r="P15" s="30" t="s">
        <v>77</v>
      </c>
      <c r="Q15" s="31"/>
      <c r="R15" s="30" t="s">
        <v>82</v>
      </c>
      <c r="S15" s="31"/>
      <c r="T15" s="30" t="s">
        <v>71</v>
      </c>
      <c r="U15" s="31"/>
      <c r="V15" s="30" t="s">
        <v>65</v>
      </c>
      <c r="W15" s="31"/>
      <c r="X15" s="30" t="s">
        <v>83</v>
      </c>
      <c r="Y15" s="31"/>
      <c r="Z15" s="30" t="s">
        <v>72</v>
      </c>
      <c r="AA15" s="31"/>
      <c r="AB15" s="30" t="s">
        <v>73</v>
      </c>
      <c r="AC15" s="31"/>
      <c r="AD15" s="30" t="s">
        <v>74</v>
      </c>
      <c r="AE15" s="31"/>
      <c r="AF15" s="30" t="s">
        <v>75</v>
      </c>
      <c r="AG15" s="31"/>
      <c r="AH15" s="30" t="s">
        <v>67</v>
      </c>
      <c r="AI15" s="31"/>
      <c r="AJ15" s="30" t="s">
        <v>66</v>
      </c>
      <c r="AK15" s="31"/>
      <c r="AL15" s="30" t="s">
        <v>68</v>
      </c>
      <c r="AM15" s="31"/>
      <c r="AN15" s="30" t="s">
        <v>76</v>
      </c>
      <c r="AO15" s="31"/>
      <c r="AP15" s="30" t="s">
        <v>69</v>
      </c>
      <c r="AQ15" s="31"/>
    </row>
    <row r="16" spans="1:43" ht="30.75" customHeight="1">
      <c r="A16" s="11"/>
      <c r="B16" s="12" t="s">
        <v>6</v>
      </c>
      <c r="C16" s="12" t="s">
        <v>7</v>
      </c>
      <c r="D16" s="12" t="s">
        <v>6</v>
      </c>
      <c r="E16" s="12" t="s">
        <v>7</v>
      </c>
      <c r="F16" s="12" t="s">
        <v>6</v>
      </c>
      <c r="G16" s="12" t="s">
        <v>7</v>
      </c>
      <c r="H16" s="12" t="s">
        <v>6</v>
      </c>
      <c r="I16" s="12" t="s">
        <v>7</v>
      </c>
      <c r="J16" s="12" t="s">
        <v>6</v>
      </c>
      <c r="K16" s="12" t="s">
        <v>7</v>
      </c>
      <c r="L16" s="12" t="s">
        <v>6</v>
      </c>
      <c r="M16" s="12" t="s">
        <v>7</v>
      </c>
      <c r="N16" s="12" t="s">
        <v>6</v>
      </c>
      <c r="O16" s="12" t="s">
        <v>7</v>
      </c>
      <c r="P16" s="12" t="s">
        <v>6</v>
      </c>
      <c r="Q16" s="12" t="s">
        <v>7</v>
      </c>
      <c r="R16" s="12" t="s">
        <v>6</v>
      </c>
      <c r="S16" s="12" t="s">
        <v>7</v>
      </c>
      <c r="T16" s="12" t="s">
        <v>6</v>
      </c>
      <c r="U16" s="12" t="s">
        <v>7</v>
      </c>
      <c r="V16" s="12" t="s">
        <v>6</v>
      </c>
      <c r="W16" s="12" t="s">
        <v>7</v>
      </c>
      <c r="X16" s="12" t="s">
        <v>6</v>
      </c>
      <c r="Y16" s="12" t="s">
        <v>7</v>
      </c>
      <c r="Z16" s="12" t="s">
        <v>6</v>
      </c>
      <c r="AA16" s="12" t="s">
        <v>7</v>
      </c>
      <c r="AB16" s="12" t="s">
        <v>6</v>
      </c>
      <c r="AC16" s="12" t="s">
        <v>7</v>
      </c>
      <c r="AD16" s="12" t="s">
        <v>6</v>
      </c>
      <c r="AE16" s="12" t="s">
        <v>7</v>
      </c>
      <c r="AF16" s="12" t="s">
        <v>6</v>
      </c>
      <c r="AG16" s="12" t="s">
        <v>7</v>
      </c>
      <c r="AH16" s="12" t="s">
        <v>6</v>
      </c>
      <c r="AI16" s="12" t="s">
        <v>7</v>
      </c>
      <c r="AJ16" s="12" t="s">
        <v>6</v>
      </c>
      <c r="AK16" s="12" t="s">
        <v>7</v>
      </c>
      <c r="AL16" s="12" t="s">
        <v>6</v>
      </c>
      <c r="AM16" s="12" t="s">
        <v>7</v>
      </c>
      <c r="AN16" s="12" t="s">
        <v>6</v>
      </c>
      <c r="AO16" s="12" t="s">
        <v>7</v>
      </c>
      <c r="AP16" s="13" t="s">
        <v>6</v>
      </c>
      <c r="AQ16" s="13" t="s">
        <v>7</v>
      </c>
    </row>
    <row r="17" spans="1:43">
      <c r="A17" s="14" t="s">
        <v>8</v>
      </c>
      <c r="B17" s="15">
        <v>836</v>
      </c>
      <c r="C17" s="15"/>
      <c r="D17" s="15">
        <v>426</v>
      </c>
      <c r="E17" s="15"/>
      <c r="F17" s="15">
        <v>436.1718217934166</v>
      </c>
      <c r="G17" s="15"/>
      <c r="H17" s="15">
        <v>794</v>
      </c>
      <c r="I17" s="15"/>
      <c r="J17" s="15">
        <v>1611.82</v>
      </c>
      <c r="K17" s="15"/>
      <c r="L17" s="15">
        <v>1008.389125</v>
      </c>
      <c r="M17" s="15"/>
      <c r="N17" s="15">
        <v>679</v>
      </c>
      <c r="O17" s="15"/>
      <c r="P17" s="15">
        <v>1047</v>
      </c>
      <c r="Q17" s="15"/>
      <c r="R17" s="15">
        <v>1224.04</v>
      </c>
      <c r="S17" s="15"/>
      <c r="T17" s="15">
        <v>524</v>
      </c>
      <c r="U17" s="15"/>
      <c r="V17" s="15">
        <v>606.68328426560004</v>
      </c>
      <c r="W17" s="15"/>
      <c r="X17" s="15">
        <v>654.18301128921189</v>
      </c>
      <c r="Y17" s="15"/>
      <c r="Z17" s="15">
        <v>775.8</v>
      </c>
      <c r="AA17" s="15"/>
      <c r="AB17" s="15">
        <v>1303</v>
      </c>
      <c r="AC17" s="15"/>
      <c r="AD17" s="15">
        <v>686</v>
      </c>
      <c r="AE17" s="15"/>
      <c r="AF17" s="15">
        <v>902</v>
      </c>
      <c r="AG17" s="15"/>
      <c r="AH17" s="14">
        <v>359</v>
      </c>
      <c r="AI17" s="14"/>
      <c r="AJ17" s="14">
        <v>587</v>
      </c>
      <c r="AK17" s="14"/>
      <c r="AL17" s="16">
        <v>841.45500000000004</v>
      </c>
      <c r="AM17" s="16"/>
      <c r="AN17" s="16">
        <v>872.49600000000009</v>
      </c>
      <c r="AO17" s="16"/>
      <c r="AP17" s="17">
        <f>AVERAGE(B17,D17,J17,F17,H17,L17,N17,P17,R17,T17,V17,X17,Z17,AB17,AD17,AF17,AH17,AJ17,AL17,AN17)</f>
        <v>808.70191211741133</v>
      </c>
      <c r="AQ17" s="17">
        <f>IF(ISERR(AVERAGE(C17,E17,K17,G17,I17,M17,O17,Q17,S17,U17,W17,Y17,AA17,AC17,AE17,AG17,AI17,AK17,AM17,AO17)),0,AVERAGE(C17,E17,K17,G17,I17,M17,O17,Q17,S17,U17,W17,Y17,AA17,AC17,AE17,AG17,AI17,AK17,AM17,AO17))</f>
        <v>0</v>
      </c>
    </row>
    <row r="18" spans="1:43">
      <c r="A18" s="18" t="s">
        <v>9</v>
      </c>
      <c r="B18" s="19">
        <v>709</v>
      </c>
      <c r="C18" s="19"/>
      <c r="D18" s="19">
        <v>565</v>
      </c>
      <c r="E18" s="19"/>
      <c r="F18" s="19">
        <v>460.94982050469855</v>
      </c>
      <c r="G18" s="19"/>
      <c r="H18" s="19">
        <v>969</v>
      </c>
      <c r="I18" s="19"/>
      <c r="J18" s="19">
        <v>1645.56</v>
      </c>
      <c r="K18" s="19"/>
      <c r="L18" s="19">
        <v>1008.389125</v>
      </c>
      <c r="M18" s="19"/>
      <c r="N18" s="19">
        <v>631</v>
      </c>
      <c r="O18" s="19"/>
      <c r="P18" s="19">
        <v>1047</v>
      </c>
      <c r="Q18" s="19"/>
      <c r="R18" s="19">
        <v>1249.79</v>
      </c>
      <c r="S18" s="19"/>
      <c r="T18" s="19">
        <v>488</v>
      </c>
      <c r="U18" s="19"/>
      <c r="V18" s="19">
        <v>708.06328234496004</v>
      </c>
      <c r="W18" s="19"/>
      <c r="X18" s="19">
        <v>648.40400942269957</v>
      </c>
      <c r="Y18" s="19"/>
      <c r="Z18" s="19">
        <v>798.7</v>
      </c>
      <c r="AA18" s="19"/>
      <c r="AB18" s="19">
        <v>1143</v>
      </c>
      <c r="AC18" s="19"/>
      <c r="AD18" s="19">
        <v>1191</v>
      </c>
      <c r="AE18" s="19"/>
      <c r="AF18" s="19">
        <v>947</v>
      </c>
      <c r="AG18" s="19"/>
      <c r="AH18" s="18">
        <v>391</v>
      </c>
      <c r="AI18" s="18"/>
      <c r="AJ18" s="18">
        <v>531</v>
      </c>
      <c r="AK18" s="18"/>
      <c r="AL18" s="20">
        <v>825.02100000000007</v>
      </c>
      <c r="AM18" s="20"/>
      <c r="AN18" s="20">
        <v>855.46799999999996</v>
      </c>
      <c r="AO18" s="20"/>
      <c r="AP18" s="20">
        <f t="shared" ref="AP18:AP62" si="0">AVERAGE(B18,D18,J18,F18,H18,L18,N18,P18,R18,T18,V18,X18,Z18,AB18,AD18,AF18,AH18,AJ18,AL18,AN18)</f>
        <v>840.61726186361795</v>
      </c>
      <c r="AQ18" s="20">
        <f t="shared" ref="AQ18:AQ62" si="1">IF(ISERR(AVERAGE(C18,E18,K18,G18,I18,M18,O18,Q18,S18,U18,W18,Y18,AA18,AC18,AE18,AG18,AI18,AK18,AM18,AO18)),0,AVERAGE(C18,E18,K18,G18,I18,M18,O18,Q18,S18,U18,W18,Y18,AA18,AC18,AE18,AG18,AI18,AK18,AM18,AO18))</f>
        <v>0</v>
      </c>
    </row>
    <row r="19" spans="1:43">
      <c r="A19" s="14" t="s">
        <v>10</v>
      </c>
      <c r="B19" s="15">
        <v>743</v>
      </c>
      <c r="C19" s="15"/>
      <c r="D19" s="15">
        <v>643</v>
      </c>
      <c r="E19" s="15"/>
      <c r="F19" s="15">
        <v>797.89270386266094</v>
      </c>
      <c r="G19" s="15"/>
      <c r="H19" s="15">
        <v>1103</v>
      </c>
      <c r="I19" s="15"/>
      <c r="J19" s="15">
        <v>1725.63</v>
      </c>
      <c r="K19" s="15"/>
      <c r="L19" s="15">
        <v>1008.389125</v>
      </c>
      <c r="M19" s="15"/>
      <c r="N19" s="15">
        <v>631</v>
      </c>
      <c r="O19" s="15"/>
      <c r="P19" s="15">
        <v>1047</v>
      </c>
      <c r="Q19" s="15"/>
      <c r="R19" s="15">
        <v>1310.3399999999999</v>
      </c>
      <c r="S19" s="15"/>
      <c r="T19" s="15">
        <v>488</v>
      </c>
      <c r="U19" s="15"/>
      <c r="V19" s="15">
        <v>708.06328234496004</v>
      </c>
      <c r="W19" s="15"/>
      <c r="X19" s="15">
        <v>803.85915963188495</v>
      </c>
      <c r="Y19" s="15"/>
      <c r="Z19" s="15">
        <v>911.95</v>
      </c>
      <c r="AA19" s="15"/>
      <c r="AB19" s="15">
        <v>1482</v>
      </c>
      <c r="AC19" s="15"/>
      <c r="AD19" s="15">
        <v>978</v>
      </c>
      <c r="AE19" s="15"/>
      <c r="AF19" s="15">
        <v>1058</v>
      </c>
      <c r="AG19" s="15"/>
      <c r="AH19" s="14">
        <v>469</v>
      </c>
      <c r="AI19" s="14"/>
      <c r="AJ19" s="14">
        <v>699</v>
      </c>
      <c r="AK19" s="14"/>
      <c r="AL19" s="16">
        <v>1047.384</v>
      </c>
      <c r="AM19" s="16"/>
      <c r="AN19" s="16">
        <v>1080.3600000000001</v>
      </c>
      <c r="AO19" s="16"/>
      <c r="AP19" s="16">
        <f t="shared" si="0"/>
        <v>936.74341354197531</v>
      </c>
      <c r="AQ19" s="16">
        <f t="shared" si="1"/>
        <v>0</v>
      </c>
    </row>
    <row r="20" spans="1:43">
      <c r="A20" s="18" t="s">
        <v>11</v>
      </c>
      <c r="B20" s="19">
        <v>705</v>
      </c>
      <c r="C20" s="19"/>
      <c r="D20" s="19">
        <v>455</v>
      </c>
      <c r="E20" s="19"/>
      <c r="F20" s="19">
        <v>434.41304442413957</v>
      </c>
      <c r="G20" s="19"/>
      <c r="H20" s="19">
        <v>794</v>
      </c>
      <c r="I20" s="19"/>
      <c r="J20" s="19">
        <v>1900.64</v>
      </c>
      <c r="K20" s="19"/>
      <c r="L20" s="19">
        <v>600.22479999999996</v>
      </c>
      <c r="M20" s="19"/>
      <c r="N20" s="19">
        <v>679</v>
      </c>
      <c r="O20" s="19"/>
      <c r="P20" s="19">
        <v>1047</v>
      </c>
      <c r="Q20" s="19"/>
      <c r="R20" s="19">
        <v>1443.05</v>
      </c>
      <c r="S20" s="19"/>
      <c r="T20" s="19">
        <v>524</v>
      </c>
      <c r="U20" s="19"/>
      <c r="V20" s="19">
        <v>606.68328426560004</v>
      </c>
      <c r="W20" s="19"/>
      <c r="X20" s="19">
        <v>601.5940943039484</v>
      </c>
      <c r="Y20" s="19"/>
      <c r="Z20" s="19">
        <v>690.55</v>
      </c>
      <c r="AA20" s="19"/>
      <c r="AB20" s="19">
        <v>1303</v>
      </c>
      <c r="AC20" s="19"/>
      <c r="AD20" s="19">
        <v>727</v>
      </c>
      <c r="AE20" s="19"/>
      <c r="AF20" s="19">
        <v>749</v>
      </c>
      <c r="AG20" s="19"/>
      <c r="AH20" s="18">
        <v>359</v>
      </c>
      <c r="AI20" s="18"/>
      <c r="AJ20" s="18">
        <v>587</v>
      </c>
      <c r="AK20" s="18"/>
      <c r="AL20" s="20">
        <v>841.45500000000004</v>
      </c>
      <c r="AM20" s="20"/>
      <c r="AN20" s="20">
        <v>872.49600000000009</v>
      </c>
      <c r="AO20" s="20"/>
      <c r="AP20" s="20">
        <f t="shared" si="0"/>
        <v>796.0053111496843</v>
      </c>
      <c r="AQ20" s="20">
        <f t="shared" si="1"/>
        <v>0</v>
      </c>
    </row>
    <row r="21" spans="1:43">
      <c r="A21" s="14" t="s">
        <v>12</v>
      </c>
      <c r="B21" s="15">
        <v>743</v>
      </c>
      <c r="C21" s="15"/>
      <c r="D21" s="15">
        <v>650</v>
      </c>
      <c r="E21" s="15"/>
      <c r="F21" s="15">
        <v>791.66615226337444</v>
      </c>
      <c r="G21" s="15"/>
      <c r="H21" s="15">
        <v>1103</v>
      </c>
      <c r="I21" s="15"/>
      <c r="J21" s="15">
        <v>1725.63</v>
      </c>
      <c r="K21" s="15"/>
      <c r="L21" s="15">
        <v>1008.389125</v>
      </c>
      <c r="M21" s="15"/>
      <c r="N21" s="15">
        <v>631</v>
      </c>
      <c r="O21" s="15"/>
      <c r="P21" s="15">
        <v>1047</v>
      </c>
      <c r="Q21" s="15"/>
      <c r="R21" s="15">
        <v>1310.3399999999999</v>
      </c>
      <c r="S21" s="15"/>
      <c r="T21" s="15">
        <v>488</v>
      </c>
      <c r="U21" s="15"/>
      <c r="V21" s="15">
        <v>708.06328234496004</v>
      </c>
      <c r="W21" s="15"/>
      <c r="X21" s="15">
        <v>803.85915963188495</v>
      </c>
      <c r="Y21" s="15"/>
      <c r="Z21" s="15">
        <v>911.95</v>
      </c>
      <c r="AA21" s="15"/>
      <c r="AB21" s="15">
        <v>1482</v>
      </c>
      <c r="AC21" s="15"/>
      <c r="AD21" s="15">
        <v>939</v>
      </c>
      <c r="AE21" s="15"/>
      <c r="AF21" s="15">
        <v>1073</v>
      </c>
      <c r="AG21" s="15"/>
      <c r="AH21" s="14">
        <v>477</v>
      </c>
      <c r="AI21" s="14"/>
      <c r="AJ21" s="14">
        <v>654</v>
      </c>
      <c r="AK21" s="14"/>
      <c r="AL21" s="16">
        <v>1047.384</v>
      </c>
      <c r="AM21" s="16"/>
      <c r="AN21" s="16">
        <v>1080.3600000000001</v>
      </c>
      <c r="AO21" s="16"/>
      <c r="AP21" s="16">
        <f t="shared" si="0"/>
        <v>933.73208596201107</v>
      </c>
      <c r="AQ21" s="16">
        <f t="shared" si="1"/>
        <v>0</v>
      </c>
    </row>
    <row r="22" spans="1:43">
      <c r="A22" s="18" t="s">
        <v>13</v>
      </c>
      <c r="B22" s="19">
        <v>767</v>
      </c>
      <c r="C22" s="19"/>
      <c r="D22" s="19">
        <v>634</v>
      </c>
      <c r="E22" s="19"/>
      <c r="F22" s="19">
        <v>755.85800214822768</v>
      </c>
      <c r="G22" s="19"/>
      <c r="H22" s="19">
        <v>1103</v>
      </c>
      <c r="I22" s="19"/>
      <c r="J22" s="19">
        <v>1815.28</v>
      </c>
      <c r="K22" s="19"/>
      <c r="L22" s="19">
        <v>1008.389125</v>
      </c>
      <c r="M22" s="19"/>
      <c r="N22" s="19">
        <v>631</v>
      </c>
      <c r="O22" s="19"/>
      <c r="P22" s="19">
        <v>1047</v>
      </c>
      <c r="Q22" s="19"/>
      <c r="R22" s="19">
        <v>1378.64</v>
      </c>
      <c r="S22" s="19"/>
      <c r="T22" s="19">
        <v>488</v>
      </c>
      <c r="U22" s="19"/>
      <c r="V22" s="19">
        <v>708.06328234496004</v>
      </c>
      <c r="W22" s="19"/>
      <c r="X22" s="19">
        <v>803.85915963188495</v>
      </c>
      <c r="Y22" s="19"/>
      <c r="Z22" s="19">
        <v>911.95</v>
      </c>
      <c r="AA22" s="19"/>
      <c r="AB22" s="19">
        <v>1482</v>
      </c>
      <c r="AC22" s="19"/>
      <c r="AD22" s="19">
        <v>1063</v>
      </c>
      <c r="AE22" s="19"/>
      <c r="AF22" s="19">
        <v>1024</v>
      </c>
      <c r="AG22" s="19"/>
      <c r="AH22" s="18">
        <v>477</v>
      </c>
      <c r="AI22" s="18"/>
      <c r="AJ22" s="18">
        <v>699</v>
      </c>
      <c r="AK22" s="18"/>
      <c r="AL22" s="20">
        <v>936.98099999999999</v>
      </c>
      <c r="AM22" s="20"/>
      <c r="AN22" s="20">
        <v>968.84100000000001</v>
      </c>
      <c r="AO22" s="20"/>
      <c r="AP22" s="20">
        <f t="shared" si="0"/>
        <v>935.14307845625376</v>
      </c>
      <c r="AQ22" s="20">
        <f t="shared" si="1"/>
        <v>0</v>
      </c>
    </row>
    <row r="23" spans="1:43">
      <c r="A23" s="21" t="s">
        <v>14</v>
      </c>
      <c r="B23" s="15">
        <v>2209</v>
      </c>
      <c r="C23" s="15">
        <v>267</v>
      </c>
      <c r="D23" s="15">
        <v>1983</v>
      </c>
      <c r="E23" s="15">
        <v>295</v>
      </c>
      <c r="F23" s="15">
        <v>1232.1572877632768</v>
      </c>
      <c r="G23" s="15">
        <v>272.29780979454711</v>
      </c>
      <c r="H23" s="15">
        <v>1488</v>
      </c>
      <c r="I23" s="15">
        <v>1314</v>
      </c>
      <c r="J23" s="15">
        <v>3868.45</v>
      </c>
      <c r="K23" s="15">
        <v>1740.8</v>
      </c>
      <c r="L23" s="15">
        <v>1328.644</v>
      </c>
      <c r="M23" s="15">
        <v>1066.5129999999999</v>
      </c>
      <c r="N23" s="15">
        <v>1839</v>
      </c>
      <c r="O23" s="15">
        <v>1261</v>
      </c>
      <c r="P23" s="15">
        <v>1833</v>
      </c>
      <c r="Q23" s="15">
        <v>789</v>
      </c>
      <c r="R23" s="15">
        <v>2936.58</v>
      </c>
      <c r="S23" s="15">
        <v>1321.46</v>
      </c>
      <c r="T23" s="15">
        <v>1425</v>
      </c>
      <c r="U23" s="15">
        <v>978</v>
      </c>
      <c r="V23" s="15">
        <v>2691.8250068556808</v>
      </c>
      <c r="W23" s="15">
        <v>610.22439628928009</v>
      </c>
      <c r="X23" s="15">
        <v>3055.6680413251893</v>
      </c>
      <c r="Y23" s="15">
        <v>1569.6924869821178</v>
      </c>
      <c r="Z23" s="15">
        <v>2877.97</v>
      </c>
      <c r="AA23" s="15">
        <v>546.30999999999995</v>
      </c>
      <c r="AB23" s="15">
        <v>1994</v>
      </c>
      <c r="AC23" s="15">
        <v>818</v>
      </c>
      <c r="AD23" s="15">
        <v>2857</v>
      </c>
      <c r="AE23" s="15">
        <v>994</v>
      </c>
      <c r="AF23" s="15">
        <v>1933</v>
      </c>
      <c r="AG23" s="15">
        <v>949</v>
      </c>
      <c r="AH23" s="14">
        <v>1545</v>
      </c>
      <c r="AI23" s="14">
        <v>439</v>
      </c>
      <c r="AJ23" s="14">
        <v>1653</v>
      </c>
      <c r="AK23" s="14">
        <v>595</v>
      </c>
      <c r="AL23" s="16">
        <v>1667.3760000000002</v>
      </c>
      <c r="AM23" s="16">
        <v>500.44500000000005</v>
      </c>
      <c r="AN23" s="16">
        <v>1698.5070000000001</v>
      </c>
      <c r="AO23" s="16">
        <v>536.67899999999997</v>
      </c>
      <c r="AP23" s="16">
        <f t="shared" si="0"/>
        <v>2105.808866797207</v>
      </c>
      <c r="AQ23" s="16">
        <f t="shared" si="1"/>
        <v>843.17108465329716</v>
      </c>
    </row>
    <row r="24" spans="1:43">
      <c r="A24" s="22" t="s">
        <v>15</v>
      </c>
      <c r="B24" s="19">
        <v>765</v>
      </c>
      <c r="C24" s="19">
        <v>282</v>
      </c>
      <c r="D24" s="19">
        <v>1127</v>
      </c>
      <c r="E24" s="19">
        <v>338</v>
      </c>
      <c r="F24" s="19">
        <v>718.60132595901587</v>
      </c>
      <c r="G24" s="19">
        <v>278.30539601503227</v>
      </c>
      <c r="H24" s="19">
        <v>1488</v>
      </c>
      <c r="I24" s="19">
        <v>1314</v>
      </c>
      <c r="J24" s="19">
        <v>2073.09</v>
      </c>
      <c r="K24" s="19">
        <v>1140.2</v>
      </c>
      <c r="L24" s="19">
        <v>1328.644</v>
      </c>
      <c r="M24" s="19">
        <v>1066.5129999999999</v>
      </c>
      <c r="N24" s="19">
        <v>1014</v>
      </c>
      <c r="O24" s="19">
        <v>633</v>
      </c>
      <c r="P24" s="19">
        <v>1206</v>
      </c>
      <c r="Q24" s="19"/>
      <c r="R24" s="19">
        <v>1574.03</v>
      </c>
      <c r="S24" s="19">
        <v>865.72</v>
      </c>
      <c r="T24" s="19">
        <v>788</v>
      </c>
      <c r="U24" s="19">
        <v>493</v>
      </c>
      <c r="V24" s="19">
        <v>2313.9117838822403</v>
      </c>
      <c r="W24" s="19">
        <v>592.92234312704011</v>
      </c>
      <c r="X24" s="19">
        <v>1913.5893300545422</v>
      </c>
      <c r="Y24" s="19">
        <v>983.00821749377155</v>
      </c>
      <c r="Z24" s="19">
        <v>1092.53</v>
      </c>
      <c r="AA24" s="19"/>
      <c r="AB24" s="19">
        <v>1660</v>
      </c>
      <c r="AC24" s="19"/>
      <c r="AD24" s="19">
        <v>1874</v>
      </c>
      <c r="AE24" s="19"/>
      <c r="AF24" s="19">
        <v>1665</v>
      </c>
      <c r="AG24" s="19"/>
      <c r="AH24" s="18">
        <v>1488</v>
      </c>
      <c r="AI24" s="18">
        <v>418</v>
      </c>
      <c r="AJ24" s="18">
        <v>842</v>
      </c>
      <c r="AK24" s="18">
        <v>842</v>
      </c>
      <c r="AL24" s="20">
        <v>1802.934</v>
      </c>
      <c r="AM24" s="23">
        <v>570.31200000000013</v>
      </c>
      <c r="AN24" s="20">
        <v>1837.1880000000001</v>
      </c>
      <c r="AO24" s="20">
        <v>608.45399999999995</v>
      </c>
      <c r="AP24" s="20">
        <f t="shared" si="0"/>
        <v>1428.57592199479</v>
      </c>
      <c r="AQ24" s="20">
        <f t="shared" si="1"/>
        <v>695.02899710905626</v>
      </c>
    </row>
    <row r="25" spans="1:43">
      <c r="A25" s="14" t="s">
        <v>16</v>
      </c>
      <c r="B25" s="15">
        <v>791</v>
      </c>
      <c r="C25" s="15"/>
      <c r="D25" s="15">
        <v>658</v>
      </c>
      <c r="E25" s="15"/>
      <c r="F25" s="15">
        <v>737.27619532044764</v>
      </c>
      <c r="G25" s="15"/>
      <c r="H25" s="15">
        <v>1103</v>
      </c>
      <c r="I25" s="15"/>
      <c r="J25" s="15">
        <v>1713.05</v>
      </c>
      <c r="K25" s="15"/>
      <c r="L25" s="15">
        <v>1008.389125</v>
      </c>
      <c r="M25" s="15"/>
      <c r="N25" s="15">
        <v>631</v>
      </c>
      <c r="O25" s="15"/>
      <c r="P25" s="15">
        <v>1047</v>
      </c>
      <c r="Q25" s="15"/>
      <c r="R25" s="15">
        <v>1300.4100000000001</v>
      </c>
      <c r="S25" s="15"/>
      <c r="T25" s="15">
        <v>488</v>
      </c>
      <c r="U25" s="15"/>
      <c r="V25" s="15">
        <v>708.06328234496004</v>
      </c>
      <c r="W25" s="15"/>
      <c r="X25" s="15">
        <v>803.85915963188495</v>
      </c>
      <c r="Y25" s="15"/>
      <c r="Z25" s="15">
        <v>845.78</v>
      </c>
      <c r="AA25" s="15"/>
      <c r="AB25" s="15">
        <v>1482</v>
      </c>
      <c r="AC25" s="15"/>
      <c r="AD25" s="15">
        <v>898</v>
      </c>
      <c r="AE25" s="15"/>
      <c r="AF25" s="15">
        <v>958</v>
      </c>
      <c r="AG25" s="15"/>
      <c r="AH25" s="14">
        <v>469</v>
      </c>
      <c r="AI25" s="14"/>
      <c r="AJ25" s="14">
        <v>486</v>
      </c>
      <c r="AK25" s="14"/>
      <c r="AL25" s="16">
        <v>1105.155</v>
      </c>
      <c r="AM25" s="16"/>
      <c r="AN25" s="16">
        <v>1147.7880000000002</v>
      </c>
      <c r="AO25" s="16"/>
      <c r="AP25" s="16">
        <f t="shared" si="0"/>
        <v>919.03853811486465</v>
      </c>
      <c r="AQ25" s="16">
        <f t="shared" si="1"/>
        <v>0</v>
      </c>
    </row>
    <row r="26" spans="1:43">
      <c r="A26" s="22" t="s">
        <v>17</v>
      </c>
      <c r="B26" s="19">
        <v>2159</v>
      </c>
      <c r="C26" s="19">
        <v>270</v>
      </c>
      <c r="D26" s="19">
        <v>1983</v>
      </c>
      <c r="E26" s="19">
        <v>295</v>
      </c>
      <c r="F26" s="19">
        <v>1150.5849508489723</v>
      </c>
      <c r="G26" s="19">
        <v>246.94440274054216</v>
      </c>
      <c r="H26" s="19">
        <v>2015</v>
      </c>
      <c r="I26" s="19">
        <v>1314</v>
      </c>
      <c r="J26" s="19">
        <v>3868.45</v>
      </c>
      <c r="K26" s="19">
        <v>1740.8</v>
      </c>
      <c r="L26" s="19">
        <v>2494.5369999999998</v>
      </c>
      <c r="M26" s="19">
        <v>949.83399999999995</v>
      </c>
      <c r="N26" s="19">
        <v>1839</v>
      </c>
      <c r="O26" s="19">
        <v>1261</v>
      </c>
      <c r="P26" s="19">
        <v>1833</v>
      </c>
      <c r="Q26" s="19">
        <v>789</v>
      </c>
      <c r="R26" s="19">
        <v>2936.58</v>
      </c>
      <c r="S26" s="19">
        <v>1321.46</v>
      </c>
      <c r="T26" s="19">
        <v>1425</v>
      </c>
      <c r="U26" s="19">
        <v>978</v>
      </c>
      <c r="V26" s="19">
        <v>4962.5088423372808</v>
      </c>
      <c r="W26" s="19">
        <v>594.4427039628797</v>
      </c>
      <c r="X26" s="19">
        <v>3055.6680413251893</v>
      </c>
      <c r="Y26" s="19">
        <v>1569.6924869821178</v>
      </c>
      <c r="Z26" s="19">
        <v>2877.97</v>
      </c>
      <c r="AA26" s="19">
        <v>546.30999999999995</v>
      </c>
      <c r="AB26" s="19">
        <v>2413</v>
      </c>
      <c r="AC26" s="19">
        <v>704</v>
      </c>
      <c r="AD26" s="19">
        <v>3445</v>
      </c>
      <c r="AE26" s="19">
        <v>1336</v>
      </c>
      <c r="AF26" s="19">
        <v>2435</v>
      </c>
      <c r="AG26" s="19">
        <v>766</v>
      </c>
      <c r="AH26" s="18">
        <v>1489</v>
      </c>
      <c r="AI26" s="18">
        <v>422</v>
      </c>
      <c r="AJ26" s="18">
        <v>2103</v>
      </c>
      <c r="AK26" s="18">
        <v>504</v>
      </c>
      <c r="AL26" s="20">
        <v>1839.789</v>
      </c>
      <c r="AM26" s="20">
        <v>581.976</v>
      </c>
      <c r="AN26" s="20">
        <v>1874.7270000000003</v>
      </c>
      <c r="AO26" s="20">
        <v>620.89200000000005</v>
      </c>
      <c r="AP26" s="20">
        <f t="shared" si="0"/>
        <v>2409.9907417255718</v>
      </c>
      <c r="AQ26" s="20">
        <f t="shared" si="1"/>
        <v>840.56757968427701</v>
      </c>
    </row>
    <row r="27" spans="1:43">
      <c r="A27" s="14" t="s">
        <v>18</v>
      </c>
      <c r="B27" s="15">
        <v>665</v>
      </c>
      <c r="C27" s="15"/>
      <c r="D27" s="15">
        <v>446</v>
      </c>
      <c r="E27" s="15"/>
      <c r="F27" s="15">
        <v>440.46050303822784</v>
      </c>
      <c r="G27" s="15"/>
      <c r="H27" s="15">
        <v>754</v>
      </c>
      <c r="I27" s="15"/>
      <c r="J27" s="15">
        <v>1696.18</v>
      </c>
      <c r="K27" s="15"/>
      <c r="L27" s="15">
        <v>1008.389125</v>
      </c>
      <c r="M27" s="15"/>
      <c r="N27" s="15">
        <v>679</v>
      </c>
      <c r="O27" s="15"/>
      <c r="P27" s="15">
        <v>772</v>
      </c>
      <c r="Q27" s="15"/>
      <c r="R27" s="15">
        <v>1287.53</v>
      </c>
      <c r="S27" s="15"/>
      <c r="T27" s="15">
        <v>524</v>
      </c>
      <c r="U27" s="15"/>
      <c r="V27" s="15">
        <v>606.68328426560004</v>
      </c>
      <c r="W27" s="15"/>
      <c r="X27" s="15">
        <v>548.42727713203362</v>
      </c>
      <c r="Y27" s="15"/>
      <c r="Z27" s="15">
        <v>690.55</v>
      </c>
      <c r="AA27" s="15"/>
      <c r="AB27" s="15">
        <v>1164</v>
      </c>
      <c r="AC27" s="15"/>
      <c r="AD27" s="15">
        <v>656</v>
      </c>
      <c r="AE27" s="15"/>
      <c r="AF27" s="15">
        <v>760</v>
      </c>
      <c r="AG27" s="15"/>
      <c r="AH27" s="14">
        <v>395</v>
      </c>
      <c r="AI27" s="14"/>
      <c r="AJ27" s="14">
        <v>480</v>
      </c>
      <c r="AK27" s="14"/>
      <c r="AL27" s="16">
        <v>691.92899999999997</v>
      </c>
      <c r="AM27" s="16"/>
      <c r="AN27" s="16">
        <v>712.80899999999997</v>
      </c>
      <c r="AO27" s="16"/>
      <c r="AP27" s="16">
        <f t="shared" si="0"/>
        <v>748.89790947179301</v>
      </c>
      <c r="AQ27" s="16">
        <f t="shared" si="1"/>
        <v>0</v>
      </c>
    </row>
    <row r="28" spans="1:43">
      <c r="A28" s="18" t="s">
        <v>19</v>
      </c>
      <c r="B28" s="19">
        <v>625</v>
      </c>
      <c r="C28" s="19"/>
      <c r="D28" s="19">
        <v>584</v>
      </c>
      <c r="E28" s="19"/>
      <c r="F28" s="19">
        <v>442.19465832531279</v>
      </c>
      <c r="G28" s="19"/>
      <c r="H28" s="19">
        <v>896</v>
      </c>
      <c r="I28" s="19"/>
      <c r="J28" s="19">
        <v>1696.18</v>
      </c>
      <c r="K28" s="19"/>
      <c r="L28" s="19">
        <v>1008.389125</v>
      </c>
      <c r="M28" s="19"/>
      <c r="N28" s="19">
        <v>631</v>
      </c>
      <c r="O28" s="19"/>
      <c r="P28" s="19">
        <v>772</v>
      </c>
      <c r="Q28" s="19"/>
      <c r="R28" s="19">
        <v>1287.53</v>
      </c>
      <c r="S28" s="19"/>
      <c r="T28" s="19">
        <v>488</v>
      </c>
      <c r="U28" s="19"/>
      <c r="V28" s="19">
        <v>606.68328426560004</v>
      </c>
      <c r="W28" s="19"/>
      <c r="X28" s="19">
        <v>654.18301128921189</v>
      </c>
      <c r="Y28" s="19"/>
      <c r="Z28" s="19">
        <v>690.55</v>
      </c>
      <c r="AA28" s="19"/>
      <c r="AB28" s="19">
        <v>1331</v>
      </c>
      <c r="AC28" s="19"/>
      <c r="AD28" s="19">
        <v>982</v>
      </c>
      <c r="AE28" s="19"/>
      <c r="AF28" s="19">
        <v>1236</v>
      </c>
      <c r="AG28" s="19"/>
      <c r="AH28" s="18">
        <v>395</v>
      </c>
      <c r="AI28" s="18"/>
      <c r="AJ28" s="18">
        <v>409</v>
      </c>
      <c r="AK28" s="18"/>
      <c r="AL28" s="20">
        <v>907.37100000000009</v>
      </c>
      <c r="AM28" s="20"/>
      <c r="AN28" s="20">
        <v>938.5920000000001</v>
      </c>
      <c r="AO28" s="20"/>
      <c r="AP28" s="20">
        <f t="shared" si="0"/>
        <v>829.03365394400623</v>
      </c>
      <c r="AQ28" s="20">
        <f t="shared" si="1"/>
        <v>0</v>
      </c>
    </row>
    <row r="29" spans="1:43">
      <c r="A29" s="14" t="s">
        <v>20</v>
      </c>
      <c r="B29" s="15">
        <v>845</v>
      </c>
      <c r="C29" s="15"/>
      <c r="D29" s="15">
        <v>701</v>
      </c>
      <c r="E29" s="15"/>
      <c r="F29" s="15">
        <v>636.97853293139678</v>
      </c>
      <c r="G29" s="15"/>
      <c r="H29" s="15">
        <v>1108</v>
      </c>
      <c r="I29" s="15"/>
      <c r="J29" s="15">
        <v>1781.54</v>
      </c>
      <c r="K29" s="15"/>
      <c r="L29" s="15">
        <v>1008.389125</v>
      </c>
      <c r="M29" s="15"/>
      <c r="N29" s="15">
        <v>631</v>
      </c>
      <c r="O29" s="15"/>
      <c r="P29" s="15">
        <v>1047</v>
      </c>
      <c r="Q29" s="15"/>
      <c r="R29" s="15">
        <v>1351.95</v>
      </c>
      <c r="S29" s="15"/>
      <c r="T29" s="15">
        <v>488</v>
      </c>
      <c r="U29" s="15"/>
      <c r="V29" s="15">
        <v>708.06328234496004</v>
      </c>
      <c r="W29" s="15"/>
      <c r="X29" s="15">
        <v>674.98741800865685</v>
      </c>
      <c r="Y29" s="15"/>
      <c r="Z29" s="15">
        <v>798.7</v>
      </c>
      <c r="AA29" s="15"/>
      <c r="AB29" s="15">
        <v>1240</v>
      </c>
      <c r="AC29" s="15"/>
      <c r="AD29" s="15">
        <v>1074</v>
      </c>
      <c r="AE29" s="15"/>
      <c r="AF29" s="15">
        <v>1051</v>
      </c>
      <c r="AG29" s="15"/>
      <c r="AH29" s="14">
        <v>469</v>
      </c>
      <c r="AI29" s="14"/>
      <c r="AJ29" s="14">
        <v>564</v>
      </c>
      <c r="AK29" s="14"/>
      <c r="AL29" s="16">
        <v>1115.9100000000001</v>
      </c>
      <c r="AM29" s="16"/>
      <c r="AN29" s="16">
        <v>1158.5430000000001</v>
      </c>
      <c r="AO29" s="16"/>
      <c r="AP29" s="16">
        <f t="shared" si="0"/>
        <v>922.65306791425087</v>
      </c>
      <c r="AQ29" s="16">
        <f t="shared" si="1"/>
        <v>0</v>
      </c>
    </row>
    <row r="30" spans="1:43">
      <c r="A30" s="18" t="s">
        <v>21</v>
      </c>
      <c r="B30" s="19">
        <v>1145</v>
      </c>
      <c r="C30" s="19"/>
      <c r="D30" s="19">
        <v>695</v>
      </c>
      <c r="E30" s="19"/>
      <c r="F30" s="19">
        <v>611.37699816098461</v>
      </c>
      <c r="G30" s="19"/>
      <c r="H30" s="19">
        <v>1103</v>
      </c>
      <c r="I30" s="19"/>
      <c r="J30" s="19">
        <v>1841.13</v>
      </c>
      <c r="K30" s="19"/>
      <c r="L30" s="19">
        <v>1008.389125</v>
      </c>
      <c r="M30" s="19"/>
      <c r="N30" s="19">
        <v>631</v>
      </c>
      <c r="O30" s="19"/>
      <c r="P30" s="19">
        <v>1047</v>
      </c>
      <c r="Q30" s="19"/>
      <c r="R30" s="19">
        <v>1397.65</v>
      </c>
      <c r="S30" s="19"/>
      <c r="T30" s="19">
        <v>488</v>
      </c>
      <c r="U30" s="19"/>
      <c r="V30" s="19">
        <v>774.25865609408004</v>
      </c>
      <c r="W30" s="19"/>
      <c r="X30" s="19">
        <v>803.85915963188495</v>
      </c>
      <c r="Y30" s="19"/>
      <c r="Z30" s="19">
        <v>911.95</v>
      </c>
      <c r="AA30" s="19"/>
      <c r="AB30" s="19">
        <v>1514</v>
      </c>
      <c r="AC30" s="19"/>
      <c r="AD30" s="19">
        <v>1300</v>
      </c>
      <c r="AE30" s="19"/>
      <c r="AF30" s="19">
        <v>1115</v>
      </c>
      <c r="AG30" s="19"/>
      <c r="AH30" s="18">
        <v>469</v>
      </c>
      <c r="AI30" s="18"/>
      <c r="AJ30" s="18">
        <v>654</v>
      </c>
      <c r="AK30" s="18"/>
      <c r="AL30" s="20">
        <v>1230.21</v>
      </c>
      <c r="AM30" s="20"/>
      <c r="AN30" s="20">
        <v>1263.5010000000002</v>
      </c>
      <c r="AO30" s="20"/>
      <c r="AP30" s="20">
        <f t="shared" si="0"/>
        <v>1000.1662469443474</v>
      </c>
      <c r="AQ30" s="20">
        <f t="shared" si="1"/>
        <v>0</v>
      </c>
    </row>
    <row r="31" spans="1:43">
      <c r="A31" s="21" t="s">
        <v>22</v>
      </c>
      <c r="B31" s="15">
        <v>1371</v>
      </c>
      <c r="C31" s="15">
        <v>274</v>
      </c>
      <c r="D31" s="15">
        <v>1965</v>
      </c>
      <c r="E31" s="15">
        <v>275</v>
      </c>
      <c r="F31" s="15">
        <v>656.38569526806248</v>
      </c>
      <c r="G31" s="15">
        <v>281.41679777320587</v>
      </c>
      <c r="H31" s="15">
        <v>1488</v>
      </c>
      <c r="I31" s="15">
        <v>1314</v>
      </c>
      <c r="J31" s="15">
        <v>3868.45</v>
      </c>
      <c r="K31" s="15">
        <v>1740.8</v>
      </c>
      <c r="L31" s="15">
        <v>2494.5369999999998</v>
      </c>
      <c r="M31" s="15">
        <v>949.83399999999995</v>
      </c>
      <c r="N31" s="15">
        <v>1839</v>
      </c>
      <c r="O31" s="15">
        <v>1261</v>
      </c>
      <c r="P31" s="15">
        <v>1206</v>
      </c>
      <c r="Q31" s="15"/>
      <c r="R31" s="15">
        <v>2936.58</v>
      </c>
      <c r="S31" s="15">
        <v>1321.46</v>
      </c>
      <c r="T31" s="15">
        <v>1425</v>
      </c>
      <c r="U31" s="15">
        <v>978</v>
      </c>
      <c r="V31" s="15">
        <v>2637.8064937779204</v>
      </c>
      <c r="W31" s="15">
        <v>599.25814341632008</v>
      </c>
      <c r="X31" s="15">
        <v>704.18062383753124</v>
      </c>
      <c r="Y31" s="15">
        <v>361.73662183434823</v>
      </c>
      <c r="Z31" s="15">
        <v>2877.97</v>
      </c>
      <c r="AA31" s="15">
        <v>546.30999999999995</v>
      </c>
      <c r="AB31" s="15">
        <v>1464</v>
      </c>
      <c r="AC31" s="15"/>
      <c r="AD31" s="15">
        <v>2770</v>
      </c>
      <c r="AE31" s="15">
        <v>1770</v>
      </c>
      <c r="AF31" s="15">
        <v>1915</v>
      </c>
      <c r="AG31" s="15">
        <v>869</v>
      </c>
      <c r="AH31" s="14">
        <v>1489</v>
      </c>
      <c r="AI31" s="14">
        <v>422</v>
      </c>
      <c r="AJ31" s="14">
        <v>1247</v>
      </c>
      <c r="AK31" s="14">
        <v>337</v>
      </c>
      <c r="AL31" s="16">
        <v>1600.884</v>
      </c>
      <c r="AM31" s="16">
        <v>458.86500000000001</v>
      </c>
      <c r="AN31" s="16">
        <v>1628.442</v>
      </c>
      <c r="AO31" s="16">
        <v>491.02200000000005</v>
      </c>
      <c r="AP31" s="16">
        <f t="shared" si="0"/>
        <v>1879.2117906441758</v>
      </c>
      <c r="AQ31" s="16">
        <f t="shared" si="1"/>
        <v>791.70569794577079</v>
      </c>
    </row>
    <row r="32" spans="1:43">
      <c r="A32" s="18" t="s">
        <v>23</v>
      </c>
      <c r="B32" s="19">
        <v>1134</v>
      </c>
      <c r="C32" s="19"/>
      <c r="D32" s="19">
        <v>701</v>
      </c>
      <c r="E32" s="19"/>
      <c r="F32" s="19">
        <v>675.8068470818389</v>
      </c>
      <c r="G32" s="19"/>
      <c r="H32" s="19">
        <v>1108</v>
      </c>
      <c r="I32" s="19"/>
      <c r="J32" s="19">
        <v>1985.01</v>
      </c>
      <c r="K32" s="19"/>
      <c r="L32" s="19">
        <v>1008.389125</v>
      </c>
      <c r="M32" s="19"/>
      <c r="N32" s="19">
        <v>631</v>
      </c>
      <c r="O32" s="19"/>
      <c r="P32" s="19">
        <v>1213</v>
      </c>
      <c r="Q32" s="19"/>
      <c r="R32" s="19">
        <v>1507.49</v>
      </c>
      <c r="S32" s="19"/>
      <c r="T32" s="19">
        <v>488</v>
      </c>
      <c r="U32" s="19"/>
      <c r="V32" s="19">
        <v>708.06328234496004</v>
      </c>
      <c r="W32" s="19"/>
      <c r="X32" s="19">
        <v>912.50439472231949</v>
      </c>
      <c r="Y32" s="19"/>
      <c r="Z32" s="19">
        <v>1105.3499999999999</v>
      </c>
      <c r="AA32" s="19"/>
      <c r="AB32" s="19">
        <v>1643</v>
      </c>
      <c r="AC32" s="19"/>
      <c r="AD32" s="19">
        <v>1086</v>
      </c>
      <c r="AE32" s="19"/>
      <c r="AF32" s="19">
        <v>1040</v>
      </c>
      <c r="AG32" s="19"/>
      <c r="AH32" s="18">
        <v>477</v>
      </c>
      <c r="AI32" s="18"/>
      <c r="AJ32" s="18">
        <v>540</v>
      </c>
      <c r="AK32" s="18"/>
      <c r="AL32" s="20">
        <v>1147.05</v>
      </c>
      <c r="AM32" s="20"/>
      <c r="AN32" s="20">
        <v>1190.5740000000001</v>
      </c>
      <c r="AO32" s="20"/>
      <c r="AP32" s="20">
        <f t="shared" si="0"/>
        <v>1015.061882457456</v>
      </c>
      <c r="AQ32" s="20">
        <f t="shared" si="1"/>
        <v>0</v>
      </c>
    </row>
    <row r="33" spans="1:43">
      <c r="A33" s="14" t="s">
        <v>24</v>
      </c>
      <c r="B33" s="15">
        <v>1267</v>
      </c>
      <c r="C33" s="15"/>
      <c r="D33" s="15">
        <v>1293</v>
      </c>
      <c r="E33" s="15"/>
      <c r="F33" s="15">
        <v>753.41198044009775</v>
      </c>
      <c r="G33" s="15"/>
      <c r="H33" s="15">
        <v>1103</v>
      </c>
      <c r="I33" s="15"/>
      <c r="J33" s="15">
        <v>1891.59</v>
      </c>
      <c r="K33" s="15"/>
      <c r="L33" s="15">
        <v>1008.389125</v>
      </c>
      <c r="M33" s="15"/>
      <c r="N33" s="15">
        <v>631</v>
      </c>
      <c r="O33" s="15"/>
      <c r="P33" s="15">
        <v>1213</v>
      </c>
      <c r="Q33" s="15"/>
      <c r="R33" s="15">
        <v>1436.32</v>
      </c>
      <c r="S33" s="15"/>
      <c r="T33" s="15">
        <v>488</v>
      </c>
      <c r="U33" s="15"/>
      <c r="V33" s="15">
        <v>747.06995446784003</v>
      </c>
      <c r="W33" s="15"/>
      <c r="X33" s="15">
        <v>1148.2876708760284</v>
      </c>
      <c r="Y33" s="15"/>
      <c r="Z33" s="15">
        <v>1110.44</v>
      </c>
      <c r="AA33" s="15"/>
      <c r="AB33" s="15">
        <v>1846</v>
      </c>
      <c r="AC33" s="15"/>
      <c r="AD33" s="15">
        <v>1297</v>
      </c>
      <c r="AE33" s="15"/>
      <c r="AF33" s="15">
        <v>1014</v>
      </c>
      <c r="AG33" s="15"/>
      <c r="AH33" s="14">
        <v>560</v>
      </c>
      <c r="AI33" s="14"/>
      <c r="AJ33" s="14">
        <v>540</v>
      </c>
      <c r="AK33" s="14"/>
      <c r="AL33" s="16">
        <v>1329.9660000000001</v>
      </c>
      <c r="AM33" s="16"/>
      <c r="AN33" s="16">
        <v>1367.7840000000001</v>
      </c>
      <c r="AO33" s="16"/>
      <c r="AP33" s="16">
        <f t="shared" si="0"/>
        <v>1102.2629365391983</v>
      </c>
      <c r="AQ33" s="16">
        <f t="shared" si="1"/>
        <v>0</v>
      </c>
    </row>
    <row r="34" spans="1:43">
      <c r="A34" s="22" t="s">
        <v>25</v>
      </c>
      <c r="B34" s="19">
        <v>719</v>
      </c>
      <c r="C34" s="19">
        <v>236</v>
      </c>
      <c r="D34" s="19">
        <v>1123</v>
      </c>
      <c r="E34" s="19">
        <v>336</v>
      </c>
      <c r="F34" s="19">
        <v>678.74178079232729</v>
      </c>
      <c r="G34" s="19">
        <v>280.65930790167192</v>
      </c>
      <c r="H34" s="19">
        <v>1488</v>
      </c>
      <c r="I34" s="19">
        <v>1314</v>
      </c>
      <c r="J34" s="19">
        <v>2122.58</v>
      </c>
      <c r="K34" s="19">
        <v>1167.42</v>
      </c>
      <c r="L34" s="19">
        <v>1008.389125</v>
      </c>
      <c r="M34" s="19">
        <v>763.21315000000004</v>
      </c>
      <c r="N34" s="19">
        <v>1014</v>
      </c>
      <c r="O34" s="19">
        <v>633</v>
      </c>
      <c r="P34" s="19">
        <v>1206</v>
      </c>
      <c r="Q34" s="19"/>
      <c r="R34" s="19">
        <v>1611.83</v>
      </c>
      <c r="S34" s="19">
        <v>886.5</v>
      </c>
      <c r="T34" s="19">
        <v>788</v>
      </c>
      <c r="U34" s="19">
        <v>493</v>
      </c>
      <c r="V34" s="19">
        <v>824.97420166400025</v>
      </c>
      <c r="W34" s="19">
        <v>595.8676809440002</v>
      </c>
      <c r="X34" s="19">
        <v>1408.3612476750625</v>
      </c>
      <c r="Y34" s="19">
        <v>723.47324366869645</v>
      </c>
      <c r="Z34" s="19">
        <v>1092.53</v>
      </c>
      <c r="AA34" s="19"/>
      <c r="AB34" s="19">
        <v>1464</v>
      </c>
      <c r="AC34" s="19"/>
      <c r="AD34" s="19">
        <v>1035</v>
      </c>
      <c r="AE34" s="19"/>
      <c r="AF34" s="19">
        <v>1210</v>
      </c>
      <c r="AG34" s="19"/>
      <c r="AH34" s="18">
        <v>697</v>
      </c>
      <c r="AI34" s="18">
        <v>455</v>
      </c>
      <c r="AJ34" s="18">
        <v>842</v>
      </c>
      <c r="AK34" s="18">
        <v>842</v>
      </c>
      <c r="AL34" s="20">
        <v>1230.9660000000001</v>
      </c>
      <c r="AM34" s="20">
        <v>588.21299999999997</v>
      </c>
      <c r="AN34" s="20">
        <v>1266.2550000000001</v>
      </c>
      <c r="AO34" s="20">
        <v>627.55200000000002</v>
      </c>
      <c r="AP34" s="20">
        <f t="shared" si="0"/>
        <v>1141.5313677565696</v>
      </c>
      <c r="AQ34" s="20">
        <f t="shared" si="1"/>
        <v>662.79322550095799</v>
      </c>
    </row>
    <row r="35" spans="1:43">
      <c r="A35" s="14" t="s">
        <v>26</v>
      </c>
      <c r="B35" s="15">
        <v>709</v>
      </c>
      <c r="C35" s="15"/>
      <c r="D35" s="15">
        <v>565</v>
      </c>
      <c r="E35" s="15"/>
      <c r="F35" s="15">
        <v>603.66336263325229</v>
      </c>
      <c r="G35" s="15"/>
      <c r="H35" s="15">
        <v>896</v>
      </c>
      <c r="I35" s="15"/>
      <c r="J35" s="15">
        <v>1815.28</v>
      </c>
      <c r="K35" s="15"/>
      <c r="L35" s="15">
        <v>1008.389125</v>
      </c>
      <c r="M35" s="15"/>
      <c r="N35" s="15">
        <v>631</v>
      </c>
      <c r="O35" s="15"/>
      <c r="P35" s="15">
        <v>1047</v>
      </c>
      <c r="Q35" s="15"/>
      <c r="R35" s="15">
        <v>1378.64</v>
      </c>
      <c r="S35" s="15"/>
      <c r="T35" s="15">
        <v>488</v>
      </c>
      <c r="U35" s="15"/>
      <c r="V35" s="15">
        <v>606.68328426560004</v>
      </c>
      <c r="W35" s="15"/>
      <c r="X35" s="15">
        <v>648.40400942269957</v>
      </c>
      <c r="Y35" s="15"/>
      <c r="Z35" s="15">
        <v>775.8</v>
      </c>
      <c r="AA35" s="15"/>
      <c r="AB35" s="15">
        <v>1143</v>
      </c>
      <c r="AC35" s="15"/>
      <c r="AD35" s="15">
        <v>932</v>
      </c>
      <c r="AE35" s="15"/>
      <c r="AF35" s="15">
        <v>977</v>
      </c>
      <c r="AG35" s="15"/>
      <c r="AH35" s="14">
        <v>359</v>
      </c>
      <c r="AI35" s="14"/>
      <c r="AJ35" s="14">
        <v>587</v>
      </c>
      <c r="AK35" s="14"/>
      <c r="AL35" s="16">
        <v>841.45500000000004</v>
      </c>
      <c r="AM35" s="16"/>
      <c r="AN35" s="16">
        <v>872.49600000000009</v>
      </c>
      <c r="AO35" s="16"/>
      <c r="AP35" s="16">
        <f t="shared" si="0"/>
        <v>844.24053906607753</v>
      </c>
      <c r="AQ35" s="16">
        <f t="shared" si="1"/>
        <v>0</v>
      </c>
    </row>
    <row r="36" spans="1:43">
      <c r="A36" s="18" t="s">
        <v>27</v>
      </c>
      <c r="B36" s="19">
        <v>841</v>
      </c>
      <c r="C36" s="19"/>
      <c r="D36" s="19">
        <v>576</v>
      </c>
      <c r="E36" s="19"/>
      <c r="F36" s="19">
        <v>556.96842794045472</v>
      </c>
      <c r="G36" s="19"/>
      <c r="H36" s="19">
        <v>1108</v>
      </c>
      <c r="I36" s="19"/>
      <c r="J36" s="19">
        <v>1696.18</v>
      </c>
      <c r="K36" s="19"/>
      <c r="L36" s="19">
        <v>1008.389125</v>
      </c>
      <c r="M36" s="19"/>
      <c r="N36" s="19">
        <v>631</v>
      </c>
      <c r="O36" s="19"/>
      <c r="P36" s="19">
        <v>772</v>
      </c>
      <c r="Q36" s="19"/>
      <c r="R36" s="19">
        <v>1287.53</v>
      </c>
      <c r="S36" s="19"/>
      <c r="T36" s="19">
        <v>488</v>
      </c>
      <c r="U36" s="19"/>
      <c r="V36" s="19">
        <v>606.68328426560004</v>
      </c>
      <c r="W36" s="19"/>
      <c r="X36" s="19">
        <v>654.18301128921189</v>
      </c>
      <c r="Y36" s="19"/>
      <c r="Z36" s="19">
        <v>690.55</v>
      </c>
      <c r="AA36" s="19"/>
      <c r="AB36" s="19">
        <v>1331</v>
      </c>
      <c r="AC36" s="19"/>
      <c r="AD36" s="19">
        <v>948</v>
      </c>
      <c r="AE36" s="19"/>
      <c r="AF36" s="19">
        <v>890</v>
      </c>
      <c r="AG36" s="19"/>
      <c r="AH36" s="18">
        <v>395</v>
      </c>
      <c r="AI36" s="18"/>
      <c r="AJ36" s="18">
        <v>409</v>
      </c>
      <c r="AK36" s="18"/>
      <c r="AL36" s="20">
        <v>1845.0270000000003</v>
      </c>
      <c r="AM36" s="20"/>
      <c r="AN36" s="20">
        <v>1887.579</v>
      </c>
      <c r="AO36" s="20"/>
      <c r="AP36" s="20">
        <f t="shared" si="0"/>
        <v>931.10449242476329</v>
      </c>
      <c r="AQ36" s="20">
        <f t="shared" si="1"/>
        <v>0</v>
      </c>
    </row>
    <row r="37" spans="1:43">
      <c r="A37" s="14" t="s">
        <v>28</v>
      </c>
      <c r="B37" s="15">
        <v>1149</v>
      </c>
      <c r="C37" s="15"/>
      <c r="D37" s="15">
        <v>1293</v>
      </c>
      <c r="E37" s="15"/>
      <c r="F37" s="15">
        <v>588.5695853773268</v>
      </c>
      <c r="G37" s="15"/>
      <c r="H37" s="15">
        <v>1103</v>
      </c>
      <c r="I37" s="15"/>
      <c r="J37" s="15">
        <v>2057.5500000000002</v>
      </c>
      <c r="K37" s="15"/>
      <c r="L37" s="15">
        <v>1008.389125</v>
      </c>
      <c r="M37" s="15"/>
      <c r="N37" s="15">
        <v>631</v>
      </c>
      <c r="O37" s="15"/>
      <c r="P37" s="15">
        <v>1213</v>
      </c>
      <c r="Q37" s="15"/>
      <c r="R37" s="15">
        <v>1562.32</v>
      </c>
      <c r="S37" s="15"/>
      <c r="T37" s="15">
        <v>488</v>
      </c>
      <c r="U37" s="15"/>
      <c r="V37" s="15">
        <v>774.79497023552005</v>
      </c>
      <c r="W37" s="15"/>
      <c r="X37" s="15">
        <v>912.50439472231949</v>
      </c>
      <c r="Y37" s="15"/>
      <c r="Z37" s="15">
        <v>1091.3499999999999</v>
      </c>
      <c r="AA37" s="15"/>
      <c r="AB37" s="15">
        <v>1673</v>
      </c>
      <c r="AC37" s="15"/>
      <c r="AD37" s="15">
        <v>1061</v>
      </c>
      <c r="AE37" s="15"/>
      <c r="AF37" s="15">
        <v>1130</v>
      </c>
      <c r="AG37" s="15"/>
      <c r="AH37" s="14">
        <v>469</v>
      </c>
      <c r="AI37" s="14"/>
      <c r="AJ37" s="14">
        <v>652</v>
      </c>
      <c r="AK37" s="14"/>
      <c r="AL37" s="16">
        <v>1357.164</v>
      </c>
      <c r="AM37" s="16"/>
      <c r="AN37" s="16">
        <v>1395.7290000000003</v>
      </c>
      <c r="AO37" s="16"/>
      <c r="AP37" s="16">
        <f t="shared" si="0"/>
        <v>1080.5185537667583</v>
      </c>
      <c r="AQ37" s="16">
        <f t="shared" si="1"/>
        <v>0</v>
      </c>
    </row>
    <row r="38" spans="1:43">
      <c r="A38" s="22" t="s">
        <v>29</v>
      </c>
      <c r="B38" s="19">
        <v>2260</v>
      </c>
      <c r="C38" s="19">
        <v>318</v>
      </c>
      <c r="D38" s="19">
        <v>2024</v>
      </c>
      <c r="E38" s="19">
        <v>336</v>
      </c>
      <c r="F38" s="19">
        <v>1301.4601414113406</v>
      </c>
      <c r="G38" s="19">
        <v>287.66601968667686</v>
      </c>
      <c r="H38" s="19">
        <v>1338</v>
      </c>
      <c r="I38" s="19">
        <v>1314</v>
      </c>
      <c r="J38" s="19">
        <v>3868.45</v>
      </c>
      <c r="K38" s="19">
        <v>1740.8</v>
      </c>
      <c r="L38" s="19">
        <v>2494.5369999999998</v>
      </c>
      <c r="M38" s="19">
        <v>949.83399999999995</v>
      </c>
      <c r="N38" s="19">
        <v>1839</v>
      </c>
      <c r="O38" s="19">
        <v>1261</v>
      </c>
      <c r="P38" s="19">
        <v>1833</v>
      </c>
      <c r="Q38" s="19">
        <v>789</v>
      </c>
      <c r="R38" s="19">
        <v>2936.58</v>
      </c>
      <c r="S38" s="19">
        <v>1321.46</v>
      </c>
      <c r="T38" s="19">
        <v>1425</v>
      </c>
      <c r="U38" s="19">
        <v>978</v>
      </c>
      <c r="V38" s="19">
        <v>5203.5042249036806</v>
      </c>
      <c r="W38" s="19">
        <v>619.83504225727972</v>
      </c>
      <c r="X38" s="19">
        <v>3431.8047800105132</v>
      </c>
      <c r="Y38" s="19">
        <v>1762.9134143889623</v>
      </c>
      <c r="Z38" s="19">
        <v>2877.97</v>
      </c>
      <c r="AA38" s="19">
        <v>546.30999999999995</v>
      </c>
      <c r="AB38" s="19">
        <v>2834</v>
      </c>
      <c r="AC38" s="19">
        <v>632</v>
      </c>
      <c r="AD38" s="19">
        <v>3357</v>
      </c>
      <c r="AE38" s="19">
        <v>1113</v>
      </c>
      <c r="AF38" s="19">
        <v>2099</v>
      </c>
      <c r="AG38" s="19">
        <v>802</v>
      </c>
      <c r="AH38" s="18">
        <v>1545</v>
      </c>
      <c r="AI38" s="18">
        <v>439</v>
      </c>
      <c r="AJ38" s="18">
        <v>1665</v>
      </c>
      <c r="AK38" s="18">
        <v>601</v>
      </c>
      <c r="AL38" s="20">
        <v>1815.3630000000001</v>
      </c>
      <c r="AM38" s="20">
        <v>405.59399999999999</v>
      </c>
      <c r="AN38" s="20">
        <v>1839.8879999999999</v>
      </c>
      <c r="AO38" s="20">
        <v>434.07900000000006</v>
      </c>
      <c r="AP38" s="20">
        <f t="shared" si="0"/>
        <v>2399.4278573162765</v>
      </c>
      <c r="AQ38" s="20">
        <f t="shared" si="1"/>
        <v>832.57457381664585</v>
      </c>
    </row>
    <row r="39" spans="1:43">
      <c r="A39" s="14" t="s">
        <v>30</v>
      </c>
      <c r="B39" s="15">
        <v>705</v>
      </c>
      <c r="C39" s="15"/>
      <c r="D39" s="15">
        <v>455</v>
      </c>
      <c r="E39" s="15"/>
      <c r="F39" s="15">
        <v>430.58487814836059</v>
      </c>
      <c r="G39" s="15"/>
      <c r="H39" s="15">
        <v>655</v>
      </c>
      <c r="I39" s="15"/>
      <c r="J39" s="15">
        <v>1594.95</v>
      </c>
      <c r="K39" s="15"/>
      <c r="L39" s="15">
        <v>600.22479999999996</v>
      </c>
      <c r="M39" s="15"/>
      <c r="N39" s="15">
        <v>679</v>
      </c>
      <c r="O39" s="15"/>
      <c r="P39" s="15">
        <v>772</v>
      </c>
      <c r="Q39" s="15"/>
      <c r="R39" s="15">
        <v>1211.1500000000001</v>
      </c>
      <c r="S39" s="15"/>
      <c r="T39" s="15">
        <v>524</v>
      </c>
      <c r="U39" s="15"/>
      <c r="V39" s="15">
        <v>606.68328426560004</v>
      </c>
      <c r="W39" s="15"/>
      <c r="X39" s="15">
        <v>577.90018665124728</v>
      </c>
      <c r="Y39" s="15"/>
      <c r="Z39" s="15">
        <v>690.55</v>
      </c>
      <c r="AA39" s="15"/>
      <c r="AB39" s="15">
        <v>971</v>
      </c>
      <c r="AC39" s="15"/>
      <c r="AD39" s="15">
        <v>688</v>
      </c>
      <c r="AE39" s="15"/>
      <c r="AF39" s="15">
        <v>657</v>
      </c>
      <c r="AG39" s="15"/>
      <c r="AH39" s="14">
        <v>391</v>
      </c>
      <c r="AI39" s="14"/>
      <c r="AJ39" s="14">
        <v>451</v>
      </c>
      <c r="AK39" s="14"/>
      <c r="AL39" s="16">
        <v>677.601</v>
      </c>
      <c r="AM39" s="16"/>
      <c r="AN39" s="16">
        <v>699.48</v>
      </c>
      <c r="AO39" s="16"/>
      <c r="AP39" s="16">
        <f t="shared" si="0"/>
        <v>701.85620745326037</v>
      </c>
      <c r="AQ39" s="16">
        <f t="shared" si="1"/>
        <v>0</v>
      </c>
    </row>
    <row r="40" spans="1:43">
      <c r="A40" s="18" t="s">
        <v>31</v>
      </c>
      <c r="B40" s="19">
        <v>822</v>
      </c>
      <c r="C40" s="19"/>
      <c r="D40" s="19">
        <v>528</v>
      </c>
      <c r="E40" s="19"/>
      <c r="F40" s="19">
        <v>447.47180621738141</v>
      </c>
      <c r="G40" s="19"/>
      <c r="H40" s="19">
        <v>794</v>
      </c>
      <c r="I40" s="19"/>
      <c r="J40" s="19">
        <v>1611.82</v>
      </c>
      <c r="K40" s="19"/>
      <c r="L40" s="19">
        <v>1008.389125</v>
      </c>
      <c r="M40" s="19"/>
      <c r="N40" s="19">
        <v>679</v>
      </c>
      <c r="O40" s="19"/>
      <c r="P40" s="19">
        <v>1047</v>
      </c>
      <c r="Q40" s="19"/>
      <c r="R40" s="19">
        <v>1224.04</v>
      </c>
      <c r="S40" s="19"/>
      <c r="T40" s="19">
        <v>524</v>
      </c>
      <c r="U40" s="19"/>
      <c r="V40" s="19">
        <v>606.68328426560004</v>
      </c>
      <c r="W40" s="19"/>
      <c r="X40" s="19">
        <v>654.18301128921189</v>
      </c>
      <c r="Y40" s="19"/>
      <c r="Z40" s="19">
        <v>839.42</v>
      </c>
      <c r="AA40" s="19"/>
      <c r="AB40" s="19">
        <v>1143</v>
      </c>
      <c r="AC40" s="19"/>
      <c r="AD40" s="19">
        <v>756</v>
      </c>
      <c r="AE40" s="19"/>
      <c r="AF40" s="19">
        <v>918</v>
      </c>
      <c r="AG40" s="19"/>
      <c r="AH40" s="18">
        <v>395</v>
      </c>
      <c r="AI40" s="18"/>
      <c r="AJ40" s="18">
        <v>486</v>
      </c>
      <c r="AK40" s="18"/>
      <c r="AL40" s="20">
        <v>841.45500000000004</v>
      </c>
      <c r="AM40" s="20"/>
      <c r="AN40" s="20">
        <v>872.49600000000009</v>
      </c>
      <c r="AO40" s="20"/>
      <c r="AP40" s="20">
        <f t="shared" si="0"/>
        <v>809.89791133860967</v>
      </c>
      <c r="AQ40" s="20">
        <f t="shared" si="1"/>
        <v>0</v>
      </c>
    </row>
    <row r="41" spans="1:43">
      <c r="A41" s="14" t="s">
        <v>32</v>
      </c>
      <c r="B41" s="15">
        <v>743</v>
      </c>
      <c r="C41" s="15"/>
      <c r="D41" s="15">
        <v>1226</v>
      </c>
      <c r="E41" s="15"/>
      <c r="F41" s="15">
        <v>858.73499103942652</v>
      </c>
      <c r="G41" s="15"/>
      <c r="H41" s="15">
        <v>1387</v>
      </c>
      <c r="I41" s="15"/>
      <c r="J41" s="15">
        <v>2340.31</v>
      </c>
      <c r="K41" s="15"/>
      <c r="L41" s="15">
        <v>1008.389125</v>
      </c>
      <c r="M41" s="15"/>
      <c r="N41" s="15">
        <v>1014</v>
      </c>
      <c r="O41" s="15"/>
      <c r="P41" s="15">
        <v>1237</v>
      </c>
      <c r="Q41" s="15"/>
      <c r="R41" s="15">
        <v>1777.14</v>
      </c>
      <c r="S41" s="15"/>
      <c r="T41" s="15">
        <v>788</v>
      </c>
      <c r="U41" s="15"/>
      <c r="V41" s="15">
        <v>903.33204918272008</v>
      </c>
      <c r="W41" s="15"/>
      <c r="X41" s="15">
        <v>1229.6583287572703</v>
      </c>
      <c r="Y41" s="15"/>
      <c r="Z41" s="15">
        <v>911.95</v>
      </c>
      <c r="AA41" s="15"/>
      <c r="AB41" s="15">
        <v>1482</v>
      </c>
      <c r="AC41" s="15"/>
      <c r="AD41" s="15">
        <v>3756</v>
      </c>
      <c r="AE41" s="15"/>
      <c r="AF41" s="15">
        <v>1489</v>
      </c>
      <c r="AG41" s="15"/>
      <c r="AH41" s="14">
        <v>675</v>
      </c>
      <c r="AI41" s="14"/>
      <c r="AJ41" s="14">
        <v>699</v>
      </c>
      <c r="AK41" s="14"/>
      <c r="AL41" s="16">
        <v>1179.0540000000001</v>
      </c>
      <c r="AM41" s="16"/>
      <c r="AN41" s="16">
        <v>1214.2079999999999</v>
      </c>
      <c r="AO41" s="16"/>
      <c r="AP41" s="16">
        <f t="shared" si="0"/>
        <v>1295.9388246989706</v>
      </c>
      <c r="AQ41" s="16">
        <f t="shared" si="1"/>
        <v>0</v>
      </c>
    </row>
    <row r="42" spans="1:43">
      <c r="A42" s="22" t="s">
        <v>33</v>
      </c>
      <c r="B42" s="19">
        <v>2199</v>
      </c>
      <c r="C42" s="19">
        <v>282</v>
      </c>
      <c r="D42" s="19">
        <v>2001</v>
      </c>
      <c r="E42" s="19">
        <v>304</v>
      </c>
      <c r="F42" s="19">
        <v>1285.4855349925547</v>
      </c>
      <c r="G42" s="19">
        <v>264.49112954690492</v>
      </c>
      <c r="H42" s="19">
        <v>1488</v>
      </c>
      <c r="I42" s="19">
        <v>1314</v>
      </c>
      <c r="J42" s="19">
        <v>3868.45</v>
      </c>
      <c r="K42" s="19">
        <v>1740.8</v>
      </c>
      <c r="L42" s="19">
        <v>2494.5369999999998</v>
      </c>
      <c r="M42" s="19">
        <v>949.83399999999995</v>
      </c>
      <c r="N42" s="19">
        <v>1839</v>
      </c>
      <c r="O42" s="19">
        <v>1261</v>
      </c>
      <c r="P42" s="19">
        <v>1833</v>
      </c>
      <c r="Q42" s="19">
        <v>789</v>
      </c>
      <c r="R42" s="19">
        <v>2936.58</v>
      </c>
      <c r="S42" s="19">
        <v>1321.46</v>
      </c>
      <c r="T42" s="19">
        <v>1425</v>
      </c>
      <c r="U42" s="19">
        <v>978</v>
      </c>
      <c r="V42" s="19">
        <v>3278.2697207014398</v>
      </c>
      <c r="W42" s="19">
        <v>598.28407193023997</v>
      </c>
      <c r="X42" s="19">
        <v>3431.8047800105132</v>
      </c>
      <c r="Y42" s="19">
        <v>1762.9134143889623</v>
      </c>
      <c r="Z42" s="19">
        <v>2877.97</v>
      </c>
      <c r="AA42" s="19">
        <v>546.30999999999995</v>
      </c>
      <c r="AB42" s="19">
        <v>2834</v>
      </c>
      <c r="AC42" s="19">
        <v>632</v>
      </c>
      <c r="AD42" s="19">
        <v>3391</v>
      </c>
      <c r="AE42" s="19">
        <v>1053</v>
      </c>
      <c r="AF42" s="19">
        <v>1601</v>
      </c>
      <c r="AG42" s="19">
        <v>780</v>
      </c>
      <c r="AH42" s="18">
        <v>1545</v>
      </c>
      <c r="AI42" s="18">
        <v>439</v>
      </c>
      <c r="AJ42" s="18">
        <v>1917</v>
      </c>
      <c r="AK42" s="18">
        <v>690</v>
      </c>
      <c r="AL42" s="20">
        <v>1802.934</v>
      </c>
      <c r="AM42" s="20">
        <v>570.31200000000013</v>
      </c>
      <c r="AN42" s="20">
        <v>1837.1880000000001</v>
      </c>
      <c r="AO42" s="20">
        <v>608.45399999999995</v>
      </c>
      <c r="AP42" s="20">
        <f t="shared" si="0"/>
        <v>2294.3109517852254</v>
      </c>
      <c r="AQ42" s="20">
        <f t="shared" si="1"/>
        <v>844.2429307933055</v>
      </c>
    </row>
    <row r="43" spans="1:43">
      <c r="A43" s="21" t="s">
        <v>34</v>
      </c>
      <c r="B43" s="15">
        <v>822</v>
      </c>
      <c r="C43" s="15">
        <v>274</v>
      </c>
      <c r="D43" s="15">
        <v>1096</v>
      </c>
      <c r="E43" s="15">
        <v>311</v>
      </c>
      <c r="F43" s="15">
        <v>655.13858823529415</v>
      </c>
      <c r="G43" s="15">
        <v>313.67670588235296</v>
      </c>
      <c r="H43" s="15">
        <v>1488</v>
      </c>
      <c r="I43" s="15">
        <v>1314</v>
      </c>
      <c r="J43" s="15">
        <v>2223.52</v>
      </c>
      <c r="K43" s="15">
        <v>1222.94</v>
      </c>
      <c r="L43" s="15">
        <v>1328.644</v>
      </c>
      <c r="M43" s="15">
        <v>1066.5129999999999</v>
      </c>
      <c r="N43" s="15">
        <v>1039</v>
      </c>
      <c r="O43" s="15">
        <v>734</v>
      </c>
      <c r="P43" s="15">
        <v>1206</v>
      </c>
      <c r="Q43" s="15"/>
      <c r="R43" s="15">
        <v>1688.32</v>
      </c>
      <c r="S43" s="15">
        <v>928.58</v>
      </c>
      <c r="T43" s="15">
        <v>808</v>
      </c>
      <c r="U43" s="15">
        <v>572</v>
      </c>
      <c r="V43" s="15">
        <v>1970.8241646694403</v>
      </c>
      <c r="W43" s="15">
        <v>587.66177901823994</v>
      </c>
      <c r="X43" s="15">
        <v>3055.6680413251893</v>
      </c>
      <c r="Y43" s="15">
        <v>1569.6924869821178</v>
      </c>
      <c r="Z43" s="15">
        <v>911.95</v>
      </c>
      <c r="AA43" s="15"/>
      <c r="AB43" s="15">
        <v>1464</v>
      </c>
      <c r="AC43" s="15"/>
      <c r="AD43" s="15">
        <v>2197</v>
      </c>
      <c r="AE43" s="15">
        <v>994</v>
      </c>
      <c r="AF43" s="15">
        <v>1568</v>
      </c>
      <c r="AG43" s="15"/>
      <c r="AH43" s="14">
        <v>1049</v>
      </c>
      <c r="AI43" s="14">
        <v>640</v>
      </c>
      <c r="AJ43" s="14">
        <v>941</v>
      </c>
      <c r="AK43" s="14">
        <v>687</v>
      </c>
      <c r="AL43" s="16">
        <v>1419.903</v>
      </c>
      <c r="AM43" s="16">
        <v>443.916</v>
      </c>
      <c r="AN43" s="16">
        <v>1448.0910000000001</v>
      </c>
      <c r="AO43" s="16">
        <v>476.39700000000005</v>
      </c>
      <c r="AP43" s="16">
        <f t="shared" si="0"/>
        <v>1419.0029397114963</v>
      </c>
      <c r="AQ43" s="16">
        <f t="shared" si="1"/>
        <v>758.46106074266947</v>
      </c>
    </row>
    <row r="44" spans="1:43">
      <c r="A44" s="18" t="s">
        <v>35</v>
      </c>
      <c r="B44" s="19">
        <v>822</v>
      </c>
      <c r="C44" s="19"/>
      <c r="D44" s="19">
        <v>672</v>
      </c>
      <c r="E44" s="19"/>
      <c r="F44" s="19">
        <v>498.72327755163576</v>
      </c>
      <c r="G44" s="19"/>
      <c r="H44" s="19">
        <v>1108</v>
      </c>
      <c r="I44" s="19"/>
      <c r="J44" s="19">
        <v>1611.82</v>
      </c>
      <c r="K44" s="19"/>
      <c r="L44" s="19">
        <v>1008.389125</v>
      </c>
      <c r="M44" s="19"/>
      <c r="N44" s="19">
        <v>631</v>
      </c>
      <c r="O44" s="19"/>
      <c r="P44" s="19">
        <v>1047</v>
      </c>
      <c r="Q44" s="19"/>
      <c r="R44" s="19">
        <v>1224.04</v>
      </c>
      <c r="S44" s="19"/>
      <c r="T44" s="19">
        <v>488</v>
      </c>
      <c r="U44" s="19"/>
      <c r="V44" s="19">
        <v>708.06328234496004</v>
      </c>
      <c r="W44" s="19"/>
      <c r="X44" s="19">
        <v>674.98741800865685</v>
      </c>
      <c r="Y44" s="19"/>
      <c r="Z44" s="19">
        <v>766.9</v>
      </c>
      <c r="AA44" s="19"/>
      <c r="AB44" s="19">
        <v>1240</v>
      </c>
      <c r="AC44" s="19"/>
      <c r="AD44" s="19">
        <v>1093</v>
      </c>
      <c r="AE44" s="19"/>
      <c r="AF44" s="19">
        <v>1000</v>
      </c>
      <c r="AG44" s="19"/>
      <c r="AH44" s="18">
        <v>477</v>
      </c>
      <c r="AI44" s="18"/>
      <c r="AJ44" s="18">
        <v>486</v>
      </c>
      <c r="AK44" s="18"/>
      <c r="AL44" s="20">
        <v>1115.9100000000001</v>
      </c>
      <c r="AM44" s="20"/>
      <c r="AN44" s="20">
        <v>1158.5430000000001</v>
      </c>
      <c r="AO44" s="20"/>
      <c r="AP44" s="20">
        <f t="shared" si="0"/>
        <v>891.56880514526279</v>
      </c>
      <c r="AQ44" s="20">
        <f t="shared" si="1"/>
        <v>0</v>
      </c>
    </row>
    <row r="45" spans="1:43">
      <c r="A45" s="14" t="s">
        <v>36</v>
      </c>
      <c r="B45" s="15">
        <v>822</v>
      </c>
      <c r="C45" s="15"/>
      <c r="D45" s="15">
        <v>584</v>
      </c>
      <c r="E45" s="15"/>
      <c r="F45" s="15">
        <v>610.39391940908786</v>
      </c>
      <c r="G45" s="15"/>
      <c r="H45" s="15">
        <v>1108</v>
      </c>
      <c r="I45" s="15"/>
      <c r="J45" s="15">
        <v>1781.54</v>
      </c>
      <c r="K45" s="15"/>
      <c r="L45" s="15">
        <v>1008.389125</v>
      </c>
      <c r="M45" s="15"/>
      <c r="N45" s="15">
        <v>631</v>
      </c>
      <c r="O45" s="15"/>
      <c r="P45" s="15">
        <v>1047</v>
      </c>
      <c r="Q45" s="15"/>
      <c r="R45" s="15">
        <v>1351.95</v>
      </c>
      <c r="S45" s="15"/>
      <c r="T45" s="15">
        <v>488</v>
      </c>
      <c r="U45" s="15"/>
      <c r="V45" s="15">
        <v>606.68328426560004</v>
      </c>
      <c r="W45" s="15"/>
      <c r="X45" s="15">
        <v>674.98741800865685</v>
      </c>
      <c r="Y45" s="15"/>
      <c r="Z45" s="15">
        <v>911.95</v>
      </c>
      <c r="AA45" s="15"/>
      <c r="AB45" s="15">
        <v>1331</v>
      </c>
      <c r="AC45" s="15"/>
      <c r="AD45" s="15">
        <v>987</v>
      </c>
      <c r="AE45" s="15"/>
      <c r="AF45" s="15">
        <v>791</v>
      </c>
      <c r="AG45" s="15"/>
      <c r="AH45" s="14">
        <v>395</v>
      </c>
      <c r="AI45" s="14"/>
      <c r="AJ45" s="14">
        <v>409</v>
      </c>
      <c r="AK45" s="14"/>
      <c r="AL45" s="16">
        <v>907.37100000000009</v>
      </c>
      <c r="AM45" s="16"/>
      <c r="AN45" s="16">
        <v>938.5920000000001</v>
      </c>
      <c r="AO45" s="16"/>
      <c r="AP45" s="16">
        <f t="shared" si="0"/>
        <v>869.24283733416746</v>
      </c>
      <c r="AQ45" s="16">
        <f t="shared" si="1"/>
        <v>0</v>
      </c>
    </row>
    <row r="46" spans="1:43">
      <c r="A46" s="18" t="s">
        <v>37</v>
      </c>
      <c r="B46" s="19">
        <v>827</v>
      </c>
      <c r="C46" s="19"/>
      <c r="D46" s="19">
        <v>429</v>
      </c>
      <c r="E46" s="19"/>
      <c r="F46" s="19">
        <v>435.10449526813881</v>
      </c>
      <c r="G46" s="19"/>
      <c r="H46" s="19">
        <v>794</v>
      </c>
      <c r="I46" s="19"/>
      <c r="J46" s="19">
        <v>1492.72</v>
      </c>
      <c r="K46" s="19"/>
      <c r="L46" s="19">
        <v>1008.389125</v>
      </c>
      <c r="M46" s="19"/>
      <c r="N46" s="19">
        <v>679</v>
      </c>
      <c r="O46" s="19"/>
      <c r="P46" s="19">
        <v>1047</v>
      </c>
      <c r="Q46" s="19"/>
      <c r="R46" s="19">
        <v>1132.9100000000001</v>
      </c>
      <c r="S46" s="19"/>
      <c r="T46" s="19">
        <v>524</v>
      </c>
      <c r="U46" s="19"/>
      <c r="V46" s="19">
        <v>606.68328426560004</v>
      </c>
      <c r="W46" s="19"/>
      <c r="X46" s="19">
        <v>654.18301128921189</v>
      </c>
      <c r="Y46" s="19"/>
      <c r="Z46" s="19">
        <v>690.55</v>
      </c>
      <c r="AA46" s="19"/>
      <c r="AB46" s="19">
        <v>1143</v>
      </c>
      <c r="AC46" s="19"/>
      <c r="AD46" s="19">
        <v>743</v>
      </c>
      <c r="AE46" s="19"/>
      <c r="AF46" s="19">
        <v>965</v>
      </c>
      <c r="AG46" s="19"/>
      <c r="AH46" s="18">
        <v>395</v>
      </c>
      <c r="AI46" s="18"/>
      <c r="AJ46" s="18">
        <v>549</v>
      </c>
      <c r="AK46" s="18"/>
      <c r="AL46" s="20">
        <v>705.73500000000001</v>
      </c>
      <c r="AM46" s="20"/>
      <c r="AN46" s="20">
        <v>727.03800000000001</v>
      </c>
      <c r="AO46" s="20"/>
      <c r="AP46" s="20">
        <f t="shared" si="0"/>
        <v>777.41564579114754</v>
      </c>
      <c r="AQ46" s="20">
        <f t="shared" si="1"/>
        <v>0</v>
      </c>
    </row>
    <row r="47" spans="1:43">
      <c r="A47" s="14" t="s">
        <v>38</v>
      </c>
      <c r="B47" s="15">
        <v>845</v>
      </c>
      <c r="C47" s="15"/>
      <c r="D47" s="15">
        <v>695</v>
      </c>
      <c r="E47" s="15"/>
      <c r="F47" s="15">
        <v>634.51991744066049</v>
      </c>
      <c r="G47" s="15"/>
      <c r="H47" s="15">
        <v>1108</v>
      </c>
      <c r="I47" s="15"/>
      <c r="J47" s="15">
        <v>1730.93</v>
      </c>
      <c r="K47" s="15"/>
      <c r="L47" s="15">
        <v>1008.389125</v>
      </c>
      <c r="M47" s="15"/>
      <c r="N47" s="15">
        <v>631</v>
      </c>
      <c r="O47" s="15"/>
      <c r="P47" s="15">
        <v>1213</v>
      </c>
      <c r="Q47" s="15"/>
      <c r="R47" s="15">
        <v>1314.21</v>
      </c>
      <c r="S47" s="15"/>
      <c r="T47" s="15">
        <v>488</v>
      </c>
      <c r="U47" s="15"/>
      <c r="V47" s="15">
        <v>708.06328234496004</v>
      </c>
      <c r="W47" s="15"/>
      <c r="X47" s="15">
        <v>912.50439472231949</v>
      </c>
      <c r="Y47" s="15"/>
      <c r="Z47" s="15">
        <v>1110.44</v>
      </c>
      <c r="AA47" s="15"/>
      <c r="AB47" s="15">
        <v>1643</v>
      </c>
      <c r="AC47" s="15"/>
      <c r="AD47" s="15">
        <v>1149</v>
      </c>
      <c r="AE47" s="15"/>
      <c r="AF47" s="15">
        <v>994</v>
      </c>
      <c r="AG47" s="15"/>
      <c r="AH47" s="14">
        <v>469</v>
      </c>
      <c r="AI47" s="14"/>
      <c r="AJ47" s="14">
        <v>540</v>
      </c>
      <c r="AK47" s="14"/>
      <c r="AL47" s="16">
        <v>1115.9100000000001</v>
      </c>
      <c r="AM47" s="16"/>
      <c r="AN47" s="16">
        <v>1158.5430000000001</v>
      </c>
      <c r="AO47" s="16"/>
      <c r="AP47" s="16">
        <f t="shared" si="0"/>
        <v>973.42548597539712</v>
      </c>
      <c r="AQ47" s="16">
        <f t="shared" si="1"/>
        <v>0</v>
      </c>
    </row>
    <row r="48" spans="1:43">
      <c r="A48" s="18" t="s">
        <v>39</v>
      </c>
      <c r="B48" s="19">
        <v>689</v>
      </c>
      <c r="C48" s="19"/>
      <c r="D48" s="19">
        <v>545</v>
      </c>
      <c r="E48" s="19"/>
      <c r="F48" s="19">
        <v>491.59154699145608</v>
      </c>
      <c r="G48" s="19"/>
      <c r="H48" s="19">
        <v>858</v>
      </c>
      <c r="I48" s="19"/>
      <c r="J48" s="19">
        <v>1475.84</v>
      </c>
      <c r="K48" s="19"/>
      <c r="L48" s="19">
        <v>600.22479999999996</v>
      </c>
      <c r="M48" s="19"/>
      <c r="N48" s="19">
        <v>631</v>
      </c>
      <c r="O48" s="19"/>
      <c r="P48" s="19">
        <v>1047</v>
      </c>
      <c r="Q48" s="19"/>
      <c r="R48" s="19">
        <v>1120.95</v>
      </c>
      <c r="S48" s="19"/>
      <c r="T48" s="19">
        <v>488</v>
      </c>
      <c r="U48" s="19"/>
      <c r="V48" s="19">
        <v>606.68328426560004</v>
      </c>
      <c r="W48" s="19"/>
      <c r="X48" s="19">
        <v>640.31340680958203</v>
      </c>
      <c r="Y48" s="19"/>
      <c r="Z48" s="19">
        <v>785.98</v>
      </c>
      <c r="AA48" s="19"/>
      <c r="AB48" s="19">
        <v>1125</v>
      </c>
      <c r="AC48" s="19"/>
      <c r="AD48" s="19">
        <v>850</v>
      </c>
      <c r="AE48" s="19"/>
      <c r="AF48" s="19">
        <v>884</v>
      </c>
      <c r="AG48" s="19"/>
      <c r="AH48" s="18">
        <v>402</v>
      </c>
      <c r="AI48" s="18"/>
      <c r="AJ48" s="18">
        <v>486</v>
      </c>
      <c r="AK48" s="18"/>
      <c r="AL48" s="20">
        <v>1105.155</v>
      </c>
      <c r="AM48" s="20"/>
      <c r="AN48" s="20">
        <v>1147.7880000000002</v>
      </c>
      <c r="AO48" s="20"/>
      <c r="AP48" s="20">
        <f t="shared" si="0"/>
        <v>798.97630190333189</v>
      </c>
      <c r="AQ48" s="20">
        <f t="shared" si="1"/>
        <v>0</v>
      </c>
    </row>
    <row r="49" spans="1:43">
      <c r="A49" s="14" t="s">
        <v>40</v>
      </c>
      <c r="B49" s="15">
        <v>1267</v>
      </c>
      <c r="C49" s="15"/>
      <c r="D49" s="15">
        <v>1293</v>
      </c>
      <c r="E49" s="15"/>
      <c r="F49" s="15">
        <v>820.88128355295271</v>
      </c>
      <c r="G49" s="15"/>
      <c r="H49" s="15">
        <v>1387</v>
      </c>
      <c r="I49" s="15"/>
      <c r="J49" s="15">
        <v>2107.06</v>
      </c>
      <c r="K49" s="15"/>
      <c r="L49" s="15">
        <v>1008.389125</v>
      </c>
      <c r="M49" s="15"/>
      <c r="N49" s="15">
        <v>1014</v>
      </c>
      <c r="O49" s="15"/>
      <c r="P49" s="15">
        <v>1213</v>
      </c>
      <c r="Q49" s="15"/>
      <c r="R49" s="15">
        <v>1600.13</v>
      </c>
      <c r="S49" s="15"/>
      <c r="T49" s="15">
        <v>788</v>
      </c>
      <c r="U49" s="15"/>
      <c r="V49" s="15">
        <v>861.5634396416001</v>
      </c>
      <c r="W49" s="15"/>
      <c r="X49" s="15">
        <v>1523.2778555910363</v>
      </c>
      <c r="Y49" s="15"/>
      <c r="Z49" s="15">
        <v>1083.72</v>
      </c>
      <c r="AA49" s="15"/>
      <c r="AB49" s="15">
        <v>1846</v>
      </c>
      <c r="AC49" s="15"/>
      <c r="AD49" s="15">
        <v>1950</v>
      </c>
      <c r="AE49" s="15"/>
      <c r="AF49" s="15">
        <v>1329</v>
      </c>
      <c r="AG49" s="15"/>
      <c r="AH49" s="14">
        <v>675</v>
      </c>
      <c r="AI49" s="14"/>
      <c r="AJ49" s="14">
        <v>1103</v>
      </c>
      <c r="AK49" s="14"/>
      <c r="AL49" s="16">
        <v>1357.164</v>
      </c>
      <c r="AM49" s="16"/>
      <c r="AN49" s="16">
        <v>1395.7290000000003</v>
      </c>
      <c r="AO49" s="16"/>
      <c r="AP49" s="16">
        <f t="shared" si="0"/>
        <v>1281.1457351892795</v>
      </c>
      <c r="AQ49" s="16">
        <f t="shared" si="1"/>
        <v>0</v>
      </c>
    </row>
    <row r="50" spans="1:43">
      <c r="A50" s="18" t="s">
        <v>41</v>
      </c>
      <c r="B50" s="19">
        <v>1267</v>
      </c>
      <c r="C50" s="19"/>
      <c r="D50" s="19">
        <v>701</v>
      </c>
      <c r="E50" s="19"/>
      <c r="F50" s="19">
        <v>683.24016262523594</v>
      </c>
      <c r="G50" s="19"/>
      <c r="H50" s="19">
        <v>1108</v>
      </c>
      <c r="I50" s="19"/>
      <c r="J50" s="19">
        <v>1985.01</v>
      </c>
      <c r="K50" s="19"/>
      <c r="L50" s="19">
        <v>1008.389125</v>
      </c>
      <c r="M50" s="19"/>
      <c r="N50" s="19">
        <v>631</v>
      </c>
      <c r="O50" s="19"/>
      <c r="P50" s="19">
        <v>1213</v>
      </c>
      <c r="Q50" s="19"/>
      <c r="R50" s="19">
        <v>1507.49</v>
      </c>
      <c r="S50" s="19"/>
      <c r="T50" s="19">
        <v>488</v>
      </c>
      <c r="U50" s="19"/>
      <c r="V50" s="19">
        <v>708.06328234496004</v>
      </c>
      <c r="W50" s="19"/>
      <c r="X50" s="19">
        <v>674.98741800865685</v>
      </c>
      <c r="Y50" s="19"/>
      <c r="Z50" s="19">
        <v>1110.44</v>
      </c>
      <c r="AA50" s="19"/>
      <c r="AB50" s="19">
        <v>1643</v>
      </c>
      <c r="AC50" s="19"/>
      <c r="AD50" s="19">
        <v>1118</v>
      </c>
      <c r="AE50" s="19"/>
      <c r="AF50" s="19">
        <v>997</v>
      </c>
      <c r="AG50" s="19"/>
      <c r="AH50" s="18">
        <v>477</v>
      </c>
      <c r="AI50" s="18"/>
      <c r="AJ50" s="18">
        <v>540</v>
      </c>
      <c r="AK50" s="18"/>
      <c r="AL50" s="20">
        <v>1147.05</v>
      </c>
      <c r="AM50" s="20"/>
      <c r="AN50" s="20">
        <v>1190.5740000000001</v>
      </c>
      <c r="AO50" s="20"/>
      <c r="AP50" s="20">
        <f t="shared" si="0"/>
        <v>1009.9121993989427</v>
      </c>
      <c r="AQ50" s="20">
        <f t="shared" si="1"/>
        <v>0</v>
      </c>
    </row>
    <row r="51" spans="1:43">
      <c r="A51" s="14" t="s">
        <v>42</v>
      </c>
      <c r="B51" s="15">
        <v>836</v>
      </c>
      <c r="C51" s="15"/>
      <c r="D51" s="15">
        <v>565</v>
      </c>
      <c r="E51" s="15"/>
      <c r="F51" s="15">
        <v>439.60570592538403</v>
      </c>
      <c r="G51" s="15"/>
      <c r="H51" s="15">
        <v>794</v>
      </c>
      <c r="I51" s="15"/>
      <c r="J51" s="15">
        <v>1611.82</v>
      </c>
      <c r="K51" s="15"/>
      <c r="L51" s="15">
        <v>1008.389125</v>
      </c>
      <c r="M51" s="15"/>
      <c r="N51" s="15">
        <v>631</v>
      </c>
      <c r="O51" s="15"/>
      <c r="P51" s="15">
        <v>1047</v>
      </c>
      <c r="Q51" s="15"/>
      <c r="R51" s="15">
        <v>1224.04</v>
      </c>
      <c r="S51" s="15"/>
      <c r="T51" s="15">
        <v>488</v>
      </c>
      <c r="U51" s="15"/>
      <c r="V51" s="15">
        <v>606.68328426560004</v>
      </c>
      <c r="W51" s="15"/>
      <c r="X51" s="15">
        <v>654.18301128921189</v>
      </c>
      <c r="Y51" s="15"/>
      <c r="Z51" s="15">
        <v>775.8</v>
      </c>
      <c r="AA51" s="15"/>
      <c r="AB51" s="15">
        <v>1143</v>
      </c>
      <c r="AC51" s="15"/>
      <c r="AD51" s="15">
        <v>838</v>
      </c>
      <c r="AE51" s="15"/>
      <c r="AF51" s="15">
        <v>949</v>
      </c>
      <c r="AG51" s="15"/>
      <c r="AH51" s="14">
        <v>395</v>
      </c>
      <c r="AI51" s="14"/>
      <c r="AJ51" s="14">
        <v>587</v>
      </c>
      <c r="AK51" s="14"/>
      <c r="AL51" s="16">
        <v>841.45500000000004</v>
      </c>
      <c r="AM51" s="16"/>
      <c r="AN51" s="16">
        <v>872.49600000000009</v>
      </c>
      <c r="AO51" s="16"/>
      <c r="AP51" s="16">
        <f t="shared" si="0"/>
        <v>815.37360632400964</v>
      </c>
      <c r="AQ51" s="16">
        <f t="shared" si="1"/>
        <v>0</v>
      </c>
    </row>
    <row r="52" spans="1:43">
      <c r="A52" s="18" t="s">
        <v>43</v>
      </c>
      <c r="B52" s="19">
        <v>822</v>
      </c>
      <c r="C52" s="19"/>
      <c r="D52" s="19">
        <v>545</v>
      </c>
      <c r="E52" s="19"/>
      <c r="F52" s="19">
        <v>454.1277023629965</v>
      </c>
      <c r="G52" s="19"/>
      <c r="H52" s="19">
        <v>896</v>
      </c>
      <c r="I52" s="19"/>
      <c r="J52" s="19">
        <v>1391.48</v>
      </c>
      <c r="K52" s="19"/>
      <c r="L52" s="19">
        <v>1008.389125</v>
      </c>
      <c r="M52" s="19"/>
      <c r="N52" s="19">
        <v>631</v>
      </c>
      <c r="O52" s="19"/>
      <c r="P52" s="19">
        <v>772</v>
      </c>
      <c r="Q52" s="19"/>
      <c r="R52" s="19">
        <v>1056.51</v>
      </c>
      <c r="S52" s="19"/>
      <c r="T52" s="19">
        <v>488</v>
      </c>
      <c r="U52" s="19"/>
      <c r="V52" s="19">
        <v>606.68328426560004</v>
      </c>
      <c r="W52" s="19"/>
      <c r="X52" s="19">
        <v>654.18301128921189</v>
      </c>
      <c r="Y52" s="19"/>
      <c r="Z52" s="19">
        <v>690.55</v>
      </c>
      <c r="AA52" s="19"/>
      <c r="AB52" s="19">
        <v>1331</v>
      </c>
      <c r="AC52" s="19"/>
      <c r="AD52" s="19">
        <v>957</v>
      </c>
      <c r="AE52" s="19"/>
      <c r="AF52" s="19">
        <v>855</v>
      </c>
      <c r="AG52" s="19"/>
      <c r="AH52" s="18">
        <v>395</v>
      </c>
      <c r="AI52" s="18"/>
      <c r="AJ52" s="18">
        <v>409</v>
      </c>
      <c r="AK52" s="18"/>
      <c r="AL52" s="20">
        <v>705.73500000000001</v>
      </c>
      <c r="AM52" s="20"/>
      <c r="AN52" s="20">
        <v>727.03800000000001</v>
      </c>
      <c r="AO52" s="20"/>
      <c r="AP52" s="20">
        <f t="shared" si="0"/>
        <v>769.78480614589046</v>
      </c>
      <c r="AQ52" s="20">
        <f t="shared" si="1"/>
        <v>0</v>
      </c>
    </row>
    <row r="53" spans="1:43">
      <c r="A53" s="14" t="s">
        <v>44</v>
      </c>
      <c r="B53" s="15">
        <v>731</v>
      </c>
      <c r="C53" s="15"/>
      <c r="D53" s="15">
        <v>407</v>
      </c>
      <c r="E53" s="15"/>
      <c r="F53" s="15">
        <v>420.21593443354146</v>
      </c>
      <c r="G53" s="15"/>
      <c r="H53" s="15">
        <v>794</v>
      </c>
      <c r="I53" s="15"/>
      <c r="J53" s="15">
        <v>1237.6400000000001</v>
      </c>
      <c r="K53" s="15"/>
      <c r="L53" s="15">
        <v>1008.389125</v>
      </c>
      <c r="M53" s="15"/>
      <c r="N53" s="15">
        <v>631</v>
      </c>
      <c r="O53" s="15"/>
      <c r="P53" s="15">
        <v>772</v>
      </c>
      <c r="Q53" s="15"/>
      <c r="R53" s="15">
        <v>939.65</v>
      </c>
      <c r="S53" s="15"/>
      <c r="T53" s="15">
        <v>488</v>
      </c>
      <c r="U53" s="15"/>
      <c r="V53" s="15">
        <v>606.68328426560004</v>
      </c>
      <c r="W53" s="15"/>
      <c r="X53" s="15">
        <v>601.5940943039484</v>
      </c>
      <c r="Y53" s="15"/>
      <c r="Z53" s="15">
        <v>690.55</v>
      </c>
      <c r="AA53" s="15"/>
      <c r="AB53" s="15">
        <v>1110</v>
      </c>
      <c r="AC53" s="15"/>
      <c r="AD53" s="15">
        <v>646</v>
      </c>
      <c r="AE53" s="15"/>
      <c r="AF53" s="15">
        <v>604</v>
      </c>
      <c r="AG53" s="15"/>
      <c r="AH53" s="14">
        <v>395</v>
      </c>
      <c r="AI53" s="14"/>
      <c r="AJ53" s="14">
        <v>508</v>
      </c>
      <c r="AK53" s="14"/>
      <c r="AL53" s="16">
        <v>841.45500000000004</v>
      </c>
      <c r="AM53" s="16"/>
      <c r="AN53" s="16">
        <v>872.49600000000009</v>
      </c>
      <c r="AO53" s="16"/>
      <c r="AP53" s="16">
        <f t="shared" si="0"/>
        <v>715.23367190015449</v>
      </c>
      <c r="AQ53" s="16">
        <f t="shared" si="1"/>
        <v>0</v>
      </c>
    </row>
    <row r="54" spans="1:43">
      <c r="A54" s="18" t="s">
        <v>45</v>
      </c>
      <c r="B54" s="19">
        <v>1209</v>
      </c>
      <c r="C54" s="19"/>
      <c r="D54" s="19">
        <v>1264</v>
      </c>
      <c r="E54" s="19"/>
      <c r="F54" s="19">
        <v>777.45861197800559</v>
      </c>
      <c r="G54" s="19"/>
      <c r="H54" s="19">
        <v>1103</v>
      </c>
      <c r="I54" s="19"/>
      <c r="J54" s="19">
        <v>1809.09</v>
      </c>
      <c r="K54" s="19"/>
      <c r="L54" s="19">
        <v>1008.389125</v>
      </c>
      <c r="M54" s="19"/>
      <c r="N54" s="19">
        <v>631</v>
      </c>
      <c r="O54" s="19"/>
      <c r="P54" s="19">
        <v>1047</v>
      </c>
      <c r="Q54" s="19"/>
      <c r="R54" s="19">
        <v>1373.34</v>
      </c>
      <c r="S54" s="19"/>
      <c r="T54" s="19">
        <v>488</v>
      </c>
      <c r="U54" s="19"/>
      <c r="V54" s="19">
        <v>733.01908031359994</v>
      </c>
      <c r="W54" s="19"/>
      <c r="X54" s="19">
        <v>1534.9028957457126</v>
      </c>
      <c r="Y54" s="19"/>
      <c r="Z54" s="19">
        <v>894.13</v>
      </c>
      <c r="AA54" s="19"/>
      <c r="AB54" s="19">
        <v>1482</v>
      </c>
      <c r="AC54" s="19"/>
      <c r="AD54" s="19">
        <v>1295</v>
      </c>
      <c r="AE54" s="19"/>
      <c r="AF54" s="19">
        <v>1160</v>
      </c>
      <c r="AG54" s="19"/>
      <c r="AH54" s="18">
        <v>477</v>
      </c>
      <c r="AI54" s="18"/>
      <c r="AJ54" s="18">
        <v>654</v>
      </c>
      <c r="AK54" s="18"/>
      <c r="AL54" s="20">
        <v>1155.348</v>
      </c>
      <c r="AM54" s="20"/>
      <c r="AN54" s="20">
        <v>1189.7909999999999</v>
      </c>
      <c r="AO54" s="20"/>
      <c r="AP54" s="20">
        <f t="shared" si="0"/>
        <v>1064.2734356518658</v>
      </c>
      <c r="AQ54" s="20">
        <f t="shared" si="1"/>
        <v>0</v>
      </c>
    </row>
    <row r="55" spans="1:43">
      <c r="A55" s="14" t="s">
        <v>46</v>
      </c>
      <c r="B55" s="15">
        <v>731</v>
      </c>
      <c r="C55" s="15"/>
      <c r="D55" s="15">
        <v>455</v>
      </c>
      <c r="E55" s="15"/>
      <c r="F55" s="15">
        <v>441.12329176312448</v>
      </c>
      <c r="G55" s="15"/>
      <c r="H55" s="15">
        <v>655</v>
      </c>
      <c r="I55" s="15"/>
      <c r="J55" s="15">
        <v>1492.72</v>
      </c>
      <c r="K55" s="15"/>
      <c r="L55" s="15">
        <v>600.22479999999996</v>
      </c>
      <c r="M55" s="15"/>
      <c r="N55" s="15">
        <v>631</v>
      </c>
      <c r="O55" s="15"/>
      <c r="P55" s="15">
        <v>772</v>
      </c>
      <c r="Q55" s="15"/>
      <c r="R55" s="15">
        <v>1132.9100000000001</v>
      </c>
      <c r="S55" s="15"/>
      <c r="T55" s="15">
        <v>488</v>
      </c>
      <c r="U55" s="15"/>
      <c r="V55" s="15">
        <v>606.68328426560004</v>
      </c>
      <c r="W55" s="15"/>
      <c r="X55" s="15">
        <v>577.90018665124728</v>
      </c>
      <c r="Y55" s="15"/>
      <c r="Z55" s="15">
        <v>690.55</v>
      </c>
      <c r="AA55" s="15"/>
      <c r="AB55" s="15">
        <v>1110</v>
      </c>
      <c r="AC55" s="15"/>
      <c r="AD55" s="15">
        <v>691</v>
      </c>
      <c r="AE55" s="15"/>
      <c r="AF55" s="15">
        <v>704</v>
      </c>
      <c r="AG55" s="15"/>
      <c r="AH55" s="14">
        <v>391</v>
      </c>
      <c r="AI55" s="14"/>
      <c r="AJ55" s="14">
        <v>502</v>
      </c>
      <c r="AK55" s="14"/>
      <c r="AL55" s="16">
        <v>841.45500000000004</v>
      </c>
      <c r="AM55" s="16"/>
      <c r="AN55" s="16">
        <v>872.49600000000009</v>
      </c>
      <c r="AO55" s="16"/>
      <c r="AP55" s="16">
        <f t="shared" si="0"/>
        <v>719.30312813399871</v>
      </c>
      <c r="AQ55" s="16">
        <f t="shared" si="1"/>
        <v>0</v>
      </c>
    </row>
    <row r="56" spans="1:43">
      <c r="A56" s="18" t="s">
        <v>47</v>
      </c>
      <c r="B56" s="19">
        <v>812</v>
      </c>
      <c r="C56" s="19"/>
      <c r="D56" s="19">
        <v>576</v>
      </c>
      <c r="E56" s="19"/>
      <c r="F56" s="19">
        <v>471.87321260699616</v>
      </c>
      <c r="G56" s="19"/>
      <c r="H56" s="19">
        <v>874</v>
      </c>
      <c r="I56" s="19"/>
      <c r="J56" s="19">
        <v>1577.09</v>
      </c>
      <c r="K56" s="19"/>
      <c r="L56" s="19">
        <v>600.22479999999996</v>
      </c>
      <c r="M56" s="19"/>
      <c r="N56" s="19">
        <v>631</v>
      </c>
      <c r="O56" s="19"/>
      <c r="P56" s="19">
        <v>1047</v>
      </c>
      <c r="Q56" s="19"/>
      <c r="R56" s="19">
        <v>1197.3399999999999</v>
      </c>
      <c r="S56" s="19"/>
      <c r="T56" s="19">
        <v>488</v>
      </c>
      <c r="U56" s="19"/>
      <c r="V56" s="19">
        <v>606.68328426560004</v>
      </c>
      <c r="W56" s="19"/>
      <c r="X56" s="19">
        <v>709.66142920773177</v>
      </c>
      <c r="Y56" s="19"/>
      <c r="Z56" s="19">
        <v>766.9</v>
      </c>
      <c r="AA56" s="19"/>
      <c r="AB56" s="19">
        <v>1300</v>
      </c>
      <c r="AC56" s="19"/>
      <c r="AD56" s="19">
        <v>1038</v>
      </c>
      <c r="AE56" s="19"/>
      <c r="AF56" s="19">
        <v>937</v>
      </c>
      <c r="AG56" s="19"/>
      <c r="AH56" s="18">
        <v>386</v>
      </c>
      <c r="AI56" s="18"/>
      <c r="AJ56" s="18">
        <v>486</v>
      </c>
      <c r="AK56" s="18"/>
      <c r="AL56" s="20">
        <v>1115.9100000000001</v>
      </c>
      <c r="AM56" s="20"/>
      <c r="AN56" s="20">
        <v>1158.5430000000001</v>
      </c>
      <c r="AO56" s="20"/>
      <c r="AP56" s="20">
        <f t="shared" si="0"/>
        <v>838.96128630401631</v>
      </c>
      <c r="AQ56" s="20">
        <f t="shared" si="1"/>
        <v>0</v>
      </c>
    </row>
    <row r="57" spans="1:43">
      <c r="A57" s="14" t="s">
        <v>48</v>
      </c>
      <c r="B57" s="15">
        <v>836</v>
      </c>
      <c r="C57" s="15"/>
      <c r="D57" s="15">
        <v>565</v>
      </c>
      <c r="E57" s="15"/>
      <c r="F57" s="15">
        <v>473.91858445505864</v>
      </c>
      <c r="G57" s="15"/>
      <c r="H57" s="15">
        <v>896</v>
      </c>
      <c r="I57" s="15"/>
      <c r="J57" s="15">
        <v>1713.05</v>
      </c>
      <c r="K57" s="15"/>
      <c r="L57" s="15">
        <v>1008.389125</v>
      </c>
      <c r="M57" s="15"/>
      <c r="N57" s="15">
        <v>631</v>
      </c>
      <c r="O57" s="15"/>
      <c r="P57" s="15">
        <v>1047</v>
      </c>
      <c r="Q57" s="15"/>
      <c r="R57" s="15">
        <v>1300.4100000000001</v>
      </c>
      <c r="S57" s="15"/>
      <c r="T57" s="15">
        <v>488</v>
      </c>
      <c r="U57" s="15"/>
      <c r="V57" s="15">
        <v>606.68328426560004</v>
      </c>
      <c r="W57" s="15"/>
      <c r="X57" s="15">
        <v>654.18301128921189</v>
      </c>
      <c r="Y57" s="15"/>
      <c r="Z57" s="15">
        <v>690.55</v>
      </c>
      <c r="AA57" s="15"/>
      <c r="AB57" s="15">
        <v>1143</v>
      </c>
      <c r="AC57" s="15"/>
      <c r="AD57" s="15">
        <v>1036</v>
      </c>
      <c r="AE57" s="15"/>
      <c r="AF57" s="15">
        <v>935</v>
      </c>
      <c r="AG57" s="15"/>
      <c r="AH57" s="14">
        <v>395</v>
      </c>
      <c r="AI57" s="14"/>
      <c r="AJ57" s="14">
        <v>409</v>
      </c>
      <c r="AK57" s="14"/>
      <c r="AL57" s="16">
        <v>728.85600000000011</v>
      </c>
      <c r="AM57" s="16"/>
      <c r="AN57" s="16">
        <v>755.154</v>
      </c>
      <c r="AO57" s="16"/>
      <c r="AP57" s="16">
        <f t="shared" si="0"/>
        <v>815.60970025049346</v>
      </c>
      <c r="AQ57" s="16">
        <f t="shared" si="1"/>
        <v>0</v>
      </c>
    </row>
    <row r="58" spans="1:43">
      <c r="A58" s="18" t="s">
        <v>49</v>
      </c>
      <c r="B58" s="19">
        <v>644</v>
      </c>
      <c r="C58" s="19"/>
      <c r="D58" s="19">
        <v>455</v>
      </c>
      <c r="E58" s="19"/>
      <c r="F58" s="19">
        <v>436.15124516493546</v>
      </c>
      <c r="G58" s="19"/>
      <c r="H58" s="19">
        <v>655</v>
      </c>
      <c r="I58" s="19"/>
      <c r="J58" s="19">
        <v>1594.95</v>
      </c>
      <c r="K58" s="19"/>
      <c r="L58" s="19">
        <v>600.22479999999996</v>
      </c>
      <c r="M58" s="19"/>
      <c r="N58" s="19">
        <v>679</v>
      </c>
      <c r="O58" s="19"/>
      <c r="P58" s="19">
        <v>772</v>
      </c>
      <c r="Q58" s="19"/>
      <c r="R58" s="19">
        <v>1211.1500000000001</v>
      </c>
      <c r="S58" s="19"/>
      <c r="T58" s="19">
        <v>524</v>
      </c>
      <c r="U58" s="19"/>
      <c r="V58" s="19">
        <v>606.68328426560004</v>
      </c>
      <c r="W58" s="19"/>
      <c r="X58" s="19">
        <v>577.90018665124728</v>
      </c>
      <c r="Y58" s="19"/>
      <c r="Z58" s="19">
        <v>690.55</v>
      </c>
      <c r="AA58" s="19"/>
      <c r="AB58" s="19">
        <v>1164</v>
      </c>
      <c r="AC58" s="19"/>
      <c r="AD58" s="19">
        <v>731</v>
      </c>
      <c r="AE58" s="19"/>
      <c r="AF58" s="19">
        <v>702</v>
      </c>
      <c r="AG58" s="19"/>
      <c r="AH58" s="18">
        <v>391</v>
      </c>
      <c r="AI58" s="18"/>
      <c r="AJ58" s="18">
        <v>480</v>
      </c>
      <c r="AK58" s="18"/>
      <c r="AL58" s="20">
        <v>677.601</v>
      </c>
      <c r="AM58" s="20"/>
      <c r="AN58" s="20">
        <v>699.48</v>
      </c>
      <c r="AO58" s="20"/>
      <c r="AP58" s="20">
        <f t="shared" si="0"/>
        <v>714.58452580408914</v>
      </c>
      <c r="AQ58" s="20">
        <f t="shared" si="1"/>
        <v>0</v>
      </c>
    </row>
    <row r="59" spans="1:43">
      <c r="A59" s="14" t="s">
        <v>50</v>
      </c>
      <c r="B59" s="15">
        <v>1267</v>
      </c>
      <c r="C59" s="15"/>
      <c r="D59" s="15">
        <v>672</v>
      </c>
      <c r="E59" s="15"/>
      <c r="F59" s="15">
        <v>545.54893054752665</v>
      </c>
      <c r="G59" s="15"/>
      <c r="H59" s="15">
        <v>1103</v>
      </c>
      <c r="I59" s="15"/>
      <c r="J59" s="15">
        <v>1713.05</v>
      </c>
      <c r="K59" s="15"/>
      <c r="L59" s="15">
        <v>1008.389125</v>
      </c>
      <c r="M59" s="15"/>
      <c r="N59" s="15">
        <v>631</v>
      </c>
      <c r="O59" s="15"/>
      <c r="P59" s="15">
        <v>1047</v>
      </c>
      <c r="Q59" s="15"/>
      <c r="R59" s="15">
        <v>1300.4100000000001</v>
      </c>
      <c r="S59" s="15"/>
      <c r="T59" s="15">
        <v>488</v>
      </c>
      <c r="U59" s="15"/>
      <c r="V59" s="15">
        <v>708.06328234496004</v>
      </c>
      <c r="W59" s="15"/>
      <c r="X59" s="15">
        <v>912.50439472231949</v>
      </c>
      <c r="Y59" s="15"/>
      <c r="Z59" s="15">
        <v>911.95</v>
      </c>
      <c r="AA59" s="15"/>
      <c r="AB59" s="15">
        <v>1514</v>
      </c>
      <c r="AC59" s="15"/>
      <c r="AD59" s="15">
        <v>1090</v>
      </c>
      <c r="AE59" s="15"/>
      <c r="AF59" s="15">
        <v>1012</v>
      </c>
      <c r="AG59" s="15"/>
      <c r="AH59" s="14">
        <v>469</v>
      </c>
      <c r="AI59" s="14"/>
      <c r="AJ59" s="14">
        <v>654</v>
      </c>
      <c r="AK59" s="14"/>
      <c r="AL59" s="16">
        <v>1115.9100000000001</v>
      </c>
      <c r="AM59" s="16"/>
      <c r="AN59" s="16">
        <v>1158.5430000000001</v>
      </c>
      <c r="AO59" s="16"/>
      <c r="AP59" s="16">
        <f t="shared" si="0"/>
        <v>966.06843663074028</v>
      </c>
      <c r="AQ59" s="16">
        <f t="shared" si="1"/>
        <v>0</v>
      </c>
    </row>
    <row r="60" spans="1:43">
      <c r="A60" s="18" t="s">
        <v>51</v>
      </c>
      <c r="B60" s="19">
        <v>822</v>
      </c>
      <c r="C60" s="19"/>
      <c r="D60" s="19">
        <v>438</v>
      </c>
      <c r="E60" s="19"/>
      <c r="F60" s="19">
        <v>452.77176246124492</v>
      </c>
      <c r="G60" s="19"/>
      <c r="H60" s="19">
        <v>896</v>
      </c>
      <c r="I60" s="19"/>
      <c r="J60" s="19">
        <v>1457.98</v>
      </c>
      <c r="K60" s="19"/>
      <c r="L60" s="19">
        <v>1008.389125</v>
      </c>
      <c r="M60" s="19"/>
      <c r="N60" s="19">
        <v>679</v>
      </c>
      <c r="O60" s="19"/>
      <c r="P60" s="19">
        <v>772</v>
      </c>
      <c r="Q60" s="19"/>
      <c r="R60" s="19">
        <v>1107.1500000000001</v>
      </c>
      <c r="S60" s="19"/>
      <c r="T60" s="19">
        <v>524</v>
      </c>
      <c r="U60" s="19"/>
      <c r="V60" s="19">
        <v>606.68328426560004</v>
      </c>
      <c r="W60" s="19"/>
      <c r="X60" s="19">
        <v>654.18301128921189</v>
      </c>
      <c r="Y60" s="19"/>
      <c r="Z60" s="19">
        <v>690.55</v>
      </c>
      <c r="AA60" s="19"/>
      <c r="AB60" s="19">
        <v>1331</v>
      </c>
      <c r="AC60" s="19"/>
      <c r="AD60" s="19">
        <v>825</v>
      </c>
      <c r="AE60" s="19"/>
      <c r="AF60" s="19">
        <v>927</v>
      </c>
      <c r="AG60" s="19"/>
      <c r="AH60" s="18">
        <v>395</v>
      </c>
      <c r="AI60" s="18"/>
      <c r="AJ60" s="18">
        <v>409</v>
      </c>
      <c r="AK60" s="18"/>
      <c r="AL60" s="20">
        <v>705.73500000000001</v>
      </c>
      <c r="AM60" s="20"/>
      <c r="AN60" s="20">
        <v>727.03800000000001</v>
      </c>
      <c r="AO60" s="20"/>
      <c r="AP60" s="20">
        <f t="shared" si="0"/>
        <v>771.42400915080293</v>
      </c>
      <c r="AQ60" s="20">
        <f t="shared" si="1"/>
        <v>0</v>
      </c>
    </row>
    <row r="61" spans="1:43">
      <c r="A61" s="14" t="s">
        <v>52</v>
      </c>
      <c r="B61" s="15">
        <v>1267</v>
      </c>
      <c r="C61" s="15"/>
      <c r="D61" s="15">
        <v>1276</v>
      </c>
      <c r="E61" s="15"/>
      <c r="F61" s="15">
        <v>840.13252853956169</v>
      </c>
      <c r="G61" s="15"/>
      <c r="H61" s="15">
        <v>1387</v>
      </c>
      <c r="I61" s="15"/>
      <c r="J61" s="15">
        <v>2024.55</v>
      </c>
      <c r="K61" s="15"/>
      <c r="L61" s="15">
        <v>1008.389125</v>
      </c>
      <c r="M61" s="15"/>
      <c r="N61" s="15">
        <v>1014</v>
      </c>
      <c r="O61" s="15"/>
      <c r="P61" s="15">
        <v>1213</v>
      </c>
      <c r="Q61" s="15"/>
      <c r="R61" s="15">
        <v>1537.13</v>
      </c>
      <c r="S61" s="15"/>
      <c r="T61" s="15">
        <v>788</v>
      </c>
      <c r="U61" s="15"/>
      <c r="V61" s="15">
        <v>938.61220949504013</v>
      </c>
      <c r="W61" s="15"/>
      <c r="X61" s="15">
        <v>1479.2349265659714</v>
      </c>
      <c r="Y61" s="15"/>
      <c r="Z61" s="15">
        <v>1246.5899999999999</v>
      </c>
      <c r="AA61" s="15"/>
      <c r="AB61" s="15">
        <v>1846</v>
      </c>
      <c r="AC61" s="15"/>
      <c r="AD61" s="15">
        <v>1695</v>
      </c>
      <c r="AE61" s="15"/>
      <c r="AF61" s="15">
        <v>1346</v>
      </c>
      <c r="AG61" s="15"/>
      <c r="AH61" s="14">
        <v>675</v>
      </c>
      <c r="AI61" s="14"/>
      <c r="AJ61" s="14">
        <v>654</v>
      </c>
      <c r="AK61" s="14"/>
      <c r="AL61" s="16">
        <v>1230.21</v>
      </c>
      <c r="AM61" s="16"/>
      <c r="AN61" s="16">
        <v>1263.5010000000002</v>
      </c>
      <c r="AO61" s="16"/>
      <c r="AP61" s="16">
        <f t="shared" si="0"/>
        <v>1236.4674894800287</v>
      </c>
      <c r="AQ61" s="16">
        <f t="shared" si="1"/>
        <v>0</v>
      </c>
    </row>
    <row r="62" spans="1:43">
      <c r="A62" s="24" t="s">
        <v>53</v>
      </c>
      <c r="B62" s="25">
        <v>722</v>
      </c>
      <c r="C62" s="25"/>
      <c r="D62" s="25">
        <v>584</v>
      </c>
      <c r="E62" s="25"/>
      <c r="F62" s="25">
        <v>422.43290132818606</v>
      </c>
      <c r="G62" s="25"/>
      <c r="H62" s="25">
        <v>754</v>
      </c>
      <c r="I62" s="25"/>
      <c r="J62" s="25">
        <v>1492.72</v>
      </c>
      <c r="K62" s="25"/>
      <c r="L62" s="25">
        <v>600.22479999999996</v>
      </c>
      <c r="M62" s="25"/>
      <c r="N62" s="25">
        <v>631</v>
      </c>
      <c r="O62" s="25"/>
      <c r="P62" s="25">
        <v>772</v>
      </c>
      <c r="Q62" s="25"/>
      <c r="R62" s="25">
        <v>1132.9100000000001</v>
      </c>
      <c r="S62" s="25"/>
      <c r="T62" s="25">
        <v>488</v>
      </c>
      <c r="U62" s="25"/>
      <c r="V62" s="25">
        <v>606.68328426560004</v>
      </c>
      <c r="W62" s="25"/>
      <c r="X62" s="25">
        <v>548.42727713203362</v>
      </c>
      <c r="Y62" s="25"/>
      <c r="Z62" s="25">
        <v>695.64</v>
      </c>
      <c r="AA62" s="25"/>
      <c r="AB62" s="25">
        <v>1004</v>
      </c>
      <c r="AC62" s="25"/>
      <c r="AD62" s="25">
        <v>686</v>
      </c>
      <c r="AE62" s="25"/>
      <c r="AF62" s="25">
        <v>790</v>
      </c>
      <c r="AG62" s="25"/>
      <c r="AH62" s="24">
        <v>395</v>
      </c>
      <c r="AI62" s="24"/>
      <c r="AJ62" s="24">
        <v>409</v>
      </c>
      <c r="AK62" s="24"/>
      <c r="AL62" s="26">
        <v>705.73500000000001</v>
      </c>
      <c r="AM62" s="26"/>
      <c r="AN62" s="26">
        <v>727.03800000000001</v>
      </c>
      <c r="AO62" s="26"/>
      <c r="AP62" s="26">
        <f t="shared" si="0"/>
        <v>708.34056313629094</v>
      </c>
      <c r="AQ62" s="26">
        <f t="shared" si="1"/>
        <v>0</v>
      </c>
    </row>
    <row r="63" spans="1:43">
      <c r="A63" s="8"/>
      <c r="B63" s="8"/>
      <c r="C63" s="8"/>
      <c r="D63" s="8"/>
      <c r="E63" s="8"/>
      <c r="F63" s="8"/>
      <c r="G63" s="8"/>
      <c r="H63" s="8"/>
      <c r="I63" s="8"/>
    </row>
    <row r="64" spans="1:43">
      <c r="A64" s="9"/>
      <c r="B64" s="10"/>
      <c r="C64" s="10"/>
      <c r="D64" s="10"/>
      <c r="E64" s="10"/>
      <c r="F64" s="8"/>
      <c r="G64" s="8"/>
      <c r="H64" s="8"/>
      <c r="I64" s="8"/>
    </row>
    <row r="65" spans="1:9">
      <c r="A65" s="8"/>
      <c r="B65" s="8"/>
      <c r="C65" s="8"/>
      <c r="D65" s="8"/>
      <c r="E65" s="8"/>
      <c r="F65" s="8"/>
      <c r="G65" s="8"/>
      <c r="H65" s="8"/>
      <c r="I65" s="8"/>
    </row>
    <row r="66" spans="1:9">
      <c r="A66" s="8"/>
      <c r="B66" s="8"/>
      <c r="C66" s="8"/>
      <c r="D66" s="8"/>
      <c r="E66" s="8"/>
      <c r="F66" s="8"/>
      <c r="G66" s="8"/>
      <c r="H66" s="8"/>
      <c r="I66" s="8"/>
    </row>
    <row r="67" spans="1:9">
      <c r="A67" s="8"/>
      <c r="B67" s="8"/>
      <c r="C67" s="8"/>
      <c r="D67" s="8"/>
      <c r="E67" s="8"/>
      <c r="F67" s="8"/>
      <c r="G67" s="8"/>
      <c r="H67" s="8"/>
      <c r="I67" s="8"/>
    </row>
    <row r="68" spans="1:9">
      <c r="A68" s="8"/>
      <c r="B68" s="8"/>
      <c r="C68" s="8"/>
      <c r="D68" s="8"/>
      <c r="E68" s="8"/>
      <c r="F68" s="8"/>
      <c r="G68" s="8"/>
      <c r="H68" s="8"/>
      <c r="I68" s="8"/>
    </row>
    <row r="69" spans="1:9">
      <c r="A69" s="8"/>
      <c r="B69" s="8"/>
      <c r="C69" s="8"/>
      <c r="D69" s="8"/>
      <c r="E69" s="8"/>
      <c r="F69" s="8"/>
      <c r="G69" s="8"/>
      <c r="H69" s="8"/>
      <c r="I69" s="8"/>
    </row>
    <row r="70" spans="1:9">
      <c r="A70" s="8"/>
      <c r="B70" s="8"/>
      <c r="C70" s="8"/>
      <c r="D70" s="8"/>
      <c r="E70" s="8"/>
      <c r="F70" s="8"/>
      <c r="G70" s="8"/>
      <c r="H70" s="8"/>
      <c r="I70" s="8"/>
    </row>
    <row r="71" spans="1:9">
      <c r="A71" s="8"/>
      <c r="B71" s="8"/>
      <c r="C71" s="8"/>
      <c r="D71" s="8"/>
      <c r="E71" s="8"/>
      <c r="F71" s="8"/>
      <c r="G71" s="8"/>
      <c r="H71" s="8"/>
      <c r="I71" s="8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</sheetData>
  <mergeCells count="22">
    <mergeCell ref="C13:D13"/>
    <mergeCell ref="X15:Y15"/>
    <mergeCell ref="B15:C15"/>
    <mergeCell ref="D15:E15"/>
    <mergeCell ref="F15:G15"/>
    <mergeCell ref="H15:I15"/>
    <mergeCell ref="L15:M15"/>
    <mergeCell ref="N15:O15"/>
    <mergeCell ref="P15:Q15"/>
    <mergeCell ref="R15:S15"/>
    <mergeCell ref="T15:U15"/>
    <mergeCell ref="V15:W15"/>
    <mergeCell ref="J15:K15"/>
    <mergeCell ref="AL15:AM15"/>
    <mergeCell ref="AN15:AO15"/>
    <mergeCell ref="AP15:AQ15"/>
    <mergeCell ref="Z15:AA15"/>
    <mergeCell ref="AB15:AC15"/>
    <mergeCell ref="AD15:AE15"/>
    <mergeCell ref="AF15:AG15"/>
    <mergeCell ref="AH15:AI15"/>
    <mergeCell ref="AJ15:AK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0"/>
  <sheetViews>
    <sheetView topLeftCell="A15" zoomScale="70" zoomScaleNormal="70" workbookViewId="0">
      <selection activeCell="AA45" sqref="AA45"/>
    </sheetView>
  </sheetViews>
  <sheetFormatPr defaultColWidth="14.7109375" defaultRowHeight="15"/>
  <cols>
    <col min="1" max="1" width="14.5703125" style="1" customWidth="1"/>
    <col min="2" max="43" width="10.85546875" style="1" customWidth="1"/>
    <col min="44" max="16384" width="14.7109375" style="29"/>
  </cols>
  <sheetData>
    <row r="1" spans="1:43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43">
      <c r="A2" s="5" t="s">
        <v>55</v>
      </c>
      <c r="B2" s="6"/>
      <c r="C2" s="6"/>
      <c r="D2" s="6"/>
      <c r="E2" s="6"/>
      <c r="F2" s="6"/>
      <c r="G2" s="6"/>
      <c r="H2" s="6"/>
      <c r="I2" s="6"/>
    </row>
    <row r="3" spans="1:43">
      <c r="A3" s="5"/>
      <c r="B3" s="6"/>
      <c r="C3" s="6"/>
      <c r="D3" s="6"/>
      <c r="E3" s="6"/>
      <c r="F3" s="6"/>
      <c r="G3" s="6"/>
      <c r="H3" s="6"/>
      <c r="I3" s="6"/>
    </row>
    <row r="4" spans="1:43">
      <c r="A4" s="2" t="s">
        <v>56</v>
      </c>
      <c r="B4" s="2"/>
      <c r="C4" s="2"/>
      <c r="D4" s="2"/>
      <c r="E4" s="2"/>
      <c r="F4" s="2"/>
      <c r="G4" s="2"/>
      <c r="H4" s="2"/>
      <c r="I4" s="2"/>
      <c r="K4" s="2" t="s">
        <v>54</v>
      </c>
      <c r="L4" s="2"/>
      <c r="M4" s="2"/>
    </row>
    <row r="5" spans="1:43">
      <c r="A5" s="2" t="s">
        <v>57</v>
      </c>
      <c r="B5" s="2"/>
      <c r="C5" s="2"/>
      <c r="D5" s="2"/>
      <c r="E5" s="2"/>
      <c r="F5" s="2"/>
      <c r="G5" s="2"/>
      <c r="H5" s="2"/>
      <c r="I5" s="2"/>
      <c r="K5" s="2" t="s">
        <v>63</v>
      </c>
      <c r="L5" s="2"/>
      <c r="M5" s="2"/>
    </row>
    <row r="6" spans="1:43">
      <c r="A6" s="2" t="s">
        <v>58</v>
      </c>
      <c r="B6" s="2"/>
      <c r="C6" s="2"/>
      <c r="D6" s="2"/>
      <c r="E6" s="2"/>
      <c r="F6" s="2"/>
      <c r="G6" s="2"/>
      <c r="H6" s="2"/>
      <c r="I6" s="2"/>
      <c r="K6" s="2" t="s">
        <v>1</v>
      </c>
      <c r="L6" s="2"/>
      <c r="M6" s="2"/>
    </row>
    <row r="7" spans="1:43">
      <c r="A7" s="2" t="s">
        <v>59</v>
      </c>
      <c r="B7" s="2"/>
      <c r="C7" s="2"/>
      <c r="D7" s="2"/>
      <c r="E7" s="2"/>
      <c r="F7" s="2"/>
      <c r="G7" s="2"/>
      <c r="H7" s="2"/>
      <c r="I7" s="2"/>
      <c r="K7" s="2" t="s">
        <v>64</v>
      </c>
      <c r="L7" s="2"/>
      <c r="M7" s="2"/>
    </row>
    <row r="8" spans="1:43">
      <c r="A8" s="2" t="s">
        <v>60</v>
      </c>
      <c r="B8" s="2"/>
      <c r="C8" s="2"/>
      <c r="D8" s="2"/>
      <c r="E8" s="2"/>
      <c r="F8" s="2"/>
      <c r="G8" s="2"/>
      <c r="H8" s="2"/>
      <c r="I8" s="2"/>
      <c r="K8" s="2" t="s">
        <v>2</v>
      </c>
      <c r="L8" s="2"/>
      <c r="M8" s="2"/>
    </row>
    <row r="9" spans="1:43">
      <c r="A9" s="2" t="s">
        <v>61</v>
      </c>
      <c r="B9" s="2"/>
      <c r="C9" s="2"/>
      <c r="D9" s="2"/>
      <c r="E9" s="2"/>
      <c r="F9" s="2"/>
      <c r="G9" s="2"/>
      <c r="H9" s="2"/>
      <c r="I9" s="2"/>
      <c r="K9" s="2" t="s">
        <v>3</v>
      </c>
      <c r="L9" s="2"/>
      <c r="M9" s="2"/>
    </row>
    <row r="10" spans="1:43">
      <c r="A10" s="2" t="s">
        <v>62</v>
      </c>
      <c r="B10" s="2"/>
      <c r="C10" s="2"/>
      <c r="D10" s="2"/>
      <c r="E10" s="2"/>
      <c r="F10" s="2"/>
      <c r="G10" s="2"/>
      <c r="H10" s="2"/>
      <c r="I10" s="2"/>
    </row>
    <row r="12" spans="1:43">
      <c r="A12" s="3"/>
    </row>
    <row r="13" spans="1:43">
      <c r="A13" s="27" t="s">
        <v>4</v>
      </c>
      <c r="B13" s="28"/>
      <c r="C13" s="32">
        <v>41275</v>
      </c>
      <c r="D13" s="32"/>
      <c r="E13" s="4"/>
      <c r="F13" s="4"/>
      <c r="G13" s="4"/>
      <c r="H13" s="4"/>
      <c r="I13" s="4"/>
    </row>
    <row r="14" spans="1:43">
      <c r="A14" s="4"/>
      <c r="B14" s="7"/>
      <c r="C14" s="7"/>
      <c r="D14" s="4"/>
      <c r="E14" s="4"/>
      <c r="F14" s="4"/>
      <c r="G14" s="4"/>
      <c r="H14" s="4"/>
      <c r="I14" s="4"/>
    </row>
    <row r="15" spans="1:43" ht="75.75" customHeight="1">
      <c r="A15" s="11" t="s">
        <v>5</v>
      </c>
      <c r="B15" s="30" t="s">
        <v>78</v>
      </c>
      <c r="C15" s="31"/>
      <c r="D15" s="30" t="s">
        <v>79</v>
      </c>
      <c r="E15" s="31"/>
      <c r="F15" s="30" t="s">
        <v>84</v>
      </c>
      <c r="G15" s="31"/>
      <c r="H15" s="30" t="s">
        <v>81</v>
      </c>
      <c r="I15" s="31"/>
      <c r="J15" s="30" t="s">
        <v>85</v>
      </c>
      <c r="K15" s="31"/>
      <c r="L15" s="30" t="s">
        <v>80</v>
      </c>
      <c r="M15" s="31"/>
      <c r="N15" s="30" t="s">
        <v>70</v>
      </c>
      <c r="O15" s="31"/>
      <c r="P15" s="30" t="s">
        <v>77</v>
      </c>
      <c r="Q15" s="31"/>
      <c r="R15" s="30" t="s">
        <v>82</v>
      </c>
      <c r="S15" s="31"/>
      <c r="T15" s="30" t="s">
        <v>71</v>
      </c>
      <c r="U15" s="31"/>
      <c r="V15" s="30" t="s">
        <v>65</v>
      </c>
      <c r="W15" s="31"/>
      <c r="X15" s="30" t="s">
        <v>83</v>
      </c>
      <c r="Y15" s="31"/>
      <c r="Z15" s="30" t="s">
        <v>72</v>
      </c>
      <c r="AA15" s="31"/>
      <c r="AB15" s="30" t="s">
        <v>73</v>
      </c>
      <c r="AC15" s="31"/>
      <c r="AD15" s="30" t="s">
        <v>74</v>
      </c>
      <c r="AE15" s="31"/>
      <c r="AF15" s="30" t="s">
        <v>75</v>
      </c>
      <c r="AG15" s="31"/>
      <c r="AH15" s="30" t="s">
        <v>67</v>
      </c>
      <c r="AI15" s="31"/>
      <c r="AJ15" s="30" t="s">
        <v>66</v>
      </c>
      <c r="AK15" s="31"/>
      <c r="AL15" s="30" t="s">
        <v>68</v>
      </c>
      <c r="AM15" s="31"/>
      <c r="AN15" s="30" t="s">
        <v>76</v>
      </c>
      <c r="AO15" s="31"/>
      <c r="AP15" s="30" t="s">
        <v>69</v>
      </c>
      <c r="AQ15" s="31"/>
    </row>
    <row r="16" spans="1:43" ht="30.75" customHeight="1">
      <c r="A16" s="11"/>
      <c r="B16" s="12" t="s">
        <v>6</v>
      </c>
      <c r="C16" s="12" t="s">
        <v>7</v>
      </c>
      <c r="D16" s="12" t="s">
        <v>6</v>
      </c>
      <c r="E16" s="12" t="s">
        <v>7</v>
      </c>
      <c r="F16" s="12" t="s">
        <v>6</v>
      </c>
      <c r="G16" s="12" t="s">
        <v>7</v>
      </c>
      <c r="H16" s="12" t="s">
        <v>6</v>
      </c>
      <c r="I16" s="12" t="s">
        <v>7</v>
      </c>
      <c r="J16" s="12" t="s">
        <v>6</v>
      </c>
      <c r="K16" s="12" t="s">
        <v>7</v>
      </c>
      <c r="L16" s="12" t="s">
        <v>6</v>
      </c>
      <c r="M16" s="12" t="s">
        <v>7</v>
      </c>
      <c r="N16" s="12" t="s">
        <v>6</v>
      </c>
      <c r="O16" s="12" t="s">
        <v>7</v>
      </c>
      <c r="P16" s="12" t="s">
        <v>6</v>
      </c>
      <c r="Q16" s="12" t="s">
        <v>7</v>
      </c>
      <c r="R16" s="12" t="s">
        <v>6</v>
      </c>
      <c r="S16" s="12" t="s">
        <v>7</v>
      </c>
      <c r="T16" s="12" t="s">
        <v>6</v>
      </c>
      <c r="U16" s="12" t="s">
        <v>7</v>
      </c>
      <c r="V16" s="12" t="s">
        <v>6</v>
      </c>
      <c r="W16" s="12" t="s">
        <v>7</v>
      </c>
      <c r="X16" s="12" t="s">
        <v>6</v>
      </c>
      <c r="Y16" s="12" t="s">
        <v>7</v>
      </c>
      <c r="Z16" s="12" t="s">
        <v>6</v>
      </c>
      <c r="AA16" s="12" t="s">
        <v>7</v>
      </c>
      <c r="AB16" s="12" t="s">
        <v>6</v>
      </c>
      <c r="AC16" s="12" t="s">
        <v>7</v>
      </c>
      <c r="AD16" s="12" t="s">
        <v>6</v>
      </c>
      <c r="AE16" s="12" t="s">
        <v>7</v>
      </c>
      <c r="AF16" s="12" t="s">
        <v>6</v>
      </c>
      <c r="AG16" s="12" t="s">
        <v>7</v>
      </c>
      <c r="AH16" s="12" t="s">
        <v>6</v>
      </c>
      <c r="AI16" s="12" t="s">
        <v>7</v>
      </c>
      <c r="AJ16" s="12" t="s">
        <v>6</v>
      </c>
      <c r="AK16" s="12" t="s">
        <v>7</v>
      </c>
      <c r="AL16" s="12" t="s">
        <v>6</v>
      </c>
      <c r="AM16" s="12" t="s">
        <v>7</v>
      </c>
      <c r="AN16" s="12" t="s">
        <v>6</v>
      </c>
      <c r="AO16" s="12" t="s">
        <v>7</v>
      </c>
      <c r="AP16" s="13" t="s">
        <v>6</v>
      </c>
      <c r="AQ16" s="13" t="s">
        <v>7</v>
      </c>
    </row>
    <row r="17" spans="1:43">
      <c r="A17" s="14" t="s">
        <v>8</v>
      </c>
      <c r="B17" s="15">
        <v>837</v>
      </c>
      <c r="C17" s="15"/>
      <c r="D17" s="15">
        <v>453</v>
      </c>
      <c r="E17" s="15"/>
      <c r="F17" s="15">
        <v>473.01972190692396</v>
      </c>
      <c r="G17" s="15"/>
      <c r="H17" s="15">
        <v>886</v>
      </c>
      <c r="I17" s="15"/>
      <c r="J17" s="15">
        <v>1797.43</v>
      </c>
      <c r="K17" s="15"/>
      <c r="L17" s="15">
        <v>1075.073875</v>
      </c>
      <c r="M17" s="15"/>
      <c r="N17" s="15">
        <v>679</v>
      </c>
      <c r="O17" s="15"/>
      <c r="P17" s="15">
        <v>1178</v>
      </c>
      <c r="Q17" s="15"/>
      <c r="R17" s="15">
        <v>1364.83</v>
      </c>
      <c r="S17" s="15"/>
      <c r="T17" s="15">
        <v>524</v>
      </c>
      <c r="U17" s="15"/>
      <c r="V17" s="15">
        <v>635.914665152</v>
      </c>
      <c r="W17" s="15"/>
      <c r="X17" s="15">
        <v>688.61369609390727</v>
      </c>
      <c r="Y17" s="15"/>
      <c r="Z17" s="15">
        <v>891.59</v>
      </c>
      <c r="AA17" s="15"/>
      <c r="AB17" s="15">
        <v>1485</v>
      </c>
      <c r="AC17" s="15"/>
      <c r="AD17" s="15">
        <v>744</v>
      </c>
      <c r="AE17" s="15"/>
      <c r="AF17" s="15">
        <v>906</v>
      </c>
      <c r="AG17" s="15"/>
      <c r="AH17" s="14">
        <v>377</v>
      </c>
      <c r="AI17" s="14"/>
      <c r="AJ17" s="14">
        <v>645</v>
      </c>
      <c r="AK17" s="14"/>
      <c r="AL17" s="16">
        <v>921.35700000000008</v>
      </c>
      <c r="AM17" s="16"/>
      <c r="AN17" s="16">
        <v>958.30200000000002</v>
      </c>
      <c r="AO17" s="16"/>
      <c r="AP17" s="17">
        <f>AVERAGE(B17,D17,J17,F17,H17,L17,N17,P17,R17,T17,V17,X17,Z17,AB17,AD17,AF17,AH17,AJ17,AL17,AN17)</f>
        <v>876.00654790764168</v>
      </c>
      <c r="AQ17" s="17">
        <f>IF(ISERR(AVERAGE(C17,E17,K17,G17,I17,M17,O17,Q17,S17,U17,W17,Y17,AA17,AC17,AE17,AG17,AI17,AK17,AM17,AO17)),0,AVERAGE(C17,E17,K17,G17,I17,M17,O17,Q17,S17,U17,W17,Y17,AA17,AC17,AE17,AG17,AI17,AK17,AM17,AO17))</f>
        <v>0</v>
      </c>
    </row>
    <row r="18" spans="1:43">
      <c r="A18" s="18" t="s">
        <v>9</v>
      </c>
      <c r="B18" s="19">
        <v>713</v>
      </c>
      <c r="C18" s="19"/>
      <c r="D18" s="19">
        <v>600</v>
      </c>
      <c r="E18" s="19"/>
      <c r="F18" s="19">
        <v>503.26887340301977</v>
      </c>
      <c r="G18" s="19"/>
      <c r="H18" s="19">
        <v>1083</v>
      </c>
      <c r="I18" s="19"/>
      <c r="J18" s="19">
        <v>1835.12</v>
      </c>
      <c r="K18" s="19"/>
      <c r="L18" s="19">
        <v>1075.073875</v>
      </c>
      <c r="M18" s="19"/>
      <c r="N18" s="19">
        <v>631</v>
      </c>
      <c r="O18" s="19"/>
      <c r="P18" s="19">
        <v>1178</v>
      </c>
      <c r="Q18" s="19"/>
      <c r="R18" s="19">
        <v>1393.37</v>
      </c>
      <c r="S18" s="19"/>
      <c r="T18" s="19">
        <v>488</v>
      </c>
      <c r="U18" s="19"/>
      <c r="V18" s="19">
        <v>755.61586104320008</v>
      </c>
      <c r="W18" s="19"/>
      <c r="X18" s="19">
        <v>682.53053623442054</v>
      </c>
      <c r="Y18" s="19"/>
      <c r="Z18" s="19">
        <v>917.04</v>
      </c>
      <c r="AA18" s="19"/>
      <c r="AB18" s="19">
        <v>1302</v>
      </c>
      <c r="AC18" s="19"/>
      <c r="AD18" s="19">
        <v>1285</v>
      </c>
      <c r="AE18" s="19"/>
      <c r="AF18" s="19">
        <v>955</v>
      </c>
      <c r="AG18" s="19"/>
      <c r="AH18" s="18">
        <v>411</v>
      </c>
      <c r="AI18" s="18"/>
      <c r="AJ18" s="18">
        <v>584</v>
      </c>
      <c r="AK18" s="18"/>
      <c r="AL18" s="20">
        <v>903.35700000000008</v>
      </c>
      <c r="AM18" s="20"/>
      <c r="AN18" s="20">
        <v>939.57300000000009</v>
      </c>
      <c r="AO18" s="20"/>
      <c r="AP18" s="20">
        <f t="shared" ref="AP18:AP62" si="0">AVERAGE(B18,D18,J18,F18,H18,L18,N18,P18,R18,T18,V18,X18,Z18,AB18,AD18,AF18,AH18,AJ18,AL18,AN18)</f>
        <v>911.74745728403195</v>
      </c>
      <c r="AQ18" s="20">
        <f t="shared" ref="AQ18:AQ62" si="1">IF(ISERR(AVERAGE(C18,E18,K18,G18,I18,M18,O18,Q18,S18,U18,W18,Y18,AA18,AC18,AE18,AG18,AI18,AK18,AM18,AO18)),0,AVERAGE(C18,E18,K18,G18,I18,M18,O18,Q18,S18,U18,W18,Y18,AA18,AC18,AE18,AG18,AI18,AK18,AM18,AO18))</f>
        <v>0</v>
      </c>
    </row>
    <row r="19" spans="1:43">
      <c r="A19" s="14" t="s">
        <v>10</v>
      </c>
      <c r="B19" s="15">
        <v>736</v>
      </c>
      <c r="C19" s="15"/>
      <c r="D19" s="15">
        <v>681</v>
      </c>
      <c r="E19" s="15"/>
      <c r="F19" s="15">
        <v>870.93952399531804</v>
      </c>
      <c r="G19" s="15"/>
      <c r="H19" s="15">
        <v>1233</v>
      </c>
      <c r="I19" s="15"/>
      <c r="J19" s="15">
        <v>1923.61</v>
      </c>
      <c r="K19" s="15"/>
      <c r="L19" s="15">
        <v>1075.073875</v>
      </c>
      <c r="M19" s="15"/>
      <c r="N19" s="15">
        <v>631</v>
      </c>
      <c r="O19" s="15"/>
      <c r="P19" s="15">
        <v>1178</v>
      </c>
      <c r="Q19" s="15"/>
      <c r="R19" s="15">
        <v>1460.63</v>
      </c>
      <c r="S19" s="15"/>
      <c r="T19" s="15">
        <v>488</v>
      </c>
      <c r="U19" s="15"/>
      <c r="V19" s="15">
        <v>755.61586104320008</v>
      </c>
      <c r="W19" s="15"/>
      <c r="X19" s="15">
        <v>846.16753645461586</v>
      </c>
      <c r="Y19" s="15"/>
      <c r="Z19" s="15">
        <v>1046.82</v>
      </c>
      <c r="AA19" s="15"/>
      <c r="AB19" s="15">
        <v>1690</v>
      </c>
      <c r="AC19" s="15"/>
      <c r="AD19" s="15">
        <v>1070</v>
      </c>
      <c r="AE19" s="15"/>
      <c r="AF19" s="15">
        <v>1069</v>
      </c>
      <c r="AG19" s="15"/>
      <c r="AH19" s="14">
        <v>494</v>
      </c>
      <c r="AI19" s="14"/>
      <c r="AJ19" s="14">
        <v>769</v>
      </c>
      <c r="AK19" s="14"/>
      <c r="AL19" s="16">
        <v>1166.2559999999999</v>
      </c>
      <c r="AM19" s="16"/>
      <c r="AN19" s="16">
        <v>1205.712</v>
      </c>
      <c r="AO19" s="16"/>
      <c r="AP19" s="16">
        <f t="shared" si="0"/>
        <v>1019.4912398246568</v>
      </c>
      <c r="AQ19" s="16">
        <f t="shared" si="1"/>
        <v>0</v>
      </c>
    </row>
    <row r="20" spans="1:43">
      <c r="A20" s="18" t="s">
        <v>11</v>
      </c>
      <c r="B20" s="19">
        <v>708</v>
      </c>
      <c r="C20" s="19"/>
      <c r="D20" s="19">
        <v>486</v>
      </c>
      <c r="E20" s="19"/>
      <c r="F20" s="19">
        <v>471.09855110298918</v>
      </c>
      <c r="G20" s="19"/>
      <c r="H20" s="19">
        <v>886</v>
      </c>
      <c r="I20" s="19"/>
      <c r="J20" s="19">
        <v>2118.9899999999998</v>
      </c>
      <c r="K20" s="19"/>
      <c r="L20" s="19">
        <v>634.85080000000005</v>
      </c>
      <c r="M20" s="19"/>
      <c r="N20" s="19">
        <v>679</v>
      </c>
      <c r="O20" s="19"/>
      <c r="P20" s="19">
        <v>1178</v>
      </c>
      <c r="Q20" s="19"/>
      <c r="R20" s="19">
        <v>1608.71</v>
      </c>
      <c r="S20" s="19"/>
      <c r="T20" s="19">
        <v>524</v>
      </c>
      <c r="U20" s="19"/>
      <c r="V20" s="19">
        <v>635.914665152</v>
      </c>
      <c r="W20" s="19"/>
      <c r="X20" s="19">
        <v>633.25694137257722</v>
      </c>
      <c r="Y20" s="19"/>
      <c r="Z20" s="19">
        <v>792.34</v>
      </c>
      <c r="AA20" s="19"/>
      <c r="AB20" s="19">
        <v>1485</v>
      </c>
      <c r="AC20" s="19"/>
      <c r="AD20" s="19">
        <v>788</v>
      </c>
      <c r="AE20" s="19"/>
      <c r="AF20" s="19">
        <v>751</v>
      </c>
      <c r="AG20" s="19"/>
      <c r="AH20" s="18">
        <v>377</v>
      </c>
      <c r="AI20" s="18"/>
      <c r="AJ20" s="18">
        <v>645</v>
      </c>
      <c r="AK20" s="18"/>
      <c r="AL20" s="20">
        <v>921.35700000000008</v>
      </c>
      <c r="AM20" s="20"/>
      <c r="AN20" s="20">
        <v>958.30200000000002</v>
      </c>
      <c r="AO20" s="20"/>
      <c r="AP20" s="20">
        <f t="shared" si="0"/>
        <v>864.09099788137848</v>
      </c>
      <c r="AQ20" s="20">
        <f t="shared" si="1"/>
        <v>0</v>
      </c>
    </row>
    <row r="21" spans="1:43">
      <c r="A21" s="14" t="s">
        <v>12</v>
      </c>
      <c r="B21" s="15">
        <v>736</v>
      </c>
      <c r="C21" s="15"/>
      <c r="D21" s="15">
        <v>687</v>
      </c>
      <c r="E21" s="15"/>
      <c r="F21" s="15">
        <v>864.17772633744858</v>
      </c>
      <c r="G21" s="15"/>
      <c r="H21" s="15">
        <v>1233</v>
      </c>
      <c r="I21" s="15"/>
      <c r="J21" s="15">
        <v>1923.61</v>
      </c>
      <c r="K21" s="15"/>
      <c r="L21" s="15">
        <v>1075.073875</v>
      </c>
      <c r="M21" s="15"/>
      <c r="N21" s="15">
        <v>631</v>
      </c>
      <c r="O21" s="15"/>
      <c r="P21" s="15">
        <v>1178</v>
      </c>
      <c r="Q21" s="15"/>
      <c r="R21" s="15">
        <v>1460.63</v>
      </c>
      <c r="S21" s="15"/>
      <c r="T21" s="15">
        <v>488</v>
      </c>
      <c r="U21" s="15"/>
      <c r="V21" s="15">
        <v>755.61586104320008</v>
      </c>
      <c r="W21" s="15"/>
      <c r="X21" s="15">
        <v>846.16753645461586</v>
      </c>
      <c r="Y21" s="15"/>
      <c r="Z21" s="15">
        <v>1046.82</v>
      </c>
      <c r="AA21" s="15"/>
      <c r="AB21" s="15">
        <v>1690</v>
      </c>
      <c r="AC21" s="15"/>
      <c r="AD21" s="15">
        <v>1034</v>
      </c>
      <c r="AE21" s="15"/>
      <c r="AF21" s="15">
        <v>1090</v>
      </c>
      <c r="AG21" s="15"/>
      <c r="AH21" s="14">
        <v>503</v>
      </c>
      <c r="AI21" s="14"/>
      <c r="AJ21" s="14">
        <v>719</v>
      </c>
      <c r="AK21" s="14"/>
      <c r="AL21" s="16">
        <v>1166.2559999999999</v>
      </c>
      <c r="AM21" s="16"/>
      <c r="AN21" s="16">
        <v>1205.712</v>
      </c>
      <c r="AO21" s="16"/>
      <c r="AP21" s="16">
        <f t="shared" si="0"/>
        <v>1016.6531499417633</v>
      </c>
      <c r="AQ21" s="16">
        <f t="shared" si="1"/>
        <v>0</v>
      </c>
    </row>
    <row r="22" spans="1:43">
      <c r="A22" s="18" t="s">
        <v>13</v>
      </c>
      <c r="B22" s="19">
        <v>763</v>
      </c>
      <c r="C22" s="19"/>
      <c r="D22" s="19">
        <v>667</v>
      </c>
      <c r="E22" s="19"/>
      <c r="F22" s="19">
        <v>820.5149301825993</v>
      </c>
      <c r="G22" s="19"/>
      <c r="H22" s="19">
        <v>1233</v>
      </c>
      <c r="I22" s="19"/>
      <c r="J22" s="19">
        <v>2024.7</v>
      </c>
      <c r="K22" s="19"/>
      <c r="L22" s="19">
        <v>1075.073875</v>
      </c>
      <c r="M22" s="19"/>
      <c r="N22" s="19">
        <v>631</v>
      </c>
      <c r="O22" s="19"/>
      <c r="P22" s="19">
        <v>1178</v>
      </c>
      <c r="Q22" s="19"/>
      <c r="R22" s="19">
        <v>1536.94</v>
      </c>
      <c r="S22" s="19"/>
      <c r="T22" s="19">
        <v>488</v>
      </c>
      <c r="U22" s="19"/>
      <c r="V22" s="19">
        <v>755.61586104320008</v>
      </c>
      <c r="W22" s="19"/>
      <c r="X22" s="19">
        <v>846.16753645461586</v>
      </c>
      <c r="Y22" s="19"/>
      <c r="Z22" s="19">
        <v>1046.82</v>
      </c>
      <c r="AA22" s="19"/>
      <c r="AB22" s="19">
        <v>1690</v>
      </c>
      <c r="AC22" s="19"/>
      <c r="AD22" s="19">
        <v>1161</v>
      </c>
      <c r="AE22" s="19"/>
      <c r="AF22" s="19">
        <v>1040</v>
      </c>
      <c r="AG22" s="19"/>
      <c r="AH22" s="18">
        <v>503</v>
      </c>
      <c r="AI22" s="18"/>
      <c r="AJ22" s="18">
        <v>769</v>
      </c>
      <c r="AK22" s="18"/>
      <c r="AL22" s="20">
        <v>1042.731</v>
      </c>
      <c r="AM22" s="20"/>
      <c r="AN22" s="20">
        <v>1080.981</v>
      </c>
      <c r="AO22" s="20"/>
      <c r="AP22" s="20">
        <f t="shared" si="0"/>
        <v>1017.6272101340207</v>
      </c>
      <c r="AQ22" s="20">
        <f t="shared" si="1"/>
        <v>0</v>
      </c>
    </row>
    <row r="23" spans="1:43">
      <c r="A23" s="21" t="s">
        <v>14</v>
      </c>
      <c r="B23" s="15">
        <v>2501</v>
      </c>
      <c r="C23" s="15">
        <v>274</v>
      </c>
      <c r="D23" s="15">
        <v>2089</v>
      </c>
      <c r="E23" s="15">
        <v>310</v>
      </c>
      <c r="F23" s="15">
        <v>1444.9045419304821</v>
      </c>
      <c r="G23" s="15">
        <v>283.6943080501357</v>
      </c>
      <c r="H23" s="15">
        <v>1663</v>
      </c>
      <c r="I23" s="15">
        <v>1468</v>
      </c>
      <c r="J23" s="15">
        <v>4313.1000000000004</v>
      </c>
      <c r="K23" s="15">
        <v>1940.9</v>
      </c>
      <c r="L23" s="15">
        <v>1443.6100000000001</v>
      </c>
      <c r="M23" s="15">
        <v>1025.3200000000002</v>
      </c>
      <c r="N23" s="15">
        <v>1839</v>
      </c>
      <c r="O23" s="15">
        <v>1261</v>
      </c>
      <c r="P23" s="15">
        <v>2077</v>
      </c>
      <c r="Q23" s="15">
        <v>1015</v>
      </c>
      <c r="R23" s="15">
        <v>3274.67</v>
      </c>
      <c r="S23" s="15">
        <v>1473.6</v>
      </c>
      <c r="T23" s="15">
        <v>1425</v>
      </c>
      <c r="U23" s="15">
        <v>978</v>
      </c>
      <c r="V23" s="15">
        <v>3087.0728382464013</v>
      </c>
      <c r="W23" s="15">
        <v>638.13094346240018</v>
      </c>
      <c r="X23" s="15">
        <v>3216.4926750791465</v>
      </c>
      <c r="Y23" s="15">
        <v>1652.3078810338081</v>
      </c>
      <c r="Z23" s="15">
        <v>3306.92</v>
      </c>
      <c r="AA23" s="15">
        <v>626.70000000000005</v>
      </c>
      <c r="AB23" s="15">
        <v>2188</v>
      </c>
      <c r="AC23" s="15">
        <v>897</v>
      </c>
      <c r="AD23" s="15">
        <v>3323</v>
      </c>
      <c r="AE23" s="15">
        <v>1088</v>
      </c>
      <c r="AF23" s="15">
        <v>2016</v>
      </c>
      <c r="AG23" s="15">
        <v>946</v>
      </c>
      <c r="AH23" s="14">
        <v>1627</v>
      </c>
      <c r="AI23" s="14">
        <v>463</v>
      </c>
      <c r="AJ23" s="14">
        <v>1819</v>
      </c>
      <c r="AK23" s="14">
        <v>655</v>
      </c>
      <c r="AL23" s="16">
        <v>1871.4510000000002</v>
      </c>
      <c r="AM23" s="16">
        <v>582.74099999999999</v>
      </c>
      <c r="AN23" s="16">
        <v>1909.6830000000004</v>
      </c>
      <c r="AO23" s="16">
        <v>626.07600000000014</v>
      </c>
      <c r="AP23" s="16">
        <f t="shared" si="0"/>
        <v>2321.7452027628015</v>
      </c>
      <c r="AQ23" s="16">
        <f t="shared" si="1"/>
        <v>910.22350662731731</v>
      </c>
    </row>
    <row r="24" spans="1:43">
      <c r="A24" s="22" t="s">
        <v>15</v>
      </c>
      <c r="B24" s="19">
        <v>831</v>
      </c>
      <c r="C24" s="19">
        <v>290</v>
      </c>
      <c r="D24" s="19">
        <v>1193</v>
      </c>
      <c r="E24" s="19">
        <v>361</v>
      </c>
      <c r="F24" s="19">
        <v>822.36435510175136</v>
      </c>
      <c r="G24" s="19">
        <v>289.87545203148267</v>
      </c>
      <c r="H24" s="19">
        <v>1663</v>
      </c>
      <c r="I24" s="19">
        <v>1468</v>
      </c>
      <c r="J24" s="19">
        <v>2312.81</v>
      </c>
      <c r="K24" s="19">
        <v>1272.05</v>
      </c>
      <c r="L24" s="19">
        <v>1443.6100000000001</v>
      </c>
      <c r="M24" s="19">
        <v>1025.3200000000002</v>
      </c>
      <c r="N24" s="19">
        <v>1014</v>
      </c>
      <c r="O24" s="19">
        <v>633</v>
      </c>
      <c r="P24" s="19">
        <v>1361</v>
      </c>
      <c r="Q24" s="19"/>
      <c r="R24" s="19">
        <v>1755.82</v>
      </c>
      <c r="S24" s="19">
        <v>965.7</v>
      </c>
      <c r="T24" s="19">
        <v>788</v>
      </c>
      <c r="U24" s="19">
        <v>493</v>
      </c>
      <c r="V24" s="19">
        <v>2644.6117156352002</v>
      </c>
      <c r="W24" s="19">
        <v>619.91825592320015</v>
      </c>
      <c r="X24" s="19">
        <v>2014.3045579521497</v>
      </c>
      <c r="Y24" s="19">
        <v>1034.7454920987072</v>
      </c>
      <c r="Z24" s="19">
        <v>1255.06</v>
      </c>
      <c r="AA24" s="19"/>
      <c r="AB24" s="19">
        <v>1893</v>
      </c>
      <c r="AC24" s="19"/>
      <c r="AD24" s="19">
        <v>2160</v>
      </c>
      <c r="AE24" s="19"/>
      <c r="AF24" s="19">
        <v>1723</v>
      </c>
      <c r="AG24" s="19"/>
      <c r="AH24" s="18">
        <v>1565</v>
      </c>
      <c r="AI24" s="18">
        <v>440</v>
      </c>
      <c r="AJ24" s="18">
        <v>926</v>
      </c>
      <c r="AK24" s="18">
        <v>926</v>
      </c>
      <c r="AL24" s="20">
        <v>2016.3869999999999</v>
      </c>
      <c r="AM24" s="23">
        <v>652.06799999999998</v>
      </c>
      <c r="AN24" s="20">
        <v>2056.9049999999997</v>
      </c>
      <c r="AO24" s="20">
        <v>696.47400000000005</v>
      </c>
      <c r="AP24" s="20">
        <f t="shared" si="0"/>
        <v>1571.943631434455</v>
      </c>
      <c r="AQ24" s="20">
        <f t="shared" si="1"/>
        <v>744.47674667022591</v>
      </c>
    </row>
    <row r="25" spans="1:43">
      <c r="A25" s="14" t="s">
        <v>16</v>
      </c>
      <c r="B25" s="15">
        <v>787</v>
      </c>
      <c r="C25" s="15"/>
      <c r="D25" s="15">
        <v>696</v>
      </c>
      <c r="E25" s="15"/>
      <c r="F25" s="15">
        <v>805.26678535096642</v>
      </c>
      <c r="G25" s="15"/>
      <c r="H25" s="15">
        <v>1233</v>
      </c>
      <c r="I25" s="15"/>
      <c r="J25" s="15">
        <v>1911.56</v>
      </c>
      <c r="K25" s="15"/>
      <c r="L25" s="15">
        <v>1075.073875</v>
      </c>
      <c r="M25" s="15"/>
      <c r="N25" s="15">
        <v>631</v>
      </c>
      <c r="O25" s="15"/>
      <c r="P25" s="15">
        <v>1178</v>
      </c>
      <c r="Q25" s="15"/>
      <c r="R25" s="15">
        <v>1451.34</v>
      </c>
      <c r="S25" s="15"/>
      <c r="T25" s="15">
        <v>488</v>
      </c>
      <c r="U25" s="15"/>
      <c r="V25" s="15">
        <v>755.61586104320008</v>
      </c>
      <c r="W25" s="15"/>
      <c r="X25" s="15">
        <v>846.16753645461586</v>
      </c>
      <c r="Y25" s="15"/>
      <c r="Z25" s="15">
        <v>970.48</v>
      </c>
      <c r="AA25" s="15"/>
      <c r="AB25" s="15">
        <v>1690</v>
      </c>
      <c r="AC25" s="15"/>
      <c r="AD25" s="15">
        <v>979</v>
      </c>
      <c r="AE25" s="15"/>
      <c r="AF25" s="15">
        <v>976</v>
      </c>
      <c r="AG25" s="15"/>
      <c r="AH25" s="14">
        <v>494</v>
      </c>
      <c r="AI25" s="14"/>
      <c r="AJ25" s="14">
        <v>534</v>
      </c>
      <c r="AK25" s="14"/>
      <c r="AL25" s="16">
        <v>1204.6950000000002</v>
      </c>
      <c r="AM25" s="16"/>
      <c r="AN25" s="16">
        <v>1253.0340000000001</v>
      </c>
      <c r="AO25" s="16"/>
      <c r="AP25" s="16">
        <f t="shared" si="0"/>
        <v>997.96165289243913</v>
      </c>
      <c r="AQ25" s="16">
        <f t="shared" si="1"/>
        <v>0</v>
      </c>
    </row>
    <row r="26" spans="1:43">
      <c r="A26" s="22" t="s">
        <v>17</v>
      </c>
      <c r="B26" s="19">
        <v>2452</v>
      </c>
      <c r="C26" s="19">
        <v>277</v>
      </c>
      <c r="D26" s="19">
        <v>2089</v>
      </c>
      <c r="E26" s="19">
        <v>310</v>
      </c>
      <c r="F26" s="19">
        <v>1350.1237771820076</v>
      </c>
      <c r="G26" s="19">
        <v>256.79531724754247</v>
      </c>
      <c r="H26" s="19">
        <v>2252</v>
      </c>
      <c r="I26" s="19">
        <v>1468</v>
      </c>
      <c r="J26" s="19">
        <v>4313.1000000000004</v>
      </c>
      <c r="K26" s="19">
        <v>1940.9</v>
      </c>
      <c r="L26" s="19">
        <v>2835.8649999999998</v>
      </c>
      <c r="M26" s="19">
        <v>953.56000000000006</v>
      </c>
      <c r="N26" s="19">
        <v>1839</v>
      </c>
      <c r="O26" s="19">
        <v>1261</v>
      </c>
      <c r="P26" s="19">
        <v>2077</v>
      </c>
      <c r="Q26" s="19">
        <v>1015</v>
      </c>
      <c r="R26" s="19">
        <v>3274.67</v>
      </c>
      <c r="S26" s="19">
        <v>1473.6</v>
      </c>
      <c r="T26" s="19">
        <v>1425</v>
      </c>
      <c r="U26" s="19">
        <v>978</v>
      </c>
      <c r="V26" s="19">
        <v>5760.4199750144007</v>
      </c>
      <c r="W26" s="19">
        <v>621.51863575039965</v>
      </c>
      <c r="X26" s="19">
        <v>3216.4926750791465</v>
      </c>
      <c r="Y26" s="19">
        <v>1652.3078810338081</v>
      </c>
      <c r="Z26" s="19">
        <v>3306.92</v>
      </c>
      <c r="AA26" s="19">
        <v>626.70000000000005</v>
      </c>
      <c r="AB26" s="19">
        <v>2646</v>
      </c>
      <c r="AC26" s="19">
        <v>772</v>
      </c>
      <c r="AD26" s="19">
        <v>4007</v>
      </c>
      <c r="AE26" s="19">
        <v>1461</v>
      </c>
      <c r="AF26" s="19">
        <v>2552</v>
      </c>
      <c r="AG26" s="19">
        <v>778</v>
      </c>
      <c r="AH26" s="18">
        <v>1569</v>
      </c>
      <c r="AI26" s="18">
        <v>445</v>
      </c>
      <c r="AJ26" s="18">
        <v>2315</v>
      </c>
      <c r="AK26" s="18">
        <v>555</v>
      </c>
      <c r="AL26" s="20">
        <v>2057.5980000000004</v>
      </c>
      <c r="AM26" s="20">
        <v>665.40600000000006</v>
      </c>
      <c r="AN26" s="20">
        <v>2098.9349999999999</v>
      </c>
      <c r="AO26" s="20">
        <v>710.72100000000012</v>
      </c>
      <c r="AP26" s="20">
        <f t="shared" si="0"/>
        <v>2671.856221363777</v>
      </c>
      <c r="AQ26" s="20">
        <f t="shared" si="1"/>
        <v>911.07544170158758</v>
      </c>
    </row>
    <row r="27" spans="1:43">
      <c r="A27" s="14" t="s">
        <v>18</v>
      </c>
      <c r="B27" s="15">
        <v>666</v>
      </c>
      <c r="C27" s="15"/>
      <c r="D27" s="15">
        <v>477</v>
      </c>
      <c r="E27" s="15"/>
      <c r="F27" s="15">
        <v>477.20652257518651</v>
      </c>
      <c r="G27" s="15"/>
      <c r="H27" s="15">
        <v>843</v>
      </c>
      <c r="I27" s="15"/>
      <c r="J27" s="15">
        <v>1891.71</v>
      </c>
      <c r="K27" s="15"/>
      <c r="L27" s="15">
        <v>1075.073875</v>
      </c>
      <c r="M27" s="15"/>
      <c r="N27" s="15">
        <v>679</v>
      </c>
      <c r="O27" s="15"/>
      <c r="P27" s="15">
        <v>868</v>
      </c>
      <c r="Q27" s="15"/>
      <c r="R27" s="15">
        <v>1436.62</v>
      </c>
      <c r="S27" s="15"/>
      <c r="T27" s="15">
        <v>524</v>
      </c>
      <c r="U27" s="15"/>
      <c r="V27" s="15">
        <v>635.914665152</v>
      </c>
      <c r="W27" s="15"/>
      <c r="X27" s="15">
        <v>577.29187066529857</v>
      </c>
      <c r="Y27" s="15"/>
      <c r="Z27" s="15">
        <v>792.34</v>
      </c>
      <c r="AA27" s="15"/>
      <c r="AB27" s="15">
        <v>1327</v>
      </c>
      <c r="AC27" s="15"/>
      <c r="AD27" s="15">
        <v>719</v>
      </c>
      <c r="AE27" s="15"/>
      <c r="AF27" s="15">
        <v>761</v>
      </c>
      <c r="AG27" s="15"/>
      <c r="AH27" s="14">
        <v>415</v>
      </c>
      <c r="AI27" s="14"/>
      <c r="AJ27" s="14">
        <v>528</v>
      </c>
      <c r="AK27" s="14"/>
      <c r="AL27" s="16">
        <v>770.37300000000005</v>
      </c>
      <c r="AM27" s="16"/>
      <c r="AN27" s="16">
        <v>796.779</v>
      </c>
      <c r="AO27" s="16"/>
      <c r="AP27" s="16">
        <f t="shared" si="0"/>
        <v>813.01544666962423</v>
      </c>
      <c r="AQ27" s="16">
        <f t="shared" si="1"/>
        <v>0</v>
      </c>
    </row>
    <row r="28" spans="1:43">
      <c r="A28" s="18" t="s">
        <v>19</v>
      </c>
      <c r="B28" s="19">
        <v>634</v>
      </c>
      <c r="C28" s="19"/>
      <c r="D28" s="19">
        <v>621</v>
      </c>
      <c r="E28" s="19"/>
      <c r="F28" s="19">
        <v>480.69249278152068</v>
      </c>
      <c r="G28" s="19"/>
      <c r="H28" s="19">
        <v>1001</v>
      </c>
      <c r="I28" s="19"/>
      <c r="J28" s="19">
        <v>1891.71</v>
      </c>
      <c r="K28" s="19"/>
      <c r="L28" s="19">
        <v>1075.073875</v>
      </c>
      <c r="M28" s="19"/>
      <c r="N28" s="19">
        <v>631</v>
      </c>
      <c r="O28" s="19"/>
      <c r="P28" s="19">
        <v>868</v>
      </c>
      <c r="Q28" s="19"/>
      <c r="R28" s="19">
        <v>1436.62</v>
      </c>
      <c r="S28" s="19"/>
      <c r="T28" s="19">
        <v>488</v>
      </c>
      <c r="U28" s="19"/>
      <c r="V28" s="19">
        <v>635.914665152</v>
      </c>
      <c r="W28" s="19"/>
      <c r="X28" s="19">
        <v>688.61369609390727</v>
      </c>
      <c r="Y28" s="19"/>
      <c r="Z28" s="19">
        <v>792.34</v>
      </c>
      <c r="AA28" s="19"/>
      <c r="AB28" s="19">
        <v>1517</v>
      </c>
      <c r="AC28" s="19"/>
      <c r="AD28" s="19">
        <v>1073</v>
      </c>
      <c r="AE28" s="19"/>
      <c r="AF28" s="19">
        <v>1243</v>
      </c>
      <c r="AG28" s="19"/>
      <c r="AH28" s="18">
        <v>415</v>
      </c>
      <c r="AI28" s="18"/>
      <c r="AJ28" s="18">
        <v>450</v>
      </c>
      <c r="AK28" s="18"/>
      <c r="AL28" s="20">
        <v>1000.773</v>
      </c>
      <c r="AM28" s="20"/>
      <c r="AN28" s="20">
        <v>1037.9340000000002</v>
      </c>
      <c r="AO28" s="20"/>
      <c r="AP28" s="20">
        <f t="shared" si="0"/>
        <v>899.03358645137143</v>
      </c>
      <c r="AQ28" s="20">
        <f t="shared" si="1"/>
        <v>0</v>
      </c>
    </row>
    <row r="29" spans="1:43">
      <c r="A29" s="14" t="s">
        <v>20</v>
      </c>
      <c r="B29" s="15">
        <v>847</v>
      </c>
      <c r="C29" s="15"/>
      <c r="D29" s="15">
        <v>744</v>
      </c>
      <c r="E29" s="15"/>
      <c r="F29" s="15">
        <v>693.34045857312503</v>
      </c>
      <c r="G29" s="15"/>
      <c r="H29" s="15">
        <v>1238</v>
      </c>
      <c r="I29" s="15"/>
      <c r="J29" s="15">
        <v>1986.99</v>
      </c>
      <c r="K29" s="15"/>
      <c r="L29" s="15">
        <v>1075.073875</v>
      </c>
      <c r="M29" s="15"/>
      <c r="N29" s="15">
        <v>631</v>
      </c>
      <c r="O29" s="15"/>
      <c r="P29" s="15">
        <v>1178</v>
      </c>
      <c r="Q29" s="15"/>
      <c r="R29" s="15">
        <v>1508.41</v>
      </c>
      <c r="S29" s="15"/>
      <c r="T29" s="15">
        <v>488</v>
      </c>
      <c r="U29" s="15"/>
      <c r="V29" s="15">
        <v>755.61586104320008</v>
      </c>
      <c r="W29" s="15"/>
      <c r="X29" s="15">
        <v>710.5130715880598</v>
      </c>
      <c r="Y29" s="15"/>
      <c r="Z29" s="15">
        <v>917.04</v>
      </c>
      <c r="AA29" s="15"/>
      <c r="AB29" s="15">
        <v>1413</v>
      </c>
      <c r="AC29" s="15"/>
      <c r="AD29" s="15">
        <v>1181</v>
      </c>
      <c r="AE29" s="15"/>
      <c r="AF29" s="15">
        <v>1066</v>
      </c>
      <c r="AG29" s="15"/>
      <c r="AH29" s="14">
        <v>494</v>
      </c>
      <c r="AI29" s="14"/>
      <c r="AJ29" s="14">
        <v>619</v>
      </c>
      <c r="AK29" s="14"/>
      <c r="AL29" s="16">
        <v>1216.6289999999999</v>
      </c>
      <c r="AM29" s="16"/>
      <c r="AN29" s="16">
        <v>1264.9680000000001</v>
      </c>
      <c r="AO29" s="16"/>
      <c r="AP29" s="16">
        <f t="shared" si="0"/>
        <v>1001.3790133102193</v>
      </c>
      <c r="AQ29" s="16">
        <f t="shared" si="1"/>
        <v>0</v>
      </c>
    </row>
    <row r="30" spans="1:43">
      <c r="A30" s="18" t="s">
        <v>21</v>
      </c>
      <c r="B30" s="19">
        <v>1217</v>
      </c>
      <c r="C30" s="19"/>
      <c r="D30" s="19">
        <v>738</v>
      </c>
      <c r="E30" s="19"/>
      <c r="F30" s="19">
        <v>684.05814117979912</v>
      </c>
      <c r="G30" s="19"/>
      <c r="H30" s="19">
        <v>1233</v>
      </c>
      <c r="I30" s="19"/>
      <c r="J30" s="19">
        <v>2054.65</v>
      </c>
      <c r="K30" s="19"/>
      <c r="L30" s="19">
        <v>1075.073875</v>
      </c>
      <c r="M30" s="19"/>
      <c r="N30" s="19">
        <v>631</v>
      </c>
      <c r="O30" s="19"/>
      <c r="P30" s="19">
        <v>1178</v>
      </c>
      <c r="Q30" s="19"/>
      <c r="R30" s="19">
        <v>1559.63</v>
      </c>
      <c r="S30" s="19"/>
      <c r="T30" s="19">
        <v>488</v>
      </c>
      <c r="U30" s="19"/>
      <c r="V30" s="19">
        <v>832.83092783360007</v>
      </c>
      <c r="W30" s="19"/>
      <c r="X30" s="19">
        <v>846.16753645461586</v>
      </c>
      <c r="Y30" s="19"/>
      <c r="Z30" s="19">
        <v>1046.82</v>
      </c>
      <c r="AA30" s="19"/>
      <c r="AB30" s="19">
        <v>1728</v>
      </c>
      <c r="AC30" s="19"/>
      <c r="AD30" s="19">
        <v>1461</v>
      </c>
      <c r="AE30" s="19"/>
      <c r="AF30" s="19">
        <v>1151</v>
      </c>
      <c r="AG30" s="19"/>
      <c r="AH30" s="18">
        <v>494</v>
      </c>
      <c r="AI30" s="18"/>
      <c r="AJ30" s="18">
        <v>719</v>
      </c>
      <c r="AK30" s="18"/>
      <c r="AL30" s="20">
        <v>1379.6100000000001</v>
      </c>
      <c r="AM30" s="20"/>
      <c r="AN30" s="20">
        <v>1419.2640000000001</v>
      </c>
      <c r="AO30" s="20"/>
      <c r="AP30" s="20">
        <f t="shared" si="0"/>
        <v>1096.8052240234006</v>
      </c>
      <c r="AQ30" s="20">
        <f t="shared" si="1"/>
        <v>0</v>
      </c>
    </row>
    <row r="31" spans="1:43">
      <c r="A31" s="21" t="s">
        <v>22</v>
      </c>
      <c r="B31" s="15">
        <v>1538</v>
      </c>
      <c r="C31" s="15">
        <v>280</v>
      </c>
      <c r="D31" s="15">
        <v>2067</v>
      </c>
      <c r="E31" s="15">
        <v>287</v>
      </c>
      <c r="F31" s="15">
        <v>747.00919762798014</v>
      </c>
      <c r="G31" s="15">
        <v>293.05482270361853</v>
      </c>
      <c r="H31" s="15">
        <v>1663</v>
      </c>
      <c r="I31" s="15">
        <v>1468</v>
      </c>
      <c r="J31" s="15">
        <v>4313.1000000000004</v>
      </c>
      <c r="K31" s="15">
        <v>1940.9</v>
      </c>
      <c r="L31" s="15">
        <v>2835.8649999999998</v>
      </c>
      <c r="M31" s="15">
        <v>953.56000000000006</v>
      </c>
      <c r="N31" s="15">
        <v>1839</v>
      </c>
      <c r="O31" s="15">
        <v>1261</v>
      </c>
      <c r="P31" s="15">
        <v>1361</v>
      </c>
      <c r="Q31" s="15"/>
      <c r="R31" s="15">
        <v>3274.67</v>
      </c>
      <c r="S31" s="15">
        <v>1473.6</v>
      </c>
      <c r="T31" s="15">
        <v>1425</v>
      </c>
      <c r="U31" s="15">
        <v>978</v>
      </c>
      <c r="V31" s="15">
        <v>3024.8796962816004</v>
      </c>
      <c r="W31" s="15">
        <v>626.5875193856001</v>
      </c>
      <c r="X31" s="15">
        <v>741.2427619342435</v>
      </c>
      <c r="Y31" s="15">
        <v>380.77539140457714</v>
      </c>
      <c r="Z31" s="15">
        <v>3306.92</v>
      </c>
      <c r="AA31" s="15">
        <v>626.70000000000005</v>
      </c>
      <c r="AB31" s="15">
        <v>1670</v>
      </c>
      <c r="AC31" s="15"/>
      <c r="AD31" s="15">
        <v>3211</v>
      </c>
      <c r="AE31" s="15">
        <v>1955</v>
      </c>
      <c r="AF31" s="15">
        <v>1999</v>
      </c>
      <c r="AG31" s="15">
        <v>883</v>
      </c>
      <c r="AH31" s="14">
        <v>1569</v>
      </c>
      <c r="AI31" s="14">
        <v>445</v>
      </c>
      <c r="AJ31" s="14">
        <v>1373</v>
      </c>
      <c r="AK31" s="14">
        <v>371</v>
      </c>
      <c r="AL31" s="16">
        <v>1800.2520000000002</v>
      </c>
      <c r="AM31" s="16">
        <v>538.37100000000009</v>
      </c>
      <c r="AN31" s="16">
        <v>1834.2360000000001</v>
      </c>
      <c r="AO31" s="16">
        <v>576.95399999999995</v>
      </c>
      <c r="AP31" s="16">
        <f t="shared" si="0"/>
        <v>2079.6587327921911</v>
      </c>
      <c r="AQ31" s="16">
        <f t="shared" si="1"/>
        <v>852.13904074965535</v>
      </c>
    </row>
    <row r="32" spans="1:43">
      <c r="A32" s="18" t="s">
        <v>23</v>
      </c>
      <c r="B32" s="19">
        <v>1206</v>
      </c>
      <c r="C32" s="19"/>
      <c r="D32" s="19">
        <v>744</v>
      </c>
      <c r="E32" s="19"/>
      <c r="F32" s="19">
        <v>742.25255950440169</v>
      </c>
      <c r="G32" s="19"/>
      <c r="H32" s="19">
        <v>1238</v>
      </c>
      <c r="I32" s="19"/>
      <c r="J32" s="19">
        <v>2213.2800000000002</v>
      </c>
      <c r="K32" s="19"/>
      <c r="L32" s="19">
        <v>1075.073875</v>
      </c>
      <c r="M32" s="19"/>
      <c r="N32" s="19">
        <v>631</v>
      </c>
      <c r="O32" s="19"/>
      <c r="P32" s="19">
        <v>1365</v>
      </c>
      <c r="Q32" s="19"/>
      <c r="R32" s="19">
        <v>1680.49</v>
      </c>
      <c r="S32" s="19"/>
      <c r="T32" s="19">
        <v>488</v>
      </c>
      <c r="U32" s="19"/>
      <c r="V32" s="19">
        <v>755.61586104320008</v>
      </c>
      <c r="W32" s="19"/>
      <c r="X32" s="19">
        <v>960.53094181296797</v>
      </c>
      <c r="Y32" s="19"/>
      <c r="Z32" s="19">
        <v>1269.49</v>
      </c>
      <c r="AA32" s="19"/>
      <c r="AB32" s="19">
        <v>1872</v>
      </c>
      <c r="AC32" s="19"/>
      <c r="AD32" s="19">
        <v>1195</v>
      </c>
      <c r="AE32" s="19"/>
      <c r="AF32" s="19">
        <v>1065</v>
      </c>
      <c r="AG32" s="19"/>
      <c r="AH32" s="18">
        <v>503</v>
      </c>
      <c r="AI32" s="18"/>
      <c r="AJ32" s="18">
        <v>594</v>
      </c>
      <c r="AK32" s="18"/>
      <c r="AL32" s="20">
        <v>1251.9990000000003</v>
      </c>
      <c r="AM32" s="20"/>
      <c r="AN32" s="20">
        <v>1301.319</v>
      </c>
      <c r="AO32" s="20"/>
      <c r="AP32" s="20">
        <f t="shared" si="0"/>
        <v>1107.5525618680283</v>
      </c>
      <c r="AQ32" s="20">
        <f t="shared" si="1"/>
        <v>0</v>
      </c>
    </row>
    <row r="33" spans="1:43">
      <c r="A33" s="14" t="s">
        <v>24</v>
      </c>
      <c r="B33" s="15">
        <v>1336</v>
      </c>
      <c r="C33" s="15"/>
      <c r="D33" s="15">
        <v>1367</v>
      </c>
      <c r="E33" s="15"/>
      <c r="F33" s="15">
        <v>834.8497860635697</v>
      </c>
      <c r="G33" s="15"/>
      <c r="H33" s="15">
        <v>1233</v>
      </c>
      <c r="I33" s="15"/>
      <c r="J33" s="15">
        <v>2108.9899999999998</v>
      </c>
      <c r="K33" s="15"/>
      <c r="L33" s="15">
        <v>1075.073875</v>
      </c>
      <c r="M33" s="15"/>
      <c r="N33" s="15">
        <v>631</v>
      </c>
      <c r="O33" s="15"/>
      <c r="P33" s="15">
        <v>1365</v>
      </c>
      <c r="Q33" s="15"/>
      <c r="R33" s="15">
        <v>1601.04</v>
      </c>
      <c r="S33" s="15"/>
      <c r="T33" s="15">
        <v>488</v>
      </c>
      <c r="U33" s="15"/>
      <c r="V33" s="15">
        <v>801.15670753280006</v>
      </c>
      <c r="W33" s="15"/>
      <c r="X33" s="15">
        <v>1208.7238640800299</v>
      </c>
      <c r="Y33" s="15"/>
      <c r="Z33" s="15">
        <v>1275.8499999999999</v>
      </c>
      <c r="AA33" s="15"/>
      <c r="AB33" s="15">
        <v>2106</v>
      </c>
      <c r="AC33" s="15"/>
      <c r="AD33" s="15">
        <v>1463</v>
      </c>
      <c r="AE33" s="15"/>
      <c r="AF33" s="15">
        <v>1030</v>
      </c>
      <c r="AG33" s="15"/>
      <c r="AH33" s="14">
        <v>589</v>
      </c>
      <c r="AI33" s="14"/>
      <c r="AJ33" s="14">
        <v>594</v>
      </c>
      <c r="AK33" s="14"/>
      <c r="AL33" s="16">
        <v>1477.4580000000001</v>
      </c>
      <c r="AM33" s="16"/>
      <c r="AN33" s="16">
        <v>1522.125</v>
      </c>
      <c r="AO33" s="16"/>
      <c r="AP33" s="16">
        <f t="shared" si="0"/>
        <v>1205.36336163382</v>
      </c>
      <c r="AQ33" s="16">
        <f t="shared" si="1"/>
        <v>0</v>
      </c>
    </row>
    <row r="34" spans="1:43">
      <c r="A34" s="22" t="s">
        <v>25</v>
      </c>
      <c r="B34" s="19">
        <v>782</v>
      </c>
      <c r="C34" s="19">
        <v>241</v>
      </c>
      <c r="D34" s="19">
        <v>1189</v>
      </c>
      <c r="E34" s="19">
        <v>359</v>
      </c>
      <c r="F34" s="19">
        <v>773.87052317794962</v>
      </c>
      <c r="G34" s="19">
        <v>292.52382598176871</v>
      </c>
      <c r="H34" s="19">
        <v>1663</v>
      </c>
      <c r="I34" s="19">
        <v>1468</v>
      </c>
      <c r="J34" s="19">
        <v>2369.09</v>
      </c>
      <c r="K34" s="19">
        <v>1303</v>
      </c>
      <c r="L34" s="19">
        <v>1075.073875</v>
      </c>
      <c r="M34" s="19">
        <v>801.27700000000004</v>
      </c>
      <c r="N34" s="19">
        <v>1014</v>
      </c>
      <c r="O34" s="19">
        <v>633</v>
      </c>
      <c r="P34" s="19">
        <v>1361</v>
      </c>
      <c r="Q34" s="19"/>
      <c r="R34" s="19">
        <v>1798.11</v>
      </c>
      <c r="S34" s="19">
        <v>988.96</v>
      </c>
      <c r="T34" s="19">
        <v>788</v>
      </c>
      <c r="U34" s="19">
        <v>493</v>
      </c>
      <c r="V34" s="19">
        <v>892.55569472000025</v>
      </c>
      <c r="W34" s="19">
        <v>623.01861152000015</v>
      </c>
      <c r="X34" s="19">
        <v>1482.485523868487</v>
      </c>
      <c r="Y34" s="19">
        <v>761.55078280915427</v>
      </c>
      <c r="Z34" s="19">
        <v>1255.06</v>
      </c>
      <c r="AA34" s="19"/>
      <c r="AB34" s="19">
        <v>1670</v>
      </c>
      <c r="AC34" s="19"/>
      <c r="AD34" s="19">
        <v>1176</v>
      </c>
      <c r="AE34" s="19"/>
      <c r="AF34" s="19">
        <v>1244</v>
      </c>
      <c r="AG34" s="19"/>
      <c r="AH34" s="18">
        <v>734</v>
      </c>
      <c r="AI34" s="18">
        <v>479</v>
      </c>
      <c r="AJ34" s="18">
        <v>926</v>
      </c>
      <c r="AK34" s="18">
        <v>926</v>
      </c>
      <c r="AL34" s="20">
        <v>1377.0720000000001</v>
      </c>
      <c r="AM34" s="20">
        <v>669.74400000000014</v>
      </c>
      <c r="AN34" s="20">
        <v>1418.652</v>
      </c>
      <c r="AO34" s="20">
        <v>715.37400000000002</v>
      </c>
      <c r="AP34" s="20">
        <f t="shared" si="0"/>
        <v>1249.4484808383218</v>
      </c>
      <c r="AQ34" s="20">
        <f t="shared" si="1"/>
        <v>716.96321468739495</v>
      </c>
    </row>
    <row r="35" spans="1:43">
      <c r="A35" s="14" t="s">
        <v>26</v>
      </c>
      <c r="B35" s="15">
        <v>713</v>
      </c>
      <c r="C35" s="15"/>
      <c r="D35" s="15">
        <v>600</v>
      </c>
      <c r="E35" s="15"/>
      <c r="F35" s="15">
        <v>652.72227417243312</v>
      </c>
      <c r="G35" s="15"/>
      <c r="H35" s="15">
        <v>1001</v>
      </c>
      <c r="I35" s="15"/>
      <c r="J35" s="15">
        <v>2024.7</v>
      </c>
      <c r="K35" s="15"/>
      <c r="L35" s="15">
        <v>1075.073875</v>
      </c>
      <c r="M35" s="15"/>
      <c r="N35" s="15">
        <v>631</v>
      </c>
      <c r="O35" s="15"/>
      <c r="P35" s="15">
        <v>1178</v>
      </c>
      <c r="Q35" s="15"/>
      <c r="R35" s="15">
        <v>1536.94</v>
      </c>
      <c r="S35" s="15"/>
      <c r="T35" s="15">
        <v>488</v>
      </c>
      <c r="U35" s="15"/>
      <c r="V35" s="15">
        <v>635.914665152</v>
      </c>
      <c r="W35" s="15"/>
      <c r="X35" s="15">
        <v>682.53053623442054</v>
      </c>
      <c r="Y35" s="15"/>
      <c r="Z35" s="15">
        <v>891.59</v>
      </c>
      <c r="AA35" s="15"/>
      <c r="AB35" s="15">
        <v>1302</v>
      </c>
      <c r="AC35" s="15"/>
      <c r="AD35" s="15">
        <v>1015</v>
      </c>
      <c r="AE35" s="15"/>
      <c r="AF35" s="15">
        <v>982</v>
      </c>
      <c r="AG35" s="15"/>
      <c r="AH35" s="14">
        <v>377</v>
      </c>
      <c r="AI35" s="14"/>
      <c r="AJ35" s="14">
        <v>645</v>
      </c>
      <c r="AK35" s="14"/>
      <c r="AL35" s="16">
        <v>921.35700000000008</v>
      </c>
      <c r="AM35" s="16"/>
      <c r="AN35" s="16">
        <v>958.30200000000002</v>
      </c>
      <c r="AO35" s="16"/>
      <c r="AP35" s="16">
        <f t="shared" si="0"/>
        <v>915.55651752794279</v>
      </c>
      <c r="AQ35" s="16">
        <f t="shared" si="1"/>
        <v>0</v>
      </c>
    </row>
    <row r="36" spans="1:43">
      <c r="A36" s="18" t="s">
        <v>27</v>
      </c>
      <c r="B36" s="19">
        <v>841</v>
      </c>
      <c r="C36" s="19"/>
      <c r="D36" s="19">
        <v>612</v>
      </c>
      <c r="E36" s="19"/>
      <c r="F36" s="19">
        <v>604.24177981351215</v>
      </c>
      <c r="G36" s="19"/>
      <c r="H36" s="19">
        <v>1238</v>
      </c>
      <c r="I36" s="19"/>
      <c r="J36" s="19">
        <v>1891.71</v>
      </c>
      <c r="K36" s="19"/>
      <c r="L36" s="19">
        <v>1075.073875</v>
      </c>
      <c r="M36" s="19"/>
      <c r="N36" s="19">
        <v>631</v>
      </c>
      <c r="O36" s="19"/>
      <c r="P36" s="19">
        <v>868</v>
      </c>
      <c r="Q36" s="19"/>
      <c r="R36" s="19">
        <v>1436.62</v>
      </c>
      <c r="S36" s="19"/>
      <c r="T36" s="19">
        <v>488</v>
      </c>
      <c r="U36" s="19"/>
      <c r="V36" s="19">
        <v>635.914665152</v>
      </c>
      <c r="W36" s="19"/>
      <c r="X36" s="19">
        <v>688.61369609390727</v>
      </c>
      <c r="Y36" s="19"/>
      <c r="Z36" s="19">
        <v>792.34</v>
      </c>
      <c r="AA36" s="19"/>
      <c r="AB36" s="19">
        <v>1517</v>
      </c>
      <c r="AC36" s="19"/>
      <c r="AD36" s="19">
        <v>1041</v>
      </c>
      <c r="AE36" s="19"/>
      <c r="AF36" s="19">
        <v>893</v>
      </c>
      <c r="AG36" s="19"/>
      <c r="AH36" s="18">
        <v>415</v>
      </c>
      <c r="AI36" s="18"/>
      <c r="AJ36" s="18">
        <v>450</v>
      </c>
      <c r="AK36" s="18"/>
      <c r="AL36" s="20">
        <v>2050.2359999999999</v>
      </c>
      <c r="AM36" s="20"/>
      <c r="AN36" s="20">
        <v>2099.88</v>
      </c>
      <c r="AO36" s="20"/>
      <c r="AP36" s="20">
        <f t="shared" si="0"/>
        <v>1013.4315008029711</v>
      </c>
      <c r="AQ36" s="20">
        <f t="shared" si="1"/>
        <v>0</v>
      </c>
    </row>
    <row r="37" spans="1:43">
      <c r="A37" s="14" t="s">
        <v>28</v>
      </c>
      <c r="B37" s="15">
        <v>1224</v>
      </c>
      <c r="C37" s="15"/>
      <c r="D37" s="15">
        <v>1367</v>
      </c>
      <c r="E37" s="15"/>
      <c r="F37" s="15">
        <v>656.24373362005247</v>
      </c>
      <c r="G37" s="15"/>
      <c r="H37" s="15">
        <v>1233</v>
      </c>
      <c r="I37" s="15"/>
      <c r="J37" s="15">
        <v>2293.4</v>
      </c>
      <c r="K37" s="15"/>
      <c r="L37" s="15">
        <v>1075.073875</v>
      </c>
      <c r="M37" s="15"/>
      <c r="N37" s="15">
        <v>631</v>
      </c>
      <c r="O37" s="15"/>
      <c r="P37" s="15">
        <v>1365</v>
      </c>
      <c r="Q37" s="15"/>
      <c r="R37" s="15">
        <v>1741.43</v>
      </c>
      <c r="S37" s="15"/>
      <c r="T37" s="15">
        <v>488</v>
      </c>
      <c r="U37" s="15"/>
      <c r="V37" s="15">
        <v>833.41248899840002</v>
      </c>
      <c r="W37" s="15"/>
      <c r="X37" s="15">
        <v>960.53094181296797</v>
      </c>
      <c r="Y37" s="15"/>
      <c r="Z37" s="15">
        <v>1252.95</v>
      </c>
      <c r="AA37" s="15"/>
      <c r="AB37" s="15">
        <v>1905</v>
      </c>
      <c r="AC37" s="15"/>
      <c r="AD37" s="15">
        <v>1475</v>
      </c>
      <c r="AE37" s="15"/>
      <c r="AF37" s="15">
        <v>1155</v>
      </c>
      <c r="AG37" s="15"/>
      <c r="AH37" s="14">
        <v>494</v>
      </c>
      <c r="AI37" s="14"/>
      <c r="AJ37" s="14">
        <v>718</v>
      </c>
      <c r="AK37" s="14"/>
      <c r="AL37" s="16">
        <v>1507.6529999999998</v>
      </c>
      <c r="AM37" s="16"/>
      <c r="AN37" s="16">
        <v>1553.2380000000003</v>
      </c>
      <c r="AO37" s="16"/>
      <c r="AP37" s="16">
        <f t="shared" si="0"/>
        <v>1196.446601971571</v>
      </c>
      <c r="AQ37" s="16">
        <f t="shared" si="1"/>
        <v>0</v>
      </c>
    </row>
    <row r="38" spans="1:43">
      <c r="A38" s="22" t="s">
        <v>29</v>
      </c>
      <c r="B38" s="19">
        <v>2555</v>
      </c>
      <c r="C38" s="19">
        <v>328</v>
      </c>
      <c r="D38" s="19">
        <v>2138</v>
      </c>
      <c r="E38" s="19">
        <v>359</v>
      </c>
      <c r="F38" s="19">
        <v>1526.8355746568695</v>
      </c>
      <c r="G38" s="19">
        <v>299.85318175516431</v>
      </c>
      <c r="H38" s="19">
        <v>1495</v>
      </c>
      <c r="I38" s="19">
        <v>1468</v>
      </c>
      <c r="J38" s="19">
        <v>4313.1000000000004</v>
      </c>
      <c r="K38" s="19">
        <v>1940.9</v>
      </c>
      <c r="L38" s="19">
        <v>2835.8649999999998</v>
      </c>
      <c r="M38" s="19">
        <v>953.56000000000006</v>
      </c>
      <c r="N38" s="19">
        <v>1839</v>
      </c>
      <c r="O38" s="19">
        <v>1261</v>
      </c>
      <c r="P38" s="19">
        <v>2077</v>
      </c>
      <c r="Q38" s="19">
        <v>1015</v>
      </c>
      <c r="R38" s="19">
        <v>3274.67</v>
      </c>
      <c r="S38" s="19">
        <v>1473.6</v>
      </c>
      <c r="T38" s="19">
        <v>1425</v>
      </c>
      <c r="U38" s="19">
        <v>978</v>
      </c>
      <c r="V38" s="19">
        <v>6040.7993924864013</v>
      </c>
      <c r="W38" s="19">
        <v>648.24741290239967</v>
      </c>
      <c r="X38" s="19">
        <v>3612.4260842215936</v>
      </c>
      <c r="Y38" s="19">
        <v>1855.6983309357504</v>
      </c>
      <c r="Z38" s="19">
        <v>3306.92</v>
      </c>
      <c r="AA38" s="19">
        <v>626.70000000000005</v>
      </c>
      <c r="AB38" s="19">
        <v>3109</v>
      </c>
      <c r="AC38" s="19">
        <v>693</v>
      </c>
      <c r="AD38" s="19">
        <v>3903</v>
      </c>
      <c r="AE38" s="19">
        <v>1210</v>
      </c>
      <c r="AF38" s="19">
        <v>2192</v>
      </c>
      <c r="AG38" s="19">
        <v>812</v>
      </c>
      <c r="AH38" s="18">
        <v>1627</v>
      </c>
      <c r="AI38" s="18">
        <v>463</v>
      </c>
      <c r="AJ38" s="18">
        <v>1832</v>
      </c>
      <c r="AK38" s="18">
        <v>661</v>
      </c>
      <c r="AL38" s="20">
        <v>2034.3509999999999</v>
      </c>
      <c r="AM38" s="20">
        <v>472.80600000000004</v>
      </c>
      <c r="AN38" s="20">
        <v>2064.3840000000005</v>
      </c>
      <c r="AO38" s="20">
        <v>506.79900000000004</v>
      </c>
      <c r="AP38" s="20">
        <f t="shared" si="0"/>
        <v>2660.0675525682427</v>
      </c>
      <c r="AQ38" s="20">
        <f t="shared" si="1"/>
        <v>901.30819627966571</v>
      </c>
    </row>
    <row r="39" spans="1:43">
      <c r="A39" s="14" t="s">
        <v>30</v>
      </c>
      <c r="B39" s="15">
        <v>708</v>
      </c>
      <c r="C39" s="15"/>
      <c r="D39" s="15">
        <v>486</v>
      </c>
      <c r="E39" s="15"/>
      <c r="F39" s="15">
        <v>466.35681581786901</v>
      </c>
      <c r="G39" s="15"/>
      <c r="H39" s="15">
        <v>732</v>
      </c>
      <c r="I39" s="15"/>
      <c r="J39" s="15">
        <v>1777.56</v>
      </c>
      <c r="K39" s="15"/>
      <c r="L39" s="15">
        <v>634.85080000000005</v>
      </c>
      <c r="M39" s="15"/>
      <c r="N39" s="15">
        <v>679</v>
      </c>
      <c r="O39" s="15"/>
      <c r="P39" s="15">
        <v>868</v>
      </c>
      <c r="Q39" s="15"/>
      <c r="R39" s="15">
        <v>1350.1</v>
      </c>
      <c r="S39" s="15"/>
      <c r="T39" s="15">
        <v>524</v>
      </c>
      <c r="U39" s="15"/>
      <c r="V39" s="15">
        <v>635.914665152</v>
      </c>
      <c r="W39" s="15"/>
      <c r="X39" s="15">
        <v>608.31598594868137</v>
      </c>
      <c r="Y39" s="15"/>
      <c r="Z39" s="15">
        <v>792.34</v>
      </c>
      <c r="AA39" s="15"/>
      <c r="AB39" s="15">
        <v>1110</v>
      </c>
      <c r="AC39" s="15"/>
      <c r="AD39" s="15">
        <v>743</v>
      </c>
      <c r="AE39" s="15"/>
      <c r="AF39" s="15">
        <v>659</v>
      </c>
      <c r="AG39" s="15"/>
      <c r="AH39" s="14">
        <v>411</v>
      </c>
      <c r="AI39" s="14"/>
      <c r="AJ39" s="14">
        <v>498</v>
      </c>
      <c r="AK39" s="14"/>
      <c r="AL39" s="16">
        <v>738.40500000000009</v>
      </c>
      <c r="AM39" s="16"/>
      <c r="AN39" s="16">
        <v>764.63100000000009</v>
      </c>
      <c r="AO39" s="16"/>
      <c r="AP39" s="16">
        <f t="shared" si="0"/>
        <v>759.32371334592756</v>
      </c>
      <c r="AQ39" s="16">
        <f t="shared" si="1"/>
        <v>0</v>
      </c>
    </row>
    <row r="40" spans="1:43">
      <c r="A40" s="18" t="s">
        <v>31</v>
      </c>
      <c r="B40" s="19">
        <v>823</v>
      </c>
      <c r="C40" s="19"/>
      <c r="D40" s="19">
        <v>556</v>
      </c>
      <c r="E40" s="19"/>
      <c r="F40" s="19">
        <v>485.78301565690947</v>
      </c>
      <c r="G40" s="19"/>
      <c r="H40" s="19">
        <v>886</v>
      </c>
      <c r="I40" s="19"/>
      <c r="J40" s="19">
        <v>1797.43</v>
      </c>
      <c r="K40" s="19"/>
      <c r="L40" s="19">
        <v>1075.073875</v>
      </c>
      <c r="M40" s="19"/>
      <c r="N40" s="19">
        <v>679</v>
      </c>
      <c r="O40" s="19"/>
      <c r="P40" s="19">
        <v>1178</v>
      </c>
      <c r="Q40" s="19"/>
      <c r="R40" s="19">
        <v>1364.83</v>
      </c>
      <c r="S40" s="19"/>
      <c r="T40" s="19">
        <v>524</v>
      </c>
      <c r="U40" s="19"/>
      <c r="V40" s="19">
        <v>635.914665152</v>
      </c>
      <c r="W40" s="19"/>
      <c r="X40" s="19">
        <v>688.61369609390727</v>
      </c>
      <c r="Y40" s="19"/>
      <c r="Z40" s="19">
        <v>964.12</v>
      </c>
      <c r="AA40" s="19"/>
      <c r="AB40" s="19">
        <v>1302</v>
      </c>
      <c r="AC40" s="19"/>
      <c r="AD40" s="19">
        <v>820</v>
      </c>
      <c r="AE40" s="19"/>
      <c r="AF40" s="19">
        <v>920</v>
      </c>
      <c r="AG40" s="19"/>
      <c r="AH40" s="18">
        <v>415</v>
      </c>
      <c r="AI40" s="18"/>
      <c r="AJ40" s="18">
        <v>534</v>
      </c>
      <c r="AK40" s="18"/>
      <c r="AL40" s="20">
        <v>921.35700000000008</v>
      </c>
      <c r="AM40" s="20"/>
      <c r="AN40" s="20">
        <v>958.30200000000002</v>
      </c>
      <c r="AO40" s="20"/>
      <c r="AP40" s="20">
        <f t="shared" si="0"/>
        <v>876.42121259514101</v>
      </c>
      <c r="AQ40" s="20">
        <f t="shared" si="1"/>
        <v>0</v>
      </c>
    </row>
    <row r="41" spans="1:43">
      <c r="A41" s="14" t="s">
        <v>32</v>
      </c>
      <c r="B41" s="15">
        <v>736</v>
      </c>
      <c r="C41" s="15"/>
      <c r="D41" s="15">
        <v>1290</v>
      </c>
      <c r="E41" s="15"/>
      <c r="F41" s="15">
        <v>944.97356630824368</v>
      </c>
      <c r="G41" s="15"/>
      <c r="H41" s="15">
        <v>1549</v>
      </c>
      <c r="I41" s="15"/>
      <c r="J41" s="15">
        <v>2611.27</v>
      </c>
      <c r="K41" s="15"/>
      <c r="L41" s="15">
        <v>1075.073875</v>
      </c>
      <c r="M41" s="15"/>
      <c r="N41" s="15">
        <v>1014</v>
      </c>
      <c r="O41" s="15"/>
      <c r="P41" s="15">
        <v>1392</v>
      </c>
      <c r="Q41" s="15"/>
      <c r="R41" s="15">
        <v>1982.37</v>
      </c>
      <c r="S41" s="15"/>
      <c r="T41" s="15">
        <v>788</v>
      </c>
      <c r="U41" s="15"/>
      <c r="V41" s="15">
        <v>985.00305674240008</v>
      </c>
      <c r="W41" s="15"/>
      <c r="X41" s="15">
        <v>1294.377188165548</v>
      </c>
      <c r="Y41" s="15"/>
      <c r="Z41" s="15">
        <v>1046.82</v>
      </c>
      <c r="AA41" s="15"/>
      <c r="AB41" s="15">
        <v>1690</v>
      </c>
      <c r="AC41" s="15"/>
      <c r="AD41" s="15">
        <v>4344</v>
      </c>
      <c r="AE41" s="15"/>
      <c r="AF41" s="15">
        <v>1533</v>
      </c>
      <c r="AG41" s="15"/>
      <c r="AH41" s="14">
        <v>712</v>
      </c>
      <c r="AI41" s="14"/>
      <c r="AJ41" s="14">
        <v>769</v>
      </c>
      <c r="AK41" s="14"/>
      <c r="AL41" s="16">
        <v>1318.4189999999999</v>
      </c>
      <c r="AM41" s="16"/>
      <c r="AN41" s="16">
        <v>1360.5030000000002</v>
      </c>
      <c r="AO41" s="16"/>
      <c r="AP41" s="16">
        <f t="shared" si="0"/>
        <v>1421.7904843108097</v>
      </c>
      <c r="AQ41" s="16">
        <f t="shared" si="1"/>
        <v>0</v>
      </c>
    </row>
    <row r="42" spans="1:43">
      <c r="A42" s="22" t="s">
        <v>33</v>
      </c>
      <c r="B42" s="19">
        <v>2494</v>
      </c>
      <c r="C42" s="19">
        <v>290</v>
      </c>
      <c r="D42" s="19">
        <v>2108</v>
      </c>
      <c r="E42" s="19">
        <v>319</v>
      </c>
      <c r="F42" s="19">
        <v>1510.9216762390981</v>
      </c>
      <c r="G42" s="19">
        <v>275.26419910657307</v>
      </c>
      <c r="H42" s="19">
        <v>1663</v>
      </c>
      <c r="I42" s="19">
        <v>1468</v>
      </c>
      <c r="J42" s="19">
        <v>4313.1000000000004</v>
      </c>
      <c r="K42" s="19">
        <v>1940.9</v>
      </c>
      <c r="L42" s="19">
        <v>2835.8649999999998</v>
      </c>
      <c r="M42" s="19">
        <v>953.56000000000006</v>
      </c>
      <c r="N42" s="19">
        <v>1839</v>
      </c>
      <c r="O42" s="19">
        <v>1261</v>
      </c>
      <c r="P42" s="19">
        <v>2077</v>
      </c>
      <c r="Q42" s="19">
        <v>1015</v>
      </c>
      <c r="R42" s="19">
        <v>3274.67</v>
      </c>
      <c r="S42" s="19">
        <v>1473.6</v>
      </c>
      <c r="T42" s="19">
        <v>1425</v>
      </c>
      <c r="U42" s="19">
        <v>978</v>
      </c>
      <c r="V42" s="19">
        <v>3778.4864736512004</v>
      </c>
      <c r="W42" s="19">
        <v>625.56218097919998</v>
      </c>
      <c r="X42" s="19">
        <v>3612.4260842215936</v>
      </c>
      <c r="Y42" s="19">
        <v>1855.6983309357504</v>
      </c>
      <c r="Z42" s="19">
        <v>3306.92</v>
      </c>
      <c r="AA42" s="19">
        <v>626.70000000000005</v>
      </c>
      <c r="AB42" s="19">
        <v>3109</v>
      </c>
      <c r="AC42" s="19">
        <v>693</v>
      </c>
      <c r="AD42" s="19">
        <v>3945</v>
      </c>
      <c r="AE42" s="19">
        <v>1150</v>
      </c>
      <c r="AF42" s="19">
        <v>1677</v>
      </c>
      <c r="AG42" s="19">
        <v>783</v>
      </c>
      <c r="AH42" s="18">
        <v>1627</v>
      </c>
      <c r="AI42" s="18">
        <v>463</v>
      </c>
      <c r="AJ42" s="18">
        <v>2109</v>
      </c>
      <c r="AK42" s="18">
        <v>760</v>
      </c>
      <c r="AL42" s="20">
        <v>2016.3869999999999</v>
      </c>
      <c r="AM42" s="20">
        <v>652.06799999999998</v>
      </c>
      <c r="AN42" s="20">
        <v>2056.9049999999997</v>
      </c>
      <c r="AO42" s="20">
        <v>696.47400000000005</v>
      </c>
      <c r="AP42" s="20">
        <f t="shared" si="0"/>
        <v>2538.9340617055941</v>
      </c>
      <c r="AQ42" s="20">
        <f t="shared" si="1"/>
        <v>913.99133555107596</v>
      </c>
    </row>
    <row r="43" spans="1:43">
      <c r="A43" s="21" t="s">
        <v>34</v>
      </c>
      <c r="B43" s="15">
        <v>882</v>
      </c>
      <c r="C43" s="15">
        <v>280</v>
      </c>
      <c r="D43" s="15">
        <v>1158</v>
      </c>
      <c r="E43" s="15">
        <v>329</v>
      </c>
      <c r="F43" s="15">
        <v>740.87929411764708</v>
      </c>
      <c r="G43" s="15">
        <v>327.17505882352941</v>
      </c>
      <c r="H43" s="15">
        <v>1663</v>
      </c>
      <c r="I43" s="15">
        <v>1468</v>
      </c>
      <c r="J43" s="15">
        <v>2478.7600000000002</v>
      </c>
      <c r="K43" s="15">
        <v>1363.32</v>
      </c>
      <c r="L43" s="15">
        <v>1443.6100000000001</v>
      </c>
      <c r="M43" s="15">
        <v>1025.3200000000002</v>
      </c>
      <c r="N43" s="15">
        <v>1039</v>
      </c>
      <c r="O43" s="15">
        <v>734</v>
      </c>
      <c r="P43" s="15">
        <v>1361</v>
      </c>
      <c r="Q43" s="15"/>
      <c r="R43" s="15">
        <v>1881.82</v>
      </c>
      <c r="S43" s="15">
        <v>1035</v>
      </c>
      <c r="T43" s="15">
        <v>808</v>
      </c>
      <c r="U43" s="15">
        <v>572</v>
      </c>
      <c r="V43" s="15">
        <v>2241.6306854912004</v>
      </c>
      <c r="W43" s="15">
        <v>614.38082001919997</v>
      </c>
      <c r="X43" s="15">
        <v>3216.4926750791465</v>
      </c>
      <c r="Y43" s="15">
        <v>1652.3078810338081</v>
      </c>
      <c r="Z43" s="15">
        <v>1046.82</v>
      </c>
      <c r="AA43" s="15"/>
      <c r="AB43" s="15">
        <v>1670</v>
      </c>
      <c r="AC43" s="15"/>
      <c r="AD43" s="15">
        <v>2538</v>
      </c>
      <c r="AE43" s="15">
        <v>1088</v>
      </c>
      <c r="AF43" s="15">
        <v>1619</v>
      </c>
      <c r="AG43" s="15"/>
      <c r="AH43" s="14">
        <v>1104</v>
      </c>
      <c r="AI43" s="14">
        <v>674</v>
      </c>
      <c r="AJ43" s="14">
        <v>1035</v>
      </c>
      <c r="AK43" s="14">
        <v>755</v>
      </c>
      <c r="AL43" s="16">
        <v>1599.2099999999998</v>
      </c>
      <c r="AM43" s="16">
        <v>521.298</v>
      </c>
      <c r="AN43" s="16">
        <v>1634.0940000000001</v>
      </c>
      <c r="AO43" s="16">
        <v>560.47500000000002</v>
      </c>
      <c r="AP43" s="16">
        <f t="shared" si="0"/>
        <v>1558.0158327343997</v>
      </c>
      <c r="AQ43" s="16">
        <f t="shared" si="1"/>
        <v>812.45479749228366</v>
      </c>
    </row>
    <row r="44" spans="1:43">
      <c r="A44" s="18" t="s">
        <v>35</v>
      </c>
      <c r="B44" s="19">
        <v>823</v>
      </c>
      <c r="C44" s="19"/>
      <c r="D44" s="19">
        <v>711</v>
      </c>
      <c r="E44" s="19"/>
      <c r="F44" s="19">
        <v>545.1139001959898</v>
      </c>
      <c r="G44" s="19"/>
      <c r="H44" s="19">
        <v>1238</v>
      </c>
      <c r="I44" s="19"/>
      <c r="J44" s="19">
        <v>1797.43</v>
      </c>
      <c r="K44" s="19"/>
      <c r="L44" s="19">
        <v>1075.073875</v>
      </c>
      <c r="M44" s="19"/>
      <c r="N44" s="19">
        <v>631</v>
      </c>
      <c r="O44" s="19"/>
      <c r="P44" s="19">
        <v>1178</v>
      </c>
      <c r="Q44" s="19"/>
      <c r="R44" s="19">
        <v>1364.83</v>
      </c>
      <c r="S44" s="19"/>
      <c r="T44" s="19">
        <v>488</v>
      </c>
      <c r="U44" s="19"/>
      <c r="V44" s="19">
        <v>755.61586104320008</v>
      </c>
      <c r="W44" s="19"/>
      <c r="X44" s="19">
        <v>710.5130715880598</v>
      </c>
      <c r="Y44" s="19"/>
      <c r="Z44" s="19">
        <v>880.14</v>
      </c>
      <c r="AA44" s="19"/>
      <c r="AB44" s="19">
        <v>1413</v>
      </c>
      <c r="AC44" s="19"/>
      <c r="AD44" s="19">
        <v>1211</v>
      </c>
      <c r="AE44" s="19"/>
      <c r="AF44" s="19">
        <v>1011</v>
      </c>
      <c r="AG44" s="19"/>
      <c r="AH44" s="18">
        <v>503</v>
      </c>
      <c r="AI44" s="18"/>
      <c r="AJ44" s="18">
        <v>534</v>
      </c>
      <c r="AK44" s="18"/>
      <c r="AL44" s="20">
        <v>1216.6289999999999</v>
      </c>
      <c r="AM44" s="20"/>
      <c r="AN44" s="20">
        <v>1264.9680000000001</v>
      </c>
      <c r="AO44" s="20"/>
      <c r="AP44" s="20">
        <f t="shared" si="0"/>
        <v>967.56568539136242</v>
      </c>
      <c r="AQ44" s="20">
        <f t="shared" si="1"/>
        <v>0</v>
      </c>
    </row>
    <row r="45" spans="1:43">
      <c r="A45" s="14" t="s">
        <v>36</v>
      </c>
      <c r="B45" s="15">
        <v>823</v>
      </c>
      <c r="C45" s="15"/>
      <c r="D45" s="15">
        <v>621</v>
      </c>
      <c r="E45" s="15"/>
      <c r="F45" s="15">
        <v>661.38930290839539</v>
      </c>
      <c r="G45" s="15"/>
      <c r="H45" s="15">
        <v>1238</v>
      </c>
      <c r="I45" s="15"/>
      <c r="J45" s="15">
        <v>1986.99</v>
      </c>
      <c r="K45" s="15"/>
      <c r="L45" s="15">
        <v>1075.073875</v>
      </c>
      <c r="M45" s="15"/>
      <c r="N45" s="15">
        <v>631</v>
      </c>
      <c r="O45" s="15"/>
      <c r="P45" s="15">
        <v>1178</v>
      </c>
      <c r="Q45" s="15"/>
      <c r="R45" s="15">
        <v>1508.41</v>
      </c>
      <c r="S45" s="15"/>
      <c r="T45" s="15">
        <v>488</v>
      </c>
      <c r="U45" s="15"/>
      <c r="V45" s="15">
        <v>635.914665152</v>
      </c>
      <c r="W45" s="15"/>
      <c r="X45" s="15">
        <v>710.5130715880598</v>
      </c>
      <c r="Y45" s="15"/>
      <c r="Z45" s="15">
        <v>1046.82</v>
      </c>
      <c r="AA45" s="15"/>
      <c r="AB45" s="15">
        <v>1517</v>
      </c>
      <c r="AC45" s="15"/>
      <c r="AD45" s="15">
        <v>1081</v>
      </c>
      <c r="AE45" s="15"/>
      <c r="AF45" s="15">
        <v>803</v>
      </c>
      <c r="AG45" s="15"/>
      <c r="AH45" s="14">
        <v>415</v>
      </c>
      <c r="AI45" s="14"/>
      <c r="AJ45" s="14">
        <v>450</v>
      </c>
      <c r="AK45" s="14"/>
      <c r="AL45" s="16">
        <v>1000.773</v>
      </c>
      <c r="AM45" s="16"/>
      <c r="AN45" s="16">
        <v>1037.9340000000002</v>
      </c>
      <c r="AO45" s="16"/>
      <c r="AP45" s="16">
        <f t="shared" si="0"/>
        <v>945.44089573242286</v>
      </c>
      <c r="AQ45" s="16">
        <f t="shared" si="1"/>
        <v>0</v>
      </c>
    </row>
    <row r="46" spans="1:43">
      <c r="A46" s="18" t="s">
        <v>37</v>
      </c>
      <c r="B46" s="19">
        <v>828</v>
      </c>
      <c r="C46" s="19"/>
      <c r="D46" s="19">
        <v>455</v>
      </c>
      <c r="E46" s="19"/>
      <c r="F46" s="19">
        <v>471.98935331230285</v>
      </c>
      <c r="G46" s="19"/>
      <c r="H46" s="19">
        <v>886</v>
      </c>
      <c r="I46" s="19"/>
      <c r="J46" s="19">
        <v>1665.42</v>
      </c>
      <c r="K46" s="19"/>
      <c r="L46" s="19">
        <v>1075.073875</v>
      </c>
      <c r="M46" s="19"/>
      <c r="N46" s="19">
        <v>679</v>
      </c>
      <c r="O46" s="19"/>
      <c r="P46" s="19">
        <v>1178</v>
      </c>
      <c r="Q46" s="19"/>
      <c r="R46" s="19">
        <v>1264.53</v>
      </c>
      <c r="S46" s="19"/>
      <c r="T46" s="19">
        <v>524</v>
      </c>
      <c r="U46" s="19"/>
      <c r="V46" s="19">
        <v>635.914665152</v>
      </c>
      <c r="W46" s="19"/>
      <c r="X46" s="19">
        <v>688.61369609390727</v>
      </c>
      <c r="Y46" s="19"/>
      <c r="Z46" s="19">
        <v>792.34</v>
      </c>
      <c r="AA46" s="19"/>
      <c r="AB46" s="19">
        <v>1302</v>
      </c>
      <c r="AC46" s="19"/>
      <c r="AD46" s="19">
        <v>802</v>
      </c>
      <c r="AE46" s="19"/>
      <c r="AF46" s="19">
        <v>969</v>
      </c>
      <c r="AG46" s="19"/>
      <c r="AH46" s="18">
        <v>415</v>
      </c>
      <c r="AI46" s="18"/>
      <c r="AJ46" s="18">
        <v>603</v>
      </c>
      <c r="AK46" s="18"/>
      <c r="AL46" s="20">
        <v>785.74500000000012</v>
      </c>
      <c r="AM46" s="20"/>
      <c r="AN46" s="20">
        <v>812.68200000000002</v>
      </c>
      <c r="AO46" s="20"/>
      <c r="AP46" s="20">
        <f t="shared" si="0"/>
        <v>841.66542947791061</v>
      </c>
      <c r="AQ46" s="20">
        <f t="shared" si="1"/>
        <v>0</v>
      </c>
    </row>
    <row r="47" spans="1:43">
      <c r="A47" s="14" t="s">
        <v>38</v>
      </c>
      <c r="B47" s="15">
        <v>847</v>
      </c>
      <c r="C47" s="15"/>
      <c r="D47" s="15">
        <v>738</v>
      </c>
      <c r="E47" s="15"/>
      <c r="F47" s="15">
        <v>695.34324045407641</v>
      </c>
      <c r="G47" s="15"/>
      <c r="H47" s="15">
        <v>1238</v>
      </c>
      <c r="I47" s="15"/>
      <c r="J47" s="15">
        <v>1929.41</v>
      </c>
      <c r="K47" s="15"/>
      <c r="L47" s="15">
        <v>1075.073875</v>
      </c>
      <c r="M47" s="15"/>
      <c r="N47" s="15">
        <v>631</v>
      </c>
      <c r="O47" s="15"/>
      <c r="P47" s="15">
        <v>1365</v>
      </c>
      <c r="Q47" s="15"/>
      <c r="R47" s="15">
        <v>1465.16</v>
      </c>
      <c r="S47" s="15"/>
      <c r="T47" s="15">
        <v>488</v>
      </c>
      <c r="U47" s="15"/>
      <c r="V47" s="15">
        <v>755.61586104320008</v>
      </c>
      <c r="W47" s="15"/>
      <c r="X47" s="15">
        <v>960.53094181296797</v>
      </c>
      <c r="Y47" s="15"/>
      <c r="Z47" s="15">
        <v>1275.8499999999999</v>
      </c>
      <c r="AA47" s="15"/>
      <c r="AB47" s="15">
        <v>1872</v>
      </c>
      <c r="AC47" s="15"/>
      <c r="AD47" s="15">
        <v>1267</v>
      </c>
      <c r="AE47" s="15"/>
      <c r="AF47" s="15">
        <v>1009</v>
      </c>
      <c r="AG47" s="15"/>
      <c r="AH47" s="14">
        <v>494</v>
      </c>
      <c r="AI47" s="14"/>
      <c r="AJ47" s="14">
        <v>594</v>
      </c>
      <c r="AK47" s="14"/>
      <c r="AL47" s="16">
        <v>1216.6289999999999</v>
      </c>
      <c r="AM47" s="16"/>
      <c r="AN47" s="16">
        <v>1264.9680000000001</v>
      </c>
      <c r="AO47" s="16"/>
      <c r="AP47" s="16">
        <f t="shared" si="0"/>
        <v>1059.0790459155123</v>
      </c>
      <c r="AQ47" s="16">
        <f t="shared" si="1"/>
        <v>0</v>
      </c>
    </row>
    <row r="48" spans="1:43">
      <c r="A48" s="18" t="s">
        <v>39</v>
      </c>
      <c r="B48" s="19">
        <v>689</v>
      </c>
      <c r="C48" s="19"/>
      <c r="D48" s="19">
        <v>575</v>
      </c>
      <c r="E48" s="19"/>
      <c r="F48" s="19">
        <v>535.44768223959284</v>
      </c>
      <c r="G48" s="19"/>
      <c r="H48" s="19">
        <v>960</v>
      </c>
      <c r="I48" s="19"/>
      <c r="J48" s="19">
        <v>1645.56</v>
      </c>
      <c r="K48" s="19"/>
      <c r="L48" s="19">
        <v>634.85080000000005</v>
      </c>
      <c r="M48" s="19"/>
      <c r="N48" s="19">
        <v>631</v>
      </c>
      <c r="O48" s="19"/>
      <c r="P48" s="19">
        <v>1178</v>
      </c>
      <c r="Q48" s="19"/>
      <c r="R48" s="19">
        <v>1249.79</v>
      </c>
      <c r="S48" s="19"/>
      <c r="T48" s="19">
        <v>488</v>
      </c>
      <c r="U48" s="19"/>
      <c r="V48" s="19">
        <v>635.914665152</v>
      </c>
      <c r="W48" s="19"/>
      <c r="X48" s="19">
        <v>674.0141124311391</v>
      </c>
      <c r="Y48" s="19"/>
      <c r="Z48" s="19">
        <v>901.77</v>
      </c>
      <c r="AA48" s="19"/>
      <c r="AB48" s="19">
        <v>1280</v>
      </c>
      <c r="AC48" s="19"/>
      <c r="AD48" s="19">
        <v>915</v>
      </c>
      <c r="AE48" s="19"/>
      <c r="AF48" s="19">
        <v>885</v>
      </c>
      <c r="AG48" s="19"/>
      <c r="AH48" s="18">
        <v>423</v>
      </c>
      <c r="AI48" s="18"/>
      <c r="AJ48" s="18">
        <v>534</v>
      </c>
      <c r="AK48" s="18"/>
      <c r="AL48" s="20">
        <v>1204.6950000000002</v>
      </c>
      <c r="AM48" s="20"/>
      <c r="AN48" s="20">
        <v>1253.0340000000001</v>
      </c>
      <c r="AO48" s="20"/>
      <c r="AP48" s="20">
        <f t="shared" si="0"/>
        <v>864.65381299113665</v>
      </c>
      <c r="AQ48" s="20">
        <f t="shared" si="1"/>
        <v>0</v>
      </c>
    </row>
    <row r="49" spans="1:43">
      <c r="A49" s="14" t="s">
        <v>40</v>
      </c>
      <c r="B49" s="15">
        <v>1336</v>
      </c>
      <c r="C49" s="15"/>
      <c r="D49" s="15">
        <v>1367</v>
      </c>
      <c r="E49" s="15"/>
      <c r="F49" s="15">
        <v>916.76037091264027</v>
      </c>
      <c r="G49" s="15"/>
      <c r="H49" s="15">
        <v>1549</v>
      </c>
      <c r="I49" s="15"/>
      <c r="J49" s="15">
        <v>2349.69</v>
      </c>
      <c r="K49" s="15"/>
      <c r="L49" s="15">
        <v>1075.073875</v>
      </c>
      <c r="M49" s="15"/>
      <c r="N49" s="15">
        <v>1014</v>
      </c>
      <c r="O49" s="15"/>
      <c r="P49" s="15">
        <v>1365</v>
      </c>
      <c r="Q49" s="15"/>
      <c r="R49" s="15">
        <v>1783.71</v>
      </c>
      <c r="S49" s="15"/>
      <c r="T49" s="15">
        <v>788</v>
      </c>
      <c r="U49" s="15"/>
      <c r="V49" s="15">
        <v>935.44257075200005</v>
      </c>
      <c r="W49" s="15"/>
      <c r="X49" s="15">
        <v>1603.4503743063538</v>
      </c>
      <c r="Y49" s="15"/>
      <c r="Z49" s="15">
        <v>1244.04</v>
      </c>
      <c r="AA49" s="15"/>
      <c r="AB49" s="15">
        <v>2106</v>
      </c>
      <c r="AC49" s="15"/>
      <c r="AD49" s="15">
        <v>2218</v>
      </c>
      <c r="AE49" s="15"/>
      <c r="AF49" s="15">
        <v>1351</v>
      </c>
      <c r="AG49" s="15"/>
      <c r="AH49" s="14">
        <v>712</v>
      </c>
      <c r="AI49" s="14"/>
      <c r="AJ49" s="14">
        <v>1213</v>
      </c>
      <c r="AK49" s="14"/>
      <c r="AL49" s="16">
        <v>1507.6529999999998</v>
      </c>
      <c r="AM49" s="16"/>
      <c r="AN49" s="16">
        <v>1553.2380000000003</v>
      </c>
      <c r="AO49" s="16"/>
      <c r="AP49" s="16">
        <f t="shared" si="0"/>
        <v>1399.4029095485498</v>
      </c>
      <c r="AQ49" s="16">
        <f t="shared" si="1"/>
        <v>0</v>
      </c>
    </row>
    <row r="50" spans="1:43">
      <c r="A50" s="18" t="s">
        <v>41</v>
      </c>
      <c r="B50" s="19">
        <v>1336</v>
      </c>
      <c r="C50" s="19"/>
      <c r="D50" s="19">
        <v>744</v>
      </c>
      <c r="E50" s="19"/>
      <c r="F50" s="19">
        <v>749.68593001306806</v>
      </c>
      <c r="G50" s="19"/>
      <c r="H50" s="19">
        <v>1238</v>
      </c>
      <c r="I50" s="19"/>
      <c r="J50" s="19">
        <v>2213.2800000000002</v>
      </c>
      <c r="K50" s="19"/>
      <c r="L50" s="19">
        <v>1075.073875</v>
      </c>
      <c r="M50" s="19"/>
      <c r="N50" s="19">
        <v>631</v>
      </c>
      <c r="O50" s="19"/>
      <c r="P50" s="19">
        <v>1365</v>
      </c>
      <c r="Q50" s="19"/>
      <c r="R50" s="19">
        <v>1680.49</v>
      </c>
      <c r="S50" s="19"/>
      <c r="T50" s="19">
        <v>488</v>
      </c>
      <c r="U50" s="19"/>
      <c r="V50" s="19">
        <v>755.61586104320008</v>
      </c>
      <c r="W50" s="19"/>
      <c r="X50" s="19">
        <v>710.5130715880598</v>
      </c>
      <c r="Y50" s="19"/>
      <c r="Z50" s="19">
        <v>1275.8499999999999</v>
      </c>
      <c r="AA50" s="19"/>
      <c r="AB50" s="19">
        <v>1872</v>
      </c>
      <c r="AC50" s="19"/>
      <c r="AD50" s="19">
        <v>1246</v>
      </c>
      <c r="AE50" s="19"/>
      <c r="AF50" s="19">
        <v>1012</v>
      </c>
      <c r="AG50" s="19"/>
      <c r="AH50" s="18">
        <v>503</v>
      </c>
      <c r="AI50" s="18"/>
      <c r="AJ50" s="18">
        <v>594</v>
      </c>
      <c r="AK50" s="18"/>
      <c r="AL50" s="20">
        <v>1251.9990000000003</v>
      </c>
      <c r="AM50" s="20"/>
      <c r="AN50" s="20">
        <v>1301.319</v>
      </c>
      <c r="AO50" s="20"/>
      <c r="AP50" s="20">
        <f t="shared" si="0"/>
        <v>1102.1413368822164</v>
      </c>
      <c r="AQ50" s="20">
        <f t="shared" si="1"/>
        <v>0</v>
      </c>
    </row>
    <row r="51" spans="1:43">
      <c r="A51" s="14" t="s">
        <v>42</v>
      </c>
      <c r="B51" s="15">
        <v>837</v>
      </c>
      <c r="C51" s="15"/>
      <c r="D51" s="15">
        <v>600</v>
      </c>
      <c r="E51" s="15"/>
      <c r="F51" s="15">
        <v>477.25091441111925</v>
      </c>
      <c r="G51" s="15"/>
      <c r="H51" s="15">
        <v>886</v>
      </c>
      <c r="I51" s="15"/>
      <c r="J51" s="15">
        <v>1797.43</v>
      </c>
      <c r="K51" s="15"/>
      <c r="L51" s="15">
        <v>1075.073875</v>
      </c>
      <c r="M51" s="15"/>
      <c r="N51" s="15">
        <v>631</v>
      </c>
      <c r="O51" s="15"/>
      <c r="P51" s="15">
        <v>1178</v>
      </c>
      <c r="Q51" s="15"/>
      <c r="R51" s="15">
        <v>1364.83</v>
      </c>
      <c r="S51" s="15"/>
      <c r="T51" s="15">
        <v>488</v>
      </c>
      <c r="U51" s="15"/>
      <c r="V51" s="15">
        <v>635.914665152</v>
      </c>
      <c r="W51" s="15"/>
      <c r="X51" s="15">
        <v>688.61369609390727</v>
      </c>
      <c r="Y51" s="15"/>
      <c r="Z51" s="15">
        <v>891.59</v>
      </c>
      <c r="AA51" s="15"/>
      <c r="AB51" s="15">
        <v>1302</v>
      </c>
      <c r="AC51" s="15"/>
      <c r="AD51" s="15">
        <v>913</v>
      </c>
      <c r="AE51" s="15"/>
      <c r="AF51" s="15">
        <v>954</v>
      </c>
      <c r="AG51" s="15"/>
      <c r="AH51" s="14">
        <v>415</v>
      </c>
      <c r="AI51" s="14"/>
      <c r="AJ51" s="14">
        <v>645</v>
      </c>
      <c r="AK51" s="14"/>
      <c r="AL51" s="16">
        <v>921.35700000000008</v>
      </c>
      <c r="AM51" s="16"/>
      <c r="AN51" s="16">
        <v>958.30200000000002</v>
      </c>
      <c r="AO51" s="16"/>
      <c r="AP51" s="16">
        <f t="shared" si="0"/>
        <v>882.96810753285138</v>
      </c>
      <c r="AQ51" s="16">
        <f t="shared" si="1"/>
        <v>0</v>
      </c>
    </row>
    <row r="52" spans="1:43">
      <c r="A52" s="18" t="s">
        <v>43</v>
      </c>
      <c r="B52" s="19">
        <v>823</v>
      </c>
      <c r="C52" s="19"/>
      <c r="D52" s="19">
        <v>575</v>
      </c>
      <c r="E52" s="19"/>
      <c r="F52" s="19">
        <v>493.64957264957263</v>
      </c>
      <c r="G52" s="19"/>
      <c r="H52" s="19">
        <v>1001</v>
      </c>
      <c r="I52" s="19"/>
      <c r="J52" s="19">
        <v>1551.28</v>
      </c>
      <c r="K52" s="19"/>
      <c r="L52" s="19">
        <v>1075.073875</v>
      </c>
      <c r="M52" s="19"/>
      <c r="N52" s="19">
        <v>631</v>
      </c>
      <c r="O52" s="19"/>
      <c r="P52" s="19">
        <v>868</v>
      </c>
      <c r="Q52" s="19"/>
      <c r="R52" s="19">
        <v>1178</v>
      </c>
      <c r="S52" s="19"/>
      <c r="T52" s="19">
        <v>488</v>
      </c>
      <c r="U52" s="19"/>
      <c r="V52" s="19">
        <v>635.914665152</v>
      </c>
      <c r="W52" s="19"/>
      <c r="X52" s="19">
        <v>688.61369609390727</v>
      </c>
      <c r="Y52" s="19"/>
      <c r="Z52" s="19">
        <v>792.34</v>
      </c>
      <c r="AA52" s="19"/>
      <c r="AB52" s="19">
        <v>1517</v>
      </c>
      <c r="AC52" s="19"/>
      <c r="AD52" s="19">
        <v>1061</v>
      </c>
      <c r="AE52" s="19"/>
      <c r="AF52" s="19">
        <v>858</v>
      </c>
      <c r="AG52" s="19"/>
      <c r="AH52" s="18">
        <v>415</v>
      </c>
      <c r="AI52" s="18"/>
      <c r="AJ52" s="18">
        <v>450</v>
      </c>
      <c r="AK52" s="18"/>
      <c r="AL52" s="20">
        <v>785.74500000000012</v>
      </c>
      <c r="AM52" s="20"/>
      <c r="AN52" s="20">
        <v>812.68200000000002</v>
      </c>
      <c r="AO52" s="20"/>
      <c r="AP52" s="20">
        <f t="shared" si="0"/>
        <v>835.01494044477408</v>
      </c>
      <c r="AQ52" s="20">
        <f t="shared" si="1"/>
        <v>0</v>
      </c>
    </row>
    <row r="53" spans="1:43">
      <c r="A53" s="14" t="s">
        <v>44</v>
      </c>
      <c r="B53" s="15">
        <v>738</v>
      </c>
      <c r="C53" s="15"/>
      <c r="D53" s="15">
        <v>432</v>
      </c>
      <c r="E53" s="15"/>
      <c r="F53" s="15">
        <v>455.121320249777</v>
      </c>
      <c r="G53" s="15"/>
      <c r="H53" s="15">
        <v>886</v>
      </c>
      <c r="I53" s="15"/>
      <c r="J53" s="15">
        <v>1381.57</v>
      </c>
      <c r="K53" s="15"/>
      <c r="L53" s="15">
        <v>1075.073875</v>
      </c>
      <c r="M53" s="15"/>
      <c r="N53" s="15">
        <v>631</v>
      </c>
      <c r="O53" s="15"/>
      <c r="P53" s="15">
        <v>868</v>
      </c>
      <c r="Q53" s="15"/>
      <c r="R53" s="15">
        <v>1049.1600000000001</v>
      </c>
      <c r="S53" s="15"/>
      <c r="T53" s="15">
        <v>488</v>
      </c>
      <c r="U53" s="15"/>
      <c r="V53" s="15">
        <v>635.914665152</v>
      </c>
      <c r="W53" s="15"/>
      <c r="X53" s="15">
        <v>633.25694137257722</v>
      </c>
      <c r="Y53" s="15"/>
      <c r="Z53" s="15">
        <v>792.34</v>
      </c>
      <c r="AA53" s="15"/>
      <c r="AB53" s="15">
        <v>1264</v>
      </c>
      <c r="AC53" s="15"/>
      <c r="AD53" s="15">
        <v>699</v>
      </c>
      <c r="AE53" s="15"/>
      <c r="AF53" s="15">
        <v>607</v>
      </c>
      <c r="AG53" s="15"/>
      <c r="AH53" s="14">
        <v>415</v>
      </c>
      <c r="AI53" s="14"/>
      <c r="AJ53" s="14">
        <v>559</v>
      </c>
      <c r="AK53" s="14"/>
      <c r="AL53" s="16">
        <v>921.35700000000008</v>
      </c>
      <c r="AM53" s="16"/>
      <c r="AN53" s="16">
        <v>958.30200000000002</v>
      </c>
      <c r="AO53" s="16"/>
      <c r="AP53" s="16">
        <f t="shared" si="0"/>
        <v>774.45479008871769</v>
      </c>
      <c r="AQ53" s="16">
        <f t="shared" si="1"/>
        <v>0</v>
      </c>
    </row>
    <row r="54" spans="1:43">
      <c r="A54" s="18" t="s">
        <v>45</v>
      </c>
      <c r="B54" s="19">
        <v>1275</v>
      </c>
      <c r="C54" s="19"/>
      <c r="D54" s="19">
        <v>1337</v>
      </c>
      <c r="E54" s="19"/>
      <c r="F54" s="19">
        <v>853.39679001337493</v>
      </c>
      <c r="G54" s="19"/>
      <c r="H54" s="19">
        <v>1233</v>
      </c>
      <c r="I54" s="19"/>
      <c r="J54" s="19">
        <v>2015.83</v>
      </c>
      <c r="K54" s="19"/>
      <c r="L54" s="19">
        <v>1075.073875</v>
      </c>
      <c r="M54" s="19"/>
      <c r="N54" s="19">
        <v>631</v>
      </c>
      <c r="O54" s="19"/>
      <c r="P54" s="19">
        <v>1178</v>
      </c>
      <c r="Q54" s="19"/>
      <c r="R54" s="19">
        <v>1530.83</v>
      </c>
      <c r="S54" s="19"/>
      <c r="T54" s="19">
        <v>488</v>
      </c>
      <c r="U54" s="19"/>
      <c r="V54" s="19">
        <v>784.55396211200002</v>
      </c>
      <c r="W54" s="19"/>
      <c r="X54" s="19">
        <v>1615.6872586796981</v>
      </c>
      <c r="Y54" s="19"/>
      <c r="Z54" s="19">
        <v>1026.46</v>
      </c>
      <c r="AA54" s="19"/>
      <c r="AB54" s="19">
        <v>1690</v>
      </c>
      <c r="AC54" s="19"/>
      <c r="AD54" s="19">
        <v>1448</v>
      </c>
      <c r="AE54" s="19"/>
      <c r="AF54" s="19">
        <v>1194</v>
      </c>
      <c r="AG54" s="19"/>
      <c r="AH54" s="18">
        <v>503</v>
      </c>
      <c r="AI54" s="18"/>
      <c r="AJ54" s="18">
        <v>719</v>
      </c>
      <c r="AK54" s="18"/>
      <c r="AL54" s="20">
        <v>1291.923</v>
      </c>
      <c r="AM54" s="20"/>
      <c r="AN54" s="20">
        <v>1333.1610000000003</v>
      </c>
      <c r="AO54" s="20"/>
      <c r="AP54" s="20">
        <f t="shared" si="0"/>
        <v>1161.1457942902537</v>
      </c>
      <c r="AQ54" s="20">
        <f t="shared" si="1"/>
        <v>0</v>
      </c>
    </row>
    <row r="55" spans="1:43">
      <c r="A55" s="14" t="s">
        <v>46</v>
      </c>
      <c r="B55" s="15">
        <v>738</v>
      </c>
      <c r="C55" s="15"/>
      <c r="D55" s="15">
        <v>486</v>
      </c>
      <c r="E55" s="15"/>
      <c r="F55" s="15">
        <v>478.58546785154209</v>
      </c>
      <c r="G55" s="15"/>
      <c r="H55" s="15">
        <v>732</v>
      </c>
      <c r="I55" s="15"/>
      <c r="J55" s="15">
        <v>1665.42</v>
      </c>
      <c r="K55" s="15"/>
      <c r="L55" s="15">
        <v>634.85080000000005</v>
      </c>
      <c r="M55" s="15"/>
      <c r="N55" s="15">
        <v>631</v>
      </c>
      <c r="O55" s="15"/>
      <c r="P55" s="15">
        <v>868</v>
      </c>
      <c r="Q55" s="15"/>
      <c r="R55" s="15">
        <v>1264.53</v>
      </c>
      <c r="S55" s="15"/>
      <c r="T55" s="15">
        <v>488</v>
      </c>
      <c r="U55" s="15"/>
      <c r="V55" s="15">
        <v>635.914665152</v>
      </c>
      <c r="W55" s="15"/>
      <c r="X55" s="15">
        <v>608.31598594868137</v>
      </c>
      <c r="Y55" s="15"/>
      <c r="Z55" s="15">
        <v>792.34</v>
      </c>
      <c r="AA55" s="15"/>
      <c r="AB55" s="15">
        <v>1264</v>
      </c>
      <c r="AC55" s="15"/>
      <c r="AD55" s="15">
        <v>744</v>
      </c>
      <c r="AE55" s="15"/>
      <c r="AF55" s="15">
        <v>705</v>
      </c>
      <c r="AG55" s="15"/>
      <c r="AH55" s="14">
        <v>411</v>
      </c>
      <c r="AI55" s="14"/>
      <c r="AJ55" s="14">
        <v>553</v>
      </c>
      <c r="AK55" s="14"/>
      <c r="AL55" s="16">
        <v>921.35700000000008</v>
      </c>
      <c r="AM55" s="16"/>
      <c r="AN55" s="16">
        <v>958.30200000000002</v>
      </c>
      <c r="AO55" s="16"/>
      <c r="AP55" s="16">
        <f t="shared" si="0"/>
        <v>778.98079594761111</v>
      </c>
      <c r="AQ55" s="16">
        <f t="shared" si="1"/>
        <v>0</v>
      </c>
    </row>
    <row r="56" spans="1:43">
      <c r="A56" s="18" t="s">
        <v>47</v>
      </c>
      <c r="B56" s="19">
        <v>807</v>
      </c>
      <c r="C56" s="19"/>
      <c r="D56" s="19">
        <v>612</v>
      </c>
      <c r="E56" s="19"/>
      <c r="F56" s="19">
        <v>515.66596160506651</v>
      </c>
      <c r="G56" s="19"/>
      <c r="H56" s="19">
        <v>977</v>
      </c>
      <c r="I56" s="19"/>
      <c r="J56" s="19">
        <v>1759.71</v>
      </c>
      <c r="K56" s="19"/>
      <c r="L56" s="19">
        <v>634.85080000000005</v>
      </c>
      <c r="M56" s="19"/>
      <c r="N56" s="19">
        <v>631</v>
      </c>
      <c r="O56" s="19"/>
      <c r="P56" s="19">
        <v>1178</v>
      </c>
      <c r="Q56" s="19"/>
      <c r="R56" s="19">
        <v>1336.3</v>
      </c>
      <c r="S56" s="19"/>
      <c r="T56" s="19">
        <v>488</v>
      </c>
      <c r="U56" s="19"/>
      <c r="V56" s="19">
        <v>635.914665152</v>
      </c>
      <c r="W56" s="19"/>
      <c r="X56" s="19">
        <v>747.01203074498085</v>
      </c>
      <c r="Y56" s="19"/>
      <c r="Z56" s="19">
        <v>880.14</v>
      </c>
      <c r="AA56" s="19"/>
      <c r="AB56" s="19">
        <v>1481</v>
      </c>
      <c r="AC56" s="19"/>
      <c r="AD56" s="19">
        <v>1121</v>
      </c>
      <c r="AE56" s="19"/>
      <c r="AF56" s="19">
        <v>948</v>
      </c>
      <c r="AG56" s="19"/>
      <c r="AH56" s="18">
        <v>406</v>
      </c>
      <c r="AI56" s="18"/>
      <c r="AJ56" s="18">
        <v>534</v>
      </c>
      <c r="AK56" s="18"/>
      <c r="AL56" s="20">
        <v>1216.6289999999999</v>
      </c>
      <c r="AM56" s="20"/>
      <c r="AN56" s="20">
        <v>1264.9680000000001</v>
      </c>
      <c r="AO56" s="20"/>
      <c r="AP56" s="20">
        <f t="shared" si="0"/>
        <v>908.70952287510249</v>
      </c>
      <c r="AQ56" s="20">
        <f t="shared" si="1"/>
        <v>0</v>
      </c>
    </row>
    <row r="57" spans="1:43">
      <c r="A57" s="14" t="s">
        <v>48</v>
      </c>
      <c r="B57" s="15">
        <v>837</v>
      </c>
      <c r="C57" s="15"/>
      <c r="D57" s="15">
        <v>600</v>
      </c>
      <c r="E57" s="15"/>
      <c r="F57" s="15">
        <v>514.59704732957016</v>
      </c>
      <c r="G57" s="15"/>
      <c r="H57" s="15">
        <v>1001</v>
      </c>
      <c r="I57" s="15"/>
      <c r="J57" s="15">
        <v>1911.56</v>
      </c>
      <c r="K57" s="15"/>
      <c r="L57" s="15">
        <v>1075.073875</v>
      </c>
      <c r="M57" s="15"/>
      <c r="N57" s="15">
        <v>631</v>
      </c>
      <c r="O57" s="15"/>
      <c r="P57" s="15">
        <v>1178</v>
      </c>
      <c r="Q57" s="15"/>
      <c r="R57" s="15">
        <v>1451.34</v>
      </c>
      <c r="S57" s="15"/>
      <c r="T57" s="15">
        <v>488</v>
      </c>
      <c r="U57" s="15"/>
      <c r="V57" s="15">
        <v>635.914665152</v>
      </c>
      <c r="W57" s="15"/>
      <c r="X57" s="15">
        <v>688.61369609390727</v>
      </c>
      <c r="Y57" s="15"/>
      <c r="Z57" s="15">
        <v>792.34</v>
      </c>
      <c r="AA57" s="15"/>
      <c r="AB57" s="15">
        <v>1302</v>
      </c>
      <c r="AC57" s="15"/>
      <c r="AD57" s="15">
        <v>1128</v>
      </c>
      <c r="AE57" s="15"/>
      <c r="AF57" s="15">
        <v>943</v>
      </c>
      <c r="AG57" s="15"/>
      <c r="AH57" s="14">
        <v>415</v>
      </c>
      <c r="AI57" s="14"/>
      <c r="AJ57" s="14">
        <v>450</v>
      </c>
      <c r="AK57" s="14"/>
      <c r="AL57" s="16">
        <v>812.90700000000004</v>
      </c>
      <c r="AM57" s="16"/>
      <c r="AN57" s="16">
        <v>844.65899999999999</v>
      </c>
      <c r="AO57" s="16"/>
      <c r="AP57" s="16">
        <f t="shared" si="0"/>
        <v>885.00026417877393</v>
      </c>
      <c r="AQ57" s="16">
        <f t="shared" si="1"/>
        <v>0</v>
      </c>
    </row>
    <row r="58" spans="1:43">
      <c r="A58" s="18" t="s">
        <v>49</v>
      </c>
      <c r="B58" s="19">
        <v>651</v>
      </c>
      <c r="C58" s="19"/>
      <c r="D58" s="19">
        <v>486</v>
      </c>
      <c r="E58" s="19"/>
      <c r="F58" s="19">
        <v>472.35870021875496</v>
      </c>
      <c r="G58" s="19"/>
      <c r="H58" s="19">
        <v>732</v>
      </c>
      <c r="I58" s="19"/>
      <c r="J58" s="19">
        <v>1777.56</v>
      </c>
      <c r="K58" s="19"/>
      <c r="L58" s="19">
        <v>634.85080000000005</v>
      </c>
      <c r="M58" s="19"/>
      <c r="N58" s="19">
        <v>679</v>
      </c>
      <c r="O58" s="19"/>
      <c r="P58" s="19">
        <v>868</v>
      </c>
      <c r="Q58" s="19"/>
      <c r="R58" s="19">
        <v>1350.1</v>
      </c>
      <c r="S58" s="19"/>
      <c r="T58" s="19">
        <v>524</v>
      </c>
      <c r="U58" s="19"/>
      <c r="V58" s="19">
        <v>635.914665152</v>
      </c>
      <c r="W58" s="19"/>
      <c r="X58" s="19">
        <v>608.31598594868137</v>
      </c>
      <c r="Y58" s="19"/>
      <c r="Z58" s="19">
        <v>792.34</v>
      </c>
      <c r="AA58" s="19"/>
      <c r="AB58" s="19">
        <v>1327</v>
      </c>
      <c r="AC58" s="19"/>
      <c r="AD58" s="19">
        <v>780</v>
      </c>
      <c r="AE58" s="19"/>
      <c r="AF58" s="19">
        <v>705</v>
      </c>
      <c r="AG58" s="19"/>
      <c r="AH58" s="18">
        <v>411</v>
      </c>
      <c r="AI58" s="18"/>
      <c r="AJ58" s="18">
        <v>528</v>
      </c>
      <c r="AK58" s="18"/>
      <c r="AL58" s="20">
        <v>738.40500000000009</v>
      </c>
      <c r="AM58" s="20"/>
      <c r="AN58" s="20">
        <v>764.63100000000009</v>
      </c>
      <c r="AO58" s="20"/>
      <c r="AP58" s="20">
        <f t="shared" si="0"/>
        <v>773.27380756597199</v>
      </c>
      <c r="AQ58" s="20">
        <f t="shared" si="1"/>
        <v>0</v>
      </c>
    </row>
    <row r="59" spans="1:43">
      <c r="A59" s="14" t="s">
        <v>50</v>
      </c>
      <c r="B59" s="15">
        <v>1336</v>
      </c>
      <c r="C59" s="15"/>
      <c r="D59" s="15">
        <v>711</v>
      </c>
      <c r="E59" s="15"/>
      <c r="F59" s="15">
        <v>603.54372780576432</v>
      </c>
      <c r="G59" s="15"/>
      <c r="H59" s="15">
        <v>1233</v>
      </c>
      <c r="I59" s="15"/>
      <c r="J59" s="15">
        <v>1911.56</v>
      </c>
      <c r="K59" s="15"/>
      <c r="L59" s="15">
        <v>1075.073875</v>
      </c>
      <c r="M59" s="15"/>
      <c r="N59" s="15">
        <v>631</v>
      </c>
      <c r="O59" s="15"/>
      <c r="P59" s="15">
        <v>1178</v>
      </c>
      <c r="Q59" s="15"/>
      <c r="R59" s="15">
        <v>1451.34</v>
      </c>
      <c r="S59" s="15"/>
      <c r="T59" s="15">
        <v>488</v>
      </c>
      <c r="U59" s="15"/>
      <c r="V59" s="15">
        <v>755.61586104320008</v>
      </c>
      <c r="W59" s="15"/>
      <c r="X59" s="15">
        <v>960.53094181296797</v>
      </c>
      <c r="Y59" s="15"/>
      <c r="Z59" s="15">
        <v>1046.82</v>
      </c>
      <c r="AA59" s="15"/>
      <c r="AB59" s="15">
        <v>1728</v>
      </c>
      <c r="AC59" s="15"/>
      <c r="AD59" s="15">
        <v>1204</v>
      </c>
      <c r="AE59" s="15"/>
      <c r="AF59" s="15">
        <v>1028</v>
      </c>
      <c r="AG59" s="15"/>
      <c r="AH59" s="14">
        <v>494</v>
      </c>
      <c r="AI59" s="14"/>
      <c r="AJ59" s="14">
        <v>719</v>
      </c>
      <c r="AK59" s="14"/>
      <c r="AL59" s="16">
        <v>1216.6289999999999</v>
      </c>
      <c r="AM59" s="16"/>
      <c r="AN59" s="16">
        <v>1264.9680000000001</v>
      </c>
      <c r="AO59" s="16"/>
      <c r="AP59" s="16">
        <f t="shared" si="0"/>
        <v>1051.8040702830967</v>
      </c>
      <c r="AQ59" s="16">
        <f t="shared" si="1"/>
        <v>0</v>
      </c>
    </row>
    <row r="60" spans="1:43">
      <c r="A60" s="18" t="s">
        <v>51</v>
      </c>
      <c r="B60" s="19">
        <v>823</v>
      </c>
      <c r="C60" s="19"/>
      <c r="D60" s="19">
        <v>464</v>
      </c>
      <c r="E60" s="19"/>
      <c r="F60" s="19">
        <v>491.65549725733365</v>
      </c>
      <c r="G60" s="19"/>
      <c r="H60" s="19">
        <v>1001</v>
      </c>
      <c r="I60" s="19"/>
      <c r="J60" s="19">
        <v>1627.7</v>
      </c>
      <c r="K60" s="19"/>
      <c r="L60" s="19">
        <v>1075.073875</v>
      </c>
      <c r="M60" s="19"/>
      <c r="N60" s="19">
        <v>679</v>
      </c>
      <c r="O60" s="19"/>
      <c r="P60" s="19">
        <v>868</v>
      </c>
      <c r="Q60" s="19"/>
      <c r="R60" s="19">
        <v>1235.99</v>
      </c>
      <c r="S60" s="19"/>
      <c r="T60" s="19">
        <v>524</v>
      </c>
      <c r="U60" s="19"/>
      <c r="V60" s="19">
        <v>635.914665152</v>
      </c>
      <c r="W60" s="19"/>
      <c r="X60" s="19">
        <v>688.61369609390727</v>
      </c>
      <c r="Y60" s="19"/>
      <c r="Z60" s="19">
        <v>792.34</v>
      </c>
      <c r="AA60" s="19"/>
      <c r="AB60" s="19">
        <v>1517</v>
      </c>
      <c r="AC60" s="19"/>
      <c r="AD60" s="19">
        <v>892</v>
      </c>
      <c r="AE60" s="19"/>
      <c r="AF60" s="19">
        <v>933</v>
      </c>
      <c r="AG60" s="19"/>
      <c r="AH60" s="18">
        <v>415</v>
      </c>
      <c r="AI60" s="18"/>
      <c r="AJ60" s="18">
        <v>450</v>
      </c>
      <c r="AK60" s="18"/>
      <c r="AL60" s="20">
        <v>785.74500000000012</v>
      </c>
      <c r="AM60" s="20"/>
      <c r="AN60" s="20">
        <v>812.68200000000002</v>
      </c>
      <c r="AO60" s="20"/>
      <c r="AP60" s="20">
        <f t="shared" si="0"/>
        <v>835.58573667516214</v>
      </c>
      <c r="AQ60" s="20">
        <f t="shared" si="1"/>
        <v>0</v>
      </c>
    </row>
    <row r="61" spans="1:43">
      <c r="A61" s="14" t="s">
        <v>52</v>
      </c>
      <c r="B61" s="15">
        <v>1336</v>
      </c>
      <c r="C61" s="15"/>
      <c r="D61" s="15">
        <v>1348</v>
      </c>
      <c r="E61" s="15"/>
      <c r="F61" s="15">
        <v>943.49376722214936</v>
      </c>
      <c r="G61" s="15"/>
      <c r="H61" s="15">
        <v>1549</v>
      </c>
      <c r="I61" s="15"/>
      <c r="J61" s="15">
        <v>2256.52</v>
      </c>
      <c r="K61" s="15"/>
      <c r="L61" s="15">
        <v>1075.073875</v>
      </c>
      <c r="M61" s="15"/>
      <c r="N61" s="15">
        <v>1014</v>
      </c>
      <c r="O61" s="15"/>
      <c r="P61" s="15">
        <v>1365</v>
      </c>
      <c r="Q61" s="15"/>
      <c r="R61" s="15">
        <v>1713.52</v>
      </c>
      <c r="S61" s="15"/>
      <c r="T61" s="15">
        <v>788</v>
      </c>
      <c r="U61" s="15"/>
      <c r="V61" s="15">
        <v>1026.8441658368004</v>
      </c>
      <c r="W61" s="15"/>
      <c r="X61" s="15">
        <v>1557.0893963852334</v>
      </c>
      <c r="Y61" s="15"/>
      <c r="Z61" s="15">
        <v>1431.08</v>
      </c>
      <c r="AA61" s="15"/>
      <c r="AB61" s="15">
        <v>2106</v>
      </c>
      <c r="AC61" s="15"/>
      <c r="AD61" s="15">
        <v>1924</v>
      </c>
      <c r="AE61" s="15"/>
      <c r="AF61" s="15">
        <v>1382</v>
      </c>
      <c r="AG61" s="15"/>
      <c r="AH61" s="14">
        <v>712</v>
      </c>
      <c r="AI61" s="14"/>
      <c r="AJ61" s="14">
        <v>719</v>
      </c>
      <c r="AK61" s="14"/>
      <c r="AL61" s="16">
        <v>1379.6100000000001</v>
      </c>
      <c r="AM61" s="16"/>
      <c r="AN61" s="16">
        <v>1419.2640000000001</v>
      </c>
      <c r="AO61" s="16"/>
      <c r="AP61" s="16">
        <f t="shared" si="0"/>
        <v>1352.2747602222094</v>
      </c>
      <c r="AQ61" s="16">
        <f t="shared" si="1"/>
        <v>0</v>
      </c>
    </row>
    <row r="62" spans="1:43">
      <c r="A62" s="24" t="s">
        <v>53</v>
      </c>
      <c r="B62" s="25">
        <v>729</v>
      </c>
      <c r="C62" s="25"/>
      <c r="D62" s="25">
        <v>621</v>
      </c>
      <c r="E62" s="25"/>
      <c r="F62" s="25">
        <v>459.44689553747872</v>
      </c>
      <c r="G62" s="25"/>
      <c r="H62" s="25">
        <v>843</v>
      </c>
      <c r="I62" s="25"/>
      <c r="J62" s="25">
        <v>1665.42</v>
      </c>
      <c r="K62" s="25"/>
      <c r="L62" s="25">
        <v>634.85080000000005</v>
      </c>
      <c r="M62" s="25"/>
      <c r="N62" s="25">
        <v>631</v>
      </c>
      <c r="O62" s="25"/>
      <c r="P62" s="25">
        <v>868</v>
      </c>
      <c r="Q62" s="25"/>
      <c r="R62" s="25">
        <v>1264.53</v>
      </c>
      <c r="S62" s="25"/>
      <c r="T62" s="25">
        <v>488</v>
      </c>
      <c r="U62" s="25"/>
      <c r="V62" s="25">
        <v>635.914665152</v>
      </c>
      <c r="W62" s="25"/>
      <c r="X62" s="25">
        <v>577.29187066529857</v>
      </c>
      <c r="Y62" s="25"/>
      <c r="Z62" s="25">
        <v>797.43</v>
      </c>
      <c r="AA62" s="25"/>
      <c r="AB62" s="25">
        <v>1143</v>
      </c>
      <c r="AC62" s="25"/>
      <c r="AD62" s="25">
        <v>748</v>
      </c>
      <c r="AE62" s="25"/>
      <c r="AF62" s="25">
        <v>792</v>
      </c>
      <c r="AG62" s="25"/>
      <c r="AH62" s="24">
        <v>415</v>
      </c>
      <c r="AI62" s="24"/>
      <c r="AJ62" s="24">
        <v>450</v>
      </c>
      <c r="AK62" s="24"/>
      <c r="AL62" s="26">
        <v>785.74500000000012</v>
      </c>
      <c r="AM62" s="26"/>
      <c r="AN62" s="26">
        <v>812.68200000000002</v>
      </c>
      <c r="AO62" s="26"/>
      <c r="AP62" s="26">
        <f t="shared" si="0"/>
        <v>768.065561567739</v>
      </c>
      <c r="AQ62" s="26">
        <f t="shared" si="1"/>
        <v>0</v>
      </c>
    </row>
    <row r="63" spans="1:43">
      <c r="A63" s="8"/>
      <c r="B63" s="8"/>
      <c r="C63" s="8"/>
      <c r="D63" s="8"/>
      <c r="E63" s="8"/>
      <c r="F63" s="8"/>
      <c r="G63" s="8"/>
      <c r="H63" s="8"/>
      <c r="I63" s="8"/>
    </row>
    <row r="64" spans="1:43">
      <c r="A64" s="9"/>
      <c r="B64" s="10"/>
      <c r="C64" s="10"/>
      <c r="D64" s="10"/>
      <c r="E64" s="10"/>
      <c r="F64" s="8"/>
      <c r="G64" s="8"/>
      <c r="H64" s="8"/>
      <c r="I64" s="8"/>
    </row>
    <row r="65" spans="1:9">
      <c r="A65" s="8"/>
      <c r="B65" s="8"/>
      <c r="C65" s="8"/>
      <c r="D65" s="8"/>
      <c r="E65" s="8"/>
      <c r="F65" s="8"/>
      <c r="G65" s="8"/>
      <c r="H65" s="8"/>
      <c r="I65" s="8"/>
    </row>
    <row r="66" spans="1:9">
      <c r="A66" s="8"/>
      <c r="B66" s="8"/>
      <c r="C66" s="8"/>
      <c r="D66" s="8"/>
      <c r="E66" s="8"/>
      <c r="F66" s="8"/>
      <c r="G66" s="8"/>
      <c r="H66" s="8"/>
      <c r="I66" s="8"/>
    </row>
    <row r="67" spans="1:9">
      <c r="A67" s="8"/>
      <c r="B67" s="8"/>
      <c r="C67" s="8"/>
      <c r="D67" s="8"/>
      <c r="E67" s="8"/>
      <c r="F67" s="8"/>
      <c r="G67" s="8"/>
      <c r="H67" s="8"/>
      <c r="I67" s="8"/>
    </row>
    <row r="68" spans="1:9">
      <c r="A68" s="8"/>
      <c r="B68" s="8"/>
      <c r="C68" s="8"/>
      <c r="D68" s="8"/>
      <c r="E68" s="8"/>
      <c r="F68" s="8"/>
      <c r="G68" s="8"/>
      <c r="H68" s="8"/>
      <c r="I68" s="8"/>
    </row>
    <row r="69" spans="1:9">
      <c r="A69" s="8"/>
      <c r="B69" s="8"/>
      <c r="C69" s="8"/>
      <c r="D69" s="8"/>
      <c r="E69" s="8"/>
      <c r="F69" s="8"/>
      <c r="G69" s="8"/>
      <c r="H69" s="8"/>
      <c r="I69" s="8"/>
    </row>
    <row r="70" spans="1:9">
      <c r="A70" s="8"/>
      <c r="B70" s="8"/>
      <c r="C70" s="8"/>
      <c r="D70" s="8"/>
      <c r="E70" s="8"/>
      <c r="F70" s="8"/>
      <c r="G70" s="8"/>
      <c r="H70" s="8"/>
      <c r="I70" s="8"/>
    </row>
    <row r="71" spans="1:9">
      <c r="A71" s="8"/>
      <c r="B71" s="8"/>
      <c r="C71" s="8"/>
      <c r="D71" s="8"/>
      <c r="E71" s="8"/>
      <c r="F71" s="8"/>
      <c r="G71" s="8"/>
      <c r="H71" s="8"/>
      <c r="I71" s="8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</sheetData>
  <mergeCells count="22">
    <mergeCell ref="C13:D13"/>
    <mergeCell ref="V15:W15"/>
    <mergeCell ref="Z15:AA15"/>
    <mergeCell ref="F15:G15"/>
    <mergeCell ref="P15:Q15"/>
    <mergeCell ref="B15:C15"/>
    <mergeCell ref="D15:E15"/>
    <mergeCell ref="T15:U15"/>
    <mergeCell ref="R15:S15"/>
    <mergeCell ref="L15:M15"/>
    <mergeCell ref="H15:I15"/>
    <mergeCell ref="N15:O15"/>
    <mergeCell ref="J15:K15"/>
    <mergeCell ref="AD15:AE15"/>
    <mergeCell ref="AP15:AQ15"/>
    <mergeCell ref="AL15:AM15"/>
    <mergeCell ref="AN15:AO15"/>
    <mergeCell ref="X15:Y15"/>
    <mergeCell ref="AJ15:AK15"/>
    <mergeCell ref="AH15:AI15"/>
    <mergeCell ref="AF15:AG15"/>
    <mergeCell ref="AB15:A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Masonry</vt:lpstr>
      <vt:lpstr>Frame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B. Wise</dc:creator>
  <cp:lastModifiedBy>User</cp:lastModifiedBy>
  <cp:lastPrinted>2013-04-08T12:56:14Z</cp:lastPrinted>
  <dcterms:created xsi:type="dcterms:W3CDTF">2012-03-08T14:14:06Z</dcterms:created>
  <dcterms:modified xsi:type="dcterms:W3CDTF">2013-05-24T18:06:55Z</dcterms:modified>
</cp:coreProperties>
</file>