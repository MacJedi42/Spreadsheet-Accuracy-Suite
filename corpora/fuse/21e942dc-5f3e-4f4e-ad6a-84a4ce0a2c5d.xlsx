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9155" windowHeight="11310"/>
  </bookViews>
  <sheets>
    <sheet name="Narrative LEA Awards 12-13" sheetId="4" r:id="rId1"/>
    <sheet name="LEA AWARDS 12-13" sheetId="1" r:id="rId2"/>
    <sheet name="Narrative LEA MOER-CEIS 12-13" sheetId="3" r:id="rId3"/>
    <sheet name="LEA--MOER-CEIS 12-13 " sheetId="2" r:id="rId4"/>
  </sheets>
  <calcPr calcId="125725" concurrentCalc="0"/>
</workbook>
</file>

<file path=xl/calcChain.xml><?xml version="1.0" encoding="utf-8"?>
<calcChain xmlns="http://schemas.openxmlformats.org/spreadsheetml/2006/main">
  <c r="AD383" i="1"/>
  <c r="AA383"/>
  <c r="Y383"/>
  <c r="I383"/>
  <c r="H383"/>
  <c r="G383"/>
  <c r="E383"/>
  <c r="D383"/>
  <c r="AD382"/>
  <c r="AA382"/>
  <c r="Y382"/>
  <c r="I382"/>
  <c r="H382"/>
  <c r="G382"/>
  <c r="E382"/>
  <c r="D382"/>
  <c r="AD381"/>
  <c r="AA381"/>
  <c r="Y381"/>
  <c r="I381"/>
  <c r="H381"/>
  <c r="G381"/>
  <c r="E381"/>
  <c r="D381"/>
  <c r="AD380"/>
  <c r="AA380"/>
  <c r="Y380"/>
  <c r="I380"/>
  <c r="H380"/>
  <c r="G380"/>
  <c r="E380"/>
  <c r="D380"/>
  <c r="AD379"/>
  <c r="AA379"/>
  <c r="Y379"/>
  <c r="I379"/>
  <c r="H379"/>
  <c r="G379"/>
  <c r="E379"/>
  <c r="D379"/>
  <c r="AD378"/>
  <c r="AA378"/>
  <c r="Y378"/>
  <c r="I378"/>
  <c r="H378"/>
  <c r="G378"/>
  <c r="E378"/>
  <c r="D378"/>
  <c r="AD377"/>
  <c r="AA377"/>
  <c r="Y377"/>
  <c r="I377"/>
  <c r="H377"/>
  <c r="G377"/>
  <c r="E377"/>
  <c r="D377"/>
  <c r="AD376"/>
  <c r="AA376"/>
  <c r="Y376"/>
  <c r="I376"/>
  <c r="H376"/>
  <c r="G376"/>
  <c r="E376"/>
  <c r="D376"/>
  <c r="AD375"/>
  <c r="AD385"/>
  <c r="AD387"/>
  <c r="AA375"/>
  <c r="AA385"/>
  <c r="AA387"/>
  <c r="Y375"/>
  <c r="I375"/>
  <c r="H375"/>
  <c r="G375"/>
  <c r="E375"/>
  <c r="D375"/>
  <c r="AA371"/>
  <c r="AD369"/>
  <c r="AD371"/>
  <c r="AC369"/>
  <c r="AB369"/>
  <c r="I369"/>
  <c r="E369"/>
  <c r="D369"/>
  <c r="AB367"/>
  <c r="F367"/>
  <c r="H367"/>
  <c r="AB366"/>
  <c r="H366"/>
  <c r="F366"/>
  <c r="AB365"/>
  <c r="H365"/>
  <c r="F365"/>
  <c r="AB364"/>
  <c r="H364"/>
  <c r="F364"/>
  <c r="AB363"/>
  <c r="H363"/>
  <c r="F363"/>
  <c r="AB362"/>
  <c r="H362"/>
  <c r="F362"/>
  <c r="AB361"/>
  <c r="H361"/>
  <c r="F361"/>
  <c r="AB360"/>
  <c r="F360"/>
  <c r="AD355"/>
  <c r="AA355"/>
  <c r="I355"/>
  <c r="I371"/>
  <c r="H355"/>
  <c r="G355"/>
  <c r="G371"/>
  <c r="E355"/>
  <c r="D355"/>
  <c r="B355"/>
  <c r="Z354"/>
  <c r="Y354"/>
  <c r="F354"/>
  <c r="X354"/>
  <c r="Y353"/>
  <c r="X353"/>
  <c r="F353"/>
  <c r="AC352"/>
  <c r="AB352"/>
  <c r="Z352"/>
  <c r="Y352"/>
  <c r="X352"/>
  <c r="F352"/>
  <c r="AC351"/>
  <c r="AB351"/>
  <c r="Y351"/>
  <c r="X351"/>
  <c r="F351"/>
  <c r="Y350"/>
  <c r="F350"/>
  <c r="X350"/>
  <c r="Z350"/>
  <c r="Y349"/>
  <c r="X349"/>
  <c r="F349"/>
  <c r="AC348"/>
  <c r="AB348"/>
  <c r="Z348"/>
  <c r="Y348"/>
  <c r="X348"/>
  <c r="F348"/>
  <c r="AC347"/>
  <c r="AB347"/>
  <c r="Y347"/>
  <c r="X347"/>
  <c r="Z347"/>
  <c r="F347"/>
  <c r="Y346"/>
  <c r="F346"/>
  <c r="X346"/>
  <c r="Z346"/>
  <c r="Y345"/>
  <c r="X345"/>
  <c r="F345"/>
  <c r="AC344"/>
  <c r="AB344"/>
  <c r="Z344"/>
  <c r="Y344"/>
  <c r="X344"/>
  <c r="F344"/>
  <c r="AC343"/>
  <c r="AB343"/>
  <c r="Y343"/>
  <c r="X343"/>
  <c r="F343"/>
  <c r="Z342"/>
  <c r="Y342"/>
  <c r="F342"/>
  <c r="X342"/>
  <c r="Y341"/>
  <c r="X341"/>
  <c r="F341"/>
  <c r="AC340"/>
  <c r="AB340"/>
  <c r="Z340"/>
  <c r="Y340"/>
  <c r="X340"/>
  <c r="F340"/>
  <c r="AC339"/>
  <c r="AB339"/>
  <c r="Y339"/>
  <c r="X339"/>
  <c r="F339"/>
  <c r="Z338"/>
  <c r="Y338"/>
  <c r="F338"/>
  <c r="X338"/>
  <c r="Y337"/>
  <c r="X337"/>
  <c r="F337"/>
  <c r="AC336"/>
  <c r="AB336"/>
  <c r="Z336"/>
  <c r="Y336"/>
  <c r="X336"/>
  <c r="F336"/>
  <c r="AC335"/>
  <c r="AB335"/>
  <c r="Y335"/>
  <c r="X335"/>
  <c r="Z335"/>
  <c r="F335"/>
  <c r="Z334"/>
  <c r="Y334"/>
  <c r="F334"/>
  <c r="X334"/>
  <c r="Y333"/>
  <c r="X333"/>
  <c r="F333"/>
  <c r="AC332"/>
  <c r="AB332"/>
  <c r="Z332"/>
  <c r="Y332"/>
  <c r="X332"/>
  <c r="F332"/>
  <c r="AC331"/>
  <c r="AB331"/>
  <c r="Y331"/>
  <c r="X331"/>
  <c r="F331"/>
  <c r="Y330"/>
  <c r="F330"/>
  <c r="X330"/>
  <c r="Y329"/>
  <c r="X329"/>
  <c r="F329"/>
  <c r="AC328"/>
  <c r="AB328"/>
  <c r="Z328"/>
  <c r="Y328"/>
  <c r="X328"/>
  <c r="F328"/>
  <c r="AC327"/>
  <c r="AB327"/>
  <c r="Y327"/>
  <c r="X327"/>
  <c r="F327"/>
  <c r="Y326"/>
  <c r="F326"/>
  <c r="X326"/>
  <c r="Y325"/>
  <c r="X325"/>
  <c r="F325"/>
  <c r="AC324"/>
  <c r="AB324"/>
  <c r="Z324"/>
  <c r="Y324"/>
  <c r="X324"/>
  <c r="F324"/>
  <c r="AC323"/>
  <c r="AB323"/>
  <c r="Y323"/>
  <c r="X323"/>
  <c r="F323"/>
  <c r="Y322"/>
  <c r="F322"/>
  <c r="Y321"/>
  <c r="X321"/>
  <c r="F321"/>
  <c r="AC320"/>
  <c r="AB320"/>
  <c r="Z320"/>
  <c r="Y320"/>
  <c r="X320"/>
  <c r="F320"/>
  <c r="AC319"/>
  <c r="AB319"/>
  <c r="Y319"/>
  <c r="X319"/>
  <c r="F319"/>
  <c r="Y318"/>
  <c r="F318"/>
  <c r="X318"/>
  <c r="Z318"/>
  <c r="Y317"/>
  <c r="X317"/>
  <c r="F317"/>
  <c r="AC316"/>
  <c r="AB316"/>
  <c r="Z316"/>
  <c r="Y316"/>
  <c r="X316"/>
  <c r="F316"/>
  <c r="AC315"/>
  <c r="AB315"/>
  <c r="Y315"/>
  <c r="X315"/>
  <c r="Z315"/>
  <c r="F315"/>
  <c r="Y314"/>
  <c r="F314"/>
  <c r="X314"/>
  <c r="Z314"/>
  <c r="Y313"/>
  <c r="X313"/>
  <c r="F313"/>
  <c r="AC312"/>
  <c r="AB312"/>
  <c r="Z312"/>
  <c r="Y312"/>
  <c r="X312"/>
  <c r="F312"/>
  <c r="AC311"/>
  <c r="AB311"/>
  <c r="Y311"/>
  <c r="X311"/>
  <c r="F311"/>
  <c r="Z310"/>
  <c r="Y310"/>
  <c r="F310"/>
  <c r="X310"/>
  <c r="Y309"/>
  <c r="X309"/>
  <c r="F309"/>
  <c r="AC308"/>
  <c r="AB308"/>
  <c r="Z308"/>
  <c r="Y308"/>
  <c r="X308"/>
  <c r="F308"/>
  <c r="AC307"/>
  <c r="AB307"/>
  <c r="Y307"/>
  <c r="X307"/>
  <c r="F307"/>
  <c r="Z306"/>
  <c r="Y306"/>
  <c r="F306"/>
  <c r="X306"/>
  <c r="Y305"/>
  <c r="X305"/>
  <c r="F305"/>
  <c r="AC304"/>
  <c r="AB304"/>
  <c r="Z304"/>
  <c r="Y304"/>
  <c r="X304"/>
  <c r="F304"/>
  <c r="AC303"/>
  <c r="AB303"/>
  <c r="Y303"/>
  <c r="X303"/>
  <c r="Z303"/>
  <c r="F303"/>
  <c r="Z302"/>
  <c r="Y302"/>
  <c r="F302"/>
  <c r="X302"/>
  <c r="Y301"/>
  <c r="X301"/>
  <c r="F301"/>
  <c r="AC300"/>
  <c r="AB300"/>
  <c r="Z300"/>
  <c r="Y300"/>
  <c r="X300"/>
  <c r="F300"/>
  <c r="AC299"/>
  <c r="AB299"/>
  <c r="Y299"/>
  <c r="X299"/>
  <c r="F299"/>
  <c r="Y298"/>
  <c r="F298"/>
  <c r="X298"/>
  <c r="Y297"/>
  <c r="X297"/>
  <c r="F297"/>
  <c r="AC296"/>
  <c r="AB296"/>
  <c r="Z296"/>
  <c r="Y296"/>
  <c r="X296"/>
  <c r="F296"/>
  <c r="AC295"/>
  <c r="AB295"/>
  <c r="Y295"/>
  <c r="X295"/>
  <c r="F295"/>
  <c r="Y294"/>
  <c r="F294"/>
  <c r="X294"/>
  <c r="Y293"/>
  <c r="X293"/>
  <c r="F293"/>
  <c r="AC292"/>
  <c r="AB292"/>
  <c r="Z292"/>
  <c r="Y292"/>
  <c r="X292"/>
  <c r="F292"/>
  <c r="AC291"/>
  <c r="AB291"/>
  <c r="Y291"/>
  <c r="X291"/>
  <c r="F291"/>
  <c r="Z290"/>
  <c r="Y290"/>
  <c r="F290"/>
  <c r="X290"/>
  <c r="Y289"/>
  <c r="X289"/>
  <c r="F289"/>
  <c r="AC288"/>
  <c r="AB288"/>
  <c r="Z288"/>
  <c r="Y288"/>
  <c r="X288"/>
  <c r="F288"/>
  <c r="AC287"/>
  <c r="AB287"/>
  <c r="Y287"/>
  <c r="X287"/>
  <c r="F287"/>
  <c r="Y286"/>
  <c r="F286"/>
  <c r="X286"/>
  <c r="Z286"/>
  <c r="Y285"/>
  <c r="X285"/>
  <c r="F285"/>
  <c r="AC284"/>
  <c r="AB284"/>
  <c r="Z284"/>
  <c r="Y284"/>
  <c r="X284"/>
  <c r="F284"/>
  <c r="AC283"/>
  <c r="AB283"/>
  <c r="Y283"/>
  <c r="X283"/>
  <c r="Z283"/>
  <c r="F283"/>
  <c r="Y282"/>
  <c r="F282"/>
  <c r="X282"/>
  <c r="Z282"/>
  <c r="Y281"/>
  <c r="X281"/>
  <c r="F281"/>
  <c r="AC280"/>
  <c r="AB280"/>
  <c r="Z280"/>
  <c r="Y280"/>
  <c r="X280"/>
  <c r="F280"/>
  <c r="AC279"/>
  <c r="AB279"/>
  <c r="Y279"/>
  <c r="X279"/>
  <c r="F279"/>
  <c r="Z278"/>
  <c r="Y278"/>
  <c r="F278"/>
  <c r="X278"/>
  <c r="Y277"/>
  <c r="F277"/>
  <c r="X277"/>
  <c r="AC276"/>
  <c r="AB276"/>
  <c r="Z276"/>
  <c r="Y276"/>
  <c r="X276"/>
  <c r="F276"/>
  <c r="AC275"/>
  <c r="AB275"/>
  <c r="Y275"/>
  <c r="X275"/>
  <c r="F275"/>
  <c r="Y274"/>
  <c r="F274"/>
  <c r="Y273"/>
  <c r="X273"/>
  <c r="F273"/>
  <c r="AC272"/>
  <c r="AB272"/>
  <c r="Z272"/>
  <c r="Y272"/>
  <c r="X272"/>
  <c r="F272"/>
  <c r="AC271"/>
  <c r="AB271"/>
  <c r="Y271"/>
  <c r="X271"/>
  <c r="Z271"/>
  <c r="F271"/>
  <c r="Z270"/>
  <c r="Y270"/>
  <c r="F270"/>
  <c r="X270"/>
  <c r="Y269"/>
  <c r="X269"/>
  <c r="F269"/>
  <c r="AC268"/>
  <c r="AB268"/>
  <c r="Z268"/>
  <c r="Y268"/>
  <c r="X268"/>
  <c r="F268"/>
  <c r="AC267"/>
  <c r="AB267"/>
  <c r="Y267"/>
  <c r="X267"/>
  <c r="F267"/>
  <c r="Y266"/>
  <c r="F266"/>
  <c r="X266"/>
  <c r="Y265"/>
  <c r="F265"/>
  <c r="X265"/>
  <c r="AC264"/>
  <c r="AB264"/>
  <c r="Z264"/>
  <c r="Y264"/>
  <c r="X264"/>
  <c r="F264"/>
  <c r="AC263"/>
  <c r="AB263"/>
  <c r="Y263"/>
  <c r="X263"/>
  <c r="F263"/>
  <c r="Y262"/>
  <c r="F262"/>
  <c r="X262"/>
  <c r="Y261"/>
  <c r="X261"/>
  <c r="F261"/>
  <c r="AC260"/>
  <c r="AB260"/>
  <c r="Z260"/>
  <c r="Y260"/>
  <c r="X260"/>
  <c r="F260"/>
  <c r="AC259"/>
  <c r="AB259"/>
  <c r="Y259"/>
  <c r="X259"/>
  <c r="F259"/>
  <c r="Z258"/>
  <c r="Y258"/>
  <c r="F258"/>
  <c r="X258"/>
  <c r="Y257"/>
  <c r="X257"/>
  <c r="F257"/>
  <c r="AC256"/>
  <c r="AB256"/>
  <c r="Z256"/>
  <c r="Y256"/>
  <c r="X256"/>
  <c r="F256"/>
  <c r="AC255"/>
  <c r="AB255"/>
  <c r="Y255"/>
  <c r="X255"/>
  <c r="F255"/>
  <c r="Y254"/>
  <c r="F254"/>
  <c r="X254"/>
  <c r="Z254"/>
  <c r="Y253"/>
  <c r="X253"/>
  <c r="F253"/>
  <c r="AC252"/>
  <c r="AB252"/>
  <c r="Z252"/>
  <c r="Y252"/>
  <c r="X252"/>
  <c r="F252"/>
  <c r="AC251"/>
  <c r="AB251"/>
  <c r="Y251"/>
  <c r="X251"/>
  <c r="Z251"/>
  <c r="F251"/>
  <c r="Y250"/>
  <c r="F250"/>
  <c r="X250"/>
  <c r="Z250"/>
  <c r="Y249"/>
  <c r="X249"/>
  <c r="F249"/>
  <c r="AC248"/>
  <c r="AB248"/>
  <c r="Z248"/>
  <c r="Y248"/>
  <c r="X248"/>
  <c r="F248"/>
  <c r="AC247"/>
  <c r="AB247"/>
  <c r="Y247"/>
  <c r="X247"/>
  <c r="F247"/>
  <c r="Z246"/>
  <c r="Y246"/>
  <c r="F246"/>
  <c r="X246"/>
  <c r="Y245"/>
  <c r="F245"/>
  <c r="X245"/>
  <c r="AC244"/>
  <c r="AB244"/>
  <c r="Z244"/>
  <c r="Y244"/>
  <c r="X244"/>
  <c r="F244"/>
  <c r="AC243"/>
  <c r="AB243"/>
  <c r="Y243"/>
  <c r="X243"/>
  <c r="F243"/>
  <c r="Z242"/>
  <c r="Y242"/>
  <c r="F242"/>
  <c r="X242"/>
  <c r="Y241"/>
  <c r="X241"/>
  <c r="F241"/>
  <c r="AC240"/>
  <c r="AB240"/>
  <c r="Z240"/>
  <c r="Y240"/>
  <c r="X240"/>
  <c r="F240"/>
  <c r="AC239"/>
  <c r="AB239"/>
  <c r="Y239"/>
  <c r="X239"/>
  <c r="Z239"/>
  <c r="F239"/>
  <c r="Z238"/>
  <c r="Y238"/>
  <c r="F238"/>
  <c r="X238"/>
  <c r="Y237"/>
  <c r="X237"/>
  <c r="F237"/>
  <c r="AC236"/>
  <c r="AB236"/>
  <c r="Z236"/>
  <c r="Y236"/>
  <c r="X236"/>
  <c r="F236"/>
  <c r="AC235"/>
  <c r="AB235"/>
  <c r="Y235"/>
  <c r="X235"/>
  <c r="F235"/>
  <c r="Y234"/>
  <c r="F234"/>
  <c r="X234"/>
  <c r="Y233"/>
  <c r="F233"/>
  <c r="X233"/>
  <c r="AC232"/>
  <c r="AB232"/>
  <c r="Z232"/>
  <c r="Y232"/>
  <c r="X232"/>
  <c r="F232"/>
  <c r="AC231"/>
  <c r="AB231"/>
  <c r="Y231"/>
  <c r="X231"/>
  <c r="F231"/>
  <c r="Y230"/>
  <c r="F230"/>
  <c r="X230"/>
  <c r="Y229"/>
  <c r="X229"/>
  <c r="F229"/>
  <c r="AC228"/>
  <c r="AB228"/>
  <c r="Z228"/>
  <c r="Y228"/>
  <c r="X228"/>
  <c r="F228"/>
  <c r="AC227"/>
  <c r="AB227"/>
  <c r="Y227"/>
  <c r="X227"/>
  <c r="F227"/>
  <c r="Z226"/>
  <c r="Y226"/>
  <c r="F226"/>
  <c r="X226"/>
  <c r="Y225"/>
  <c r="X225"/>
  <c r="F225"/>
  <c r="AC224"/>
  <c r="AB224"/>
  <c r="Z224"/>
  <c r="Y224"/>
  <c r="X224"/>
  <c r="F224"/>
  <c r="AC223"/>
  <c r="AB223"/>
  <c r="Y223"/>
  <c r="X223"/>
  <c r="F223"/>
  <c r="Y222"/>
  <c r="F222"/>
  <c r="X222"/>
  <c r="Z222"/>
  <c r="Y221"/>
  <c r="X221"/>
  <c r="F221"/>
  <c r="AC220"/>
  <c r="AB220"/>
  <c r="Z220"/>
  <c r="Y220"/>
  <c r="X220"/>
  <c r="F220"/>
  <c r="AC219"/>
  <c r="AB219"/>
  <c r="Y219"/>
  <c r="X219"/>
  <c r="Z219"/>
  <c r="F219"/>
  <c r="Y218"/>
  <c r="F218"/>
  <c r="X218"/>
  <c r="Z218"/>
  <c r="Y217"/>
  <c r="X217"/>
  <c r="F217"/>
  <c r="AC216"/>
  <c r="AB216"/>
  <c r="Z216"/>
  <c r="Y216"/>
  <c r="X216"/>
  <c r="F216"/>
  <c r="AC215"/>
  <c r="AB215"/>
  <c r="Y215"/>
  <c r="X215"/>
  <c r="F215"/>
  <c r="Z214"/>
  <c r="Y214"/>
  <c r="F214"/>
  <c r="X214"/>
  <c r="Y213"/>
  <c r="F213"/>
  <c r="X213"/>
  <c r="AC212"/>
  <c r="AB212"/>
  <c r="Z212"/>
  <c r="Y212"/>
  <c r="X212"/>
  <c r="F212"/>
  <c r="AB211"/>
  <c r="Y211"/>
  <c r="X211"/>
  <c r="F211"/>
  <c r="Z210"/>
  <c r="Y210"/>
  <c r="F210"/>
  <c r="X210"/>
  <c r="Y209"/>
  <c r="X209"/>
  <c r="F209"/>
  <c r="AC208"/>
  <c r="AB208"/>
  <c r="Z208"/>
  <c r="Y208"/>
  <c r="X208"/>
  <c r="F208"/>
  <c r="AC207"/>
  <c r="Y207"/>
  <c r="X207"/>
  <c r="AB207"/>
  <c r="F207"/>
  <c r="Y206"/>
  <c r="F206"/>
  <c r="X206"/>
  <c r="Y205"/>
  <c r="X205"/>
  <c r="AC205"/>
  <c r="F205"/>
  <c r="AC204"/>
  <c r="AB204"/>
  <c r="Z204"/>
  <c r="Y204"/>
  <c r="X204"/>
  <c r="F204"/>
  <c r="AC203"/>
  <c r="AB203"/>
  <c r="Y203"/>
  <c r="X203"/>
  <c r="F203"/>
  <c r="Z202"/>
  <c r="Y202"/>
  <c r="F202"/>
  <c r="X202"/>
  <c r="AC201"/>
  <c r="Y201"/>
  <c r="X201"/>
  <c r="F201"/>
  <c r="AC200"/>
  <c r="AB200"/>
  <c r="Z200"/>
  <c r="Y200"/>
  <c r="X200"/>
  <c r="F200"/>
  <c r="Y199"/>
  <c r="X199"/>
  <c r="Z199"/>
  <c r="F199"/>
  <c r="Y198"/>
  <c r="F198"/>
  <c r="X198"/>
  <c r="Z198"/>
  <c r="Y197"/>
  <c r="F197"/>
  <c r="X197"/>
  <c r="AC196"/>
  <c r="AB196"/>
  <c r="Z196"/>
  <c r="Y196"/>
  <c r="X196"/>
  <c r="F196"/>
  <c r="AB195"/>
  <c r="Y195"/>
  <c r="X195"/>
  <c r="F195"/>
  <c r="Z194"/>
  <c r="Y194"/>
  <c r="F194"/>
  <c r="X194"/>
  <c r="Y193"/>
  <c r="X193"/>
  <c r="F193"/>
  <c r="AC192"/>
  <c r="AB192"/>
  <c r="Z192"/>
  <c r="Y192"/>
  <c r="X192"/>
  <c r="F192"/>
  <c r="AC191"/>
  <c r="Y191"/>
  <c r="X191"/>
  <c r="AB191"/>
  <c r="F191"/>
  <c r="Y190"/>
  <c r="F190"/>
  <c r="X190"/>
  <c r="Y189"/>
  <c r="X189"/>
  <c r="AC189"/>
  <c r="F189"/>
  <c r="AC188"/>
  <c r="AB188"/>
  <c r="Z188"/>
  <c r="Y188"/>
  <c r="X188"/>
  <c r="F188"/>
  <c r="AC187"/>
  <c r="AB187"/>
  <c r="Y187"/>
  <c r="X187"/>
  <c r="F187"/>
  <c r="Y186"/>
  <c r="F186"/>
  <c r="AC185"/>
  <c r="Y185"/>
  <c r="X185"/>
  <c r="F185"/>
  <c r="AC184"/>
  <c r="AB184"/>
  <c r="Z184"/>
  <c r="Y184"/>
  <c r="X184"/>
  <c r="F184"/>
  <c r="Y183"/>
  <c r="X183"/>
  <c r="Z183"/>
  <c r="F183"/>
  <c r="Y182"/>
  <c r="F182"/>
  <c r="X182"/>
  <c r="Z182"/>
  <c r="Y181"/>
  <c r="F181"/>
  <c r="X181"/>
  <c r="AC180"/>
  <c r="AB180"/>
  <c r="Z180"/>
  <c r="Y180"/>
  <c r="X180"/>
  <c r="F180"/>
  <c r="AB179"/>
  <c r="Y179"/>
  <c r="X179"/>
  <c r="F179"/>
  <c r="Z178"/>
  <c r="Y178"/>
  <c r="F178"/>
  <c r="X178"/>
  <c r="Y177"/>
  <c r="X177"/>
  <c r="F177"/>
  <c r="AC176"/>
  <c r="AB176"/>
  <c r="Z176"/>
  <c r="Y176"/>
  <c r="X176"/>
  <c r="F176"/>
  <c r="AC175"/>
  <c r="Y175"/>
  <c r="X175"/>
  <c r="AB175"/>
  <c r="F175"/>
  <c r="Y174"/>
  <c r="F174"/>
  <c r="X174"/>
  <c r="Y173"/>
  <c r="X173"/>
  <c r="AC173"/>
  <c r="F173"/>
  <c r="AC172"/>
  <c r="AB172"/>
  <c r="Z172"/>
  <c r="Y172"/>
  <c r="X172"/>
  <c r="F172"/>
  <c r="AC171"/>
  <c r="AB171"/>
  <c r="Y171"/>
  <c r="X171"/>
  <c r="F171"/>
  <c r="Z170"/>
  <c r="Y170"/>
  <c r="F170"/>
  <c r="X170"/>
  <c r="AC169"/>
  <c r="Y169"/>
  <c r="X169"/>
  <c r="F169"/>
  <c r="AC168"/>
  <c r="AB168"/>
  <c r="Z168"/>
  <c r="Y168"/>
  <c r="X168"/>
  <c r="F168"/>
  <c r="Y167"/>
  <c r="X167"/>
  <c r="Z167"/>
  <c r="F167"/>
  <c r="Y166"/>
  <c r="F166"/>
  <c r="X166"/>
  <c r="Z166"/>
  <c r="Y165"/>
  <c r="F165"/>
  <c r="X165"/>
  <c r="AC164"/>
  <c r="AB164"/>
  <c r="Z164"/>
  <c r="Y164"/>
  <c r="X164"/>
  <c r="F164"/>
  <c r="AB163"/>
  <c r="Y163"/>
  <c r="X163"/>
  <c r="F163"/>
  <c r="Z162"/>
  <c r="Y162"/>
  <c r="F162"/>
  <c r="X162"/>
  <c r="Y161"/>
  <c r="X161"/>
  <c r="F161"/>
  <c r="AC160"/>
  <c r="AB160"/>
  <c r="Z160"/>
  <c r="Y160"/>
  <c r="X160"/>
  <c r="F160"/>
  <c r="AC159"/>
  <c r="Y159"/>
  <c r="X159"/>
  <c r="AB159"/>
  <c r="F159"/>
  <c r="Y158"/>
  <c r="F158"/>
  <c r="X158"/>
  <c r="Y157"/>
  <c r="X157"/>
  <c r="AC157"/>
  <c r="F157"/>
  <c r="AC156"/>
  <c r="AB156"/>
  <c r="Z156"/>
  <c r="Y156"/>
  <c r="X156"/>
  <c r="F156"/>
  <c r="AC155"/>
  <c r="AB155"/>
  <c r="Y155"/>
  <c r="X155"/>
  <c r="F155"/>
  <c r="Y154"/>
  <c r="F154"/>
  <c r="AC153"/>
  <c r="Y153"/>
  <c r="X153"/>
  <c r="F153"/>
  <c r="AC152"/>
  <c r="AB152"/>
  <c r="Z152"/>
  <c r="Y152"/>
  <c r="X152"/>
  <c r="F152"/>
  <c r="Y151"/>
  <c r="X151"/>
  <c r="Z151"/>
  <c r="F151"/>
  <c r="Y150"/>
  <c r="F150"/>
  <c r="X150"/>
  <c r="Z150"/>
  <c r="Y149"/>
  <c r="F149"/>
  <c r="X149"/>
  <c r="AC148"/>
  <c r="AB148"/>
  <c r="Z148"/>
  <c r="Y148"/>
  <c r="X148"/>
  <c r="F148"/>
  <c r="AB147"/>
  <c r="Y147"/>
  <c r="X147"/>
  <c r="F147"/>
  <c r="Z146"/>
  <c r="Y146"/>
  <c r="F146"/>
  <c r="X146"/>
  <c r="Y145"/>
  <c r="X145"/>
  <c r="F145"/>
  <c r="AC144"/>
  <c r="AB144"/>
  <c r="Z144"/>
  <c r="Y144"/>
  <c r="X144"/>
  <c r="F144"/>
  <c r="AC143"/>
  <c r="Y143"/>
  <c r="X143"/>
  <c r="AB143"/>
  <c r="F143"/>
  <c r="Y142"/>
  <c r="F142"/>
  <c r="X142"/>
  <c r="Z142"/>
  <c r="Y141"/>
  <c r="X141"/>
  <c r="AC141"/>
  <c r="F141"/>
  <c r="AC140"/>
  <c r="AB140"/>
  <c r="Z140"/>
  <c r="Y140"/>
  <c r="X140"/>
  <c r="F140"/>
  <c r="AC139"/>
  <c r="AB139"/>
  <c r="Y139"/>
  <c r="X139"/>
  <c r="F139"/>
  <c r="Z138"/>
  <c r="Y138"/>
  <c r="F138"/>
  <c r="X138"/>
  <c r="AC137"/>
  <c r="Y137"/>
  <c r="X137"/>
  <c r="F137"/>
  <c r="AC136"/>
  <c r="AB136"/>
  <c r="Z136"/>
  <c r="Y136"/>
  <c r="X136"/>
  <c r="F136"/>
  <c r="Y135"/>
  <c r="X135"/>
  <c r="Z135"/>
  <c r="F135"/>
  <c r="Y134"/>
  <c r="F134"/>
  <c r="X134"/>
  <c r="Z134"/>
  <c r="Y133"/>
  <c r="F133"/>
  <c r="X133"/>
  <c r="AC132"/>
  <c r="AB132"/>
  <c r="Z132"/>
  <c r="Y132"/>
  <c r="X132"/>
  <c r="F132"/>
  <c r="AB131"/>
  <c r="Y131"/>
  <c r="X131"/>
  <c r="F131"/>
  <c r="Z130"/>
  <c r="Y130"/>
  <c r="F130"/>
  <c r="X130"/>
  <c r="Y129"/>
  <c r="X129"/>
  <c r="F129"/>
  <c r="AC128"/>
  <c r="AB128"/>
  <c r="Z128"/>
  <c r="Y128"/>
  <c r="X128"/>
  <c r="F128"/>
  <c r="AC127"/>
  <c r="Y127"/>
  <c r="X127"/>
  <c r="AB127"/>
  <c r="F127"/>
  <c r="Y126"/>
  <c r="F126"/>
  <c r="X126"/>
  <c r="Y125"/>
  <c r="X125"/>
  <c r="AC125"/>
  <c r="F125"/>
  <c r="AC124"/>
  <c r="AB124"/>
  <c r="Z124"/>
  <c r="Y124"/>
  <c r="X124"/>
  <c r="F124"/>
  <c r="AC123"/>
  <c r="AB123"/>
  <c r="Y123"/>
  <c r="X123"/>
  <c r="F123"/>
  <c r="Z122"/>
  <c r="Y122"/>
  <c r="F122"/>
  <c r="X122"/>
  <c r="AC121"/>
  <c r="Y121"/>
  <c r="X121"/>
  <c r="F121"/>
  <c r="AC120"/>
  <c r="AB120"/>
  <c r="Z120"/>
  <c r="Y120"/>
  <c r="X120"/>
  <c r="F120"/>
  <c r="Y119"/>
  <c r="X119"/>
  <c r="Z119"/>
  <c r="F119"/>
  <c r="Y118"/>
  <c r="F118"/>
  <c r="X118"/>
  <c r="Z118"/>
  <c r="Y117"/>
  <c r="F117"/>
  <c r="X117"/>
  <c r="AC116"/>
  <c r="AB116"/>
  <c r="Z116"/>
  <c r="Y116"/>
  <c r="X116"/>
  <c r="F116"/>
  <c r="AB115"/>
  <c r="Y115"/>
  <c r="X115"/>
  <c r="F115"/>
  <c r="Z114"/>
  <c r="Y114"/>
  <c r="F114"/>
  <c r="X114"/>
  <c r="Y113"/>
  <c r="X113"/>
  <c r="F113"/>
  <c r="AC112"/>
  <c r="AB112"/>
  <c r="Z112"/>
  <c r="Y112"/>
  <c r="X112"/>
  <c r="F112"/>
  <c r="AC111"/>
  <c r="Y111"/>
  <c r="X111"/>
  <c r="AB111"/>
  <c r="F111"/>
  <c r="Y110"/>
  <c r="F110"/>
  <c r="X110"/>
  <c r="Y109"/>
  <c r="X109"/>
  <c r="AC109"/>
  <c r="F109"/>
  <c r="AC108"/>
  <c r="AB108"/>
  <c r="Z108"/>
  <c r="Y108"/>
  <c r="X108"/>
  <c r="F108"/>
  <c r="AC107"/>
  <c r="AB107"/>
  <c r="Y107"/>
  <c r="X107"/>
  <c r="F107"/>
  <c r="Z106"/>
  <c r="Y106"/>
  <c r="F106"/>
  <c r="X106"/>
  <c r="AC105"/>
  <c r="Y105"/>
  <c r="X105"/>
  <c r="F105"/>
  <c r="AC104"/>
  <c r="AB104"/>
  <c r="Z104"/>
  <c r="Y104"/>
  <c r="X104"/>
  <c r="F104"/>
  <c r="Y103"/>
  <c r="X103"/>
  <c r="Z103"/>
  <c r="F103"/>
  <c r="Y102"/>
  <c r="F102"/>
  <c r="X102"/>
  <c r="Z102"/>
  <c r="Y101"/>
  <c r="F101"/>
  <c r="X101"/>
  <c r="AC100"/>
  <c r="AB100"/>
  <c r="Z100"/>
  <c r="Y100"/>
  <c r="X100"/>
  <c r="F100"/>
  <c r="AB99"/>
  <c r="Y99"/>
  <c r="X99"/>
  <c r="F99"/>
  <c r="Z98"/>
  <c r="Y98"/>
  <c r="F98"/>
  <c r="X98"/>
  <c r="Y97"/>
  <c r="X97"/>
  <c r="F97"/>
  <c r="AC96"/>
  <c r="AB96"/>
  <c r="Z96"/>
  <c r="Y96"/>
  <c r="X96"/>
  <c r="F96"/>
  <c r="AC95"/>
  <c r="Y95"/>
  <c r="X95"/>
  <c r="AB95"/>
  <c r="F95"/>
  <c r="Y94"/>
  <c r="F94"/>
  <c r="X94"/>
  <c r="Z94"/>
  <c r="Y93"/>
  <c r="X93"/>
  <c r="AC93"/>
  <c r="F93"/>
  <c r="AC92"/>
  <c r="AB92"/>
  <c r="Z92"/>
  <c r="Y92"/>
  <c r="X92"/>
  <c r="F92"/>
  <c r="AC91"/>
  <c r="AB91"/>
  <c r="Y91"/>
  <c r="X91"/>
  <c r="F91"/>
  <c r="Z90"/>
  <c r="Y90"/>
  <c r="F90"/>
  <c r="X90"/>
  <c r="AC89"/>
  <c r="Y89"/>
  <c r="X89"/>
  <c r="F89"/>
  <c r="AC88"/>
  <c r="AB88"/>
  <c r="Z88"/>
  <c r="Y88"/>
  <c r="X88"/>
  <c r="F88"/>
  <c r="Y87"/>
  <c r="X87"/>
  <c r="Z87"/>
  <c r="F87"/>
  <c r="Y86"/>
  <c r="F86"/>
  <c r="X86"/>
  <c r="Z86"/>
  <c r="Y85"/>
  <c r="F85"/>
  <c r="X85"/>
  <c r="Y84"/>
  <c r="F84"/>
  <c r="X84"/>
  <c r="AB83"/>
  <c r="Y83"/>
  <c r="X83"/>
  <c r="F83"/>
  <c r="Z82"/>
  <c r="Y82"/>
  <c r="F82"/>
  <c r="X82"/>
  <c r="Y81"/>
  <c r="X81"/>
  <c r="F81"/>
  <c r="AC80"/>
  <c r="AB80"/>
  <c r="Z80"/>
  <c r="Y80"/>
  <c r="X80"/>
  <c r="F80"/>
  <c r="AC79"/>
  <c r="Y79"/>
  <c r="X79"/>
  <c r="AB79"/>
  <c r="F79"/>
  <c r="Y78"/>
  <c r="F78"/>
  <c r="X78"/>
  <c r="Z78"/>
  <c r="Y77"/>
  <c r="X77"/>
  <c r="AC77"/>
  <c r="F77"/>
  <c r="AC76"/>
  <c r="AB76"/>
  <c r="Z76"/>
  <c r="Y76"/>
  <c r="X76"/>
  <c r="F76"/>
  <c r="AC75"/>
  <c r="AB75"/>
  <c r="Y75"/>
  <c r="X75"/>
  <c r="F75"/>
  <c r="Z74"/>
  <c r="Y74"/>
  <c r="F74"/>
  <c r="X74"/>
  <c r="AC73"/>
  <c r="Y73"/>
  <c r="X73"/>
  <c r="F73"/>
  <c r="AC72"/>
  <c r="AB72"/>
  <c r="Z72"/>
  <c r="Y72"/>
  <c r="X72"/>
  <c r="F72"/>
  <c r="Y71"/>
  <c r="X71"/>
  <c r="Z71"/>
  <c r="F71"/>
  <c r="Y70"/>
  <c r="F70"/>
  <c r="X70"/>
  <c r="Z70"/>
  <c r="Y69"/>
  <c r="F69"/>
  <c r="X69"/>
  <c r="AC68"/>
  <c r="AB68"/>
  <c r="Z68"/>
  <c r="Y68"/>
  <c r="X68"/>
  <c r="F68"/>
  <c r="AB67"/>
  <c r="Y67"/>
  <c r="X67"/>
  <c r="F67"/>
  <c r="Z66"/>
  <c r="Y66"/>
  <c r="F66"/>
  <c r="X66"/>
  <c r="Y65"/>
  <c r="X65"/>
  <c r="F65"/>
  <c r="AC64"/>
  <c r="AB64"/>
  <c r="Z64"/>
  <c r="Y64"/>
  <c r="X64"/>
  <c r="F64"/>
  <c r="AC63"/>
  <c r="Y63"/>
  <c r="X63"/>
  <c r="AB63"/>
  <c r="F63"/>
  <c r="Y62"/>
  <c r="F62"/>
  <c r="X62"/>
  <c r="Z62"/>
  <c r="Y61"/>
  <c r="X61"/>
  <c r="AC61"/>
  <c r="F61"/>
  <c r="AC60"/>
  <c r="AB60"/>
  <c r="Z60"/>
  <c r="Y60"/>
  <c r="X60"/>
  <c r="F60"/>
  <c r="AC59"/>
  <c r="AB59"/>
  <c r="Y59"/>
  <c r="X59"/>
  <c r="F59"/>
  <c r="Z58"/>
  <c r="Y58"/>
  <c r="F58"/>
  <c r="X58"/>
  <c r="AC57"/>
  <c r="Y57"/>
  <c r="X57"/>
  <c r="F57"/>
  <c r="AC56"/>
  <c r="AB56"/>
  <c r="Z56"/>
  <c r="Y56"/>
  <c r="X56"/>
  <c r="F56"/>
  <c r="Y55"/>
  <c r="X55"/>
  <c r="Z55"/>
  <c r="F55"/>
  <c r="Y54"/>
  <c r="F54"/>
  <c r="X54"/>
  <c r="Z54"/>
  <c r="Y53"/>
  <c r="F53"/>
  <c r="X53"/>
  <c r="AC52"/>
  <c r="AB52"/>
  <c r="Z52"/>
  <c r="Y52"/>
  <c r="X52"/>
  <c r="F52"/>
  <c r="AB51"/>
  <c r="Y51"/>
  <c r="X51"/>
  <c r="F51"/>
  <c r="Z50"/>
  <c r="Y50"/>
  <c r="F50"/>
  <c r="X50"/>
  <c r="Y49"/>
  <c r="X49"/>
  <c r="F49"/>
  <c r="AC48"/>
  <c r="AB48"/>
  <c r="Z48"/>
  <c r="Y48"/>
  <c r="X48"/>
  <c r="F48"/>
  <c r="AC47"/>
  <c r="Y47"/>
  <c r="X47"/>
  <c r="AB47"/>
  <c r="F47"/>
  <c r="Y46"/>
  <c r="F46"/>
  <c r="X46"/>
  <c r="Y45"/>
  <c r="X45"/>
  <c r="AC45"/>
  <c r="F45"/>
  <c r="AC44"/>
  <c r="AB44"/>
  <c r="Z44"/>
  <c r="Y44"/>
  <c r="X44"/>
  <c r="F44"/>
  <c r="AC43"/>
  <c r="AB43"/>
  <c r="Y43"/>
  <c r="X43"/>
  <c r="F43"/>
  <c r="Z42"/>
  <c r="Y42"/>
  <c r="F42"/>
  <c r="X42"/>
  <c r="AC41"/>
  <c r="Y41"/>
  <c r="X41"/>
  <c r="F41"/>
  <c r="AC40"/>
  <c r="AB40"/>
  <c r="Z40"/>
  <c r="Y40"/>
  <c r="X40"/>
  <c r="F40"/>
  <c r="Y39"/>
  <c r="X39"/>
  <c r="Z39"/>
  <c r="F39"/>
  <c r="Y38"/>
  <c r="F38"/>
  <c r="X38"/>
  <c r="Z38"/>
  <c r="Y37"/>
  <c r="F37"/>
  <c r="X37"/>
  <c r="AC36"/>
  <c r="AB36"/>
  <c r="Z36"/>
  <c r="Y36"/>
  <c r="X36"/>
  <c r="F36"/>
  <c r="AB35"/>
  <c r="Y35"/>
  <c r="X35"/>
  <c r="F35"/>
  <c r="Z34"/>
  <c r="Y34"/>
  <c r="F34"/>
  <c r="X34"/>
  <c r="Y33"/>
  <c r="X33"/>
  <c r="F33"/>
  <c r="AC32"/>
  <c r="AB32"/>
  <c r="Z32"/>
  <c r="Y32"/>
  <c r="X32"/>
  <c r="F32"/>
  <c r="AC31"/>
  <c r="Y31"/>
  <c r="X31"/>
  <c r="AB31"/>
  <c r="F31"/>
  <c r="Y30"/>
  <c r="F30"/>
  <c r="X30"/>
  <c r="Z30"/>
  <c r="Y29"/>
  <c r="X29"/>
  <c r="AC29"/>
  <c r="F29"/>
  <c r="AC28"/>
  <c r="AB28"/>
  <c r="Z28"/>
  <c r="Y28"/>
  <c r="X28"/>
  <c r="F28"/>
  <c r="AC27"/>
  <c r="AB27"/>
  <c r="Y27"/>
  <c r="X27"/>
  <c r="F27"/>
  <c r="Z26"/>
  <c r="Y26"/>
  <c r="F26"/>
  <c r="X26"/>
  <c r="AC25"/>
  <c r="Y25"/>
  <c r="X25"/>
  <c r="F25"/>
  <c r="AC24"/>
  <c r="AB24"/>
  <c r="Z24"/>
  <c r="Y24"/>
  <c r="X24"/>
  <c r="F24"/>
  <c r="Y23"/>
  <c r="X23"/>
  <c r="Z23"/>
  <c r="F23"/>
  <c r="Y22"/>
  <c r="F22"/>
  <c r="X22"/>
  <c r="Z22"/>
  <c r="Y21"/>
  <c r="F21"/>
  <c r="X21"/>
  <c r="AC20"/>
  <c r="AB20"/>
  <c r="Z20"/>
  <c r="Y20"/>
  <c r="X20"/>
  <c r="F20"/>
  <c r="AB19"/>
  <c r="Y19"/>
  <c r="X19"/>
  <c r="F19"/>
  <c r="Z18"/>
  <c r="Y18"/>
  <c r="F18"/>
  <c r="X18"/>
  <c r="Y17"/>
  <c r="X17"/>
  <c r="F17"/>
  <c r="AC16"/>
  <c r="AB16"/>
  <c r="Z16"/>
  <c r="Y16"/>
  <c r="X16"/>
  <c r="F16"/>
  <c r="AC15"/>
  <c r="Y15"/>
  <c r="X15"/>
  <c r="AB15"/>
  <c r="F15"/>
  <c r="Y14"/>
  <c r="F14"/>
  <c r="X14"/>
  <c r="Y13"/>
  <c r="X13"/>
  <c r="AC13"/>
  <c r="F13"/>
  <c r="AC12"/>
  <c r="AB12"/>
  <c r="Z12"/>
  <c r="Y12"/>
  <c r="X12"/>
  <c r="F12"/>
  <c r="AC11"/>
  <c r="AB11"/>
  <c r="Y11"/>
  <c r="X11"/>
  <c r="F11"/>
  <c r="Z10"/>
  <c r="Y10"/>
  <c r="F10"/>
  <c r="X10"/>
  <c r="AC9"/>
  <c r="Y9"/>
  <c r="X9"/>
  <c r="F9"/>
  <c r="AC8"/>
  <c r="AB8"/>
  <c r="Z8"/>
  <c r="Y8"/>
  <c r="X8"/>
  <c r="F8"/>
  <c r="Y7"/>
  <c r="X7"/>
  <c r="F7"/>
  <c r="AG357" i="2"/>
  <c r="K357"/>
  <c r="AA356"/>
  <c r="Z356"/>
  <c r="N356"/>
  <c r="M356"/>
  <c r="L356"/>
  <c r="AA355"/>
  <c r="Z355"/>
  <c r="N355"/>
  <c r="M355"/>
  <c r="L355"/>
  <c r="AA354"/>
  <c r="Z354"/>
  <c r="N354"/>
  <c r="M354"/>
  <c r="L354"/>
  <c r="AA353"/>
  <c r="Z353"/>
  <c r="N353"/>
  <c r="M353"/>
  <c r="L353"/>
  <c r="Z352"/>
  <c r="AA352"/>
  <c r="N352"/>
  <c r="M352"/>
  <c r="L352"/>
  <c r="Z351"/>
  <c r="AA351"/>
  <c r="N351"/>
  <c r="L351"/>
  <c r="M351"/>
  <c r="AA350"/>
  <c r="Z350"/>
  <c r="N350"/>
  <c r="L350"/>
  <c r="M350"/>
  <c r="AA349"/>
  <c r="Z349"/>
  <c r="N349"/>
  <c r="M349"/>
  <c r="L349"/>
  <c r="AA348"/>
  <c r="Z348"/>
  <c r="N348"/>
  <c r="M348"/>
  <c r="L348"/>
  <c r="AA347"/>
  <c r="Z347"/>
  <c r="N347"/>
  <c r="M347"/>
  <c r="L347"/>
  <c r="AA346"/>
  <c r="Z346"/>
  <c r="N346"/>
  <c r="M346"/>
  <c r="L346"/>
  <c r="AA345"/>
  <c r="Z345"/>
  <c r="N345"/>
  <c r="M345"/>
  <c r="L345"/>
  <c r="Z344"/>
  <c r="AA344"/>
  <c r="N344"/>
  <c r="M344"/>
  <c r="L344"/>
  <c r="Z343"/>
  <c r="AA343"/>
  <c r="N343"/>
  <c r="L343"/>
  <c r="M343"/>
  <c r="AA342"/>
  <c r="Z342"/>
  <c r="N342"/>
  <c r="L342"/>
  <c r="M342"/>
  <c r="AA341"/>
  <c r="Z341"/>
  <c r="N341"/>
  <c r="M341"/>
  <c r="L341"/>
  <c r="AA340"/>
  <c r="Z340"/>
  <c r="N340"/>
  <c r="M340"/>
  <c r="L340"/>
  <c r="AA339"/>
  <c r="Z339"/>
  <c r="N339"/>
  <c r="M339"/>
  <c r="L339"/>
  <c r="AA338"/>
  <c r="Z338"/>
  <c r="N338"/>
  <c r="M338"/>
  <c r="L338"/>
  <c r="AA337"/>
  <c r="Z337"/>
  <c r="N337"/>
  <c r="M337"/>
  <c r="L337"/>
  <c r="Z336"/>
  <c r="AA336"/>
  <c r="N336"/>
  <c r="M336"/>
  <c r="L336"/>
  <c r="Z335"/>
  <c r="AA335"/>
  <c r="N335"/>
  <c r="L335"/>
  <c r="M335"/>
  <c r="AA334"/>
  <c r="Z334"/>
  <c r="N334"/>
  <c r="L334"/>
  <c r="M334"/>
  <c r="AA333"/>
  <c r="Z333"/>
  <c r="N333"/>
  <c r="M333"/>
  <c r="L333"/>
  <c r="AA332"/>
  <c r="Z332"/>
  <c r="N332"/>
  <c r="M332"/>
  <c r="L332"/>
  <c r="AA331"/>
  <c r="Z331"/>
  <c r="N331"/>
  <c r="M331"/>
  <c r="L331"/>
  <c r="AA330"/>
  <c r="Z330"/>
  <c r="N330"/>
  <c r="M330"/>
  <c r="L330"/>
  <c r="AA329"/>
  <c r="Z329"/>
  <c r="N329"/>
  <c r="M329"/>
  <c r="L329"/>
  <c r="Z328"/>
  <c r="AA328"/>
  <c r="N328"/>
  <c r="M328"/>
  <c r="L328"/>
  <c r="Z327"/>
  <c r="AA327"/>
  <c r="N327"/>
  <c r="L327"/>
  <c r="M327"/>
  <c r="AA326"/>
  <c r="Z326"/>
  <c r="N326"/>
  <c r="L326"/>
  <c r="M326"/>
  <c r="AA325"/>
  <c r="Z325"/>
  <c r="N325"/>
  <c r="M325"/>
  <c r="L325"/>
  <c r="J325"/>
  <c r="Z324"/>
  <c r="AA324"/>
  <c r="N324"/>
  <c r="L324"/>
  <c r="M324"/>
  <c r="AA323"/>
  <c r="Z323"/>
  <c r="N323"/>
  <c r="L323"/>
  <c r="M323"/>
  <c r="AA322"/>
  <c r="Z322"/>
  <c r="N322"/>
  <c r="M322"/>
  <c r="L322"/>
  <c r="AA321"/>
  <c r="Z321"/>
  <c r="N321"/>
  <c r="M321"/>
  <c r="L321"/>
  <c r="AA320"/>
  <c r="Z320"/>
  <c r="N320"/>
  <c r="M320"/>
  <c r="L320"/>
  <c r="AA319"/>
  <c r="Z319"/>
  <c r="N319"/>
  <c r="M319"/>
  <c r="L319"/>
  <c r="AA318"/>
  <c r="Z318"/>
  <c r="N318"/>
  <c r="M318"/>
  <c r="L318"/>
  <c r="Z317"/>
  <c r="AA317"/>
  <c r="N317"/>
  <c r="M317"/>
  <c r="L317"/>
  <c r="Z316"/>
  <c r="AA316"/>
  <c r="N316"/>
  <c r="L316"/>
  <c r="M316"/>
  <c r="AA315"/>
  <c r="Z315"/>
  <c r="N315"/>
  <c r="L315"/>
  <c r="M315"/>
  <c r="AA314"/>
  <c r="Z314"/>
  <c r="N314"/>
  <c r="M314"/>
  <c r="L314"/>
  <c r="AA313"/>
  <c r="Z313"/>
  <c r="N313"/>
  <c r="M313"/>
  <c r="L313"/>
  <c r="AA312"/>
  <c r="Z312"/>
  <c r="N312"/>
  <c r="M312"/>
  <c r="L312"/>
  <c r="AA311"/>
  <c r="Z311"/>
  <c r="N311"/>
  <c r="M311"/>
  <c r="L311"/>
  <c r="AA310"/>
  <c r="Z310"/>
  <c r="N310"/>
  <c r="M310"/>
  <c r="L310"/>
  <c r="Z309"/>
  <c r="AA309"/>
  <c r="N309"/>
  <c r="M309"/>
  <c r="L309"/>
  <c r="Z308"/>
  <c r="AA308"/>
  <c r="N308"/>
  <c r="L308"/>
  <c r="M308"/>
  <c r="AA307"/>
  <c r="Z307"/>
  <c r="N307"/>
  <c r="L307"/>
  <c r="M307"/>
  <c r="AA306"/>
  <c r="Z306"/>
  <c r="N306"/>
  <c r="M306"/>
  <c r="L306"/>
  <c r="AA305"/>
  <c r="Z305"/>
  <c r="N305"/>
  <c r="M305"/>
  <c r="L305"/>
  <c r="AA304"/>
  <c r="Z304"/>
  <c r="N304"/>
  <c r="M304"/>
  <c r="L304"/>
  <c r="AA303"/>
  <c r="Z303"/>
  <c r="N303"/>
  <c r="M303"/>
  <c r="L303"/>
  <c r="AA302"/>
  <c r="Z302"/>
  <c r="N302"/>
  <c r="M302"/>
  <c r="L302"/>
  <c r="Z301"/>
  <c r="AA301"/>
  <c r="N301"/>
  <c r="M301"/>
  <c r="L301"/>
  <c r="Z300"/>
  <c r="AA300"/>
  <c r="N300"/>
  <c r="L300"/>
  <c r="M300"/>
  <c r="AA299"/>
  <c r="Z299"/>
  <c r="N299"/>
  <c r="L299"/>
  <c r="M299"/>
  <c r="AA298"/>
  <c r="Z298"/>
  <c r="N298"/>
  <c r="M298"/>
  <c r="L298"/>
  <c r="AA297"/>
  <c r="Z297"/>
  <c r="N297"/>
  <c r="M297"/>
  <c r="L297"/>
  <c r="AA296"/>
  <c r="Z296"/>
  <c r="N296"/>
  <c r="M296"/>
  <c r="L296"/>
  <c r="AA295"/>
  <c r="Z295"/>
  <c r="N295"/>
  <c r="M295"/>
  <c r="L295"/>
  <c r="AA294"/>
  <c r="Z294"/>
  <c r="N294"/>
  <c r="M294"/>
  <c r="L294"/>
  <c r="Z293"/>
  <c r="AA293"/>
  <c r="N293"/>
  <c r="M293"/>
  <c r="L293"/>
  <c r="Z292"/>
  <c r="AA292"/>
  <c r="N292"/>
  <c r="L292"/>
  <c r="M292"/>
  <c r="AA291"/>
  <c r="Z291"/>
  <c r="N291"/>
  <c r="L291"/>
  <c r="M291"/>
  <c r="AA290"/>
  <c r="Z290"/>
  <c r="N290"/>
  <c r="M290"/>
  <c r="L290"/>
  <c r="AA289"/>
  <c r="Z289"/>
  <c r="N289"/>
  <c r="M289"/>
  <c r="L289"/>
  <c r="AA288"/>
  <c r="Z288"/>
  <c r="N288"/>
  <c r="M288"/>
  <c r="L288"/>
  <c r="AA287"/>
  <c r="Z287"/>
  <c r="N287"/>
  <c r="M287"/>
  <c r="L287"/>
  <c r="AA286"/>
  <c r="Z286"/>
  <c r="N286"/>
  <c r="M286"/>
  <c r="L286"/>
  <c r="Z285"/>
  <c r="AA285"/>
  <c r="N285"/>
  <c r="M285"/>
  <c r="L285"/>
  <c r="Z284"/>
  <c r="AA284"/>
  <c r="N284"/>
  <c r="L284"/>
  <c r="M284"/>
  <c r="AA283"/>
  <c r="Z283"/>
  <c r="N283"/>
  <c r="L283"/>
  <c r="M283"/>
  <c r="AA282"/>
  <c r="Z282"/>
  <c r="N282"/>
  <c r="M282"/>
  <c r="L282"/>
  <c r="AA281"/>
  <c r="Z281"/>
  <c r="N281"/>
  <c r="M281"/>
  <c r="L281"/>
  <c r="AA280"/>
  <c r="Z280"/>
  <c r="N280"/>
  <c r="M280"/>
  <c r="L280"/>
  <c r="AA279"/>
  <c r="Z279"/>
  <c r="N279"/>
  <c r="M279"/>
  <c r="L279"/>
  <c r="AA278"/>
  <c r="Z278"/>
  <c r="N278"/>
  <c r="M278"/>
  <c r="L278"/>
  <c r="Z277"/>
  <c r="AA277"/>
  <c r="N277"/>
  <c r="M277"/>
  <c r="L277"/>
  <c r="Z276"/>
  <c r="AA276"/>
  <c r="N276"/>
  <c r="L276"/>
  <c r="M276"/>
  <c r="AA275"/>
  <c r="Z275"/>
  <c r="N275"/>
  <c r="L275"/>
  <c r="M275"/>
  <c r="AA274"/>
  <c r="Z274"/>
  <c r="N274"/>
  <c r="M274"/>
  <c r="L274"/>
  <c r="AA273"/>
  <c r="Z273"/>
  <c r="N273"/>
  <c r="M273"/>
  <c r="L273"/>
  <c r="AA272"/>
  <c r="Z272"/>
  <c r="N272"/>
  <c r="M272"/>
  <c r="L272"/>
  <c r="AA271"/>
  <c r="Z271"/>
  <c r="N271"/>
  <c r="M271"/>
  <c r="L271"/>
  <c r="AA270"/>
  <c r="Z270"/>
  <c r="N270"/>
  <c r="M270"/>
  <c r="L270"/>
  <c r="Z269"/>
  <c r="AA269"/>
  <c r="N269"/>
  <c r="M269"/>
  <c r="L269"/>
  <c r="Z268"/>
  <c r="AA268"/>
  <c r="N268"/>
  <c r="L268"/>
  <c r="M268"/>
  <c r="AA267"/>
  <c r="Z267"/>
  <c r="N267"/>
  <c r="L267"/>
  <c r="M267"/>
  <c r="AA266"/>
  <c r="Z266"/>
  <c r="N266"/>
  <c r="M266"/>
  <c r="L266"/>
  <c r="AA265"/>
  <c r="Z265"/>
  <c r="N265"/>
  <c r="M265"/>
  <c r="L265"/>
  <c r="AA264"/>
  <c r="Z264"/>
  <c r="N264"/>
  <c r="M264"/>
  <c r="L264"/>
  <c r="AA263"/>
  <c r="Z263"/>
  <c r="N263"/>
  <c r="M263"/>
  <c r="L263"/>
  <c r="AA262"/>
  <c r="Z262"/>
  <c r="N262"/>
  <c r="M262"/>
  <c r="L262"/>
  <c r="Z261"/>
  <c r="AA261"/>
  <c r="N261"/>
  <c r="M261"/>
  <c r="L261"/>
  <c r="Z260"/>
  <c r="AA260"/>
  <c r="N260"/>
  <c r="L260"/>
  <c r="M260"/>
  <c r="AA259"/>
  <c r="Z259"/>
  <c r="N259"/>
  <c r="L259"/>
  <c r="M259"/>
  <c r="AA258"/>
  <c r="Z258"/>
  <c r="N258"/>
  <c r="M258"/>
  <c r="L258"/>
  <c r="J258"/>
  <c r="Z257"/>
  <c r="AA257"/>
  <c r="N257"/>
  <c r="L257"/>
  <c r="M257"/>
  <c r="AA256"/>
  <c r="Z256"/>
  <c r="N256"/>
  <c r="L256"/>
  <c r="M256"/>
  <c r="AA255"/>
  <c r="Z255"/>
  <c r="N255"/>
  <c r="M255"/>
  <c r="L255"/>
  <c r="AA254"/>
  <c r="Z254"/>
  <c r="N254"/>
  <c r="M254"/>
  <c r="L254"/>
  <c r="AA253"/>
  <c r="Z253"/>
  <c r="N253"/>
  <c r="M253"/>
  <c r="L253"/>
  <c r="AA252"/>
  <c r="Z252"/>
  <c r="N252"/>
  <c r="M252"/>
  <c r="L252"/>
  <c r="AA251"/>
  <c r="Z251"/>
  <c r="N251"/>
  <c r="M251"/>
  <c r="L251"/>
  <c r="Z250"/>
  <c r="AA250"/>
  <c r="N250"/>
  <c r="M250"/>
  <c r="L250"/>
  <c r="Z249"/>
  <c r="AA249"/>
  <c r="N249"/>
  <c r="L249"/>
  <c r="M249"/>
  <c r="AA248"/>
  <c r="Z248"/>
  <c r="N248"/>
  <c r="L248"/>
  <c r="M248"/>
  <c r="AA247"/>
  <c r="Z247"/>
  <c r="N247"/>
  <c r="M247"/>
  <c r="L247"/>
  <c r="AA246"/>
  <c r="Z246"/>
  <c r="N246"/>
  <c r="M246"/>
  <c r="L246"/>
  <c r="AA245"/>
  <c r="Z245"/>
  <c r="N245"/>
  <c r="M245"/>
  <c r="L245"/>
  <c r="AA244"/>
  <c r="Z244"/>
  <c r="N244"/>
  <c r="M244"/>
  <c r="L244"/>
  <c r="AA243"/>
  <c r="Z243"/>
  <c r="N243"/>
  <c r="M243"/>
  <c r="L243"/>
  <c r="Z242"/>
  <c r="AA242"/>
  <c r="N242"/>
  <c r="M242"/>
  <c r="L242"/>
  <c r="Z241"/>
  <c r="AA241"/>
  <c r="N241"/>
  <c r="L241"/>
  <c r="M241"/>
  <c r="AA240"/>
  <c r="Z240"/>
  <c r="N240"/>
  <c r="L240"/>
  <c r="M240"/>
  <c r="AA239"/>
  <c r="Z239"/>
  <c r="N239"/>
  <c r="M239"/>
  <c r="L239"/>
  <c r="AA238"/>
  <c r="Z238"/>
  <c r="N238"/>
  <c r="M238"/>
  <c r="L238"/>
  <c r="AA237"/>
  <c r="Z237"/>
  <c r="N237"/>
  <c r="M237"/>
  <c r="L237"/>
  <c r="AA236"/>
  <c r="Z236"/>
  <c r="N236"/>
  <c r="M236"/>
  <c r="L236"/>
  <c r="AA235"/>
  <c r="Z235"/>
  <c r="N235"/>
  <c r="M235"/>
  <c r="L235"/>
  <c r="Z234"/>
  <c r="AA234"/>
  <c r="N234"/>
  <c r="M234"/>
  <c r="L234"/>
  <c r="Z233"/>
  <c r="AA233"/>
  <c r="N233"/>
  <c r="L233"/>
  <c r="M233"/>
  <c r="AA232"/>
  <c r="Z232"/>
  <c r="N232"/>
  <c r="L232"/>
  <c r="M232"/>
  <c r="AA231"/>
  <c r="Z231"/>
  <c r="N231"/>
  <c r="M231"/>
  <c r="L231"/>
  <c r="AA230"/>
  <c r="Z230"/>
  <c r="N230"/>
  <c r="M230"/>
  <c r="L230"/>
  <c r="AA229"/>
  <c r="Z229"/>
  <c r="N229"/>
  <c r="M229"/>
  <c r="L229"/>
  <c r="AA228"/>
  <c r="Z228"/>
  <c r="N228"/>
  <c r="M228"/>
  <c r="L228"/>
  <c r="AA227"/>
  <c r="Z227"/>
  <c r="N227"/>
  <c r="M227"/>
  <c r="L227"/>
  <c r="Z226"/>
  <c r="AA226"/>
  <c r="N226"/>
  <c r="M226"/>
  <c r="L226"/>
  <c r="Z225"/>
  <c r="AA225"/>
  <c r="N225"/>
  <c r="L225"/>
  <c r="M225"/>
  <c r="AA224"/>
  <c r="Z224"/>
  <c r="N224"/>
  <c r="L224"/>
  <c r="M224"/>
  <c r="AA223"/>
  <c r="Z223"/>
  <c r="N223"/>
  <c r="M223"/>
  <c r="L223"/>
  <c r="AA222"/>
  <c r="Z222"/>
  <c r="N222"/>
  <c r="M222"/>
  <c r="L222"/>
  <c r="AA221"/>
  <c r="Z221"/>
  <c r="N221"/>
  <c r="M221"/>
  <c r="L221"/>
  <c r="AA220"/>
  <c r="Z220"/>
  <c r="N220"/>
  <c r="M220"/>
  <c r="L220"/>
  <c r="AA219"/>
  <c r="Z219"/>
  <c r="N219"/>
  <c r="M219"/>
  <c r="L219"/>
  <c r="Z218"/>
  <c r="AA218"/>
  <c r="N218"/>
  <c r="M218"/>
  <c r="L218"/>
  <c r="Z217"/>
  <c r="AA217"/>
  <c r="N217"/>
  <c r="L217"/>
  <c r="M217"/>
  <c r="AA216"/>
  <c r="Z216"/>
  <c r="N216"/>
  <c r="L216"/>
  <c r="M216"/>
  <c r="AA215"/>
  <c r="Z215"/>
  <c r="N215"/>
  <c r="M215"/>
  <c r="L215"/>
  <c r="AA214"/>
  <c r="Z214"/>
  <c r="N214"/>
  <c r="M214"/>
  <c r="L214"/>
  <c r="AA213"/>
  <c r="Z213"/>
  <c r="N213"/>
  <c r="M213"/>
  <c r="L213"/>
  <c r="AA212"/>
  <c r="Z212"/>
  <c r="N212"/>
  <c r="M212"/>
  <c r="L212"/>
  <c r="AA211"/>
  <c r="Z211"/>
  <c r="N211"/>
  <c r="M211"/>
  <c r="L211"/>
  <c r="Z210"/>
  <c r="AA210"/>
  <c r="N210"/>
  <c r="M210"/>
  <c r="L210"/>
  <c r="Z209"/>
  <c r="AA209"/>
  <c r="N209"/>
  <c r="L209"/>
  <c r="M209"/>
  <c r="AA208"/>
  <c r="Z208"/>
  <c r="N208"/>
  <c r="L208"/>
  <c r="M208"/>
  <c r="AA207"/>
  <c r="Z207"/>
  <c r="N207"/>
  <c r="M207"/>
  <c r="L207"/>
  <c r="AA206"/>
  <c r="Z206"/>
  <c r="N206"/>
  <c r="M206"/>
  <c r="L206"/>
  <c r="AA205"/>
  <c r="Z205"/>
  <c r="N205"/>
  <c r="M205"/>
  <c r="L205"/>
  <c r="AA204"/>
  <c r="Z204"/>
  <c r="N204"/>
  <c r="M204"/>
  <c r="L204"/>
  <c r="AA203"/>
  <c r="Z203"/>
  <c r="N203"/>
  <c r="M203"/>
  <c r="L203"/>
  <c r="Z202"/>
  <c r="AA202"/>
  <c r="N202"/>
  <c r="M202"/>
  <c r="L202"/>
  <c r="Z201"/>
  <c r="AA201"/>
  <c r="N201"/>
  <c r="L201"/>
  <c r="M201"/>
  <c r="AA200"/>
  <c r="Z200"/>
  <c r="N200"/>
  <c r="L200"/>
  <c r="M200"/>
  <c r="AA199"/>
  <c r="Z199"/>
  <c r="N199"/>
  <c r="M199"/>
  <c r="L199"/>
  <c r="AA198"/>
  <c r="Z198"/>
  <c r="N198"/>
  <c r="M198"/>
  <c r="L198"/>
  <c r="AA197"/>
  <c r="Z197"/>
  <c r="N197"/>
  <c r="M197"/>
  <c r="L197"/>
  <c r="AA196"/>
  <c r="Z196"/>
  <c r="N196"/>
  <c r="M196"/>
  <c r="L196"/>
  <c r="AA195"/>
  <c r="Z195"/>
  <c r="N195"/>
  <c r="M195"/>
  <c r="L195"/>
  <c r="Z194"/>
  <c r="AA194"/>
  <c r="N194"/>
  <c r="M194"/>
  <c r="L194"/>
  <c r="Z193"/>
  <c r="AA193"/>
  <c r="N193"/>
  <c r="L193"/>
  <c r="M193"/>
  <c r="AA192"/>
  <c r="Z192"/>
  <c r="N192"/>
  <c r="L192"/>
  <c r="M192"/>
  <c r="AA191"/>
  <c r="Z191"/>
  <c r="N191"/>
  <c r="M191"/>
  <c r="L191"/>
  <c r="AA190"/>
  <c r="Z190"/>
  <c r="N190"/>
  <c r="M190"/>
  <c r="L190"/>
  <c r="AA189"/>
  <c r="Z189"/>
  <c r="N189"/>
  <c r="M189"/>
  <c r="L189"/>
  <c r="AA188"/>
  <c r="Z188"/>
  <c r="N188"/>
  <c r="M188"/>
  <c r="L188"/>
  <c r="AA187"/>
  <c r="Z187"/>
  <c r="N187"/>
  <c r="M187"/>
  <c r="L187"/>
  <c r="Z186"/>
  <c r="AA186"/>
  <c r="N186"/>
  <c r="M186"/>
  <c r="L186"/>
  <c r="Z185"/>
  <c r="AA185"/>
  <c r="N185"/>
  <c r="L185"/>
  <c r="M185"/>
  <c r="AA184"/>
  <c r="Z184"/>
  <c r="N184"/>
  <c r="L184"/>
  <c r="M184"/>
  <c r="AA183"/>
  <c r="Z183"/>
  <c r="N183"/>
  <c r="M183"/>
  <c r="L183"/>
  <c r="AA182"/>
  <c r="Z182"/>
  <c r="N182"/>
  <c r="M182"/>
  <c r="L182"/>
  <c r="AA181"/>
  <c r="Z181"/>
  <c r="N181"/>
  <c r="M181"/>
  <c r="L181"/>
  <c r="AA180"/>
  <c r="Z180"/>
  <c r="N180"/>
  <c r="M180"/>
  <c r="L180"/>
  <c r="AA179"/>
  <c r="Z179"/>
  <c r="N179"/>
  <c r="M179"/>
  <c r="L179"/>
  <c r="Z178"/>
  <c r="AA178"/>
  <c r="N178"/>
  <c r="M178"/>
  <c r="L178"/>
  <c r="Z177"/>
  <c r="AA177"/>
  <c r="N177"/>
  <c r="L177"/>
  <c r="M177"/>
  <c r="AA176"/>
  <c r="Z176"/>
  <c r="N176"/>
  <c r="L176"/>
  <c r="M176"/>
  <c r="AA175"/>
  <c r="Z175"/>
  <c r="N175"/>
  <c r="M175"/>
  <c r="L175"/>
  <c r="AA174"/>
  <c r="Z174"/>
  <c r="N174"/>
  <c r="M174"/>
  <c r="L174"/>
  <c r="AA173"/>
  <c r="Z173"/>
  <c r="N173"/>
  <c r="M173"/>
  <c r="L173"/>
  <c r="AA172"/>
  <c r="Z172"/>
  <c r="N172"/>
  <c r="M172"/>
  <c r="L172"/>
  <c r="AA171"/>
  <c r="Z171"/>
  <c r="N171"/>
  <c r="M171"/>
  <c r="L171"/>
  <c r="Z170"/>
  <c r="AA170"/>
  <c r="N170"/>
  <c r="M170"/>
  <c r="L170"/>
  <c r="Z169"/>
  <c r="AA169"/>
  <c r="N169"/>
  <c r="L169"/>
  <c r="M169"/>
  <c r="AA168"/>
  <c r="Z168"/>
  <c r="N168"/>
  <c r="L168"/>
  <c r="M168"/>
  <c r="AA167"/>
  <c r="Z167"/>
  <c r="N167"/>
  <c r="M167"/>
  <c r="L167"/>
  <c r="AA166"/>
  <c r="Z166"/>
  <c r="N166"/>
  <c r="M166"/>
  <c r="L166"/>
  <c r="AA165"/>
  <c r="Z165"/>
  <c r="N165"/>
  <c r="M165"/>
  <c r="L165"/>
  <c r="AA164"/>
  <c r="Z164"/>
  <c r="N164"/>
  <c r="M164"/>
  <c r="L164"/>
  <c r="AA163"/>
  <c r="Z163"/>
  <c r="N163"/>
  <c r="M163"/>
  <c r="L163"/>
  <c r="Z162"/>
  <c r="AA162"/>
  <c r="N162"/>
  <c r="M162"/>
  <c r="L162"/>
  <c r="Z161"/>
  <c r="AA161"/>
  <c r="N161"/>
  <c r="L161"/>
  <c r="M161"/>
  <c r="AA160"/>
  <c r="Z160"/>
  <c r="N160"/>
  <c r="L160"/>
  <c r="M160"/>
  <c r="AA159"/>
  <c r="Z159"/>
  <c r="N159"/>
  <c r="M159"/>
  <c r="L159"/>
  <c r="AA158"/>
  <c r="Z158"/>
  <c r="N158"/>
  <c r="M158"/>
  <c r="L158"/>
  <c r="AA157"/>
  <c r="Z157"/>
  <c r="N157"/>
  <c r="M157"/>
  <c r="L157"/>
  <c r="AA156"/>
  <c r="Z156"/>
  <c r="N156"/>
  <c r="M156"/>
  <c r="L156"/>
  <c r="AA155"/>
  <c r="Z155"/>
  <c r="N155"/>
  <c r="M155"/>
  <c r="L155"/>
  <c r="Z154"/>
  <c r="AA154"/>
  <c r="N154"/>
  <c r="M154"/>
  <c r="L154"/>
  <c r="Z153"/>
  <c r="AA153"/>
  <c r="N153"/>
  <c r="L153"/>
  <c r="M153"/>
  <c r="AA152"/>
  <c r="Z152"/>
  <c r="N152"/>
  <c r="L152"/>
  <c r="M152"/>
  <c r="AA151"/>
  <c r="Z151"/>
  <c r="N151"/>
  <c r="M151"/>
  <c r="L151"/>
  <c r="AA150"/>
  <c r="Z150"/>
  <c r="N150"/>
  <c r="M150"/>
  <c r="L150"/>
  <c r="AA149"/>
  <c r="Z149"/>
  <c r="N149"/>
  <c r="M149"/>
  <c r="L149"/>
  <c r="AA148"/>
  <c r="Z148"/>
  <c r="N148"/>
  <c r="M148"/>
  <c r="L148"/>
  <c r="AA147"/>
  <c r="Z147"/>
  <c r="N147"/>
  <c r="M147"/>
  <c r="L147"/>
  <c r="Z146"/>
  <c r="AA146"/>
  <c r="N146"/>
  <c r="M146"/>
  <c r="L146"/>
  <c r="Z145"/>
  <c r="AA145"/>
  <c r="N145"/>
  <c r="L145"/>
  <c r="M145"/>
  <c r="AA144"/>
  <c r="Z144"/>
  <c r="N144"/>
  <c r="L144"/>
  <c r="M144"/>
  <c r="AA143"/>
  <c r="Z143"/>
  <c r="N143"/>
  <c r="M143"/>
  <c r="L143"/>
  <c r="AA142"/>
  <c r="Z142"/>
  <c r="N142"/>
  <c r="M142"/>
  <c r="L142"/>
  <c r="AA141"/>
  <c r="Z141"/>
  <c r="N141"/>
  <c r="M141"/>
  <c r="L141"/>
  <c r="AA140"/>
  <c r="Z140"/>
  <c r="N140"/>
  <c r="M140"/>
  <c r="L140"/>
  <c r="AA139"/>
  <c r="Z139"/>
  <c r="N139"/>
  <c r="M139"/>
  <c r="L139"/>
  <c r="Z138"/>
  <c r="AA138"/>
  <c r="N138"/>
  <c r="M138"/>
  <c r="L138"/>
  <c r="Z137"/>
  <c r="AA137"/>
  <c r="N137"/>
  <c r="L137"/>
  <c r="M137"/>
  <c r="AA136"/>
  <c r="Z136"/>
  <c r="N136"/>
  <c r="L136"/>
  <c r="M136"/>
  <c r="AA135"/>
  <c r="Z135"/>
  <c r="N135"/>
  <c r="M135"/>
  <c r="L135"/>
  <c r="AA134"/>
  <c r="Z134"/>
  <c r="N134"/>
  <c r="M134"/>
  <c r="L134"/>
  <c r="AA133"/>
  <c r="Z133"/>
  <c r="N133"/>
  <c r="M133"/>
  <c r="L133"/>
  <c r="AA132"/>
  <c r="Z132"/>
  <c r="N132"/>
  <c r="M132"/>
  <c r="L132"/>
  <c r="AA131"/>
  <c r="Z131"/>
  <c r="N131"/>
  <c r="M131"/>
  <c r="L131"/>
  <c r="Z130"/>
  <c r="AA130"/>
  <c r="N130"/>
  <c r="M130"/>
  <c r="L130"/>
  <c r="Z129"/>
  <c r="AA129"/>
  <c r="N129"/>
  <c r="L129"/>
  <c r="M129"/>
  <c r="AA128"/>
  <c r="Z128"/>
  <c r="N128"/>
  <c r="L128"/>
  <c r="M128"/>
  <c r="AA127"/>
  <c r="Z127"/>
  <c r="N127"/>
  <c r="M127"/>
  <c r="L127"/>
  <c r="AA126"/>
  <c r="Z126"/>
  <c r="N126"/>
  <c r="M126"/>
  <c r="L126"/>
  <c r="AA125"/>
  <c r="Z125"/>
  <c r="N125"/>
  <c r="M125"/>
  <c r="L125"/>
  <c r="AA124"/>
  <c r="Z124"/>
  <c r="N124"/>
  <c r="M124"/>
  <c r="L124"/>
  <c r="AA123"/>
  <c r="Z123"/>
  <c r="N123"/>
  <c r="M123"/>
  <c r="L123"/>
  <c r="Z122"/>
  <c r="AA122"/>
  <c r="N122"/>
  <c r="M122"/>
  <c r="L122"/>
  <c r="Z121"/>
  <c r="AA121"/>
  <c r="N121"/>
  <c r="L121"/>
  <c r="M121"/>
  <c r="AA120"/>
  <c r="Z120"/>
  <c r="N120"/>
  <c r="L120"/>
  <c r="M120"/>
  <c r="AA119"/>
  <c r="Z119"/>
  <c r="N119"/>
  <c r="M119"/>
  <c r="L119"/>
  <c r="AA118"/>
  <c r="Z118"/>
  <c r="N118"/>
  <c r="M118"/>
  <c r="L118"/>
  <c r="AA117"/>
  <c r="Z117"/>
  <c r="N117"/>
  <c r="M117"/>
  <c r="L117"/>
  <c r="AA116"/>
  <c r="Z116"/>
  <c r="N116"/>
  <c r="M116"/>
  <c r="L116"/>
  <c r="N115"/>
  <c r="M115"/>
  <c r="L115"/>
  <c r="J115"/>
  <c r="Z115"/>
  <c r="AA115"/>
  <c r="AA114"/>
  <c r="Z114"/>
  <c r="N114"/>
  <c r="M114"/>
  <c r="L114"/>
  <c r="AA113"/>
  <c r="Z113"/>
  <c r="N113"/>
  <c r="M113"/>
  <c r="L113"/>
  <c r="AA112"/>
  <c r="Z112"/>
  <c r="N112"/>
  <c r="M112"/>
  <c r="L112"/>
  <c r="Z111"/>
  <c r="AA111"/>
  <c r="N111"/>
  <c r="M111"/>
  <c r="L111"/>
  <c r="Z110"/>
  <c r="AA110"/>
  <c r="N110"/>
  <c r="L110"/>
  <c r="M110"/>
  <c r="AA109"/>
  <c r="Z109"/>
  <c r="N109"/>
  <c r="L109"/>
  <c r="M109"/>
  <c r="AA108"/>
  <c r="Z108"/>
  <c r="N108"/>
  <c r="M108"/>
  <c r="L108"/>
  <c r="AA107"/>
  <c r="Z107"/>
  <c r="N107"/>
  <c r="M107"/>
  <c r="L107"/>
  <c r="AA106"/>
  <c r="Z106"/>
  <c r="N106"/>
  <c r="M106"/>
  <c r="L106"/>
  <c r="AA105"/>
  <c r="Z105"/>
  <c r="N105"/>
  <c r="M105"/>
  <c r="L105"/>
  <c r="AA104"/>
  <c r="Z104"/>
  <c r="N104"/>
  <c r="M104"/>
  <c r="L104"/>
  <c r="Z103"/>
  <c r="AA103"/>
  <c r="N103"/>
  <c r="M103"/>
  <c r="L103"/>
  <c r="Z102"/>
  <c r="AA102"/>
  <c r="N102"/>
  <c r="L102"/>
  <c r="M102"/>
  <c r="AA101"/>
  <c r="Z101"/>
  <c r="N101"/>
  <c r="L101"/>
  <c r="M101"/>
  <c r="AA100"/>
  <c r="Z100"/>
  <c r="N100"/>
  <c r="M100"/>
  <c r="L100"/>
  <c r="AA99"/>
  <c r="Z99"/>
  <c r="N99"/>
  <c r="M99"/>
  <c r="L99"/>
  <c r="AA98"/>
  <c r="Z98"/>
  <c r="N98"/>
  <c r="M98"/>
  <c r="L98"/>
  <c r="AA97"/>
  <c r="Z97"/>
  <c r="N97"/>
  <c r="M97"/>
  <c r="L97"/>
  <c r="AA96"/>
  <c r="Z96"/>
  <c r="N96"/>
  <c r="M96"/>
  <c r="L96"/>
  <c r="Z95"/>
  <c r="AA95"/>
  <c r="N95"/>
  <c r="M95"/>
  <c r="L95"/>
  <c r="Z94"/>
  <c r="AA94"/>
  <c r="N94"/>
  <c r="L94"/>
  <c r="M94"/>
  <c r="AA93"/>
  <c r="Z93"/>
  <c r="N93"/>
  <c r="L93"/>
  <c r="M93"/>
  <c r="AA92"/>
  <c r="Z92"/>
  <c r="N92"/>
  <c r="M92"/>
  <c r="L92"/>
  <c r="AA91"/>
  <c r="Z91"/>
  <c r="N91"/>
  <c r="M91"/>
  <c r="L91"/>
  <c r="AA90"/>
  <c r="Z90"/>
  <c r="N90"/>
  <c r="M90"/>
  <c r="L90"/>
  <c r="AA89"/>
  <c r="Z89"/>
  <c r="N89"/>
  <c r="M89"/>
  <c r="L89"/>
  <c r="AA88"/>
  <c r="Z88"/>
  <c r="N88"/>
  <c r="M88"/>
  <c r="L88"/>
  <c r="Z87"/>
  <c r="AA87"/>
  <c r="N87"/>
  <c r="M87"/>
  <c r="L87"/>
  <c r="Z86"/>
  <c r="AA86"/>
  <c r="N86"/>
  <c r="L86"/>
  <c r="M86"/>
  <c r="AA85"/>
  <c r="Z85"/>
  <c r="N85"/>
  <c r="L85"/>
  <c r="M85"/>
  <c r="AA84"/>
  <c r="Z84"/>
  <c r="N84"/>
  <c r="M84"/>
  <c r="L84"/>
  <c r="AA83"/>
  <c r="Z83"/>
  <c r="N83"/>
  <c r="M83"/>
  <c r="L83"/>
  <c r="AA82"/>
  <c r="Z82"/>
  <c r="N82"/>
  <c r="M82"/>
  <c r="L82"/>
  <c r="AA81"/>
  <c r="Z81"/>
  <c r="N81"/>
  <c r="M81"/>
  <c r="L81"/>
  <c r="AA80"/>
  <c r="Z80"/>
  <c r="N80"/>
  <c r="M80"/>
  <c r="L80"/>
  <c r="Z79"/>
  <c r="AA79"/>
  <c r="N79"/>
  <c r="M79"/>
  <c r="L79"/>
  <c r="Z78"/>
  <c r="AA78"/>
  <c r="N78"/>
  <c r="L78"/>
  <c r="M78"/>
  <c r="AA77"/>
  <c r="Z77"/>
  <c r="N77"/>
  <c r="L77"/>
  <c r="M77"/>
  <c r="AA76"/>
  <c r="Z76"/>
  <c r="N76"/>
  <c r="M76"/>
  <c r="L76"/>
  <c r="AA75"/>
  <c r="Z75"/>
  <c r="N75"/>
  <c r="M75"/>
  <c r="L75"/>
  <c r="AA74"/>
  <c r="Z74"/>
  <c r="N74"/>
  <c r="M74"/>
  <c r="L74"/>
  <c r="AA73"/>
  <c r="Z73"/>
  <c r="N73"/>
  <c r="M73"/>
  <c r="L73"/>
  <c r="AA72"/>
  <c r="Z72"/>
  <c r="N72"/>
  <c r="M72"/>
  <c r="L72"/>
  <c r="Z71"/>
  <c r="AA71"/>
  <c r="N71"/>
  <c r="M71"/>
  <c r="L71"/>
  <c r="Z70"/>
  <c r="AA70"/>
  <c r="N70"/>
  <c r="L70"/>
  <c r="M70"/>
  <c r="AA69"/>
  <c r="Z69"/>
  <c r="N69"/>
  <c r="L69"/>
  <c r="M69"/>
  <c r="AA68"/>
  <c r="Z68"/>
  <c r="N68"/>
  <c r="M68"/>
  <c r="L68"/>
  <c r="AA67"/>
  <c r="Z67"/>
  <c r="N67"/>
  <c r="M67"/>
  <c r="L67"/>
  <c r="AA66"/>
  <c r="Z66"/>
  <c r="N66"/>
  <c r="M66"/>
  <c r="L66"/>
  <c r="AA65"/>
  <c r="Z65"/>
  <c r="N65"/>
  <c r="M65"/>
  <c r="L65"/>
  <c r="AA64"/>
  <c r="Z64"/>
  <c r="N64"/>
  <c r="M64"/>
  <c r="L64"/>
  <c r="Z63"/>
  <c r="AA63"/>
  <c r="N63"/>
  <c r="M63"/>
  <c r="L63"/>
  <c r="Z62"/>
  <c r="AA62"/>
  <c r="N62"/>
  <c r="L62"/>
  <c r="M62"/>
  <c r="AA61"/>
  <c r="Z61"/>
  <c r="N61"/>
  <c r="L61"/>
  <c r="M61"/>
  <c r="AA60"/>
  <c r="Z60"/>
  <c r="N60"/>
  <c r="M60"/>
  <c r="L60"/>
  <c r="AA59"/>
  <c r="Z59"/>
  <c r="N59"/>
  <c r="M59"/>
  <c r="L59"/>
  <c r="AA58"/>
  <c r="Z58"/>
  <c r="N58"/>
  <c r="M58"/>
  <c r="L58"/>
  <c r="AA57"/>
  <c r="Z57"/>
  <c r="N57"/>
  <c r="M57"/>
  <c r="L57"/>
  <c r="AA56"/>
  <c r="Z56"/>
  <c r="N56"/>
  <c r="M56"/>
  <c r="L56"/>
  <c r="Z55"/>
  <c r="AA55"/>
  <c r="N55"/>
  <c r="M55"/>
  <c r="L55"/>
  <c r="Z54"/>
  <c r="AA54"/>
  <c r="N54"/>
  <c r="L54"/>
  <c r="M54"/>
  <c r="AA53"/>
  <c r="Z53"/>
  <c r="N53"/>
  <c r="L53"/>
  <c r="M53"/>
  <c r="AA52"/>
  <c r="Z52"/>
  <c r="N52"/>
  <c r="M52"/>
  <c r="L52"/>
  <c r="AA51"/>
  <c r="Z51"/>
  <c r="N51"/>
  <c r="M51"/>
  <c r="L51"/>
  <c r="AA50"/>
  <c r="Z50"/>
  <c r="N50"/>
  <c r="M50"/>
  <c r="L50"/>
  <c r="AA49"/>
  <c r="Z49"/>
  <c r="N49"/>
  <c r="M49"/>
  <c r="L49"/>
  <c r="AA48"/>
  <c r="Z48"/>
  <c r="N48"/>
  <c r="M48"/>
  <c r="L48"/>
  <c r="Z47"/>
  <c r="AA47"/>
  <c r="N47"/>
  <c r="M47"/>
  <c r="L47"/>
  <c r="Z46"/>
  <c r="AA46"/>
  <c r="N46"/>
  <c r="L46"/>
  <c r="M46"/>
  <c r="AA45"/>
  <c r="Z45"/>
  <c r="N45"/>
  <c r="L45"/>
  <c r="M45"/>
  <c r="AA44"/>
  <c r="Z44"/>
  <c r="N44"/>
  <c r="M44"/>
  <c r="L44"/>
  <c r="AA43"/>
  <c r="Z43"/>
  <c r="N43"/>
  <c r="M43"/>
  <c r="L43"/>
  <c r="AA42"/>
  <c r="Z42"/>
  <c r="N42"/>
  <c r="M42"/>
  <c r="L42"/>
  <c r="AA41"/>
  <c r="Z41"/>
  <c r="N41"/>
  <c r="M41"/>
  <c r="L41"/>
  <c r="AA40"/>
  <c r="Z40"/>
  <c r="N40"/>
  <c r="M40"/>
  <c r="L40"/>
  <c r="Z39"/>
  <c r="AA39"/>
  <c r="N39"/>
  <c r="M39"/>
  <c r="L39"/>
  <c r="Z38"/>
  <c r="AA38"/>
  <c r="N38"/>
  <c r="L38"/>
  <c r="M38"/>
  <c r="AA37"/>
  <c r="Z37"/>
  <c r="N37"/>
  <c r="L37"/>
  <c r="M37"/>
  <c r="AA36"/>
  <c r="Z36"/>
  <c r="N36"/>
  <c r="M36"/>
  <c r="L36"/>
  <c r="AA35"/>
  <c r="Z35"/>
  <c r="N35"/>
  <c r="M35"/>
  <c r="L35"/>
  <c r="AA34"/>
  <c r="Z34"/>
  <c r="N34"/>
  <c r="M34"/>
  <c r="L34"/>
  <c r="AA33"/>
  <c r="Z33"/>
  <c r="N33"/>
  <c r="M33"/>
  <c r="L33"/>
  <c r="AA32"/>
  <c r="Z32"/>
  <c r="N32"/>
  <c r="M32"/>
  <c r="L32"/>
  <c r="Z31"/>
  <c r="AA31"/>
  <c r="N31"/>
  <c r="M31"/>
  <c r="L31"/>
  <c r="Z30"/>
  <c r="AA30"/>
  <c r="N30"/>
  <c r="L30"/>
  <c r="M30"/>
  <c r="AA29"/>
  <c r="Z29"/>
  <c r="N29"/>
  <c r="L29"/>
  <c r="M29"/>
  <c r="AA28"/>
  <c r="Z28"/>
  <c r="N28"/>
  <c r="M28"/>
  <c r="L28"/>
  <c r="AA27"/>
  <c r="Z27"/>
  <c r="N27"/>
  <c r="M27"/>
  <c r="L27"/>
  <c r="AA26"/>
  <c r="Z26"/>
  <c r="N26"/>
  <c r="M26"/>
  <c r="L26"/>
  <c r="AA25"/>
  <c r="Z25"/>
  <c r="N25"/>
  <c r="M25"/>
  <c r="L25"/>
  <c r="AA24"/>
  <c r="Z24"/>
  <c r="N24"/>
  <c r="M24"/>
  <c r="L24"/>
  <c r="Z23"/>
  <c r="AA23"/>
  <c r="N23"/>
  <c r="M23"/>
  <c r="L23"/>
  <c r="Z22"/>
  <c r="AA22"/>
  <c r="N22"/>
  <c r="L22"/>
  <c r="M22"/>
  <c r="AA21"/>
  <c r="Z21"/>
  <c r="N21"/>
  <c r="L21"/>
  <c r="M21"/>
  <c r="AA20"/>
  <c r="Z20"/>
  <c r="N20"/>
  <c r="M20"/>
  <c r="L20"/>
  <c r="AA19"/>
  <c r="Z19"/>
  <c r="N19"/>
  <c r="M19"/>
  <c r="L19"/>
  <c r="AA18"/>
  <c r="Z18"/>
  <c r="N18"/>
  <c r="M18"/>
  <c r="L18"/>
  <c r="AA17"/>
  <c r="Z17"/>
  <c r="N17"/>
  <c r="M17"/>
  <c r="L17"/>
  <c r="AA16"/>
  <c r="Z16"/>
  <c r="N16"/>
  <c r="M16"/>
  <c r="L16"/>
  <c r="Z15"/>
  <c r="AA15"/>
  <c r="N15"/>
  <c r="M15"/>
  <c r="L15"/>
  <c r="Z14"/>
  <c r="AA14"/>
  <c r="N14"/>
  <c r="L14"/>
  <c r="M14"/>
  <c r="AA13"/>
  <c r="Z13"/>
  <c r="N13"/>
  <c r="L13"/>
  <c r="M13"/>
  <c r="AA12"/>
  <c r="Z12"/>
  <c r="N12"/>
  <c r="M12"/>
  <c r="L12"/>
  <c r="AA11"/>
  <c r="Z11"/>
  <c r="N11"/>
  <c r="N357"/>
  <c r="M11"/>
  <c r="L11"/>
  <c r="AA10"/>
  <c r="Z10"/>
  <c r="N10"/>
  <c r="M10"/>
  <c r="L10"/>
  <c r="AA9"/>
  <c r="Z9"/>
  <c r="N9"/>
  <c r="M9"/>
  <c r="L9"/>
  <c r="J5"/>
  <c r="Z84" i="1"/>
  <c r="AB84"/>
  <c r="AC84"/>
  <c r="D371"/>
  <c r="H385"/>
  <c r="AB181"/>
  <c r="Z181"/>
  <c r="AC181"/>
  <c r="Z69"/>
  <c r="AB69"/>
  <c r="AC69"/>
  <c r="AB133"/>
  <c r="Z133"/>
  <c r="AC133"/>
  <c r="AC378"/>
  <c r="AC265"/>
  <c r="Z265"/>
  <c r="AB265"/>
  <c r="Z277"/>
  <c r="AB277"/>
  <c r="AC277"/>
  <c r="Z21"/>
  <c r="AB21"/>
  <c r="AC21"/>
  <c r="AB85"/>
  <c r="Z85"/>
  <c r="AC85"/>
  <c r="AB149"/>
  <c r="Z149"/>
  <c r="AC149"/>
  <c r="Z197"/>
  <c r="AB197"/>
  <c r="AC197"/>
  <c r="AB245"/>
  <c r="AC245"/>
  <c r="Z245"/>
  <c r="Z233"/>
  <c r="AB233"/>
  <c r="AC233"/>
  <c r="Z37"/>
  <c r="AB37"/>
  <c r="AC37"/>
  <c r="AB101"/>
  <c r="Z101"/>
  <c r="AC101"/>
  <c r="AB213"/>
  <c r="Z213"/>
  <c r="AC213"/>
  <c r="Z165"/>
  <c r="AB165"/>
  <c r="AC165"/>
  <c r="Z53"/>
  <c r="AB53"/>
  <c r="AC53"/>
  <c r="AB117"/>
  <c r="Z117"/>
  <c r="AC117"/>
  <c r="AB14"/>
  <c r="AC14"/>
  <c r="AB158"/>
  <c r="AC158"/>
  <c r="AB174"/>
  <c r="AC174"/>
  <c r="AB190"/>
  <c r="AC190"/>
  <c r="AB206"/>
  <c r="AC206"/>
  <c r="AB234"/>
  <c r="AC234"/>
  <c r="Z241"/>
  <c r="Z381"/>
  <c r="AB241"/>
  <c r="AC241"/>
  <c r="AB266"/>
  <c r="AC266"/>
  <c r="Z273"/>
  <c r="AB273"/>
  <c r="AC273"/>
  <c r="AB298"/>
  <c r="AC298"/>
  <c r="AB305"/>
  <c r="Z305"/>
  <c r="AC305"/>
  <c r="AB330"/>
  <c r="AC330"/>
  <c r="AB337"/>
  <c r="AC337"/>
  <c r="Z337"/>
  <c r="Z17"/>
  <c r="AB17"/>
  <c r="AB33"/>
  <c r="AB376"/>
  <c r="Z33"/>
  <c r="AB49"/>
  <c r="Z49"/>
  <c r="AB65"/>
  <c r="Z65"/>
  <c r="Z81"/>
  <c r="AB81"/>
  <c r="Z97"/>
  <c r="AB97"/>
  <c r="Z113"/>
  <c r="AB113"/>
  <c r="Z129"/>
  <c r="AB129"/>
  <c r="Z145"/>
  <c r="AB145"/>
  <c r="Z161"/>
  <c r="AB161"/>
  <c r="Z177"/>
  <c r="AB177"/>
  <c r="AB193"/>
  <c r="Z193"/>
  <c r="Z209"/>
  <c r="AB209"/>
  <c r="AB230"/>
  <c r="AC230"/>
  <c r="AB237"/>
  <c r="AC237"/>
  <c r="Z237"/>
  <c r="AB262"/>
  <c r="AC262"/>
  <c r="AB269"/>
  <c r="AC269"/>
  <c r="Z269"/>
  <c r="AB294"/>
  <c r="AC294"/>
  <c r="Z301"/>
  <c r="AB301"/>
  <c r="AC301"/>
  <c r="AB326"/>
  <c r="AC326"/>
  <c r="Z333"/>
  <c r="AB333"/>
  <c r="AC333"/>
  <c r="AB10"/>
  <c r="AC10"/>
  <c r="AB26"/>
  <c r="AC26"/>
  <c r="AB42"/>
  <c r="AC42"/>
  <c r="AB58"/>
  <c r="AC58"/>
  <c r="AB74"/>
  <c r="AC74"/>
  <c r="AB90"/>
  <c r="AC90"/>
  <c r="AB106"/>
  <c r="AC106"/>
  <c r="AB122"/>
  <c r="AC122"/>
  <c r="AB138"/>
  <c r="AC138"/>
  <c r="F379"/>
  <c r="X154"/>
  <c r="AB170"/>
  <c r="AC170"/>
  <c r="X186"/>
  <c r="F380"/>
  <c r="AB202"/>
  <c r="AC202"/>
  <c r="AB226"/>
  <c r="AC226"/>
  <c r="AB258"/>
  <c r="AC258"/>
  <c r="AB290"/>
  <c r="AC290"/>
  <c r="AB297"/>
  <c r="Z297"/>
  <c r="AC297"/>
  <c r="F383"/>
  <c r="X322"/>
  <c r="X355"/>
  <c r="X371"/>
  <c r="AB329"/>
  <c r="Z329"/>
  <c r="AC329"/>
  <c r="AB354"/>
  <c r="AC354"/>
  <c r="F375"/>
  <c r="Z215"/>
  <c r="F381"/>
  <c r="Z247"/>
  <c r="Z279"/>
  <c r="Z311"/>
  <c r="Z343"/>
  <c r="Z19"/>
  <c r="Z35"/>
  <c r="Z51"/>
  <c r="Z67"/>
  <c r="Z83"/>
  <c r="Z99"/>
  <c r="Z115"/>
  <c r="Z131"/>
  <c r="Z147"/>
  <c r="Z163"/>
  <c r="Z179"/>
  <c r="Z195"/>
  <c r="Z211"/>
  <c r="Z243"/>
  <c r="Z275"/>
  <c r="Z307"/>
  <c r="Z339"/>
  <c r="AB46"/>
  <c r="AC46"/>
  <c r="AB126"/>
  <c r="AC126"/>
  <c r="Z45"/>
  <c r="AB45"/>
  <c r="Z77"/>
  <c r="AB77"/>
  <c r="AB157"/>
  <c r="Z157"/>
  <c r="AB54"/>
  <c r="AC54"/>
  <c r="AB86"/>
  <c r="AC86"/>
  <c r="AB118"/>
  <c r="AC118"/>
  <c r="AB218"/>
  <c r="AC218"/>
  <c r="Z257"/>
  <c r="AB257"/>
  <c r="AC257"/>
  <c r="AB353"/>
  <c r="AC353"/>
  <c r="Z353"/>
  <c r="AB57"/>
  <c r="Z57"/>
  <c r="AB73"/>
  <c r="Z73"/>
  <c r="Z89"/>
  <c r="AB89"/>
  <c r="AB377"/>
  <c r="X377"/>
  <c r="Z121"/>
  <c r="AB121"/>
  <c r="AB169"/>
  <c r="Z169"/>
  <c r="Z185"/>
  <c r="AB185"/>
  <c r="AB201"/>
  <c r="Z201"/>
  <c r="AB214"/>
  <c r="AC214"/>
  <c r="AB221"/>
  <c r="AC221"/>
  <c r="Z221"/>
  <c r="AB246"/>
  <c r="AC246"/>
  <c r="AB253"/>
  <c r="AC253"/>
  <c r="Z253"/>
  <c r="AB278"/>
  <c r="AC278"/>
  <c r="Z285"/>
  <c r="AB285"/>
  <c r="AC285"/>
  <c r="AB310"/>
  <c r="AC310"/>
  <c r="AB317"/>
  <c r="AC317"/>
  <c r="Z317"/>
  <c r="AB342"/>
  <c r="AC342"/>
  <c r="AC349"/>
  <c r="Z349"/>
  <c r="AB349"/>
  <c r="F378"/>
  <c r="Z47"/>
  <c r="Z79"/>
  <c r="Z95"/>
  <c r="Z111"/>
  <c r="Z159"/>
  <c r="Z299"/>
  <c r="Z331"/>
  <c r="AC23"/>
  <c r="AC135"/>
  <c r="AC151"/>
  <c r="AC167"/>
  <c r="AC199"/>
  <c r="Z231"/>
  <c r="Z263"/>
  <c r="Z295"/>
  <c r="Z327"/>
  <c r="G385"/>
  <c r="G387"/>
  <c r="F377"/>
  <c r="X375"/>
  <c r="Z7"/>
  <c r="AB110"/>
  <c r="AC110"/>
  <c r="AB29"/>
  <c r="Z29"/>
  <c r="AB141"/>
  <c r="Z141"/>
  <c r="Z378"/>
  <c r="Z189"/>
  <c r="AB189"/>
  <c r="AB222"/>
  <c r="AC222"/>
  <c r="AB325"/>
  <c r="Z325"/>
  <c r="AC325"/>
  <c r="AB350"/>
  <c r="AC350"/>
  <c r="AB22"/>
  <c r="AC22"/>
  <c r="Z31"/>
  <c r="X376"/>
  <c r="AB38"/>
  <c r="AC38"/>
  <c r="AB70"/>
  <c r="AC70"/>
  <c r="AB166"/>
  <c r="AC166"/>
  <c r="AB198"/>
  <c r="AC198"/>
  <c r="AB289"/>
  <c r="AC289"/>
  <c r="Z289"/>
  <c r="AB314"/>
  <c r="AC314"/>
  <c r="Z321"/>
  <c r="AB321"/>
  <c r="AC321"/>
  <c r="Z9"/>
  <c r="AB9"/>
  <c r="AB41"/>
  <c r="Z41"/>
  <c r="Z105"/>
  <c r="AB105"/>
  <c r="Z153"/>
  <c r="AB153"/>
  <c r="AB50"/>
  <c r="AC50"/>
  <c r="AB82"/>
  <c r="AC82"/>
  <c r="AB98"/>
  <c r="AC98"/>
  <c r="AC377"/>
  <c r="AB114"/>
  <c r="AC114"/>
  <c r="AB130"/>
  <c r="AC130"/>
  <c r="AB146"/>
  <c r="AC146"/>
  <c r="AB162"/>
  <c r="AC162"/>
  <c r="AB178"/>
  <c r="AC178"/>
  <c r="AB194"/>
  <c r="AC194"/>
  <c r="AB210"/>
  <c r="AC210"/>
  <c r="AC217"/>
  <c r="Z217"/>
  <c r="AB217"/>
  <c r="AB242"/>
  <c r="AC242"/>
  <c r="Z249"/>
  <c r="AB249"/>
  <c r="AB381"/>
  <c r="AC249"/>
  <c r="AC381"/>
  <c r="F382"/>
  <c r="X274"/>
  <c r="AB281"/>
  <c r="Z281"/>
  <c r="AC281"/>
  <c r="AB306"/>
  <c r="AC306"/>
  <c r="Z313"/>
  <c r="AB313"/>
  <c r="AC313"/>
  <c r="AB338"/>
  <c r="AC338"/>
  <c r="Z345"/>
  <c r="AB345"/>
  <c r="AC345"/>
  <c r="H360"/>
  <c r="H369"/>
  <c r="H371"/>
  <c r="F369"/>
  <c r="I385"/>
  <c r="I387"/>
  <c r="X381"/>
  <c r="Z63"/>
  <c r="Z191"/>
  <c r="Z207"/>
  <c r="Z235"/>
  <c r="AC119"/>
  <c r="AC183"/>
  <c r="Z14"/>
  <c r="AB39"/>
  <c r="AB55"/>
  <c r="Z59"/>
  <c r="AB71"/>
  <c r="Z75"/>
  <c r="AB87"/>
  <c r="Z91"/>
  <c r="AB103"/>
  <c r="Z107"/>
  <c r="Z110"/>
  <c r="AB119"/>
  <c r="Z123"/>
  <c r="Z126"/>
  <c r="Z139"/>
  <c r="AB151"/>
  <c r="Z155"/>
  <c r="Z158"/>
  <c r="AB167"/>
  <c r="Z171"/>
  <c r="Z174"/>
  <c r="AB183"/>
  <c r="Z187"/>
  <c r="Z190"/>
  <c r="AB199"/>
  <c r="Z203"/>
  <c r="Z206"/>
  <c r="Z227"/>
  <c r="Z234"/>
  <c r="Z259"/>
  <c r="Z266"/>
  <c r="Z291"/>
  <c r="Z298"/>
  <c r="Z323"/>
  <c r="Z330"/>
  <c r="E385"/>
  <c r="E387"/>
  <c r="AB30"/>
  <c r="AC30"/>
  <c r="AB62"/>
  <c r="AC62"/>
  <c r="AB78"/>
  <c r="AC78"/>
  <c r="AB94"/>
  <c r="AC94"/>
  <c r="AB142"/>
  <c r="AC142"/>
  <c r="AB13"/>
  <c r="Z13"/>
  <c r="Z61"/>
  <c r="AB61"/>
  <c r="AB93"/>
  <c r="Z93"/>
  <c r="AB109"/>
  <c r="Z109"/>
  <c r="AB125"/>
  <c r="Z125"/>
  <c r="AB173"/>
  <c r="Z173"/>
  <c r="Z205"/>
  <c r="AB205"/>
  <c r="AB229"/>
  <c r="Z229"/>
  <c r="AC229"/>
  <c r="AB254"/>
  <c r="AC254"/>
  <c r="AB261"/>
  <c r="Z261"/>
  <c r="AC261"/>
  <c r="AB286"/>
  <c r="AC286"/>
  <c r="AC293"/>
  <c r="Z293"/>
  <c r="AB293"/>
  <c r="AB318"/>
  <c r="AC318"/>
  <c r="AB102"/>
  <c r="AC102"/>
  <c r="AB134"/>
  <c r="AB378"/>
  <c r="AC134"/>
  <c r="AB150"/>
  <c r="AC150"/>
  <c r="AB182"/>
  <c r="AC182"/>
  <c r="Z225"/>
  <c r="AB225"/>
  <c r="AC225"/>
  <c r="AB250"/>
  <c r="AC250"/>
  <c r="AB282"/>
  <c r="AC282"/>
  <c r="AB346"/>
  <c r="AC346"/>
  <c r="AB25"/>
  <c r="Z25"/>
  <c r="Z137"/>
  <c r="AB137"/>
  <c r="AB18"/>
  <c r="AC18"/>
  <c r="AB34"/>
  <c r="AC34"/>
  <c r="AB66"/>
  <c r="AC66"/>
  <c r="AB238"/>
  <c r="AC238"/>
  <c r="AB270"/>
  <c r="AC270"/>
  <c r="AB302"/>
  <c r="AC302"/>
  <c r="AB309"/>
  <c r="AC309"/>
  <c r="Z309"/>
  <c r="AB334"/>
  <c r="AC334"/>
  <c r="AB341"/>
  <c r="Z341"/>
  <c r="AC341"/>
  <c r="Z15"/>
  <c r="Z127"/>
  <c r="Z143"/>
  <c r="Z175"/>
  <c r="Z267"/>
  <c r="AC7"/>
  <c r="F376"/>
  <c r="AC39"/>
  <c r="AC55"/>
  <c r="AC71"/>
  <c r="AC87"/>
  <c r="AC103"/>
  <c r="X378"/>
  <c r="AB7"/>
  <c r="Z11"/>
  <c r="AB23"/>
  <c r="Z27"/>
  <c r="Z43"/>
  <c r="Z46"/>
  <c r="AB135"/>
  <c r="AC17"/>
  <c r="AC19"/>
  <c r="AC33"/>
  <c r="AC35"/>
  <c r="AC49"/>
  <c r="AC51"/>
  <c r="AC65"/>
  <c r="AC67"/>
  <c r="AC81"/>
  <c r="AC83"/>
  <c r="AC97"/>
  <c r="AC99"/>
  <c r="AC113"/>
  <c r="AC115"/>
  <c r="AC129"/>
  <c r="AC131"/>
  <c r="AC145"/>
  <c r="AC147"/>
  <c r="AC161"/>
  <c r="AC163"/>
  <c r="AC177"/>
  <c r="AC179"/>
  <c r="AC193"/>
  <c r="AC195"/>
  <c r="AC209"/>
  <c r="AC211"/>
  <c r="Z223"/>
  <c r="Z230"/>
  <c r="Z255"/>
  <c r="Z262"/>
  <c r="Z287"/>
  <c r="Z294"/>
  <c r="Z319"/>
  <c r="Z326"/>
  <c r="Z351"/>
  <c r="E371"/>
  <c r="D385"/>
  <c r="D387"/>
  <c r="F355"/>
  <c r="M357" i="2"/>
  <c r="J357"/>
  <c r="L357"/>
  <c r="Z377" i="1"/>
  <c r="AC376"/>
  <c r="Z375"/>
  <c r="AB186"/>
  <c r="AB380"/>
  <c r="AC186"/>
  <c r="AC380"/>
  <c r="X380"/>
  <c r="Z186"/>
  <c r="Z380"/>
  <c r="F371"/>
  <c r="AB274"/>
  <c r="AB382"/>
  <c r="AC274"/>
  <c r="AC382"/>
  <c r="Z274"/>
  <c r="Z382"/>
  <c r="X382"/>
  <c r="AB375"/>
  <c r="F385"/>
  <c r="F387"/>
  <c r="AB322"/>
  <c r="AB383"/>
  <c r="X383"/>
  <c r="AC322"/>
  <c r="AC383"/>
  <c r="Z322"/>
  <c r="Z383"/>
  <c r="AC375"/>
  <c r="AB154"/>
  <c r="AB379"/>
  <c r="AC154"/>
  <c r="AC379"/>
  <c r="X379"/>
  <c r="X385"/>
  <c r="X387"/>
  <c r="Z154"/>
  <c r="Z379"/>
  <c r="Z376"/>
  <c r="H387"/>
  <c r="AB385"/>
  <c r="AB387"/>
  <c r="Z385"/>
  <c r="Z387"/>
  <c r="Z355"/>
  <c r="Z371"/>
  <c r="AC355"/>
  <c r="AC371"/>
  <c r="AC385"/>
  <c r="AC387"/>
  <c r="AB355"/>
  <c r="AB371"/>
</calcChain>
</file>

<file path=xl/sharedStrings.xml><?xml version="1.0" encoding="utf-8"?>
<sst xmlns="http://schemas.openxmlformats.org/spreadsheetml/2006/main" count="3396" uniqueCount="845">
  <si>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</si>
  <si>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</si>
  <si>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</si>
  <si>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</si>
  <si>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</si>
  <si>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</si>
  <si>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</si>
  <si>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</si>
  <si>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</si>
  <si>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</si>
  <si>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</si>
  <si>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</si>
  <si>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</si>
  <si>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</si>
  <si>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AEA</t>
  </si>
  <si>
    <t>District</t>
  </si>
  <si>
    <t xml:space="preserve"> District Name</t>
  </si>
  <si>
    <t>Poverty Factor       11-12</t>
  </si>
  <si>
    <t>Part B 611 Poverty Estimate for  2011-12</t>
  </si>
  <si>
    <t>Population Factor             11-12</t>
  </si>
  <si>
    <t>Part B 611 Population Estimate for  2011-12</t>
  </si>
  <si>
    <t>Part B 611 Formula Amount 2011-12</t>
  </si>
  <si>
    <t>Part B 611 Formula Amount 2012-13</t>
  </si>
  <si>
    <t>Change amount from 11-12 to 12-13</t>
  </si>
  <si>
    <t>Maintenance of Effort Reduction allowable in 2012-13</t>
  </si>
  <si>
    <t>Coordinated Early Intervening Services</t>
  </si>
  <si>
    <t>2012-13 Awards vs 2011-12</t>
  </si>
  <si>
    <t>FORMULA</t>
  </si>
  <si>
    <t>MOER</t>
  </si>
  <si>
    <t>CEIS</t>
  </si>
  <si>
    <t>Must set aside full 15%, Not allowed to use MOER</t>
  </si>
  <si>
    <t>TOTAL</t>
  </si>
  <si>
    <t>50 % of change</t>
  </si>
  <si>
    <t>15% of FORMULA</t>
  </si>
  <si>
    <t>provision in 12-13 (based on 2010-11 data).</t>
  </si>
  <si>
    <t>Estimated 2012-13 Award</t>
  </si>
  <si>
    <t>Population</t>
  </si>
  <si>
    <t xml:space="preserve">Poverty </t>
  </si>
  <si>
    <t>IDEA, Part B  (CFDA 84.027)</t>
  </si>
  <si>
    <t>for 2012-13</t>
  </si>
  <si>
    <t xml:space="preserve">Did not meet requirements not allowed to use </t>
  </si>
  <si>
    <t>Part B, IDEA</t>
  </si>
  <si>
    <t>Amount</t>
  </si>
  <si>
    <t>AMOUNT</t>
  </si>
  <si>
    <t>(20114-12 Revised January 2012)</t>
  </si>
  <si>
    <t>15% of K</t>
  </si>
  <si>
    <t>MOER provision in 12-13 (based on 2010-11 data).</t>
  </si>
  <si>
    <t>Dist</t>
  </si>
  <si>
    <t>2011-12</t>
  </si>
  <si>
    <t>2012-13</t>
  </si>
  <si>
    <t>No.</t>
  </si>
  <si>
    <t>NUMBER</t>
  </si>
  <si>
    <t>District Name</t>
  </si>
  <si>
    <t>01</t>
  </si>
  <si>
    <t>0135</t>
  </si>
  <si>
    <t>Allamakee</t>
  </si>
  <si>
    <t>1080</t>
  </si>
  <si>
    <t>Central</t>
  </si>
  <si>
    <t>1638</t>
  </si>
  <si>
    <t>Decorah Community</t>
  </si>
  <si>
    <t>1863</t>
  </si>
  <si>
    <t>Dubuque</t>
  </si>
  <si>
    <t>1972</t>
  </si>
  <si>
    <t>Eastern Allamakee</t>
  </si>
  <si>
    <t>1989</t>
  </si>
  <si>
    <t>Edgewood-Colesburg</t>
  </si>
  <si>
    <t>2349</t>
  </si>
  <si>
    <t>Fredericksburg</t>
  </si>
  <si>
    <t>2763</t>
  </si>
  <si>
    <t>Clayton Ridge</t>
  </si>
  <si>
    <t>3029</t>
  </si>
  <si>
    <t>Howard-Winneshiek</t>
  </si>
  <si>
    <t>4043</t>
  </si>
  <si>
    <t>Maquoketa Valley</t>
  </si>
  <si>
    <t>4419</t>
  </si>
  <si>
    <t>MFL MarMac</t>
  </si>
  <si>
    <t>4662</t>
  </si>
  <si>
    <t>New Hampton</t>
  </si>
  <si>
    <t>4774</t>
  </si>
  <si>
    <t>North Fayette</t>
  </si>
  <si>
    <t>4787</t>
  </si>
  <si>
    <t>North Winneshiek</t>
  </si>
  <si>
    <t>4869</t>
  </si>
  <si>
    <t>Oelwein</t>
  </si>
  <si>
    <t>5310</t>
  </si>
  <si>
    <t>Postville</t>
  </si>
  <si>
    <t>5508</t>
  </si>
  <si>
    <t>Riceville</t>
  </si>
  <si>
    <t>6100</t>
  </si>
  <si>
    <t>South Winneshiek</t>
  </si>
  <si>
    <t>6175</t>
  </si>
  <si>
    <t>Starmont</t>
  </si>
  <si>
    <t>6509</t>
  </si>
  <si>
    <t>Turkey Valley</t>
  </si>
  <si>
    <t>6591</t>
  </si>
  <si>
    <t>Valley</t>
  </si>
  <si>
    <t>6943</t>
  </si>
  <si>
    <t>West Central</t>
  </si>
  <si>
    <t>6950</t>
  </si>
  <si>
    <t>West Delaware County</t>
  </si>
  <si>
    <t>6961</t>
  </si>
  <si>
    <t>Western Dubuque</t>
  </si>
  <si>
    <t>07</t>
  </si>
  <si>
    <t>0009</t>
  </si>
  <si>
    <t>AGWSR</t>
  </si>
  <si>
    <t>0108</t>
  </si>
  <si>
    <t>Alden</t>
  </si>
  <si>
    <t>0153</t>
  </si>
  <si>
    <t>North Butler  (Allison-Bristow &amp; Greene)</t>
  </si>
  <si>
    <t>0279</t>
  </si>
  <si>
    <t>Aplington-Parkersburg</t>
  </si>
  <si>
    <t>0540</t>
  </si>
  <si>
    <t>BCLUW</t>
  </si>
  <si>
    <t>0594</t>
  </si>
  <si>
    <t>Belmond-Klemme</t>
  </si>
  <si>
    <t>0819</t>
  </si>
  <si>
    <t>West Hancock</t>
  </si>
  <si>
    <t>0846</t>
  </si>
  <si>
    <t>Brooklyn-Guernsey-Malcom</t>
  </si>
  <si>
    <t>0873</t>
  </si>
  <si>
    <t>North Iowa</t>
  </si>
  <si>
    <t>0916</t>
  </si>
  <si>
    <t>CAL</t>
  </si>
  <si>
    <t>1044</t>
  </si>
  <si>
    <t>Cedar Falls</t>
  </si>
  <si>
    <t>1116</t>
  </si>
  <si>
    <t>Charles City</t>
  </si>
  <si>
    <t>1215</t>
  </si>
  <si>
    <t>Clarksville</t>
  </si>
  <si>
    <t>1233</t>
  </si>
  <si>
    <t>Clear Lake</t>
  </si>
  <si>
    <t>1449</t>
  </si>
  <si>
    <t>Corwith-Wesley</t>
  </si>
  <si>
    <t>1719</t>
  </si>
  <si>
    <t>Denver</t>
  </si>
  <si>
    <t>1791</t>
  </si>
  <si>
    <t>Dike-New Hartford</t>
  </si>
  <si>
    <t>1854</t>
  </si>
  <si>
    <t>Dows</t>
  </si>
  <si>
    <t>1908</t>
  </si>
  <si>
    <t>Dunkerton</t>
  </si>
  <si>
    <t>1963</t>
  </si>
  <si>
    <t>East Buchanan</t>
  </si>
  <si>
    <t>1968</t>
  </si>
  <si>
    <t>East Marshall</t>
  </si>
  <si>
    <t>2007</t>
  </si>
  <si>
    <t>Eldora-New Providence</t>
  </si>
  <si>
    <t>2295</t>
  </si>
  <si>
    <t>Forest City</t>
  </si>
  <si>
    <t>2403</t>
  </si>
  <si>
    <t>Garner-Hayfield</t>
  </si>
  <si>
    <t>2502</t>
  </si>
  <si>
    <t>Gladbrook-Reinbeck</t>
  </si>
  <si>
    <t>2682</t>
  </si>
  <si>
    <t>GMG</t>
  </si>
  <si>
    <t>2709</t>
  </si>
  <si>
    <t>Grinnell-Newburg</t>
  </si>
  <si>
    <t>2727</t>
  </si>
  <si>
    <t>Grundy Center</t>
  </si>
  <si>
    <t>2781</t>
  </si>
  <si>
    <t>Hampton-Dumont</t>
  </si>
  <si>
    <t>3033</t>
  </si>
  <si>
    <t>Hubbard-Radcliffe</t>
  </si>
  <si>
    <t>3042</t>
  </si>
  <si>
    <t>Hudson</t>
  </si>
  <si>
    <t>3105</t>
  </si>
  <si>
    <t>Independence</t>
  </si>
  <si>
    <t>3150</t>
  </si>
  <si>
    <t>Iowa Falls</t>
  </si>
  <si>
    <t>3186</t>
  </si>
  <si>
    <t>Janesville Consolidated</t>
  </si>
  <si>
    <t>3204</t>
  </si>
  <si>
    <t>Jesup</t>
  </si>
  <si>
    <t>3420</t>
  </si>
  <si>
    <t>Lake Mills</t>
  </si>
  <si>
    <t>4104</t>
  </si>
  <si>
    <t>Marshalltown</t>
  </si>
  <si>
    <t>4131</t>
  </si>
  <si>
    <t>Mason City</t>
  </si>
  <si>
    <t>4437</t>
  </si>
  <si>
    <t>Montezuma</t>
  </si>
  <si>
    <t>4599</t>
  </si>
  <si>
    <t>Nashua-Plainfield</t>
  </si>
  <si>
    <t>4772</t>
  </si>
  <si>
    <t>Central Springs   (Nora Springs-Rock Falls &amp; North Central)</t>
  </si>
  <si>
    <t>4785</t>
  </si>
  <si>
    <t>North Tama County</t>
  </si>
  <si>
    <t>4788</t>
  </si>
  <si>
    <t>Northwood-Kensett</t>
  </si>
  <si>
    <t>4995</t>
  </si>
  <si>
    <t>Osage</t>
  </si>
  <si>
    <t>5697</t>
  </si>
  <si>
    <t>Rudd-Rockford-Marble Rk</t>
  </si>
  <si>
    <t>5751</t>
  </si>
  <si>
    <t>St Ansgar</t>
  </si>
  <si>
    <t>5922</t>
  </si>
  <si>
    <t>West Fork (Rockwell Swaledale &amp; Sheffield Chapin Meservey Thornton)</t>
  </si>
  <si>
    <t>West Fork CSD (Rockwell Swaledale &amp; Sheffield Chapin Meservey Thornton)</t>
  </si>
  <si>
    <t>6098</t>
  </si>
  <si>
    <t>South Tama County</t>
  </si>
  <si>
    <t>6273</t>
  </si>
  <si>
    <t>Sumner</t>
  </si>
  <si>
    <t>6471</t>
  </si>
  <si>
    <t>Tripoli</t>
  </si>
  <si>
    <t>6536</t>
  </si>
  <si>
    <t>Union</t>
  </si>
  <si>
    <t>6633</t>
  </si>
  <si>
    <t>Ventura</t>
  </si>
  <si>
    <t>6762</t>
  </si>
  <si>
    <t>Wapsie Valley</t>
  </si>
  <si>
    <t>6795</t>
  </si>
  <si>
    <t>Waterloo</t>
  </si>
  <si>
    <t>6840</t>
  </si>
  <si>
    <t>Waverly-Shell Rock</t>
  </si>
  <si>
    <t>6985</t>
  </si>
  <si>
    <t>West Marshall</t>
  </si>
  <si>
    <t>7083</t>
  </si>
  <si>
    <t>Woden-Crystal Lake</t>
  </si>
  <si>
    <t>08</t>
  </si>
  <si>
    <t>0072</t>
  </si>
  <si>
    <t>Albert City-Truesdale</t>
  </si>
  <si>
    <t>0126</t>
  </si>
  <si>
    <t>Algona</t>
  </si>
  <si>
    <t>0171</t>
  </si>
  <si>
    <t>Alta</t>
  </si>
  <si>
    <t>0333</t>
  </si>
  <si>
    <t>Armstrong-Ringsted</t>
  </si>
  <si>
    <t>1206</t>
  </si>
  <si>
    <t>Clarion-Goldfield</t>
  </si>
  <si>
    <t>1218</t>
  </si>
  <si>
    <t>Clay Central-Everly</t>
  </si>
  <si>
    <t>1944</t>
  </si>
  <si>
    <t>Eagle Grove</t>
  </si>
  <si>
    <t>1967</t>
  </si>
  <si>
    <t>East Greene</t>
  </si>
  <si>
    <t>2088</t>
  </si>
  <si>
    <t>Emmetsburg</t>
  </si>
  <si>
    <t>2124</t>
  </si>
  <si>
    <t>Estherville Lincoln</t>
  </si>
  <si>
    <t>2313</t>
  </si>
  <si>
    <t>Fort Dodge</t>
  </si>
  <si>
    <t>2493</t>
  </si>
  <si>
    <t>Gilmore City-Bradgate</t>
  </si>
  <si>
    <t>2556</t>
  </si>
  <si>
    <t>Graettinger -Terrill</t>
  </si>
  <si>
    <t>Graettinger-Terril</t>
  </si>
  <si>
    <t>2846</t>
  </si>
  <si>
    <t>Harris-Lake Park</t>
  </si>
  <si>
    <t>3060</t>
  </si>
  <si>
    <t>Humboldt</t>
  </si>
  <si>
    <t>3195</t>
  </si>
  <si>
    <t>Jefferson-Scranton</t>
  </si>
  <si>
    <t>3537</t>
  </si>
  <si>
    <t>Laurens-Marathon</t>
  </si>
  <si>
    <t>3897</t>
  </si>
  <si>
    <t>LuVerne</t>
  </si>
  <si>
    <t>4023</t>
  </si>
  <si>
    <t>Manson Northwest Webster</t>
  </si>
  <si>
    <t>4644</t>
  </si>
  <si>
    <t>Newell-Fonda</t>
  </si>
  <si>
    <t>4775</t>
  </si>
  <si>
    <t>Northeast Hamilton</t>
  </si>
  <si>
    <t>4778</t>
  </si>
  <si>
    <t>North Kossuth</t>
  </si>
  <si>
    <t>4860</t>
  </si>
  <si>
    <t>Odebolt-Arthur</t>
  </si>
  <si>
    <t>4890</t>
  </si>
  <si>
    <t>Okoboji</t>
  </si>
  <si>
    <t>5139</t>
  </si>
  <si>
    <t>Paton-Churdan</t>
  </si>
  <si>
    <t>5283</t>
  </si>
  <si>
    <t>Pocahontas Area (Plus Pomeroy-Palmer)</t>
  </si>
  <si>
    <t>Pocahontas Area (plus Pomeroy-Palmer)</t>
  </si>
  <si>
    <t>5325</t>
  </si>
  <si>
    <t>Prairie Valley</t>
  </si>
  <si>
    <t>5625</t>
  </si>
  <si>
    <t>Rockwell City-Lytton</t>
  </si>
  <si>
    <t>5724</t>
  </si>
  <si>
    <t>Ruthven-Ayrshire</t>
  </si>
  <si>
    <t>5823</t>
  </si>
  <si>
    <t>Schaller-Crestland</t>
  </si>
  <si>
    <t>5868</t>
  </si>
  <si>
    <t>Sentral</t>
  </si>
  <si>
    <t>6035</t>
  </si>
  <si>
    <t>Sioux Central</t>
  </si>
  <si>
    <t>6091</t>
  </si>
  <si>
    <t>Southern Cal</t>
  </si>
  <si>
    <t>6095</t>
  </si>
  <si>
    <t>South Hamilton</t>
  </si>
  <si>
    <t>6096</t>
  </si>
  <si>
    <t>Southeast Webster Grand</t>
  </si>
  <si>
    <t>6102</t>
  </si>
  <si>
    <t>Spencer</t>
  </si>
  <si>
    <t>6120</t>
  </si>
  <si>
    <t>Spirit Lake</t>
  </si>
  <si>
    <t>6219</t>
  </si>
  <si>
    <t>Storm Lake</t>
  </si>
  <si>
    <t>6246</t>
  </si>
  <si>
    <t>Stratford</t>
  </si>
  <si>
    <t>6417</t>
  </si>
  <si>
    <t>Titonka Consolidated</t>
  </si>
  <si>
    <t>6516</t>
  </si>
  <si>
    <t>Twin Rivers</t>
  </si>
  <si>
    <t>6741</t>
  </si>
  <si>
    <t>East Sac (Wall Lake View Auburn &amp; Sac)</t>
  </si>
  <si>
    <t>6867</t>
  </si>
  <si>
    <t>Webster City</t>
  </si>
  <si>
    <t>6921</t>
  </si>
  <si>
    <t>West Bend-Mallard</t>
  </si>
  <si>
    <t>09</t>
  </si>
  <si>
    <t>0243</t>
  </si>
  <si>
    <t>Andrew</t>
  </si>
  <si>
    <t>0585</t>
  </si>
  <si>
    <t>Bellevue</t>
  </si>
  <si>
    <t>0603</t>
  </si>
  <si>
    <t>Bennett</t>
  </si>
  <si>
    <t>0621</t>
  </si>
  <si>
    <t>Bettendorf</t>
  </si>
  <si>
    <t>0918</t>
  </si>
  <si>
    <t>Calamus-Wheatland</t>
  </si>
  <si>
    <t>0936</t>
  </si>
  <si>
    <t>Camanche</t>
  </si>
  <si>
    <t>1082</t>
  </si>
  <si>
    <t>Central Clinton</t>
  </si>
  <si>
    <t>1278</t>
  </si>
  <si>
    <t>Clinton</t>
  </si>
  <si>
    <t>1368</t>
  </si>
  <si>
    <t>Columbus</t>
  </si>
  <si>
    <t>1611</t>
  </si>
  <si>
    <t>Davenport</t>
  </si>
  <si>
    <t>1675</t>
  </si>
  <si>
    <t>Delwood</t>
  </si>
  <si>
    <t>1926</t>
  </si>
  <si>
    <t>Durant</t>
  </si>
  <si>
    <t>1965</t>
  </si>
  <si>
    <t>East Central</t>
  </si>
  <si>
    <t>3841</t>
  </si>
  <si>
    <t>Louisa-Muscatine</t>
  </si>
  <si>
    <t>4041</t>
  </si>
  <si>
    <t>Maquoketa</t>
  </si>
  <si>
    <t>4581</t>
  </si>
  <si>
    <t>Muscatine</t>
  </si>
  <si>
    <t>4773</t>
  </si>
  <si>
    <t>Northeast</t>
  </si>
  <si>
    <t>4784</t>
  </si>
  <si>
    <t>North Scott</t>
  </si>
  <si>
    <t>5250</t>
  </si>
  <si>
    <t>Pleasant Valley</t>
  </si>
  <si>
    <t>5337</t>
  </si>
  <si>
    <t>Preston</t>
  </si>
  <si>
    <t>6975</t>
  </si>
  <si>
    <t>West Liberty</t>
  </si>
  <si>
    <t>7038</t>
  </si>
  <si>
    <t>Wilton</t>
  </si>
  <si>
    <t>10</t>
  </si>
  <si>
    <t>0099</t>
  </si>
  <si>
    <t>Alburnett</t>
  </si>
  <si>
    <t>0234</t>
  </si>
  <si>
    <t>Anamosa</t>
  </si>
  <si>
    <t>0576</t>
  </si>
  <si>
    <t>Belle Plaine</t>
  </si>
  <si>
    <t>0609</t>
  </si>
  <si>
    <t>Benton</t>
  </si>
  <si>
    <t>1053</t>
  </si>
  <si>
    <t>Cedar Rapids</t>
  </si>
  <si>
    <t>1062</t>
  </si>
  <si>
    <t>Center Point-Urbana</t>
  </si>
  <si>
    <t>1089</t>
  </si>
  <si>
    <t>Central City</t>
  </si>
  <si>
    <t>1221</t>
  </si>
  <si>
    <t xml:space="preserve">Clear Creek Amana  </t>
  </si>
  <si>
    <t>Clear Creek Amana</t>
  </si>
  <si>
    <t>1337</t>
  </si>
  <si>
    <t>College</t>
  </si>
  <si>
    <t>2097</t>
  </si>
  <si>
    <t>English Valleys</t>
  </si>
  <si>
    <t>2766</t>
  </si>
  <si>
    <t>H-L-V</t>
  </si>
  <si>
    <t>2977</t>
  </si>
  <si>
    <t>Highland</t>
  </si>
  <si>
    <t>3141</t>
  </si>
  <si>
    <t>Iowa City</t>
  </si>
  <si>
    <t>3154</t>
  </si>
  <si>
    <t>Iowa Valley</t>
  </si>
  <si>
    <t>3691</t>
  </si>
  <si>
    <t>North Cedar</t>
  </si>
  <si>
    <t>3715</t>
  </si>
  <si>
    <t>Linn-Mar</t>
  </si>
  <si>
    <t>3744</t>
  </si>
  <si>
    <t>Lisbon</t>
  </si>
  <si>
    <t>3816</t>
  </si>
  <si>
    <t>Lone Tree</t>
  </si>
  <si>
    <t>4086</t>
  </si>
  <si>
    <t>Marion Independent</t>
  </si>
  <si>
    <t>4269</t>
  </si>
  <si>
    <t>Midland</t>
  </si>
  <si>
    <t>4271</t>
  </si>
  <si>
    <t>Mid-Prairie</t>
  </si>
  <si>
    <t>4446</t>
  </si>
  <si>
    <t>Monticello</t>
  </si>
  <si>
    <t>4554</t>
  </si>
  <si>
    <t>Mount Vernon</t>
  </si>
  <si>
    <t>4777</t>
  </si>
  <si>
    <t>North Linn</t>
  </si>
  <si>
    <t>4905</t>
  </si>
  <si>
    <t>Olin Consolidated</t>
  </si>
  <si>
    <t>6093</t>
  </si>
  <si>
    <t>Solon</t>
  </si>
  <si>
    <t>6138</t>
  </si>
  <si>
    <t>Springville</t>
  </si>
  <si>
    <t>6408</t>
  </si>
  <si>
    <t>Tipton</t>
  </si>
  <si>
    <t>6660</t>
  </si>
  <si>
    <t>Vinton-Shellsburg</t>
  </si>
  <si>
    <t>6768</t>
  </si>
  <si>
    <t>Washington</t>
  </si>
  <si>
    <t>6930</t>
  </si>
  <si>
    <t>West Branch</t>
  </si>
  <si>
    <t>7029</t>
  </si>
  <si>
    <t>Williamsburg</t>
  </si>
  <si>
    <t>11</t>
  </si>
  <si>
    <t>0018</t>
  </si>
  <si>
    <t>Adair-Casey</t>
  </si>
  <si>
    <t>0027</t>
  </si>
  <si>
    <t>Adel DeSoto Minburn</t>
  </si>
  <si>
    <t>0225</t>
  </si>
  <si>
    <t>Ames</t>
  </si>
  <si>
    <t>0261</t>
  </si>
  <si>
    <t>Ankeny</t>
  </si>
  <si>
    <t>0414</t>
  </si>
  <si>
    <t>Audubon</t>
  </si>
  <si>
    <t>0472</t>
  </si>
  <si>
    <t>Ballard</t>
  </si>
  <si>
    <t>0513</t>
  </si>
  <si>
    <t>Baxter</t>
  </si>
  <si>
    <t>0720</t>
  </si>
  <si>
    <t>Bondurant-Farrar</t>
  </si>
  <si>
    <t>0729</t>
  </si>
  <si>
    <t>Boone</t>
  </si>
  <si>
    <t>0981</t>
  </si>
  <si>
    <t>Carlisle</t>
  </si>
  <si>
    <t>0999</t>
  </si>
  <si>
    <t>Carroll</t>
  </si>
  <si>
    <t>1332</t>
  </si>
  <si>
    <t>Colfax-Mingo</t>
  </si>
  <si>
    <t>1350</t>
  </si>
  <si>
    <t>Collins-Maxwell</t>
  </si>
  <si>
    <t>1359</t>
  </si>
  <si>
    <t>Colo-Nesco</t>
  </si>
  <si>
    <t>Colo-NESCO</t>
  </si>
  <si>
    <t>1413</t>
  </si>
  <si>
    <t>Coon Rapids-Bayard</t>
  </si>
  <si>
    <t>1576</t>
  </si>
  <si>
    <t>Dallas Center-Grimes</t>
  </si>
  <si>
    <t>1737</t>
  </si>
  <si>
    <t>Des Moines Independent</t>
  </si>
  <si>
    <t>1953</t>
  </si>
  <si>
    <t>Earlham</t>
  </si>
  <si>
    <t>2151</t>
  </si>
  <si>
    <t>Exira</t>
  </si>
  <si>
    <t>2466</t>
  </si>
  <si>
    <t>Gilbert</t>
  </si>
  <si>
    <t>2520</t>
  </si>
  <si>
    <t>Glidden-Ralston</t>
  </si>
  <si>
    <t>2754</t>
  </si>
  <si>
    <t>Guthrie Center</t>
  </si>
  <si>
    <t>3114</t>
  </si>
  <si>
    <t>Indianola</t>
  </si>
  <si>
    <t>3119</t>
  </si>
  <si>
    <t>Interstate 35</t>
  </si>
  <si>
    <t>3231</t>
  </si>
  <si>
    <t>Johnston</t>
  </si>
  <si>
    <t>3375</t>
  </si>
  <si>
    <t>Knoxville</t>
  </si>
  <si>
    <t>3906</t>
  </si>
  <si>
    <t>Lynnville-Sully</t>
  </si>
  <si>
    <t>3942</t>
  </si>
  <si>
    <t>Madrid</t>
  </si>
  <si>
    <t>4122</t>
  </si>
  <si>
    <t>Martensdale-St Marys</t>
  </si>
  <si>
    <t>4212</t>
  </si>
  <si>
    <t>Melcher-Dallas</t>
  </si>
  <si>
    <t>4617</t>
  </si>
  <si>
    <t>Nevada</t>
  </si>
  <si>
    <t>4725</t>
  </si>
  <si>
    <t>Newton</t>
  </si>
  <si>
    <t>4779</t>
  </si>
  <si>
    <t>North Polk</t>
  </si>
  <si>
    <t>4797</t>
  </si>
  <si>
    <t>Norwalk</t>
  </si>
  <si>
    <t>4878</t>
  </si>
  <si>
    <t>Ogden</t>
  </si>
  <si>
    <t>5121</t>
  </si>
  <si>
    <t>Panorama</t>
  </si>
  <si>
    <t>5160</t>
  </si>
  <si>
    <t>PCM</t>
  </si>
  <si>
    <t>5166</t>
  </si>
  <si>
    <t>Pella</t>
  </si>
  <si>
    <t>5184</t>
  </si>
  <si>
    <t>Perry</t>
  </si>
  <si>
    <t>5256</t>
  </si>
  <si>
    <t>Pleasantville</t>
  </si>
  <si>
    <t>5643</t>
  </si>
  <si>
    <t>Roland-Story</t>
  </si>
  <si>
    <t>5805</t>
  </si>
  <si>
    <t>Saydel</t>
  </si>
  <si>
    <t>6094</t>
  </si>
  <si>
    <t>Southeast Warren</t>
  </si>
  <si>
    <t>6101</t>
  </si>
  <si>
    <t>Southeast Polk</t>
  </si>
  <si>
    <t>6264</t>
  </si>
  <si>
    <t>West Central Valley</t>
  </si>
  <si>
    <t>6512</t>
  </si>
  <si>
    <t>Twin Cedars</t>
  </si>
  <si>
    <t>6561</t>
  </si>
  <si>
    <t>United</t>
  </si>
  <si>
    <t>6579</t>
  </si>
  <si>
    <t>Urbandale</t>
  </si>
  <si>
    <t>6615</t>
  </si>
  <si>
    <t>Van Meter</t>
  </si>
  <si>
    <t>6822</t>
  </si>
  <si>
    <t>Waukee</t>
  </si>
  <si>
    <t>6957</t>
  </si>
  <si>
    <t>West Des Moines</t>
  </si>
  <si>
    <t>7056</t>
  </si>
  <si>
    <t>Winterset</t>
  </si>
  <si>
    <t>7110</t>
  </si>
  <si>
    <t>Woodward-Granger</t>
  </si>
  <si>
    <t>12</t>
  </si>
  <si>
    <t>0063</t>
  </si>
  <si>
    <t>Akron Westfield</t>
  </si>
  <si>
    <t>0355</t>
  </si>
  <si>
    <t>Ar-We-Va</t>
  </si>
  <si>
    <t>0423</t>
  </si>
  <si>
    <t>Aurelia</t>
  </si>
  <si>
    <t>0504</t>
  </si>
  <si>
    <t>Battle Creek-Ida Grove</t>
  </si>
  <si>
    <t>0747</t>
  </si>
  <si>
    <t>Boyden-Hull</t>
  </si>
  <si>
    <t>1095</t>
  </si>
  <si>
    <t>Central Lyon</t>
  </si>
  <si>
    <t>1134</t>
  </si>
  <si>
    <t>Charter Oak-Ute</t>
  </si>
  <si>
    <t>1152</t>
  </si>
  <si>
    <t>Cherokee</t>
  </si>
  <si>
    <t>1701</t>
  </si>
  <si>
    <t>Denison</t>
  </si>
  <si>
    <t>1975</t>
  </si>
  <si>
    <t>River Valley</t>
  </si>
  <si>
    <t>2376</t>
  </si>
  <si>
    <t>Galva-Holstein</t>
  </si>
  <si>
    <t>2457</t>
  </si>
  <si>
    <t>George-Little Rock</t>
  </si>
  <si>
    <t>2862</t>
  </si>
  <si>
    <t>Hartley-Melvin-Sanborn</t>
  </si>
  <si>
    <t>2988</t>
  </si>
  <si>
    <t>Hinton</t>
  </si>
  <si>
    <t>3348</t>
  </si>
  <si>
    <t>Kingsley-Pierson</t>
  </si>
  <si>
    <t>3555</t>
  </si>
  <si>
    <t>Lawton-Bronson</t>
  </si>
  <si>
    <t>3600</t>
  </si>
  <si>
    <t>Le Mars</t>
  </si>
  <si>
    <t>4033</t>
  </si>
  <si>
    <t>Maple Valley (plus Anthon-Oto)</t>
  </si>
  <si>
    <t>4068</t>
  </si>
  <si>
    <t>Marcus-Meriden-Cleghorn</t>
  </si>
  <si>
    <t>4149</t>
  </si>
  <si>
    <t>MOC-Floyd Valley</t>
  </si>
  <si>
    <t>5486</t>
  </si>
  <si>
    <t>Remsen-Union</t>
  </si>
  <si>
    <t>5607</t>
  </si>
  <si>
    <t>Rock Valley</t>
  </si>
  <si>
    <t>5832</t>
  </si>
  <si>
    <t>Schleswig</t>
  </si>
  <si>
    <t>5877</t>
  </si>
  <si>
    <t>Sergeant Bluff-Luton</t>
  </si>
  <si>
    <t>5949</t>
  </si>
  <si>
    <t>Sheldon</t>
  </si>
  <si>
    <t>5994</t>
  </si>
  <si>
    <t>Sibley-Ocheyedan</t>
  </si>
  <si>
    <t>6030</t>
  </si>
  <si>
    <t>Sioux Center</t>
  </si>
  <si>
    <t>6039</t>
  </si>
  <si>
    <t>Sioux City</t>
  </si>
  <si>
    <t>6099</t>
  </si>
  <si>
    <t>South O'Brien</t>
  </si>
  <si>
    <t>6983</t>
  </si>
  <si>
    <t>West Lyon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</si>
  <si>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</si>
  <si>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</si>
  <si>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</si>
  <si>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</si>
  <si>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</si>
  <si>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</si>
  <si>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</si>
  <si>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</si>
  <si>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7098</t>
  </si>
  <si>
    <t>Woodbury Central</t>
  </si>
  <si>
    <t>13</t>
  </si>
  <si>
    <t>0387</t>
  </si>
  <si>
    <t>Atlantic</t>
  </si>
  <si>
    <t>0441</t>
  </si>
  <si>
    <t>A-H-S-T</t>
  </si>
  <si>
    <t>0549</t>
  </si>
  <si>
    <t>Bedford</t>
  </si>
  <si>
    <t>0914</t>
  </si>
  <si>
    <t>CAM (C and M &amp; Anita)</t>
  </si>
  <si>
    <t>1093</t>
  </si>
  <si>
    <t>Central Decatur</t>
  </si>
  <si>
    <t>1197</t>
  </si>
  <si>
    <t>Clarinda</t>
  </si>
  <si>
    <t>1211</t>
  </si>
  <si>
    <t>Clarke</t>
  </si>
  <si>
    <t>1224</t>
  </si>
  <si>
    <t>Clearfield</t>
  </si>
  <si>
    <t>1431</t>
  </si>
  <si>
    <t>Corning</t>
  </si>
  <si>
    <t>1476</t>
  </si>
  <si>
    <t>Council Bluffs</t>
  </si>
  <si>
    <t>1503</t>
  </si>
  <si>
    <t>Creston</t>
  </si>
  <si>
    <t>1782</t>
  </si>
  <si>
    <t>Diagonal</t>
  </si>
  <si>
    <t>1917</t>
  </si>
  <si>
    <t>Boyer Valley</t>
  </si>
  <si>
    <t>1970</t>
  </si>
  <si>
    <t>East Union</t>
  </si>
  <si>
    <t>2016</t>
  </si>
  <si>
    <t>Elk Horn-Kimballton</t>
  </si>
  <si>
    <t>2113</t>
  </si>
  <si>
    <t>Essex</t>
  </si>
  <si>
    <t>2205</t>
  </si>
  <si>
    <t>Farragut</t>
  </si>
  <si>
    <t>2369</t>
  </si>
  <si>
    <t>Fremont-Mills</t>
  </si>
  <si>
    <t>2511</t>
  </si>
  <si>
    <t>Glenwood</t>
  </si>
  <si>
    <t>2673</t>
  </si>
  <si>
    <t>Nodaway Valley</t>
  </si>
  <si>
    <t>2718</t>
  </si>
  <si>
    <t>Griswold</t>
  </si>
  <si>
    <t>2772</t>
  </si>
  <si>
    <t>Hamburg</t>
  </si>
  <si>
    <t>2826</t>
  </si>
  <si>
    <t>Harlan</t>
  </si>
  <si>
    <t>3168</t>
  </si>
  <si>
    <t>IKM-Manning  (IKM &amp; Manning)</t>
  </si>
  <si>
    <t>IKM-Manning</t>
  </si>
  <si>
    <t>3465</t>
  </si>
  <si>
    <t>Lamoni</t>
  </si>
  <si>
    <t>3609</t>
  </si>
  <si>
    <t>Lenox</t>
  </si>
  <si>
    <t>3645</t>
  </si>
  <si>
    <t>Lewis Central</t>
  </si>
  <si>
    <t>3798</t>
  </si>
  <si>
    <t>Logan-Magnolia</t>
  </si>
  <si>
    <t>3978</t>
  </si>
  <si>
    <t>East Mills  (Malvern &amp; Nishna Valley)</t>
  </si>
  <si>
    <t>4356</t>
  </si>
  <si>
    <t>Missouri Valley</t>
  </si>
  <si>
    <t>4505</t>
  </si>
  <si>
    <t>Mormon Trail</t>
  </si>
  <si>
    <t>4527</t>
  </si>
  <si>
    <t>Mount Ayr</t>
  </si>
  <si>
    <t>4572</t>
  </si>
  <si>
    <t>Murray</t>
  </si>
  <si>
    <t>4978</t>
  </si>
  <si>
    <t>Orient-Macksburg</t>
  </si>
  <si>
    <t>5328</t>
  </si>
  <si>
    <t>Prescott</t>
  </si>
  <si>
    <t>5463</t>
  </si>
  <si>
    <t>Red Oak</t>
  </si>
  <si>
    <t>5510</t>
  </si>
  <si>
    <t>Riverside</t>
  </si>
  <si>
    <t>5976</t>
  </si>
  <si>
    <t>Shenandoah</t>
  </si>
  <si>
    <t>6003</t>
  </si>
  <si>
    <t>Sidney</t>
  </si>
  <si>
    <t>6097</t>
  </si>
  <si>
    <t>South Page</t>
  </si>
  <si>
    <t>6165</t>
  </si>
  <si>
    <t>Stanton</t>
  </si>
  <si>
    <t>6453</t>
  </si>
  <si>
    <t>Treynor</t>
  </si>
  <si>
    <t>6460</t>
  </si>
  <si>
    <t>Tri-Center</t>
  </si>
  <si>
    <t>6534</t>
  </si>
  <si>
    <t>Underwood</t>
  </si>
  <si>
    <t>6651</t>
  </si>
  <si>
    <t>Villisca</t>
  </si>
  <si>
    <t>6750</t>
  </si>
  <si>
    <t>Walnut</t>
  </si>
  <si>
    <t>6969</t>
  </si>
  <si>
    <t>West Harrison</t>
  </si>
  <si>
    <t>7092</t>
  </si>
  <si>
    <t>Woodbine</t>
  </si>
  <si>
    <t>15</t>
  </si>
  <si>
    <t>0081</t>
  </si>
  <si>
    <t>Albia</t>
  </si>
  <si>
    <t>0657</t>
  </si>
  <si>
    <t>Eddyville-Blakesburg (plus Fremont)</t>
  </si>
  <si>
    <t>0882</t>
  </si>
  <si>
    <t>Burlington</t>
  </si>
  <si>
    <t>0977</t>
  </si>
  <si>
    <t>Cardinal</t>
  </si>
  <si>
    <t>1071</t>
  </si>
  <si>
    <t>Centerville</t>
  </si>
  <si>
    <t>1079</t>
  </si>
  <si>
    <t>Central Lee</t>
  </si>
  <si>
    <t>1107</t>
  </si>
  <si>
    <t>Chariton</t>
  </si>
  <si>
    <t>1602</t>
  </si>
  <si>
    <t>Danville</t>
  </si>
  <si>
    <t>1619</t>
  </si>
  <si>
    <t>Davis County</t>
  </si>
  <si>
    <t>2169</t>
  </si>
  <si>
    <t>Fairfield</t>
  </si>
  <si>
    <t>2322</t>
  </si>
  <si>
    <t>Fort Madison</t>
  </si>
  <si>
    <t>2834</t>
  </si>
  <si>
    <t>Harmony</t>
  </si>
  <si>
    <t>3312</t>
  </si>
  <si>
    <t>Keokuk</t>
  </si>
  <si>
    <t>3330</t>
  </si>
  <si>
    <t>Keota</t>
  </si>
  <si>
    <t>4203</t>
  </si>
  <si>
    <t>Mediapolis</t>
  </si>
  <si>
    <t>4491</t>
  </si>
  <si>
    <t>Moravia</t>
  </si>
  <si>
    <t>4509</t>
  </si>
  <si>
    <t>Morning Sun</t>
  </si>
  <si>
    <t>4518</t>
  </si>
  <si>
    <t>Moulton-Udell</t>
  </si>
  <si>
    <t>4536</t>
  </si>
  <si>
    <t>Mount Pleasant</t>
  </si>
  <si>
    <t>4689</t>
  </si>
  <si>
    <t>New London</t>
  </si>
  <si>
    <t>4776</t>
  </si>
  <si>
    <t>North Mahaska</t>
  </si>
  <si>
    <t>5013</t>
  </si>
  <si>
    <t>Oskaloosa</t>
  </si>
  <si>
    <t>5049</t>
  </si>
  <si>
    <t>Ottumwa</t>
  </si>
  <si>
    <t>5163</t>
  </si>
  <si>
    <t>Pekin</t>
  </si>
  <si>
    <t>5895</t>
  </si>
  <si>
    <t>Seymour</t>
  </si>
  <si>
    <t>6012</t>
  </si>
  <si>
    <t>Sigourney</t>
  </si>
  <si>
    <t>6462</t>
  </si>
  <si>
    <t>Tri-County</t>
  </si>
  <si>
    <t>6592</t>
  </si>
  <si>
    <t>Van Buren</t>
  </si>
  <si>
    <t>6700</t>
  </si>
  <si>
    <t>Waco</t>
  </si>
  <si>
    <t>6759</t>
  </si>
  <si>
    <t>Wapello</t>
  </si>
  <si>
    <t>6854</t>
  </si>
  <si>
    <t>Wayne (Lineville-Clio &amp; Wayne)</t>
  </si>
  <si>
    <t>6937</t>
  </si>
  <si>
    <t>West Burlington Ind</t>
  </si>
  <si>
    <t>7047</t>
  </si>
  <si>
    <t>Winfield-Mt Union</t>
  </si>
  <si>
    <t>Total  LEAs</t>
  </si>
  <si>
    <t>State Totals</t>
  </si>
  <si>
    <t>LEA NPPS</t>
  </si>
  <si>
    <t>NET AWARD</t>
  </si>
  <si>
    <t>CEIS 15% OF</t>
  </si>
  <si>
    <t>NPPS</t>
  </si>
  <si>
    <t>CALCULATE</t>
  </si>
  <si>
    <t>C&amp;P</t>
  </si>
  <si>
    <t>C &amp; P</t>
  </si>
  <si>
    <t>PERCENT</t>
  </si>
  <si>
    <t>CEIS MAX</t>
  </si>
  <si>
    <t>CEIS 15%</t>
  </si>
  <si>
    <t>To AEA</t>
  </si>
  <si>
    <t>LESS NPPS</t>
  </si>
  <si>
    <t>MAXIMUM</t>
  </si>
  <si>
    <t>USE</t>
  </si>
  <si>
    <t>Total</t>
  </si>
  <si>
    <t>State Operated Programs</t>
  </si>
  <si>
    <t>Eldora</t>
  </si>
  <si>
    <t>Toledo</t>
  </si>
  <si>
    <t>U of Iowa</t>
  </si>
  <si>
    <t>ISD</t>
  </si>
  <si>
    <t>IBSSS</t>
  </si>
  <si>
    <t>Dept of Corrections</t>
  </si>
  <si>
    <t>Subtotal State Operated Programs</t>
  </si>
  <si>
    <t>State TOTAL  LEAs plus SOPs</t>
  </si>
  <si>
    <t>AEA 01</t>
  </si>
  <si>
    <t>AEA 07</t>
  </si>
  <si>
    <t>AEA 08</t>
  </si>
  <si>
    <t>AEA 09</t>
  </si>
  <si>
    <t>AEA 10</t>
  </si>
  <si>
    <t>AEA 11</t>
  </si>
  <si>
    <t>AEA 12</t>
  </si>
  <si>
    <t>AEA 13</t>
  </si>
  <si>
    <t>AEA 15</t>
  </si>
  <si>
    <t>TOTAL AEAs</t>
  </si>
  <si>
    <t>State Total AEA plus SOP</t>
  </si>
  <si>
    <t>Pocahontas Area</t>
  </si>
  <si>
    <t>5301</t>
  </si>
  <si>
    <t>Pomeroy-Palmer</t>
  </si>
  <si>
    <t>Maple Valley</t>
  </si>
  <si>
    <t>0270</t>
  </si>
  <si>
    <t>Anthon-Oto</t>
  </si>
  <si>
    <t>Eddyville-Blakesburg</t>
  </si>
  <si>
    <t>2367</t>
  </si>
  <si>
    <t>Fremont</t>
  </si>
  <si>
    <t xml:space="preserve">CEIS (Coordinated Early Intervening Services Required), </t>
  </si>
  <si>
    <t>may NOT use Maintenance of Effort Reduction (MOER)</t>
  </si>
  <si>
    <t>Did not "meet requirements" of Part B IDEA</t>
  </si>
  <si>
    <t>Application Amount</t>
  </si>
  <si>
    <t>AEA Number</t>
  </si>
  <si>
    <t>District Number</t>
  </si>
  <si>
    <t>Formula amount from Population Distribution ( 85% of  funds based on enrollment)</t>
  </si>
  <si>
    <t>Formula amount from Poverty Distribution ( 15% of funds based on Free and Reduced Lunch Count, Grades 1-6)</t>
  </si>
  <si>
    <t>Total Formula amount for 2012-13; Population plus Poverty;  sum of columns D and E.</t>
  </si>
  <si>
    <t>Total withheld to meet the Non Public Proportionate Share requirement of IDEA; to AEA for those services</t>
  </si>
  <si>
    <t>NET AWARD for 2012-13.  Actual amount that the District will receive in 2012-13. Column F minus G.</t>
  </si>
  <si>
    <t>CEIS 15%;  Coordinated Early Intervening Services maximum amount; 15% of the Formula amount in Column F.</t>
  </si>
  <si>
    <t>Filler no entry in this column</t>
  </si>
  <si>
    <t>Formula amount from the 2011-12 school year for the district</t>
  </si>
  <si>
    <t>Formula amount from the 2012-13 school year for the district</t>
  </si>
  <si>
    <t>Change in the amount from 11-12 to 12-13; only increases shown.</t>
  </si>
  <si>
    <t>Amount that would be available for Maintenance of Effort Reduction (MOER) during the 2012-13 school year for the district.</t>
  </si>
  <si>
    <t>Amount of the CEIS 15% that a district may be required to set aside for disproportionality remediation or may voluntarily use up to this amount for CEIS</t>
  </si>
  <si>
    <t>Districts highlighted in this Yellow must set aside full 15% Coordinated Early Intervening Services and are not allowed to use MOER</t>
  </si>
  <si>
    <t>There are 8 districts in this circumstance for 2012-13.  They have been notified and must prepare a plan and submit it to Ellen McGinnis-Smith at DE</t>
  </si>
  <si>
    <t>Those districts that voluntarily choose to exercise this option will be required to submit a plan as well and must meet the attendant reporting requirements</t>
  </si>
  <si>
    <t>Reminder:  The district gets the NET amount in Column H and that is what their application total budget should be.</t>
  </si>
  <si>
    <t xml:space="preserve">Districts highlighted in Yellow are required to set aside the full 15% shown in Column I to address issues related to disproportionality. </t>
  </si>
  <si>
    <t>They are required to submit a plan to DE on how they will use these funds in 2012-13 to remediate the identified areas of concern.</t>
  </si>
  <si>
    <t>Plans are submitted to Ellen McGinnis-Smith at DE prior ot November 1st.  Since this is in conflict with the LEA application schedule "conditional"</t>
  </si>
  <si>
    <t>then full approval can be granted by the AEA.</t>
  </si>
  <si>
    <t xml:space="preserve">approval can be granted by the AEA to those who are "required" and the "voluntary" group until the plans can be reviewed here at DE; </t>
  </si>
  <si>
    <t>Column</t>
  </si>
  <si>
    <t>Explanation</t>
  </si>
  <si>
    <t>There are 73 districts that did not meet requirements and are not allowed to use the MOER provision in 12-13 (based on 2010-11 data).</t>
  </si>
  <si>
    <t>There are two districts that fall into both this category and the disproportionality category above, both may NOT use the Maintenance of Effort Reduction</t>
  </si>
  <si>
    <t>provision of IDEA, Part B for 2012-13.  Only those districts with an amount in column M are allowed to exercise this optional provision; it is not</t>
  </si>
  <si>
    <t>The eight districts that must set aside the 15% and submit a remediation plan are:  Algona, Ankeny, Bettendorf, Clear Creek-Amana, Dubuque, Iowa City,</t>
  </si>
  <si>
    <t>Johnston and Waterloo.</t>
  </si>
  <si>
    <t>required that they exercise the MOER.  The two districts that are in both categories are Clear Creek-Amana and Iowa City.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</si>
</sst>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.0"/>
    <numFmt numFmtId="166" formatCode="0.0000%"/>
    <numFmt numFmtId="167" formatCode="0.00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theme="9" tint="-0.49998474074526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color theme="9" tint="-0.24997711111789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8"/>
      <color theme="9" tint="0.39997558519241921"/>
      <name val="Arial"/>
      <family val="2"/>
    </font>
    <font>
      <b/>
      <i/>
      <sz val="8"/>
      <color rgb="FFFFFF79"/>
      <name val="Arial"/>
      <family val="2"/>
    </font>
    <font>
      <b/>
      <sz val="10"/>
      <color theme="9" tint="-0.499984740745262"/>
      <name val="Arial"/>
      <family val="2"/>
    </font>
    <font>
      <b/>
      <sz val="12"/>
      <color rgb="FFFFFF0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Arial"/>
      <family val="2"/>
    </font>
    <font>
      <b/>
      <sz val="8"/>
      <color rgb="FFFFFF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6EFF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7EFF9"/>
        <bgColor indexed="64"/>
      </patternFill>
    </fill>
    <fill>
      <patternFill patternType="solid">
        <fgColor rgb="FFFFFF6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6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 wrapText="1"/>
    </xf>
    <xf numFmtId="0" fontId="0" fillId="6" borderId="0" xfId="0" applyFill="1"/>
    <xf numFmtId="0" fontId="3" fillId="7" borderId="1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6" fillId="9" borderId="0" xfId="0" applyFont="1" applyFill="1"/>
    <xf numFmtId="0" fontId="0" fillId="9" borderId="0" xfId="0" applyFill="1"/>
    <xf numFmtId="0" fontId="3" fillId="0" borderId="7" xfId="0" applyFont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8" xfId="0" applyFont="1" applyFill="1" applyBorder="1"/>
    <xf numFmtId="0" fontId="3" fillId="5" borderId="8" xfId="0" applyFont="1" applyFill="1" applyBorder="1" applyAlignment="1">
      <alignment horizontal="center" wrapText="1"/>
    </xf>
    <xf numFmtId="0" fontId="3" fillId="5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165" fontId="7" fillId="11" borderId="11" xfId="0" applyNumberFormat="1" applyFont="1" applyFill="1" applyBorder="1" applyAlignment="1">
      <alignment horizontal="center"/>
    </xf>
    <xf numFmtId="165" fontId="7" fillId="9" borderId="11" xfId="0" applyNumberFormat="1" applyFont="1" applyFill="1" applyBorder="1" applyAlignment="1">
      <alignment horizontal="center"/>
    </xf>
    <xf numFmtId="165" fontId="7" fillId="3" borderId="11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164" fontId="3" fillId="3" borderId="14" xfId="1" applyNumberFormat="1" applyFont="1" applyFill="1" applyBorder="1"/>
    <xf numFmtId="0" fontId="3" fillId="5" borderId="13" xfId="0" applyFont="1" applyFill="1" applyBorder="1" applyAlignment="1">
      <alignment horizontal="center" wrapText="1"/>
    </xf>
    <xf numFmtId="164" fontId="3" fillId="5" borderId="14" xfId="1" applyNumberFormat="1" applyFont="1" applyFill="1" applyBorder="1"/>
    <xf numFmtId="164" fontId="3" fillId="7" borderId="15" xfId="1" quotePrefix="1" applyNumberFormat="1" applyFont="1" applyFill="1" applyBorder="1" applyAlignment="1">
      <alignment horizontal="center"/>
    </xf>
    <xf numFmtId="164" fontId="3" fillId="8" borderId="0" xfId="1" quotePrefix="1" applyNumberFormat="1" applyFont="1" applyFill="1" applyBorder="1" applyAlignment="1">
      <alignment horizontal="center"/>
    </xf>
    <xf numFmtId="0" fontId="8" fillId="12" borderId="0" xfId="0" applyFont="1" applyFill="1"/>
    <xf numFmtId="0" fontId="7" fillId="0" borderId="13" xfId="0" applyFont="1" applyBorder="1" applyAlignment="1">
      <alignment horizontal="center"/>
    </xf>
    <xf numFmtId="165" fontId="7" fillId="11" borderId="13" xfId="0" applyNumberFormat="1" applyFont="1" applyFill="1" applyBorder="1" applyAlignment="1">
      <alignment horizontal="center"/>
    </xf>
    <xf numFmtId="165" fontId="7" fillId="9" borderId="13" xfId="0" applyNumberFormat="1" applyFont="1" applyFill="1" applyBorder="1" applyAlignment="1">
      <alignment horizontal="center"/>
    </xf>
    <xf numFmtId="165" fontId="7" fillId="3" borderId="13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3" fillId="3" borderId="18" xfId="0" applyFont="1" applyFill="1" applyBorder="1"/>
    <xf numFmtId="0" fontId="3" fillId="5" borderId="17" xfId="0" applyFont="1" applyFill="1" applyBorder="1" applyAlignment="1">
      <alignment horizontal="center" wrapText="1"/>
    </xf>
    <xf numFmtId="0" fontId="3" fillId="5" borderId="18" xfId="0" applyFont="1" applyFill="1" applyBorder="1"/>
    <xf numFmtId="164" fontId="3" fillId="7" borderId="19" xfId="1" quotePrefix="1" applyNumberFormat="1" applyFont="1" applyFill="1" applyBorder="1" applyAlignment="1">
      <alignment horizontal="center"/>
    </xf>
    <xf numFmtId="164" fontId="3" fillId="8" borderId="20" xfId="1" quotePrefix="1" applyNumberFormat="1" applyFont="1" applyFill="1" applyBorder="1" applyAlignment="1">
      <alignment horizontal="center"/>
    </xf>
    <xf numFmtId="14" fontId="7" fillId="0" borderId="13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3" borderId="22" xfId="0" applyFont="1" applyFill="1" applyBorder="1"/>
    <xf numFmtId="0" fontId="3" fillId="5" borderId="22" xfId="0" applyFont="1" applyFill="1" applyBorder="1"/>
    <xf numFmtId="0" fontId="3" fillId="7" borderId="23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165" fontId="7" fillId="11" borderId="24" xfId="0" applyNumberFormat="1" applyFont="1" applyFill="1" applyBorder="1" applyAlignment="1">
      <alignment horizontal="center"/>
    </xf>
    <xf numFmtId="165" fontId="7" fillId="9" borderId="24" xfId="0" applyNumberFormat="1" applyFont="1" applyFill="1" applyBorder="1" applyAlignment="1">
      <alignment horizontal="center"/>
    </xf>
    <xf numFmtId="165" fontId="7" fillId="3" borderId="24" xfId="0" applyNumberFormat="1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 wrapText="1"/>
    </xf>
    <xf numFmtId="0" fontId="3" fillId="13" borderId="24" xfId="0" applyFont="1" applyFill="1" applyBorder="1" applyAlignment="1">
      <alignment horizontal="center" wrapText="1"/>
    </xf>
    <xf numFmtId="0" fontId="3" fillId="13" borderId="26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164" fontId="3" fillId="13" borderId="26" xfId="0" applyNumberFormat="1" applyFont="1" applyFill="1" applyBorder="1" applyAlignment="1">
      <alignment horizontal="center"/>
    </xf>
    <xf numFmtId="0" fontId="7" fillId="0" borderId="27" xfId="0" applyFont="1" applyBorder="1" applyAlignment="1">
      <alignment horizontal="center"/>
    </xf>
    <xf numFmtId="165" fontId="7" fillId="11" borderId="27" xfId="0" applyNumberFormat="1" applyFont="1" applyFill="1" applyBorder="1" applyAlignment="1">
      <alignment horizontal="center"/>
    </xf>
    <xf numFmtId="165" fontId="7" fillId="9" borderId="27" xfId="0" applyNumberFormat="1" applyFont="1" applyFill="1" applyBorder="1" applyAlignment="1">
      <alignment horizontal="center"/>
    </xf>
    <xf numFmtId="165" fontId="7" fillId="3" borderId="27" xfId="0" applyNumberFormat="1" applyFont="1" applyFill="1" applyBorder="1" applyAlignment="1">
      <alignment horizontal="center"/>
    </xf>
    <xf numFmtId="0" fontId="6" fillId="0" borderId="4" xfId="0" quotePrefix="1" applyNumberFormat="1" applyFont="1" applyBorder="1" applyAlignment="1">
      <alignment horizontal="center"/>
    </xf>
    <xf numFmtId="0" fontId="6" fillId="0" borderId="4" xfId="0" quotePrefix="1" applyNumberFormat="1" applyFont="1" applyBorder="1"/>
    <xf numFmtId="166" fontId="9" fillId="3" borderId="4" xfId="2" applyNumberFormat="1" applyFont="1" applyFill="1" applyBorder="1"/>
    <xf numFmtId="164" fontId="7" fillId="3" borderId="4" xfId="1" applyNumberFormat="1" applyFont="1" applyFill="1" applyBorder="1"/>
    <xf numFmtId="166" fontId="9" fillId="5" borderId="7" xfId="2" applyNumberFormat="1" applyFont="1" applyFill="1" applyBorder="1"/>
    <xf numFmtId="164" fontId="10" fillId="5" borderId="4" xfId="1" applyNumberFormat="1" applyFont="1" applyFill="1" applyBorder="1"/>
    <xf numFmtId="164" fontId="9" fillId="7" borderId="4" xfId="1" applyNumberFormat="1" applyFont="1" applyFill="1" applyBorder="1"/>
    <xf numFmtId="164" fontId="3" fillId="8" borderId="4" xfId="1" applyNumberFormat="1" applyFont="1" applyFill="1" applyBorder="1"/>
    <xf numFmtId="164" fontId="9" fillId="3" borderId="4" xfId="1" applyNumberFormat="1" applyFont="1" applyFill="1" applyBorder="1"/>
    <xf numFmtId="164" fontId="11" fillId="0" borderId="0" xfId="0" applyNumberFormat="1" applyFont="1" applyAlignment="1">
      <alignment horizontal="center"/>
    </xf>
    <xf numFmtId="0" fontId="6" fillId="12" borderId="7" xfId="0" quotePrefix="1" applyNumberFormat="1" applyFont="1" applyFill="1" applyBorder="1" applyAlignment="1">
      <alignment horizontal="center"/>
    </xf>
    <xf numFmtId="0" fontId="6" fillId="12" borderId="7" xfId="0" quotePrefix="1" applyNumberFormat="1" applyFont="1" applyFill="1" applyBorder="1"/>
    <xf numFmtId="166" fontId="9" fillId="3" borderId="7" xfId="2" applyNumberFormat="1" applyFont="1" applyFill="1" applyBorder="1"/>
    <xf numFmtId="164" fontId="7" fillId="3" borderId="7" xfId="1" applyNumberFormat="1" applyFont="1" applyFill="1" applyBorder="1"/>
    <xf numFmtId="164" fontId="10" fillId="5" borderId="7" xfId="1" applyNumberFormat="1" applyFont="1" applyFill="1" applyBorder="1"/>
    <xf numFmtId="164" fontId="9" fillId="7" borderId="7" xfId="1" applyNumberFormat="1" applyFont="1" applyFill="1" applyBorder="1"/>
    <xf numFmtId="164" fontId="3" fillId="8" borderId="7" xfId="1" applyNumberFormat="1" applyFont="1" applyFill="1" applyBorder="1"/>
    <xf numFmtId="164" fontId="9" fillId="12" borderId="4" xfId="1" applyNumberFormat="1" applyFont="1" applyFill="1" applyBorder="1"/>
    <xf numFmtId="0" fontId="6" fillId="0" borderId="7" xfId="0" quotePrefix="1" applyNumberFormat="1" applyFont="1" applyBorder="1" applyAlignment="1">
      <alignment horizontal="center"/>
    </xf>
    <xf numFmtId="0" fontId="6" fillId="0" borderId="7" xfId="0" quotePrefix="1" applyNumberFormat="1" applyFont="1" applyBorder="1"/>
    <xf numFmtId="0" fontId="6" fillId="0" borderId="8" xfId="0" quotePrefix="1" applyNumberFormat="1" applyFont="1" applyBorder="1" applyAlignment="1">
      <alignment horizontal="center"/>
    </xf>
    <xf numFmtId="0" fontId="6" fillId="0" borderId="8" xfId="0" quotePrefix="1" applyNumberFormat="1" applyFont="1" applyBorder="1"/>
    <xf numFmtId="166" fontId="9" fillId="3" borderId="8" xfId="2" applyNumberFormat="1" applyFont="1" applyFill="1" applyBorder="1"/>
    <xf numFmtId="164" fontId="7" fillId="3" borderId="8" xfId="1" applyNumberFormat="1" applyFont="1" applyFill="1" applyBorder="1"/>
    <xf numFmtId="0" fontId="0" fillId="4" borderId="2" xfId="0" applyFill="1" applyBorder="1"/>
    <xf numFmtId="166" fontId="9" fillId="5" borderId="8" xfId="2" applyNumberFormat="1" applyFont="1" applyFill="1" applyBorder="1"/>
    <xf numFmtId="164" fontId="10" fillId="5" borderId="8" xfId="1" applyNumberFormat="1" applyFont="1" applyFill="1" applyBorder="1"/>
    <xf numFmtId="164" fontId="9" fillId="7" borderId="8" xfId="1" applyNumberFormat="1" applyFont="1" applyFill="1" applyBorder="1"/>
    <xf numFmtId="164" fontId="3" fillId="8" borderId="8" xfId="1" applyNumberFormat="1" applyFont="1" applyFill="1" applyBorder="1"/>
    <xf numFmtId="164" fontId="9" fillId="3" borderId="8" xfId="1" applyNumberFormat="1" applyFont="1" applyFill="1" applyBorder="1"/>
    <xf numFmtId="166" fontId="9" fillId="5" borderId="4" xfId="2" applyNumberFormat="1" applyFont="1" applyFill="1" applyBorder="1"/>
    <xf numFmtId="0" fontId="6" fillId="14" borderId="7" xfId="0" quotePrefix="1" applyNumberFormat="1" applyFont="1" applyFill="1" applyBorder="1" applyAlignment="1">
      <alignment horizontal="center"/>
    </xf>
    <xf numFmtId="0" fontId="6" fillId="14" borderId="7" xfId="0" applyNumberFormat="1" applyFont="1" applyFill="1" applyBorder="1"/>
    <xf numFmtId="164" fontId="12" fillId="12" borderId="4" xfId="1" applyNumberFormat="1" applyFont="1" applyFill="1" applyBorder="1"/>
    <xf numFmtId="0" fontId="3" fillId="9" borderId="7" xfId="0" quotePrefix="1" applyNumberFormat="1" applyFont="1" applyFill="1" applyBorder="1"/>
    <xf numFmtId="164" fontId="7" fillId="9" borderId="7" xfId="1" applyNumberFormat="1" applyFont="1" applyFill="1" applyBorder="1"/>
    <xf numFmtId="0" fontId="3" fillId="0" borderId="7" xfId="0" quotePrefix="1" applyNumberFormat="1" applyFont="1" applyBorder="1" applyAlignment="1">
      <alignment horizontal="center"/>
    </xf>
    <xf numFmtId="0" fontId="6" fillId="10" borderId="7" xfId="0" quotePrefix="1" applyNumberFormat="1" applyFont="1" applyFill="1" applyBorder="1"/>
    <xf numFmtId="0" fontId="0" fillId="4" borderId="6" xfId="0" applyFill="1" applyBorder="1"/>
    <xf numFmtId="0" fontId="3" fillId="0" borderId="27" xfId="0" applyFont="1" applyBorder="1"/>
    <xf numFmtId="0" fontId="3" fillId="0" borderId="27" xfId="0" applyFont="1" applyBorder="1" applyAlignment="1">
      <alignment horizontal="center"/>
    </xf>
    <xf numFmtId="167" fontId="9" fillId="3" borderId="27" xfId="0" applyNumberFormat="1" applyFont="1" applyFill="1" applyBorder="1"/>
    <xf numFmtId="44" fontId="3" fillId="3" borderId="27" xfId="1" applyFont="1" applyFill="1" applyBorder="1"/>
    <xf numFmtId="166" fontId="9" fillId="5" borderId="27" xfId="2" applyNumberFormat="1" applyFont="1" applyFill="1" applyBorder="1"/>
    <xf numFmtId="44" fontId="3" fillId="5" borderId="27" xfId="1" applyFont="1" applyFill="1" applyBorder="1"/>
    <xf numFmtId="44" fontId="9" fillId="7" borderId="27" xfId="1" applyFont="1" applyFill="1" applyBorder="1"/>
    <xf numFmtId="44" fontId="9" fillId="8" borderId="27" xfId="1" applyFont="1" applyFill="1" applyBorder="1"/>
    <xf numFmtId="0" fontId="11" fillId="0" borderId="0" xfId="0" applyFont="1" applyAlignment="1">
      <alignment horizontal="center"/>
    </xf>
    <xf numFmtId="164" fontId="0" fillId="0" borderId="0" xfId="0" applyNumberFormat="1"/>
    <xf numFmtId="0" fontId="6" fillId="0" borderId="7" xfId="0" applyFont="1" applyBorder="1" applyAlignment="1">
      <alignment horizontal="center"/>
    </xf>
    <xf numFmtId="0" fontId="6" fillId="10" borderId="7" xfId="0" applyFont="1" applyFill="1" applyBorder="1" applyAlignment="1">
      <alignment horizontal="center"/>
    </xf>
    <xf numFmtId="165" fontId="10" fillId="15" borderId="11" xfId="0" applyNumberFormat="1" applyFont="1" applyFill="1" applyBorder="1" applyAlignment="1">
      <alignment horizontal="center"/>
    </xf>
    <xf numFmtId="165" fontId="4" fillId="16" borderId="11" xfId="0" applyNumberFormat="1" applyFont="1" applyFill="1" applyBorder="1" applyAlignment="1">
      <alignment horizontal="center"/>
    </xf>
    <xf numFmtId="0" fontId="10" fillId="0" borderId="0" xfId="0" applyFont="1"/>
    <xf numFmtId="165" fontId="7" fillId="15" borderId="11" xfId="0" applyNumberFormat="1" applyFont="1" applyFill="1" applyBorder="1" applyAlignment="1">
      <alignment horizontal="center"/>
    </xf>
    <xf numFmtId="165" fontId="7" fillId="17" borderId="11" xfId="0" applyNumberFormat="1" applyFont="1" applyFill="1" applyBorder="1" applyAlignment="1">
      <alignment horizontal="center"/>
    </xf>
    <xf numFmtId="165" fontId="7" fillId="16" borderId="11" xfId="0" applyNumberFormat="1" applyFont="1" applyFill="1" applyBorder="1" applyAlignment="1">
      <alignment horizontal="center"/>
    </xf>
    <xf numFmtId="165" fontId="7" fillId="18" borderId="11" xfId="0" applyNumberFormat="1" applyFont="1" applyFill="1" applyBorder="1" applyAlignment="1">
      <alignment horizontal="center"/>
    </xf>
    <xf numFmtId="165" fontId="10" fillId="15" borderId="13" xfId="0" applyNumberFormat="1" applyFont="1" applyFill="1" applyBorder="1" applyAlignment="1">
      <alignment horizontal="center"/>
    </xf>
    <xf numFmtId="165" fontId="4" fillId="16" borderId="13" xfId="0" applyNumberFormat="1" applyFont="1" applyFill="1" applyBorder="1" applyAlignment="1">
      <alignment horizontal="center"/>
    </xf>
    <xf numFmtId="165" fontId="7" fillId="15" borderId="13" xfId="0" applyNumberFormat="1" applyFont="1" applyFill="1" applyBorder="1" applyAlignment="1">
      <alignment horizontal="center"/>
    </xf>
    <xf numFmtId="165" fontId="7" fillId="17" borderId="13" xfId="0" applyNumberFormat="1" applyFont="1" applyFill="1" applyBorder="1" applyAlignment="1">
      <alignment horizontal="center"/>
    </xf>
    <xf numFmtId="165" fontId="7" fillId="16" borderId="13" xfId="0" applyNumberFormat="1" applyFont="1" applyFill="1" applyBorder="1" applyAlignment="1">
      <alignment horizontal="center"/>
    </xf>
    <xf numFmtId="165" fontId="7" fillId="18" borderId="13" xfId="0" applyNumberFormat="1" applyFont="1" applyFill="1" applyBorder="1" applyAlignment="1">
      <alignment horizontal="center"/>
    </xf>
    <xf numFmtId="4" fontId="7" fillId="11" borderId="13" xfId="0" applyNumberFormat="1" applyFont="1" applyFill="1" applyBorder="1" applyAlignment="1">
      <alignment horizontal="center"/>
    </xf>
    <xf numFmtId="4" fontId="7" fillId="18" borderId="13" xfId="0" applyNumberFormat="1" applyFont="1" applyFill="1" applyBorder="1" applyAlignment="1">
      <alignment horizontal="center"/>
    </xf>
    <xf numFmtId="165" fontId="10" fillId="15" borderId="24" xfId="0" applyNumberFormat="1" applyFont="1" applyFill="1" applyBorder="1" applyAlignment="1">
      <alignment horizontal="center"/>
    </xf>
    <xf numFmtId="165" fontId="4" fillId="16" borderId="24" xfId="0" applyNumberFormat="1" applyFont="1" applyFill="1" applyBorder="1" applyAlignment="1">
      <alignment horizontal="center"/>
    </xf>
    <xf numFmtId="165" fontId="7" fillId="15" borderId="24" xfId="0" applyNumberFormat="1" applyFont="1" applyFill="1" applyBorder="1" applyAlignment="1">
      <alignment horizontal="center"/>
    </xf>
    <xf numFmtId="165" fontId="7" fillId="17" borderId="24" xfId="0" applyNumberFormat="1" applyFont="1" applyFill="1" applyBorder="1" applyAlignment="1">
      <alignment horizontal="center"/>
    </xf>
    <xf numFmtId="165" fontId="7" fillId="16" borderId="24" xfId="0" applyNumberFormat="1" applyFont="1" applyFill="1" applyBorder="1" applyAlignment="1">
      <alignment horizontal="center"/>
    </xf>
    <xf numFmtId="165" fontId="7" fillId="18" borderId="24" xfId="0" applyNumberFormat="1" applyFont="1" applyFill="1" applyBorder="1" applyAlignment="1">
      <alignment horizontal="center"/>
    </xf>
    <xf numFmtId="165" fontId="10" fillId="15" borderId="27" xfId="0" applyNumberFormat="1" applyFont="1" applyFill="1" applyBorder="1" applyAlignment="1">
      <alignment horizontal="center"/>
    </xf>
    <xf numFmtId="165" fontId="7" fillId="16" borderId="27" xfId="0" applyNumberFormat="1" applyFont="1" applyFill="1" applyBorder="1" applyAlignment="1">
      <alignment horizontal="center"/>
    </xf>
    <xf numFmtId="165" fontId="7" fillId="15" borderId="27" xfId="0" applyNumberFormat="1" applyFont="1" applyFill="1" applyBorder="1" applyAlignment="1">
      <alignment horizontal="center"/>
    </xf>
    <xf numFmtId="165" fontId="7" fillId="17" borderId="27" xfId="0" applyNumberFormat="1" applyFont="1" applyFill="1" applyBorder="1" applyAlignment="1">
      <alignment horizontal="center"/>
    </xf>
    <xf numFmtId="165" fontId="7" fillId="18" borderId="27" xfId="0" applyNumberFormat="1" applyFont="1" applyFill="1" applyBorder="1" applyAlignment="1">
      <alignment horizontal="center"/>
    </xf>
    <xf numFmtId="0" fontId="10" fillId="0" borderId="4" xfId="0" quotePrefix="1" applyNumberFormat="1" applyFont="1" applyBorder="1" applyAlignment="1">
      <alignment horizontal="center"/>
    </xf>
    <xf numFmtId="0" fontId="10" fillId="0" borderId="4" xfId="0" quotePrefix="1" applyNumberFormat="1" applyFont="1" applyBorder="1"/>
    <xf numFmtId="164" fontId="11" fillId="0" borderId="4" xfId="1" quotePrefix="1" applyNumberFormat="1" applyFont="1" applyBorder="1"/>
    <xf numFmtId="164" fontId="11" fillId="0" borderId="4" xfId="1" applyNumberFormat="1" applyFont="1" applyBorder="1"/>
    <xf numFmtId="164" fontId="11" fillId="15" borderId="4" xfId="1" quotePrefix="1" applyNumberFormat="1" applyFont="1" applyFill="1" applyBorder="1"/>
    <xf numFmtId="164" fontId="11" fillId="3" borderId="4" xfId="1" applyNumberFormat="1" applyFont="1" applyFill="1" applyBorder="1"/>
    <xf numFmtId="166" fontId="11" fillId="0" borderId="4" xfId="2" applyNumberFormat="1" applyFont="1" applyBorder="1"/>
    <xf numFmtId="164" fontId="9" fillId="15" borderId="4" xfId="1" quotePrefix="1" applyNumberFormat="1" applyFont="1" applyFill="1" applyBorder="1"/>
    <xf numFmtId="0" fontId="10" fillId="0" borderId="7" xfId="0" quotePrefix="1" applyNumberFormat="1" applyFont="1" applyBorder="1" applyAlignment="1">
      <alignment horizontal="center"/>
    </xf>
    <xf numFmtId="0" fontId="10" fillId="0" borderId="7" xfId="0" quotePrefix="1" applyNumberFormat="1" applyFont="1" applyBorder="1"/>
    <xf numFmtId="164" fontId="11" fillId="0" borderId="7" xfId="1" quotePrefix="1" applyNumberFormat="1" applyFont="1" applyBorder="1"/>
    <xf numFmtId="164" fontId="11" fillId="0" borderId="7" xfId="1" applyNumberFormat="1" applyFont="1" applyBorder="1"/>
    <xf numFmtId="164" fontId="11" fillId="3" borderId="7" xfId="1" applyNumberFormat="1" applyFont="1" applyFill="1" applyBorder="1"/>
    <xf numFmtId="0" fontId="9" fillId="19" borderId="11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9" fillId="19" borderId="4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167" fontId="9" fillId="19" borderId="7" xfId="2" applyNumberFormat="1" applyFont="1" applyFill="1" applyBorder="1"/>
    <xf numFmtId="0" fontId="14" fillId="5" borderId="8" xfId="0" applyFont="1" applyFill="1" applyBorder="1" applyAlignment="1">
      <alignment horizontal="center"/>
    </xf>
    <xf numFmtId="167" fontId="9" fillId="19" borderId="8" xfId="2" applyNumberFormat="1" applyFont="1" applyFill="1" applyBorder="1"/>
    <xf numFmtId="0" fontId="14" fillId="5" borderId="28" xfId="0" applyFont="1" applyFill="1" applyBorder="1" applyAlignment="1">
      <alignment horizontal="center"/>
    </xf>
    <xf numFmtId="167" fontId="9" fillId="19" borderId="4" xfId="2" applyNumberFormat="1" applyFont="1" applyFill="1" applyBorder="1"/>
    <xf numFmtId="0" fontId="10" fillId="0" borderId="8" xfId="0" quotePrefix="1" applyNumberFormat="1" applyFont="1" applyBorder="1" applyAlignment="1">
      <alignment horizontal="center"/>
    </xf>
    <xf numFmtId="0" fontId="10" fillId="0" borderId="8" xfId="0" quotePrefix="1" applyNumberFormat="1" applyFont="1" applyBorder="1"/>
    <xf numFmtId="164" fontId="11" fillId="0" borderId="8" xfId="1" quotePrefix="1" applyNumberFormat="1" applyFont="1" applyBorder="1"/>
    <xf numFmtId="164" fontId="11" fillId="0" borderId="8" xfId="1" applyNumberFormat="1" applyFont="1" applyBorder="1"/>
    <xf numFmtId="164" fontId="11" fillId="15" borderId="8" xfId="1" quotePrefix="1" applyNumberFormat="1" applyFont="1" applyFill="1" applyBorder="1"/>
    <xf numFmtId="164" fontId="11" fillId="3" borderId="8" xfId="1" applyNumberFormat="1" applyFont="1" applyFill="1" applyBorder="1"/>
    <xf numFmtId="166" fontId="11" fillId="0" borderId="8" xfId="2" applyNumberFormat="1" applyFont="1" applyBorder="1"/>
    <xf numFmtId="164" fontId="9" fillId="15" borderId="8" xfId="1" quotePrefix="1" applyNumberFormat="1" applyFont="1" applyFill="1" applyBorder="1"/>
    <xf numFmtId="0" fontId="10" fillId="20" borderId="7" xfId="0" quotePrefix="1" applyNumberFormat="1" applyFont="1" applyFill="1" applyBorder="1" applyAlignment="1">
      <alignment horizontal="center"/>
    </xf>
    <xf numFmtId="0" fontId="10" fillId="20" borderId="7" xfId="0" quotePrefix="1" applyNumberFormat="1" applyFont="1" applyFill="1" applyBorder="1"/>
    <xf numFmtId="164" fontId="11" fillId="11" borderId="7" xfId="1" applyNumberFormat="1" applyFont="1" applyFill="1" applyBorder="1"/>
    <xf numFmtId="0" fontId="10" fillId="0" borderId="4" xfId="0" applyFont="1" applyBorder="1"/>
    <xf numFmtId="164" fontId="10" fillId="0" borderId="4" xfId="1" applyNumberFormat="1" applyFont="1" applyBorder="1"/>
    <xf numFmtId="166" fontId="11" fillId="21" borderId="4" xfId="2" applyNumberFormat="1" applyFont="1" applyFill="1" applyBorder="1"/>
    <xf numFmtId="166" fontId="0" fillId="0" borderId="0" xfId="2" applyNumberFormat="1" applyFont="1"/>
    <xf numFmtId="0" fontId="6" fillId="0" borderId="0" xfId="0" applyFont="1"/>
    <xf numFmtId="0" fontId="7" fillId="0" borderId="7" xfId="0" quotePrefix="1" applyNumberFormat="1" applyFont="1" applyBorder="1" applyAlignment="1">
      <alignment horizontal="center"/>
    </xf>
    <xf numFmtId="165" fontId="10" fillId="0" borderId="7" xfId="0" quotePrefix="1" applyNumberFormat="1" applyFont="1" applyBorder="1"/>
    <xf numFmtId="164" fontId="11" fillId="22" borderId="4" xfId="1" quotePrefix="1" applyNumberFormat="1" applyFont="1" applyFill="1" applyBorder="1"/>
    <xf numFmtId="166" fontId="10" fillId="23" borderId="7" xfId="2" quotePrefix="1" applyNumberFormat="1" applyFont="1" applyFill="1" applyBorder="1"/>
    <xf numFmtId="166" fontId="10" fillId="22" borderId="7" xfId="2" quotePrefix="1" applyNumberFormat="1" applyFont="1" applyFill="1" applyBorder="1"/>
    <xf numFmtId="0" fontId="10" fillId="9" borderId="7" xfId="0" quotePrefix="1" applyNumberFormat="1" applyFont="1" applyFill="1" applyBorder="1"/>
    <xf numFmtId="0" fontId="10" fillId="0" borderId="11" xfId="0" quotePrefix="1" applyNumberFormat="1" applyFont="1" applyBorder="1" applyAlignment="1">
      <alignment horizontal="center"/>
    </xf>
    <xf numFmtId="0" fontId="10" fillId="0" borderId="11" xfId="0" quotePrefix="1" applyNumberFormat="1" applyFont="1" applyBorder="1"/>
    <xf numFmtId="165" fontId="10" fillId="0" borderId="11" xfId="0" quotePrefix="1" applyNumberFormat="1" applyFont="1" applyBorder="1"/>
    <xf numFmtId="0" fontId="10" fillId="0" borderId="29" xfId="0" quotePrefix="1" applyNumberFormat="1" applyFont="1" applyBorder="1" applyAlignment="1">
      <alignment horizontal="center"/>
    </xf>
    <xf numFmtId="0" fontId="10" fillId="0" borderId="27" xfId="0" quotePrefix="1" applyNumberFormat="1" applyFont="1" applyBorder="1"/>
    <xf numFmtId="0" fontId="7" fillId="0" borderId="27" xfId="0" quotePrefix="1" applyNumberFormat="1" applyFont="1" applyBorder="1"/>
    <xf numFmtId="164" fontId="11" fillId="0" borderId="30" xfId="1" quotePrefix="1" applyNumberFormat="1" applyFont="1" applyBorder="1"/>
    <xf numFmtId="164" fontId="11" fillId="22" borderId="30" xfId="1" quotePrefix="1" applyNumberFormat="1" applyFont="1" applyFill="1" applyBorder="1"/>
    <xf numFmtId="164" fontId="11" fillId="23" borderId="30" xfId="1" quotePrefix="1" applyNumberFormat="1" applyFont="1" applyFill="1" applyBorder="1"/>
    <xf numFmtId="166" fontId="10" fillId="21" borderId="30" xfId="2" quotePrefix="1" applyNumberFormat="1" applyFont="1" applyFill="1" applyBorder="1"/>
    <xf numFmtId="0" fontId="10" fillId="0" borderId="27" xfId="0" quotePrefix="1" applyNumberFormat="1" applyFont="1" applyBorder="1" applyAlignment="1">
      <alignment horizontal="center"/>
    </xf>
    <xf numFmtId="165" fontId="10" fillId="0" borderId="27" xfId="0" quotePrefix="1" applyNumberFormat="1" applyFont="1" applyBorder="1"/>
    <xf numFmtId="164" fontId="11" fillId="0" borderId="27" xfId="2" quotePrefix="1" applyNumberFormat="1" applyFont="1" applyBorder="1"/>
    <xf numFmtId="164" fontId="11" fillId="23" borderId="27" xfId="2" quotePrefix="1" applyNumberFormat="1" applyFont="1" applyFill="1" applyBorder="1"/>
    <xf numFmtId="10" fontId="10" fillId="21" borderId="27" xfId="2" quotePrefix="1" applyNumberFormat="1" applyFont="1" applyFill="1" applyBorder="1"/>
    <xf numFmtId="165" fontId="10" fillId="0" borderId="4" xfId="0" quotePrefix="1" applyNumberFormat="1" applyFont="1" applyBorder="1"/>
    <xf numFmtId="0" fontId="10" fillId="0" borderId="7" xfId="0" applyNumberFormat="1" applyFont="1" applyBorder="1"/>
    <xf numFmtId="166" fontId="11" fillId="0" borderId="7" xfId="2" quotePrefix="1" applyNumberFormat="1" applyFont="1" applyBorder="1"/>
    <xf numFmtId="0" fontId="10" fillId="0" borderId="8" xfId="0" applyNumberFormat="1" applyFont="1" applyBorder="1"/>
    <xf numFmtId="166" fontId="11" fillId="0" borderId="8" xfId="2" quotePrefix="1" applyNumberFormat="1" applyFont="1" applyBorder="1"/>
    <xf numFmtId="0" fontId="10" fillId="0" borderId="24" xfId="0" quotePrefix="1" applyNumberFormat="1" applyFont="1" applyBorder="1" applyAlignment="1">
      <alignment horizontal="center"/>
    </xf>
    <xf numFmtId="0" fontId="10" fillId="0" borderId="24" xfId="0" quotePrefix="1" applyNumberFormat="1" applyFont="1" applyBorder="1"/>
    <xf numFmtId="166" fontId="10" fillId="0" borderId="24" xfId="2" quotePrefix="1" applyNumberFormat="1" applyFont="1" applyBorder="1"/>
    <xf numFmtId="0" fontId="10" fillId="0" borderId="27" xfId="0" applyNumberFormat="1" applyFont="1" applyBorder="1"/>
    <xf numFmtId="164" fontId="11" fillId="0" borderId="27" xfId="1" quotePrefix="1" applyNumberFormat="1" applyFont="1" applyBorder="1"/>
    <xf numFmtId="166" fontId="10" fillId="21" borderId="27" xfId="2" quotePrefix="1" applyNumberFormat="1" applyFont="1" applyFill="1" applyBorder="1"/>
    <xf numFmtId="167" fontId="10" fillId="21" borderId="27" xfId="2" quotePrefix="1" applyNumberFormat="1" applyFont="1" applyFill="1" applyBorder="1"/>
    <xf numFmtId="0" fontId="10" fillId="20" borderId="11" xfId="0" quotePrefix="1" applyNumberFormat="1" applyFont="1" applyFill="1" applyBorder="1" applyAlignment="1">
      <alignment horizontal="center"/>
    </xf>
    <xf numFmtId="0" fontId="10" fillId="20" borderId="11" xfId="0" quotePrefix="1" applyNumberFormat="1" applyFont="1" applyFill="1" applyBorder="1"/>
    <xf numFmtId="0" fontId="0" fillId="0" borderId="7" xfId="0" applyBorder="1"/>
    <xf numFmtId="0" fontId="10" fillId="9" borderId="0" xfId="0" applyFont="1" applyFill="1"/>
    <xf numFmtId="0" fontId="10" fillId="12" borderId="0" xfId="0" applyFont="1" applyFill="1"/>
    <xf numFmtId="164" fontId="9" fillId="18" borderId="7" xfId="1" applyNumberFormat="1" applyFont="1" applyFill="1" applyBorder="1"/>
    <xf numFmtId="0" fontId="6" fillId="10" borderId="7" xfId="0" quotePrefix="1" applyNumberFormat="1" applyFont="1" applyFill="1" applyBorder="1" applyAlignment="1">
      <alignment horizontal="center"/>
    </xf>
    <xf numFmtId="164" fontId="15" fillId="16" borderId="4" xfId="1" quotePrefix="1" applyNumberFormat="1" applyFont="1" applyFill="1" applyBorder="1"/>
    <xf numFmtId="164" fontId="15" fillId="16" borderId="8" xfId="1" quotePrefix="1" applyNumberFormat="1" applyFont="1" applyFill="1" applyBorder="1"/>
    <xf numFmtId="165" fontId="7" fillId="27" borderId="27" xfId="0" applyNumberFormat="1" applyFont="1" applyFill="1" applyBorder="1" applyAlignment="1">
      <alignment horizontal="center"/>
    </xf>
    <xf numFmtId="164" fontId="16" fillId="12" borderId="4" xfId="1" applyNumberFormat="1" applyFont="1" applyFill="1" applyBorder="1"/>
    <xf numFmtId="164" fontId="17" fillId="9" borderId="4" xfId="1" applyNumberFormat="1" applyFont="1" applyFill="1" applyBorder="1"/>
    <xf numFmtId="165" fontId="7" fillId="28" borderId="11" xfId="0" applyNumberFormat="1" applyFont="1" applyFill="1" applyBorder="1" applyAlignment="1">
      <alignment horizontal="center"/>
    </xf>
    <xf numFmtId="165" fontId="7" fillId="28" borderId="13" xfId="0" applyNumberFormat="1" applyFont="1" applyFill="1" applyBorder="1" applyAlignment="1">
      <alignment horizontal="center"/>
    </xf>
    <xf numFmtId="165" fontId="7" fillId="28" borderId="24" xfId="0" applyNumberFormat="1" applyFont="1" applyFill="1" applyBorder="1" applyAlignment="1">
      <alignment horizontal="center"/>
    </xf>
    <xf numFmtId="165" fontId="7" fillId="28" borderId="27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5" fontId="7" fillId="11" borderId="31" xfId="0" applyNumberFormat="1" applyFont="1" applyFill="1" applyBorder="1" applyAlignment="1">
      <alignment horizontal="left"/>
    </xf>
    <xf numFmtId="0" fontId="3" fillId="27" borderId="1" xfId="0" applyFont="1" applyFill="1" applyBorder="1" applyAlignment="1">
      <alignment horizontal="center"/>
    </xf>
    <xf numFmtId="165" fontId="7" fillId="10" borderId="3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25" borderId="1" xfId="0" applyFont="1" applyFill="1" applyBorder="1" applyAlignment="1">
      <alignment horizontal="center"/>
    </xf>
    <xf numFmtId="0" fontId="2" fillId="25" borderId="1" xfId="0" applyFont="1" applyFill="1" applyBorder="1"/>
    <xf numFmtId="0" fontId="3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3" fillId="28" borderId="1" xfId="0" applyFont="1" applyFill="1" applyBorder="1" applyAlignment="1">
      <alignment horizontal="center"/>
    </xf>
    <xf numFmtId="0" fontId="2" fillId="28" borderId="1" xfId="0" applyFont="1" applyFill="1" applyBorder="1"/>
    <xf numFmtId="165" fontId="7" fillId="8" borderId="11" xfId="0" applyNumberFormat="1" applyFont="1" applyFill="1" applyBorder="1" applyAlignment="1">
      <alignment horizontal="center"/>
    </xf>
    <xf numFmtId="165" fontId="7" fillId="8" borderId="13" xfId="0" applyNumberFormat="1" applyFont="1" applyFill="1" applyBorder="1" applyAlignment="1">
      <alignment horizontal="center"/>
    </xf>
    <xf numFmtId="165" fontId="7" fillId="8" borderId="24" xfId="0" applyNumberFormat="1" applyFont="1" applyFill="1" applyBorder="1" applyAlignment="1">
      <alignment horizontal="center"/>
    </xf>
    <xf numFmtId="165" fontId="7" fillId="8" borderId="27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3" fillId="12" borderId="1" xfId="0" applyFont="1" applyFill="1" applyBorder="1" applyAlignment="1">
      <alignment horizontal="center"/>
    </xf>
    <xf numFmtId="164" fontId="3" fillId="19" borderId="1" xfId="0" applyNumberFormat="1" applyFont="1" applyFill="1" applyBorder="1" applyAlignment="1">
      <alignment horizontal="center"/>
    </xf>
    <xf numFmtId="164" fontId="3" fillId="19" borderId="1" xfId="0" applyNumberFormat="1" applyFont="1" applyFill="1" applyBorder="1" applyAlignment="1">
      <alignment horizontal="center" wrapText="1"/>
    </xf>
    <xf numFmtId="164" fontId="5" fillId="19" borderId="5" xfId="0" applyNumberFormat="1" applyFont="1" applyFill="1" applyBorder="1" applyAlignment="1">
      <alignment horizontal="center"/>
    </xf>
    <xf numFmtId="164" fontId="3" fillId="19" borderId="9" xfId="0" applyNumberFormat="1" applyFont="1" applyFill="1" applyBorder="1" applyAlignment="1">
      <alignment horizontal="center"/>
    </xf>
    <xf numFmtId="164" fontId="3" fillId="19" borderId="15" xfId="1" quotePrefix="1" applyNumberFormat="1" applyFont="1" applyFill="1" applyBorder="1" applyAlignment="1">
      <alignment horizontal="center"/>
    </xf>
    <xf numFmtId="164" fontId="3" fillId="19" borderId="19" xfId="1" quotePrefix="1" applyNumberFormat="1" applyFont="1" applyFill="1" applyBorder="1" applyAlignment="1">
      <alignment horizontal="center"/>
    </xf>
    <xf numFmtId="164" fontId="3" fillId="19" borderId="23" xfId="0" applyNumberFormat="1" applyFont="1" applyFill="1" applyBorder="1"/>
    <xf numFmtId="164" fontId="9" fillId="19" borderId="4" xfId="1" applyNumberFormat="1" applyFont="1" applyFill="1" applyBorder="1"/>
    <xf numFmtId="164" fontId="9" fillId="19" borderId="8" xfId="1" applyNumberFormat="1" applyFont="1" applyFill="1" applyBorder="1"/>
    <xf numFmtId="164" fontId="9" fillId="19" borderId="27" xfId="1" applyNumberFormat="1" applyFont="1" applyFill="1" applyBorder="1"/>
    <xf numFmtId="0" fontId="5" fillId="3" borderId="5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3" fillId="3" borderId="15" xfId="1" applyNumberFormat="1" applyFont="1" applyFill="1" applyBorder="1" applyAlignment="1">
      <alignment horizontal="center"/>
    </xf>
    <xf numFmtId="164" fontId="3" fillId="3" borderId="19" xfId="1" applyNumberFormat="1" applyFont="1" applyFill="1" applyBorder="1" applyAlignment="1">
      <alignment horizontal="center"/>
    </xf>
    <xf numFmtId="0" fontId="3" fillId="3" borderId="23" xfId="0" applyFont="1" applyFill="1" applyBorder="1"/>
    <xf numFmtId="164" fontId="9" fillId="3" borderId="7" xfId="1" applyNumberFormat="1" applyFont="1" applyFill="1" applyBorder="1"/>
    <xf numFmtId="44" fontId="9" fillId="3" borderId="27" xfId="1" applyFont="1" applyFill="1" applyBorder="1"/>
    <xf numFmtId="164" fontId="3" fillId="26" borderId="1" xfId="0" applyNumberFormat="1" applyFont="1" applyFill="1" applyBorder="1" applyAlignment="1">
      <alignment horizontal="center"/>
    </xf>
    <xf numFmtId="164" fontId="3" fillId="26" borderId="1" xfId="0" applyNumberFormat="1" applyFont="1" applyFill="1" applyBorder="1" applyAlignment="1">
      <alignment horizontal="center" wrapText="1"/>
    </xf>
    <xf numFmtId="164" fontId="5" fillId="26" borderId="5" xfId="0" applyNumberFormat="1" applyFont="1" applyFill="1" applyBorder="1" applyAlignment="1">
      <alignment horizontal="center"/>
    </xf>
    <xf numFmtId="164" fontId="3" fillId="26" borderId="9" xfId="0" applyNumberFormat="1" applyFont="1" applyFill="1" applyBorder="1" applyAlignment="1">
      <alignment horizontal="center"/>
    </xf>
    <xf numFmtId="164" fontId="3" fillId="26" borderId="15" xfId="1" quotePrefix="1" applyNumberFormat="1" applyFont="1" applyFill="1" applyBorder="1" applyAlignment="1">
      <alignment horizontal="center"/>
    </xf>
    <xf numFmtId="164" fontId="3" fillId="26" borderId="19" xfId="1" quotePrefix="1" applyNumberFormat="1" applyFont="1" applyFill="1" applyBorder="1" applyAlignment="1">
      <alignment horizontal="center"/>
    </xf>
    <xf numFmtId="164" fontId="3" fillId="26" borderId="23" xfId="0" applyNumberFormat="1" applyFont="1" applyFill="1" applyBorder="1"/>
    <xf numFmtId="164" fontId="9" fillId="26" borderId="4" xfId="1" applyNumberFormat="1" applyFont="1" applyFill="1" applyBorder="1"/>
    <xf numFmtId="164" fontId="9" fillId="26" borderId="8" xfId="1" applyNumberFormat="1" applyFont="1" applyFill="1" applyBorder="1"/>
    <xf numFmtId="164" fontId="9" fillId="26" borderId="27" xfId="1" applyNumberFormat="1" applyFont="1" applyFill="1" applyBorder="1"/>
    <xf numFmtId="0" fontId="18" fillId="12" borderId="19" xfId="0" applyFont="1" applyFill="1" applyBorder="1"/>
    <xf numFmtId="0" fontId="18" fillId="12" borderId="15" xfId="0" applyFont="1" applyFill="1" applyBorder="1"/>
    <xf numFmtId="0" fontId="18" fillId="12" borderId="23" xfId="0" applyFont="1" applyFill="1" applyBorder="1"/>
    <xf numFmtId="0" fontId="3" fillId="9" borderId="19" xfId="0" applyFont="1" applyFill="1" applyBorder="1"/>
    <xf numFmtId="0" fontId="3" fillId="9" borderId="15" xfId="0" applyFont="1" applyFill="1" applyBorder="1"/>
    <xf numFmtId="0" fontId="3" fillId="9" borderId="23" xfId="0" applyFont="1" applyFill="1" applyBorder="1"/>
    <xf numFmtId="165" fontId="7" fillId="12" borderId="31" xfId="0" applyNumberFormat="1" applyFont="1" applyFill="1" applyBorder="1" applyAlignment="1">
      <alignment horizontal="left"/>
    </xf>
    <xf numFmtId="165" fontId="7" fillId="3" borderId="31" xfId="0" applyNumberFormat="1" applyFont="1" applyFill="1" applyBorder="1" applyAlignment="1">
      <alignment horizontal="left"/>
    </xf>
    <xf numFmtId="165" fontId="7" fillId="8" borderId="31" xfId="0" applyNumberFormat="1" applyFont="1" applyFill="1" applyBorder="1" applyAlignment="1">
      <alignment horizontal="left"/>
    </xf>
    <xf numFmtId="165" fontId="7" fillId="19" borderId="31" xfId="0" applyNumberFormat="1" applyFont="1" applyFill="1" applyBorder="1" applyAlignment="1">
      <alignment horizontal="left"/>
    </xf>
    <xf numFmtId="165" fontId="7" fillId="26" borderId="31" xfId="0" applyNumberFormat="1" applyFont="1" applyFill="1" applyBorder="1" applyAlignment="1">
      <alignment horizontal="left"/>
    </xf>
    <xf numFmtId="0" fontId="2" fillId="9" borderId="19" xfId="0" applyFont="1" applyFill="1" applyBorder="1"/>
    <xf numFmtId="0" fontId="2" fillId="9" borderId="15" xfId="0" applyFont="1" applyFill="1" applyBorder="1"/>
    <xf numFmtId="0" fontId="2" fillId="9" borderId="23" xfId="0" applyFont="1" applyFill="1" applyBorder="1"/>
    <xf numFmtId="0" fontId="19" fillId="24" borderId="1" xfId="0" applyFont="1" applyFill="1" applyBorder="1"/>
    <xf numFmtId="0" fontId="3" fillId="10" borderId="23" xfId="0" applyFont="1" applyFill="1" applyBorder="1" applyAlignment="1">
      <alignment horizontal="center"/>
    </xf>
    <xf numFmtId="165" fontId="7" fillId="10" borderId="32" xfId="0" applyNumberFormat="1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6" fillId="10" borderId="7" xfId="0" applyNumberFormat="1" applyFont="1" applyFill="1" applyBorder="1"/>
    <xf numFmtId="0" fontId="21" fillId="10" borderId="7" xfId="0" quotePrefix="1" applyNumberFormat="1" applyFont="1" applyFill="1" applyBorder="1" applyAlignment="1">
      <alignment horizontal="center"/>
    </xf>
    <xf numFmtId="0" fontId="6" fillId="10" borderId="7" xfId="0" quotePrefix="1" applyNumberFormat="1" applyFont="1" applyFill="1" applyBorder="1" applyAlignment="1">
      <alignment horizontal="left"/>
    </xf>
    <xf numFmtId="164" fontId="9" fillId="9" borderId="7" xfId="1" applyNumberFormat="1" applyFont="1" applyFill="1" applyBorder="1"/>
    <xf numFmtId="164" fontId="22" fillId="9" borderId="4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BD"/>
      <color rgb="FFFFFF7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selection activeCell="B24" sqref="B24"/>
    </sheetView>
  </sheetViews>
  <sheetFormatPr defaultRowHeight="15"/>
  <cols>
    <col min="2" max="2" width="142" bestFit="1" customWidth="1"/>
  </cols>
  <sheetData>
    <row r="1" spans="1:2" ht="15.75" thickBot="1">
      <c r="A1" s="300" t="s">
        <v>837</v>
      </c>
      <c r="B1" s="300" t="s">
        <v>838</v>
      </c>
    </row>
    <row r="2" spans="1:2" ht="15.75" thickBot="1">
      <c r="A2" s="298" t="s">
        <v>0</v>
      </c>
      <c r="B2" s="299" t="s">
        <v>814</v>
      </c>
    </row>
    <row r="3" spans="1:2" ht="15.75" thickBot="1">
      <c r="A3" s="1" t="s">
        <v>1</v>
      </c>
      <c r="B3" s="240" t="s">
        <v>815</v>
      </c>
    </row>
    <row r="4" spans="1:2" ht="15.75" thickBot="1">
      <c r="A4" s="1" t="s">
        <v>2</v>
      </c>
      <c r="B4" s="240" t="s">
        <v>52</v>
      </c>
    </row>
    <row r="5" spans="1:2" ht="15.75" thickBot="1">
      <c r="A5" s="239" t="s">
        <v>3</v>
      </c>
      <c r="B5" s="238" t="s">
        <v>816</v>
      </c>
    </row>
    <row r="6" spans="1:2" ht="15.75" thickBot="1">
      <c r="A6" s="253" t="s">
        <v>4</v>
      </c>
      <c r="B6" s="254" t="s">
        <v>817</v>
      </c>
    </row>
    <row r="7" spans="1:2" ht="15.75" thickBot="1">
      <c r="A7" s="247" t="s">
        <v>5</v>
      </c>
      <c r="B7" s="248" t="s">
        <v>818</v>
      </c>
    </row>
    <row r="8" spans="1:2" ht="15.75" thickBot="1">
      <c r="A8" s="245" t="s">
        <v>6</v>
      </c>
      <c r="B8" s="246" t="s">
        <v>819</v>
      </c>
    </row>
    <row r="9" spans="1:2" ht="15.75" thickBot="1">
      <c r="A9" s="243" t="s">
        <v>7</v>
      </c>
      <c r="B9" s="244" t="s">
        <v>820</v>
      </c>
    </row>
    <row r="10" spans="1:2" ht="15.75" thickBot="1">
      <c r="A10" s="241" t="s">
        <v>8</v>
      </c>
      <c r="B10" s="242" t="s">
        <v>821</v>
      </c>
    </row>
    <row r="11" spans="1:2" ht="15.75" thickBot="1"/>
    <row r="12" spans="1:2">
      <c r="B12" s="294" t="s">
        <v>832</v>
      </c>
    </row>
    <row r="13" spans="1:2">
      <c r="B13" s="295" t="s">
        <v>833</v>
      </c>
    </row>
    <row r="14" spans="1:2">
      <c r="B14" s="295" t="s">
        <v>834</v>
      </c>
    </row>
    <row r="15" spans="1:2">
      <c r="B15" s="295" t="s">
        <v>836</v>
      </c>
    </row>
    <row r="16" spans="1:2" ht="15.75" thickBot="1">
      <c r="B16" s="296" t="s">
        <v>835</v>
      </c>
    </row>
    <row r="17" spans="2:2" ht="15.75" thickBot="1"/>
    <row r="18" spans="2:2" ht="16.5" thickBot="1">
      <c r="B18" s="297" t="s">
        <v>831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28"/>
  <sheetViews>
    <sheetView workbookViewId="0">
      <selection activeCell="C10" sqref="C10"/>
    </sheetView>
  </sheetViews>
  <sheetFormatPr defaultRowHeight="15"/>
  <cols>
    <col min="3" max="3" width="50" bestFit="1" customWidth="1"/>
    <col min="4" max="4" width="10.7109375" bestFit="1" customWidth="1"/>
    <col min="5" max="5" width="9.85546875" bestFit="1" customWidth="1"/>
    <col min="6" max="6" width="10.7109375" bestFit="1" customWidth="1"/>
    <col min="7" max="7" width="9.42578125" style="187" bestFit="1" customWidth="1"/>
    <col min="8" max="8" width="17.7109375" customWidth="1"/>
    <col min="9" max="9" width="12.28515625" customWidth="1"/>
    <col min="15" max="15" width="14.85546875" customWidth="1"/>
    <col min="24" max="24" width="13.85546875" customWidth="1"/>
    <col min="26" max="27" width="13.85546875" customWidth="1"/>
    <col min="28" max="28" width="12.140625" customWidth="1"/>
    <col min="29" max="29" width="11.5703125" customWidth="1"/>
    <col min="30" max="30" width="9.85546875" bestFit="1" customWidth="1"/>
  </cols>
  <sheetData>
    <row r="1" spans="1:30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19" t="s">
        <v>5</v>
      </c>
      <c r="G1" s="19" t="s">
        <v>6</v>
      </c>
      <c r="H1" s="19" t="s">
        <v>7</v>
      </c>
      <c r="I1" s="20" t="s">
        <v>8</v>
      </c>
      <c r="X1" s="122"/>
      <c r="Y1" s="123"/>
      <c r="Z1" s="122"/>
      <c r="AA1" s="122"/>
      <c r="AB1" s="122"/>
      <c r="AC1" s="123"/>
      <c r="AD1" s="123"/>
    </row>
    <row r="2" spans="1:30" s="126" customFormat="1" ht="15.75">
      <c r="A2" s="28"/>
      <c r="B2" s="28"/>
      <c r="C2" s="28" t="s">
        <v>35</v>
      </c>
      <c r="D2" s="29" t="s">
        <v>36</v>
      </c>
      <c r="E2" s="249" t="s">
        <v>37</v>
      </c>
      <c r="F2" s="233" t="s">
        <v>31</v>
      </c>
      <c r="G2" s="124" t="s">
        <v>766</v>
      </c>
      <c r="H2" s="125" t="s">
        <v>767</v>
      </c>
      <c r="I2" s="31" t="s">
        <v>768</v>
      </c>
      <c r="K2" s="224" t="s">
        <v>810</v>
      </c>
      <c r="L2" s="224"/>
      <c r="M2" s="224"/>
      <c r="N2" s="224"/>
      <c r="O2" s="224"/>
      <c r="X2" s="31" t="s">
        <v>31</v>
      </c>
      <c r="Y2" s="127" t="s">
        <v>769</v>
      </c>
      <c r="Z2" s="128" t="s">
        <v>770</v>
      </c>
      <c r="AA2" s="127" t="s">
        <v>771</v>
      </c>
      <c r="AB2" s="129" t="s">
        <v>767</v>
      </c>
      <c r="AC2" s="29" t="s">
        <v>770</v>
      </c>
      <c r="AD2" s="130" t="s">
        <v>772</v>
      </c>
    </row>
    <row r="3" spans="1:30" s="126" customFormat="1" ht="15.75">
      <c r="A3" s="42"/>
      <c r="B3" s="42"/>
      <c r="C3" s="42" t="s">
        <v>41</v>
      </c>
      <c r="D3" s="43" t="s">
        <v>42</v>
      </c>
      <c r="E3" s="250" t="s">
        <v>42</v>
      </c>
      <c r="F3" s="234" t="s">
        <v>43</v>
      </c>
      <c r="G3" s="131" t="s">
        <v>43</v>
      </c>
      <c r="H3" s="132" t="s">
        <v>27</v>
      </c>
      <c r="I3" s="45" t="s">
        <v>27</v>
      </c>
      <c r="K3" s="224" t="s">
        <v>811</v>
      </c>
      <c r="L3" s="224"/>
      <c r="M3" s="224"/>
      <c r="N3" s="224"/>
      <c r="O3" s="224"/>
      <c r="X3" s="45" t="s">
        <v>43</v>
      </c>
      <c r="Y3" s="133" t="s">
        <v>773</v>
      </c>
      <c r="Z3" s="134" t="s">
        <v>766</v>
      </c>
      <c r="AA3" s="133" t="s">
        <v>766</v>
      </c>
      <c r="AB3" s="135" t="s">
        <v>27</v>
      </c>
      <c r="AC3" s="43" t="s">
        <v>774</v>
      </c>
      <c r="AD3" s="136" t="s">
        <v>775</v>
      </c>
    </row>
    <row r="4" spans="1:30" s="126" customFormat="1" ht="15.75">
      <c r="A4" s="42" t="s">
        <v>14</v>
      </c>
      <c r="B4" s="42" t="s">
        <v>47</v>
      </c>
      <c r="C4" s="54">
        <v>41030</v>
      </c>
      <c r="D4" s="43" t="s">
        <v>27</v>
      </c>
      <c r="E4" s="250" t="s">
        <v>27</v>
      </c>
      <c r="F4" s="234" t="s">
        <v>27</v>
      </c>
      <c r="G4" s="131" t="s">
        <v>776</v>
      </c>
      <c r="H4" s="132" t="s">
        <v>777</v>
      </c>
      <c r="I4" s="45" t="s">
        <v>778</v>
      </c>
      <c r="K4" s="225" t="s">
        <v>812</v>
      </c>
      <c r="L4" s="225"/>
      <c r="M4" s="225"/>
      <c r="N4" s="225"/>
      <c r="O4" s="225"/>
      <c r="X4" s="45" t="s">
        <v>27</v>
      </c>
      <c r="Y4" s="133"/>
      <c r="Z4" s="134" t="s">
        <v>43</v>
      </c>
      <c r="AA4" s="133" t="s">
        <v>43</v>
      </c>
      <c r="AB4" s="135" t="s">
        <v>777</v>
      </c>
      <c r="AC4" s="137">
        <v>0.15</v>
      </c>
      <c r="AD4" s="138" t="s">
        <v>778</v>
      </c>
    </row>
    <row r="5" spans="1:30" s="126" customFormat="1" ht="16.5" thickBot="1">
      <c r="A5" s="60" t="s">
        <v>50</v>
      </c>
      <c r="B5" s="60" t="s">
        <v>51</v>
      </c>
      <c r="C5" s="60" t="s">
        <v>52</v>
      </c>
      <c r="D5" s="61" t="s">
        <v>49</v>
      </c>
      <c r="E5" s="251" t="s">
        <v>49</v>
      </c>
      <c r="F5" s="235" t="s">
        <v>49</v>
      </c>
      <c r="G5" s="139" t="s">
        <v>49</v>
      </c>
      <c r="H5" s="140" t="s">
        <v>49</v>
      </c>
      <c r="I5" s="63" t="s">
        <v>49</v>
      </c>
      <c r="K5" s="225" t="s">
        <v>811</v>
      </c>
      <c r="L5" s="225"/>
      <c r="M5" s="225"/>
      <c r="N5" s="225"/>
      <c r="O5" s="225"/>
      <c r="X5" s="63" t="s">
        <v>49</v>
      </c>
      <c r="Y5" s="141" t="s">
        <v>49</v>
      </c>
      <c r="Z5" s="142" t="s">
        <v>49</v>
      </c>
      <c r="AA5" s="141" t="s">
        <v>49</v>
      </c>
      <c r="AB5" s="143"/>
      <c r="AC5" s="61" t="s">
        <v>49</v>
      </c>
      <c r="AD5" s="144" t="s">
        <v>49</v>
      </c>
    </row>
    <row r="6" spans="1:30" s="126" customFormat="1" ht="12.75" thickBot="1">
      <c r="A6" s="69"/>
      <c r="B6" s="69"/>
      <c r="C6" s="69"/>
      <c r="D6" s="70"/>
      <c r="E6" s="252"/>
      <c r="F6" s="236"/>
      <c r="G6" s="145"/>
      <c r="H6" s="230" t="s">
        <v>813</v>
      </c>
      <c r="I6" s="72"/>
      <c r="X6" s="72"/>
      <c r="Y6" s="147"/>
      <c r="Z6" s="148"/>
      <c r="AA6" s="147"/>
      <c r="AB6" s="146"/>
      <c r="AC6" s="70"/>
      <c r="AD6" s="149"/>
    </row>
    <row r="7" spans="1:30">
      <c r="A7" s="73" t="s">
        <v>53</v>
      </c>
      <c r="B7" s="73" t="s">
        <v>54</v>
      </c>
      <c r="C7" s="74" t="s">
        <v>55</v>
      </c>
      <c r="D7" s="152">
        <v>59093</v>
      </c>
      <c r="E7" s="153">
        <v>10621</v>
      </c>
      <c r="F7" s="152">
        <f t="shared" ref="F7:F70" si="0">+E7+D7</f>
        <v>69714</v>
      </c>
      <c r="G7" s="154">
        <v>1318</v>
      </c>
      <c r="H7" s="228">
        <v>68396</v>
      </c>
      <c r="I7" s="155">
        <v>10457</v>
      </c>
      <c r="X7" s="152">
        <f>+F7</f>
        <v>69714</v>
      </c>
      <c r="Y7" s="156">
        <f>+$AG$19</f>
        <v>1.89E-2</v>
      </c>
      <c r="Z7" s="152">
        <f>ROUND(X7*Y7,0)</f>
        <v>1318</v>
      </c>
      <c r="AA7" s="157">
        <v>1291</v>
      </c>
      <c r="AB7" s="152">
        <f>+X7-AA7</f>
        <v>68423</v>
      </c>
      <c r="AC7" s="153">
        <f>ROUND((X7*0.15),0)</f>
        <v>10457</v>
      </c>
      <c r="AD7" s="153">
        <v>15794</v>
      </c>
    </row>
    <row r="8" spans="1:30">
      <c r="A8" s="83" t="s">
        <v>53</v>
      </c>
      <c r="B8" s="83" t="s">
        <v>56</v>
      </c>
      <c r="C8" s="84" t="s">
        <v>57</v>
      </c>
      <c r="D8" s="160">
        <v>21449</v>
      </c>
      <c r="E8" s="161">
        <v>3813</v>
      </c>
      <c r="F8" s="152">
        <f t="shared" si="0"/>
        <v>25262</v>
      </c>
      <c r="G8" s="154">
        <v>477</v>
      </c>
      <c r="H8" s="228">
        <v>24785</v>
      </c>
      <c r="I8" s="162">
        <v>3789</v>
      </c>
      <c r="X8" s="152">
        <f t="shared" ref="X8:X71" si="1">+F8</f>
        <v>25262</v>
      </c>
      <c r="Y8" s="156">
        <f t="shared" ref="Y8:Y30" si="2">+$AG$19</f>
        <v>1.89E-2</v>
      </c>
      <c r="Z8" s="152">
        <f t="shared" ref="Z8:Z71" si="3">ROUND(X8*Y8,0)</f>
        <v>477</v>
      </c>
      <c r="AA8" s="157">
        <v>468</v>
      </c>
      <c r="AB8" s="152">
        <f t="shared" ref="AB8:AB71" si="4">+X8-AA8</f>
        <v>24794</v>
      </c>
      <c r="AC8" s="161">
        <f t="shared" ref="AC8:AC71" si="5">ROUND((X8*0.15),0)</f>
        <v>3789</v>
      </c>
      <c r="AD8" s="161">
        <v>5727</v>
      </c>
    </row>
    <row r="9" spans="1:30">
      <c r="A9" s="83" t="s">
        <v>53</v>
      </c>
      <c r="B9" s="83" t="s">
        <v>58</v>
      </c>
      <c r="C9" s="84" t="s">
        <v>59</v>
      </c>
      <c r="D9" s="160">
        <v>67828</v>
      </c>
      <c r="E9" s="161">
        <v>8237</v>
      </c>
      <c r="F9" s="152">
        <f t="shared" si="0"/>
        <v>76065</v>
      </c>
      <c r="G9" s="154">
        <v>1438</v>
      </c>
      <c r="H9" s="228">
        <v>74627</v>
      </c>
      <c r="I9" s="162">
        <v>11410</v>
      </c>
      <c r="X9" s="152">
        <f t="shared" si="1"/>
        <v>76065</v>
      </c>
      <c r="Y9" s="156">
        <f t="shared" si="2"/>
        <v>1.89E-2</v>
      </c>
      <c r="Z9" s="152">
        <f t="shared" si="3"/>
        <v>1438</v>
      </c>
      <c r="AA9" s="157">
        <v>1409</v>
      </c>
      <c r="AB9" s="152">
        <f t="shared" si="4"/>
        <v>74656</v>
      </c>
      <c r="AC9" s="161">
        <f t="shared" si="5"/>
        <v>11410</v>
      </c>
      <c r="AD9" s="161">
        <v>17547</v>
      </c>
    </row>
    <row r="10" spans="1:30">
      <c r="A10" s="91" t="s">
        <v>53</v>
      </c>
      <c r="B10" s="91" t="s">
        <v>60</v>
      </c>
      <c r="C10" s="107" t="s">
        <v>61</v>
      </c>
      <c r="D10" s="160">
        <v>549241</v>
      </c>
      <c r="E10" s="161">
        <v>84578</v>
      </c>
      <c r="F10" s="152">
        <f t="shared" si="0"/>
        <v>633819</v>
      </c>
      <c r="G10" s="154">
        <v>11979</v>
      </c>
      <c r="H10" s="228">
        <v>621840</v>
      </c>
      <c r="I10" s="226">
        <v>95073</v>
      </c>
      <c r="X10" s="152">
        <f t="shared" si="1"/>
        <v>633819</v>
      </c>
      <c r="Y10" s="156">
        <f t="shared" si="2"/>
        <v>1.89E-2</v>
      </c>
      <c r="Z10" s="152">
        <f t="shared" si="3"/>
        <v>11979</v>
      </c>
      <c r="AA10" s="157">
        <v>11739</v>
      </c>
      <c r="AB10" s="152">
        <f t="shared" si="4"/>
        <v>622080</v>
      </c>
      <c r="AC10" s="161">
        <f t="shared" si="5"/>
        <v>95073</v>
      </c>
      <c r="AD10" s="161">
        <v>144719</v>
      </c>
    </row>
    <row r="11" spans="1:30">
      <c r="A11" s="91" t="s">
        <v>53</v>
      </c>
      <c r="B11" s="91" t="s">
        <v>62</v>
      </c>
      <c r="C11" s="92" t="s">
        <v>63</v>
      </c>
      <c r="D11" s="160">
        <v>17310</v>
      </c>
      <c r="E11" s="161">
        <v>3163</v>
      </c>
      <c r="F11" s="152">
        <f t="shared" si="0"/>
        <v>20473</v>
      </c>
      <c r="G11" s="154">
        <v>387</v>
      </c>
      <c r="H11" s="228">
        <v>20086</v>
      </c>
      <c r="I11" s="162">
        <v>3071</v>
      </c>
      <c r="X11" s="152">
        <f t="shared" si="1"/>
        <v>20473</v>
      </c>
      <c r="Y11" s="156">
        <f t="shared" si="2"/>
        <v>1.89E-2</v>
      </c>
      <c r="Z11" s="152">
        <f t="shared" si="3"/>
        <v>387</v>
      </c>
      <c r="AA11" s="157">
        <v>379</v>
      </c>
      <c r="AB11" s="152">
        <f t="shared" si="4"/>
        <v>20094</v>
      </c>
      <c r="AC11" s="161">
        <f t="shared" si="5"/>
        <v>3071</v>
      </c>
      <c r="AD11" s="161">
        <v>4634</v>
      </c>
    </row>
    <row r="12" spans="1:30">
      <c r="A12" s="83" t="s">
        <v>53</v>
      </c>
      <c r="B12" s="83" t="s">
        <v>64</v>
      </c>
      <c r="C12" s="84" t="s">
        <v>65</v>
      </c>
      <c r="D12" s="160">
        <v>21654</v>
      </c>
      <c r="E12" s="161">
        <v>3990</v>
      </c>
      <c r="F12" s="152">
        <f t="shared" si="0"/>
        <v>25644</v>
      </c>
      <c r="G12" s="154">
        <v>485</v>
      </c>
      <c r="H12" s="228">
        <v>25159</v>
      </c>
      <c r="I12" s="162">
        <v>3847</v>
      </c>
      <c r="X12" s="152">
        <f t="shared" si="1"/>
        <v>25644</v>
      </c>
      <c r="Y12" s="156">
        <f t="shared" si="2"/>
        <v>1.89E-2</v>
      </c>
      <c r="Z12" s="152">
        <f t="shared" si="3"/>
        <v>485</v>
      </c>
      <c r="AA12" s="157">
        <v>475</v>
      </c>
      <c r="AB12" s="152">
        <f t="shared" si="4"/>
        <v>25169</v>
      </c>
      <c r="AC12" s="161">
        <f t="shared" si="5"/>
        <v>3847</v>
      </c>
      <c r="AD12" s="161">
        <v>5802</v>
      </c>
    </row>
    <row r="13" spans="1:30">
      <c r="A13" s="91" t="s">
        <v>53</v>
      </c>
      <c r="B13" s="91" t="s">
        <v>66</v>
      </c>
      <c r="C13" s="92" t="s">
        <v>67</v>
      </c>
      <c r="D13" s="160">
        <v>11418</v>
      </c>
      <c r="E13" s="161">
        <v>2039</v>
      </c>
      <c r="F13" s="152">
        <f t="shared" si="0"/>
        <v>13457</v>
      </c>
      <c r="G13" s="154">
        <v>254</v>
      </c>
      <c r="H13" s="228">
        <v>13203</v>
      </c>
      <c r="I13" s="162">
        <v>2019</v>
      </c>
      <c r="X13" s="152">
        <f t="shared" si="1"/>
        <v>13457</v>
      </c>
      <c r="Y13" s="156">
        <f t="shared" si="2"/>
        <v>1.89E-2</v>
      </c>
      <c r="Z13" s="152">
        <f t="shared" si="3"/>
        <v>254</v>
      </c>
      <c r="AA13" s="157">
        <v>249</v>
      </c>
      <c r="AB13" s="152">
        <f t="shared" si="4"/>
        <v>13208</v>
      </c>
      <c r="AC13" s="161">
        <f t="shared" si="5"/>
        <v>2019</v>
      </c>
      <c r="AD13" s="161">
        <v>3050</v>
      </c>
    </row>
    <row r="14" spans="1:30">
      <c r="A14" s="91" t="s">
        <v>53</v>
      </c>
      <c r="B14" s="91" t="s">
        <v>68</v>
      </c>
      <c r="C14" s="92" t="s">
        <v>69</v>
      </c>
      <c r="D14" s="160">
        <v>32549</v>
      </c>
      <c r="E14" s="161">
        <v>4030</v>
      </c>
      <c r="F14" s="152">
        <f t="shared" si="0"/>
        <v>36579</v>
      </c>
      <c r="G14" s="154">
        <v>691</v>
      </c>
      <c r="H14" s="228">
        <v>35888</v>
      </c>
      <c r="I14" s="162">
        <v>5487</v>
      </c>
      <c r="X14" s="152">
        <f t="shared" si="1"/>
        <v>36579</v>
      </c>
      <c r="Y14" s="156">
        <f t="shared" si="2"/>
        <v>1.89E-2</v>
      </c>
      <c r="Z14" s="152">
        <f t="shared" si="3"/>
        <v>691</v>
      </c>
      <c r="AA14" s="157">
        <v>677</v>
      </c>
      <c r="AB14" s="152">
        <f t="shared" si="4"/>
        <v>35902</v>
      </c>
      <c r="AC14" s="161">
        <f t="shared" si="5"/>
        <v>5487</v>
      </c>
      <c r="AD14" s="161">
        <v>8432</v>
      </c>
    </row>
    <row r="15" spans="1:30">
      <c r="A15" s="91" t="s">
        <v>53</v>
      </c>
      <c r="B15" s="91" t="s">
        <v>70</v>
      </c>
      <c r="C15" s="92" t="s">
        <v>71</v>
      </c>
      <c r="D15" s="160">
        <v>67373</v>
      </c>
      <c r="E15" s="161">
        <v>12788</v>
      </c>
      <c r="F15" s="152">
        <f t="shared" si="0"/>
        <v>80161</v>
      </c>
      <c r="G15" s="154">
        <v>1515</v>
      </c>
      <c r="H15" s="228">
        <v>78646</v>
      </c>
      <c r="I15" s="162">
        <v>12024</v>
      </c>
      <c r="X15" s="152">
        <f t="shared" si="1"/>
        <v>80161</v>
      </c>
      <c r="Y15" s="156">
        <f t="shared" si="2"/>
        <v>1.89E-2</v>
      </c>
      <c r="Z15" s="152">
        <f t="shared" si="3"/>
        <v>1515</v>
      </c>
      <c r="AA15" s="157">
        <v>1485</v>
      </c>
      <c r="AB15" s="152">
        <f t="shared" si="4"/>
        <v>78676</v>
      </c>
      <c r="AC15" s="161">
        <f t="shared" si="5"/>
        <v>12024</v>
      </c>
      <c r="AD15" s="161">
        <v>18107</v>
      </c>
    </row>
    <row r="16" spans="1:30">
      <c r="A16" s="91" t="s">
        <v>53</v>
      </c>
      <c r="B16" s="91" t="s">
        <v>72</v>
      </c>
      <c r="C16" s="92" t="s">
        <v>73</v>
      </c>
      <c r="D16" s="160">
        <v>33937</v>
      </c>
      <c r="E16" s="161">
        <v>5591</v>
      </c>
      <c r="F16" s="152">
        <f t="shared" si="0"/>
        <v>39528</v>
      </c>
      <c r="G16" s="154">
        <v>747</v>
      </c>
      <c r="H16" s="228">
        <v>38781</v>
      </c>
      <c r="I16" s="162">
        <v>5929</v>
      </c>
      <c r="X16" s="152">
        <f t="shared" si="1"/>
        <v>39528</v>
      </c>
      <c r="Y16" s="156">
        <f t="shared" si="2"/>
        <v>1.89E-2</v>
      </c>
      <c r="Z16" s="152">
        <f t="shared" si="3"/>
        <v>747</v>
      </c>
      <c r="AA16" s="157">
        <v>732</v>
      </c>
      <c r="AB16" s="152">
        <f t="shared" si="4"/>
        <v>38796</v>
      </c>
      <c r="AC16" s="161">
        <f t="shared" si="5"/>
        <v>5929</v>
      </c>
      <c r="AD16" s="161">
        <v>8996</v>
      </c>
    </row>
    <row r="17" spans="1:33">
      <c r="A17" s="91" t="s">
        <v>53</v>
      </c>
      <c r="B17" s="91" t="s">
        <v>74</v>
      </c>
      <c r="C17" s="92" t="s">
        <v>75</v>
      </c>
      <c r="D17" s="160">
        <v>36575</v>
      </c>
      <c r="E17" s="161">
        <v>7803</v>
      </c>
      <c r="F17" s="152">
        <f t="shared" si="0"/>
        <v>44378</v>
      </c>
      <c r="G17" s="154">
        <v>839</v>
      </c>
      <c r="H17" s="228">
        <v>43539</v>
      </c>
      <c r="I17" s="162">
        <v>6657</v>
      </c>
      <c r="X17" s="152">
        <f t="shared" si="1"/>
        <v>44378</v>
      </c>
      <c r="Y17" s="156">
        <f t="shared" si="2"/>
        <v>1.89E-2</v>
      </c>
      <c r="Z17" s="152">
        <f t="shared" si="3"/>
        <v>839</v>
      </c>
      <c r="AA17" s="157">
        <v>822</v>
      </c>
      <c r="AB17" s="152">
        <f t="shared" si="4"/>
        <v>43556</v>
      </c>
      <c r="AC17" s="161">
        <f t="shared" si="5"/>
        <v>6657</v>
      </c>
      <c r="AD17" s="161">
        <v>9956</v>
      </c>
      <c r="AG17" s="163" t="s">
        <v>779</v>
      </c>
    </row>
    <row r="18" spans="1:33">
      <c r="A18" s="91" t="s">
        <v>53</v>
      </c>
      <c r="B18" s="91" t="s">
        <v>76</v>
      </c>
      <c r="C18" s="92" t="s">
        <v>77</v>
      </c>
      <c r="D18" s="160">
        <v>52929</v>
      </c>
      <c r="E18" s="161">
        <v>5764</v>
      </c>
      <c r="F18" s="152">
        <f t="shared" si="0"/>
        <v>58693</v>
      </c>
      <c r="G18" s="154">
        <v>1109</v>
      </c>
      <c r="H18" s="228">
        <v>57584</v>
      </c>
      <c r="I18" s="162">
        <v>8804</v>
      </c>
      <c r="X18" s="152">
        <f t="shared" si="1"/>
        <v>58693</v>
      </c>
      <c r="Y18" s="156">
        <f t="shared" si="2"/>
        <v>1.89E-2</v>
      </c>
      <c r="Z18" s="152">
        <f t="shared" si="3"/>
        <v>1109</v>
      </c>
      <c r="AA18" s="157">
        <v>1087</v>
      </c>
      <c r="AB18" s="152">
        <f t="shared" si="4"/>
        <v>57606</v>
      </c>
      <c r="AC18" s="161">
        <f t="shared" si="5"/>
        <v>8804</v>
      </c>
      <c r="AD18" s="161">
        <v>13595</v>
      </c>
      <c r="AF18" s="164" t="s">
        <v>14</v>
      </c>
      <c r="AG18" s="165" t="s">
        <v>49</v>
      </c>
    </row>
    <row r="19" spans="1:33">
      <c r="A19" s="91" t="s">
        <v>53</v>
      </c>
      <c r="B19" s="91" t="s">
        <v>78</v>
      </c>
      <c r="C19" s="92" t="s">
        <v>79</v>
      </c>
      <c r="D19" s="160">
        <v>38054</v>
      </c>
      <c r="E19" s="161">
        <v>6286</v>
      </c>
      <c r="F19" s="152">
        <f t="shared" si="0"/>
        <v>44340</v>
      </c>
      <c r="G19" s="154">
        <v>838</v>
      </c>
      <c r="H19" s="228">
        <v>43502</v>
      </c>
      <c r="I19" s="162">
        <v>6651</v>
      </c>
      <c r="X19" s="152">
        <f t="shared" si="1"/>
        <v>44340</v>
      </c>
      <c r="Y19" s="156">
        <f t="shared" si="2"/>
        <v>1.89E-2</v>
      </c>
      <c r="Z19" s="152">
        <f t="shared" si="3"/>
        <v>838</v>
      </c>
      <c r="AA19" s="157">
        <v>821</v>
      </c>
      <c r="AB19" s="152">
        <f t="shared" si="4"/>
        <v>43519</v>
      </c>
      <c r="AC19" s="161">
        <f t="shared" si="5"/>
        <v>6651</v>
      </c>
      <c r="AD19" s="161">
        <v>10089</v>
      </c>
      <c r="AF19" s="166" t="s">
        <v>53</v>
      </c>
      <c r="AG19" s="167">
        <v>1.89E-2</v>
      </c>
    </row>
    <row r="20" spans="1:33">
      <c r="A20" s="83" t="s">
        <v>53</v>
      </c>
      <c r="B20" s="83" t="s">
        <v>80</v>
      </c>
      <c r="C20" s="84" t="s">
        <v>81</v>
      </c>
      <c r="D20" s="160">
        <v>13124</v>
      </c>
      <c r="E20" s="161">
        <v>1951</v>
      </c>
      <c r="F20" s="152">
        <f t="shared" si="0"/>
        <v>15075</v>
      </c>
      <c r="G20" s="154">
        <v>285</v>
      </c>
      <c r="H20" s="228">
        <v>14790</v>
      </c>
      <c r="I20" s="162">
        <v>2261</v>
      </c>
      <c r="X20" s="152">
        <f t="shared" si="1"/>
        <v>15075</v>
      </c>
      <c r="Y20" s="156">
        <f t="shared" si="2"/>
        <v>1.89E-2</v>
      </c>
      <c r="Z20" s="152">
        <f t="shared" si="3"/>
        <v>285</v>
      </c>
      <c r="AA20" s="157">
        <v>279</v>
      </c>
      <c r="AB20" s="152">
        <f t="shared" si="4"/>
        <v>14796</v>
      </c>
      <c r="AC20" s="161">
        <f t="shared" si="5"/>
        <v>2261</v>
      </c>
      <c r="AD20" s="161">
        <v>3448</v>
      </c>
      <c r="AF20" s="166" t="s">
        <v>102</v>
      </c>
      <c r="AG20" s="167">
        <v>1.4E-2</v>
      </c>
    </row>
    <row r="21" spans="1:33">
      <c r="A21" s="83" t="s">
        <v>53</v>
      </c>
      <c r="B21" s="83" t="s">
        <v>82</v>
      </c>
      <c r="C21" s="84" t="s">
        <v>83</v>
      </c>
      <c r="D21" s="160">
        <v>63938</v>
      </c>
      <c r="E21" s="161">
        <v>13350</v>
      </c>
      <c r="F21" s="152">
        <f t="shared" si="0"/>
        <v>77288</v>
      </c>
      <c r="G21" s="154">
        <v>1461</v>
      </c>
      <c r="H21" s="228">
        <v>75827</v>
      </c>
      <c r="I21" s="162">
        <v>11593</v>
      </c>
      <c r="X21" s="152">
        <f t="shared" si="1"/>
        <v>77288</v>
      </c>
      <c r="Y21" s="156">
        <f t="shared" si="2"/>
        <v>1.89E-2</v>
      </c>
      <c r="Z21" s="152">
        <f t="shared" si="3"/>
        <v>1461</v>
      </c>
      <c r="AA21" s="157">
        <v>1431</v>
      </c>
      <c r="AB21" s="152">
        <f t="shared" si="4"/>
        <v>75857</v>
      </c>
      <c r="AC21" s="161">
        <f t="shared" si="5"/>
        <v>11593</v>
      </c>
      <c r="AD21" s="161">
        <v>17362</v>
      </c>
      <c r="AF21" s="166" t="s">
        <v>218</v>
      </c>
      <c r="AG21" s="167">
        <v>2.2200000000000001E-2</v>
      </c>
    </row>
    <row r="22" spans="1:33">
      <c r="A22" s="91" t="s">
        <v>53</v>
      </c>
      <c r="B22" s="91" t="s">
        <v>84</v>
      </c>
      <c r="C22" s="92" t="s">
        <v>85</v>
      </c>
      <c r="D22" s="160">
        <v>25839</v>
      </c>
      <c r="E22" s="161">
        <v>8843</v>
      </c>
      <c r="F22" s="152">
        <f t="shared" si="0"/>
        <v>34682</v>
      </c>
      <c r="G22" s="154">
        <v>655</v>
      </c>
      <c r="H22" s="228">
        <v>34027</v>
      </c>
      <c r="I22" s="162">
        <v>5202</v>
      </c>
      <c r="X22" s="152">
        <f t="shared" si="1"/>
        <v>34682</v>
      </c>
      <c r="Y22" s="156">
        <f t="shared" si="2"/>
        <v>1.89E-2</v>
      </c>
      <c r="Z22" s="152">
        <f t="shared" si="3"/>
        <v>655</v>
      </c>
      <c r="AA22" s="157">
        <v>642</v>
      </c>
      <c r="AB22" s="152">
        <f t="shared" si="4"/>
        <v>34040</v>
      </c>
      <c r="AC22" s="161">
        <f t="shared" si="5"/>
        <v>5202</v>
      </c>
      <c r="AD22" s="161">
        <v>7523</v>
      </c>
      <c r="AF22" s="166" t="s">
        <v>309</v>
      </c>
      <c r="AG22" s="167">
        <v>0.01</v>
      </c>
    </row>
    <row r="23" spans="1:33">
      <c r="A23" s="91" t="s">
        <v>53</v>
      </c>
      <c r="B23" s="91" t="s">
        <v>86</v>
      </c>
      <c r="C23" s="92" t="s">
        <v>87</v>
      </c>
      <c r="D23" s="160">
        <v>12396</v>
      </c>
      <c r="E23" s="161">
        <v>1778</v>
      </c>
      <c r="F23" s="152">
        <f t="shared" si="0"/>
        <v>14174</v>
      </c>
      <c r="G23" s="154">
        <v>268</v>
      </c>
      <c r="H23" s="228">
        <v>13906</v>
      </c>
      <c r="I23" s="162">
        <v>2126</v>
      </c>
      <c r="X23" s="152">
        <f t="shared" si="1"/>
        <v>14174</v>
      </c>
      <c r="Y23" s="156">
        <f t="shared" si="2"/>
        <v>1.89E-2</v>
      </c>
      <c r="Z23" s="152">
        <f t="shared" si="3"/>
        <v>268</v>
      </c>
      <c r="AA23" s="157">
        <v>263</v>
      </c>
      <c r="AB23" s="152">
        <f t="shared" si="4"/>
        <v>13911</v>
      </c>
      <c r="AC23" s="161">
        <f t="shared" si="5"/>
        <v>2126</v>
      </c>
      <c r="AD23" s="161">
        <v>3247</v>
      </c>
      <c r="AF23" s="166" t="s">
        <v>354</v>
      </c>
      <c r="AG23" s="167">
        <v>1.2E-2</v>
      </c>
    </row>
    <row r="24" spans="1:33">
      <c r="A24" s="91" t="s">
        <v>53</v>
      </c>
      <c r="B24" s="91" t="s">
        <v>88</v>
      </c>
      <c r="C24" s="92" t="s">
        <v>89</v>
      </c>
      <c r="D24" s="160">
        <v>34551</v>
      </c>
      <c r="E24" s="161">
        <v>2818</v>
      </c>
      <c r="F24" s="152">
        <f t="shared" si="0"/>
        <v>37369</v>
      </c>
      <c r="G24" s="154">
        <v>706</v>
      </c>
      <c r="H24" s="228">
        <v>36663</v>
      </c>
      <c r="I24" s="162">
        <v>5605</v>
      </c>
      <c r="X24" s="152">
        <f t="shared" si="1"/>
        <v>37369</v>
      </c>
      <c r="Y24" s="156">
        <f t="shared" si="2"/>
        <v>1.89E-2</v>
      </c>
      <c r="Z24" s="152">
        <f t="shared" si="3"/>
        <v>706</v>
      </c>
      <c r="AA24" s="157">
        <v>692</v>
      </c>
      <c r="AB24" s="152">
        <f t="shared" si="4"/>
        <v>36677</v>
      </c>
      <c r="AC24" s="161">
        <f t="shared" si="5"/>
        <v>5605</v>
      </c>
      <c r="AD24" s="161">
        <v>8736</v>
      </c>
      <c r="AF24" s="166" t="s">
        <v>420</v>
      </c>
      <c r="AG24" s="167">
        <v>9.1999999999999998E-3</v>
      </c>
    </row>
    <row r="25" spans="1:33">
      <c r="A25" s="91" t="s">
        <v>53</v>
      </c>
      <c r="B25" s="91" t="s">
        <v>90</v>
      </c>
      <c r="C25" s="92" t="s">
        <v>91</v>
      </c>
      <c r="D25" s="160">
        <v>28250</v>
      </c>
      <c r="E25" s="161">
        <v>5375</v>
      </c>
      <c r="F25" s="152">
        <f t="shared" si="0"/>
        <v>33625</v>
      </c>
      <c r="G25" s="154">
        <v>636</v>
      </c>
      <c r="H25" s="228">
        <v>32989</v>
      </c>
      <c r="I25" s="162">
        <v>5044</v>
      </c>
      <c r="X25" s="152">
        <f t="shared" si="1"/>
        <v>33625</v>
      </c>
      <c r="Y25" s="156">
        <f t="shared" si="2"/>
        <v>1.89E-2</v>
      </c>
      <c r="Z25" s="152">
        <f t="shared" si="3"/>
        <v>636</v>
      </c>
      <c r="AA25" s="157">
        <v>623</v>
      </c>
      <c r="AB25" s="152">
        <f t="shared" si="4"/>
        <v>33002</v>
      </c>
      <c r="AC25" s="161">
        <f t="shared" si="5"/>
        <v>5044</v>
      </c>
      <c r="AD25" s="161">
        <v>7594</v>
      </c>
      <c r="AF25" s="166" t="s">
        <v>528</v>
      </c>
      <c r="AG25" s="167">
        <v>1.55E-2</v>
      </c>
    </row>
    <row r="26" spans="1:33">
      <c r="A26" s="91" t="s">
        <v>53</v>
      </c>
      <c r="B26" s="91" t="s">
        <v>92</v>
      </c>
      <c r="C26" s="92" t="s">
        <v>93</v>
      </c>
      <c r="D26" s="160">
        <v>19493</v>
      </c>
      <c r="E26" s="161">
        <v>1345</v>
      </c>
      <c r="F26" s="152">
        <f t="shared" si="0"/>
        <v>20838</v>
      </c>
      <c r="G26" s="154">
        <v>394</v>
      </c>
      <c r="H26" s="228">
        <v>20444</v>
      </c>
      <c r="I26" s="162">
        <v>3126</v>
      </c>
      <c r="X26" s="152">
        <f t="shared" si="1"/>
        <v>20838</v>
      </c>
      <c r="Y26" s="156">
        <f t="shared" si="2"/>
        <v>1.89E-2</v>
      </c>
      <c r="Z26" s="152">
        <f t="shared" si="3"/>
        <v>394</v>
      </c>
      <c r="AA26" s="157">
        <v>386</v>
      </c>
      <c r="AB26" s="152">
        <f t="shared" si="4"/>
        <v>20452</v>
      </c>
      <c r="AC26" s="161">
        <f t="shared" si="5"/>
        <v>3126</v>
      </c>
      <c r="AD26" s="161">
        <v>4893</v>
      </c>
      <c r="AF26" s="166" t="s">
        <v>599</v>
      </c>
      <c r="AG26" s="167">
        <v>8.6E-3</v>
      </c>
    </row>
    <row r="27" spans="1:33" ht="15.75" thickBot="1">
      <c r="A27" s="91" t="s">
        <v>53</v>
      </c>
      <c r="B27" s="91" t="s">
        <v>94</v>
      </c>
      <c r="C27" s="92" t="s">
        <v>95</v>
      </c>
      <c r="D27" s="160">
        <v>19971</v>
      </c>
      <c r="E27" s="161">
        <v>2990</v>
      </c>
      <c r="F27" s="152">
        <f t="shared" si="0"/>
        <v>22961</v>
      </c>
      <c r="G27" s="154">
        <v>434</v>
      </c>
      <c r="H27" s="228">
        <v>22527</v>
      </c>
      <c r="I27" s="162">
        <v>3444</v>
      </c>
      <c r="X27" s="152">
        <f t="shared" si="1"/>
        <v>22961</v>
      </c>
      <c r="Y27" s="156">
        <f t="shared" si="2"/>
        <v>1.89E-2</v>
      </c>
      <c r="Z27" s="152">
        <f t="shared" si="3"/>
        <v>434</v>
      </c>
      <c r="AA27" s="157">
        <v>425</v>
      </c>
      <c r="AB27" s="152">
        <f t="shared" si="4"/>
        <v>22536</v>
      </c>
      <c r="AC27" s="161">
        <f t="shared" si="5"/>
        <v>3444</v>
      </c>
      <c r="AD27" s="161">
        <v>5250</v>
      </c>
      <c r="AF27" s="168" t="s">
        <v>697</v>
      </c>
      <c r="AG27" s="169">
        <v>8.8999999999999999E-3</v>
      </c>
    </row>
    <row r="28" spans="1:33" ht="15.75" thickBot="1">
      <c r="A28" s="91" t="s">
        <v>53</v>
      </c>
      <c r="B28" s="91" t="s">
        <v>96</v>
      </c>
      <c r="C28" s="92" t="s">
        <v>97</v>
      </c>
      <c r="D28" s="160">
        <v>12874</v>
      </c>
      <c r="E28" s="161">
        <v>2256</v>
      </c>
      <c r="F28" s="152">
        <f t="shared" si="0"/>
        <v>15130</v>
      </c>
      <c r="G28" s="154">
        <v>286</v>
      </c>
      <c r="H28" s="228">
        <v>14844</v>
      </c>
      <c r="I28" s="162">
        <v>2270</v>
      </c>
      <c r="X28" s="152">
        <f t="shared" si="1"/>
        <v>15130</v>
      </c>
      <c r="Y28" s="156">
        <f t="shared" si="2"/>
        <v>1.89E-2</v>
      </c>
      <c r="Z28" s="152">
        <f t="shared" si="3"/>
        <v>286</v>
      </c>
      <c r="AA28" s="157">
        <v>280</v>
      </c>
      <c r="AB28" s="152">
        <f t="shared" si="4"/>
        <v>14850</v>
      </c>
      <c r="AC28" s="161">
        <f t="shared" si="5"/>
        <v>2270</v>
      </c>
      <c r="AD28" s="161">
        <v>3432</v>
      </c>
      <c r="AF28" s="170" t="s">
        <v>780</v>
      </c>
      <c r="AG28" s="171">
        <v>1.23E-2</v>
      </c>
    </row>
    <row r="29" spans="1:33" ht="15.75" thickTop="1">
      <c r="A29" s="91" t="s">
        <v>53</v>
      </c>
      <c r="B29" s="91" t="s">
        <v>98</v>
      </c>
      <c r="C29" s="92" t="s">
        <v>99</v>
      </c>
      <c r="D29" s="160">
        <v>77336</v>
      </c>
      <c r="E29" s="161">
        <v>11877</v>
      </c>
      <c r="F29" s="152">
        <f t="shared" si="0"/>
        <v>89213</v>
      </c>
      <c r="G29" s="154">
        <v>1686</v>
      </c>
      <c r="H29" s="228">
        <v>87527</v>
      </c>
      <c r="I29" s="162">
        <v>13382</v>
      </c>
      <c r="X29" s="152">
        <f t="shared" si="1"/>
        <v>89213</v>
      </c>
      <c r="Y29" s="156">
        <f t="shared" si="2"/>
        <v>1.89E-2</v>
      </c>
      <c r="Z29" s="152">
        <f t="shared" si="3"/>
        <v>1686</v>
      </c>
      <c r="AA29" s="157">
        <v>1652</v>
      </c>
      <c r="AB29" s="152">
        <f t="shared" si="4"/>
        <v>87561</v>
      </c>
      <c r="AC29" s="161">
        <f t="shared" si="5"/>
        <v>13382</v>
      </c>
      <c r="AD29" s="161">
        <v>20372</v>
      </c>
    </row>
    <row r="30" spans="1:33" ht="15.75" thickBot="1">
      <c r="A30" s="93" t="s">
        <v>53</v>
      </c>
      <c r="B30" s="93" t="s">
        <v>100</v>
      </c>
      <c r="C30" s="94" t="s">
        <v>101</v>
      </c>
      <c r="D30" s="174">
        <v>197046</v>
      </c>
      <c r="E30" s="175">
        <v>16084</v>
      </c>
      <c r="F30" s="174">
        <f t="shared" si="0"/>
        <v>213130</v>
      </c>
      <c r="G30" s="176">
        <v>4028</v>
      </c>
      <c r="H30" s="229">
        <v>209102</v>
      </c>
      <c r="I30" s="177">
        <v>31970</v>
      </c>
      <c r="X30" s="174">
        <f t="shared" si="1"/>
        <v>213130</v>
      </c>
      <c r="Y30" s="178">
        <f t="shared" si="2"/>
        <v>1.89E-2</v>
      </c>
      <c r="Z30" s="174">
        <f t="shared" si="3"/>
        <v>4028</v>
      </c>
      <c r="AA30" s="179">
        <v>3947</v>
      </c>
      <c r="AB30" s="174">
        <f t="shared" si="4"/>
        <v>209183</v>
      </c>
      <c r="AC30" s="175">
        <f t="shared" si="5"/>
        <v>31970</v>
      </c>
      <c r="AD30" s="175">
        <v>49823</v>
      </c>
    </row>
    <row r="31" spans="1:33">
      <c r="A31" s="73" t="s">
        <v>102</v>
      </c>
      <c r="B31" s="73" t="s">
        <v>103</v>
      </c>
      <c r="C31" s="74" t="s">
        <v>104</v>
      </c>
      <c r="D31" s="152">
        <v>29342</v>
      </c>
      <c r="E31" s="153">
        <v>4379</v>
      </c>
      <c r="F31" s="152">
        <f t="shared" si="0"/>
        <v>33721</v>
      </c>
      <c r="G31" s="154">
        <v>472</v>
      </c>
      <c r="H31" s="228">
        <v>33249</v>
      </c>
      <c r="I31" s="155">
        <v>5058</v>
      </c>
      <c r="X31" s="152">
        <f t="shared" si="1"/>
        <v>33721</v>
      </c>
      <c r="Y31" s="156">
        <f>+$AG$20</f>
        <v>1.4E-2</v>
      </c>
      <c r="Z31" s="152">
        <f t="shared" si="3"/>
        <v>472</v>
      </c>
      <c r="AA31" s="157">
        <v>463</v>
      </c>
      <c r="AB31" s="152">
        <f t="shared" si="4"/>
        <v>33258</v>
      </c>
      <c r="AC31" s="153">
        <f t="shared" si="5"/>
        <v>5058</v>
      </c>
      <c r="AD31" s="153">
        <v>7711</v>
      </c>
    </row>
    <row r="32" spans="1:33">
      <c r="A32" s="91" t="s">
        <v>102</v>
      </c>
      <c r="B32" s="91" t="s">
        <v>105</v>
      </c>
      <c r="C32" s="92" t="s">
        <v>106</v>
      </c>
      <c r="D32" s="160">
        <v>11896</v>
      </c>
      <c r="E32" s="161">
        <v>3813</v>
      </c>
      <c r="F32" s="152">
        <f t="shared" si="0"/>
        <v>15709</v>
      </c>
      <c r="G32" s="154">
        <v>220</v>
      </c>
      <c r="H32" s="228">
        <v>15489</v>
      </c>
      <c r="I32" s="162">
        <v>2356</v>
      </c>
      <c r="X32" s="152">
        <f t="shared" si="1"/>
        <v>15709</v>
      </c>
      <c r="Y32" s="156">
        <f t="shared" ref="Y32:Y87" si="6">+$AG$20</f>
        <v>1.4E-2</v>
      </c>
      <c r="Z32" s="152">
        <f t="shared" si="3"/>
        <v>220</v>
      </c>
      <c r="AA32" s="157">
        <v>216</v>
      </c>
      <c r="AB32" s="152">
        <f t="shared" si="4"/>
        <v>15493</v>
      </c>
      <c r="AC32" s="161">
        <f t="shared" si="5"/>
        <v>2356</v>
      </c>
      <c r="AD32" s="161">
        <v>3426</v>
      </c>
    </row>
    <row r="33" spans="1:30">
      <c r="A33" s="104" t="s">
        <v>102</v>
      </c>
      <c r="B33" s="104" t="s">
        <v>107</v>
      </c>
      <c r="C33" s="105" t="s">
        <v>108</v>
      </c>
      <c r="D33" s="160">
        <v>26976</v>
      </c>
      <c r="E33" s="161">
        <v>4247</v>
      </c>
      <c r="F33" s="152">
        <f t="shared" si="0"/>
        <v>31223</v>
      </c>
      <c r="G33" s="154">
        <v>437</v>
      </c>
      <c r="H33" s="228">
        <v>30786</v>
      </c>
      <c r="I33" s="162">
        <v>4683</v>
      </c>
      <c r="X33" s="152">
        <f t="shared" si="1"/>
        <v>31223</v>
      </c>
      <c r="Y33" s="156">
        <f t="shared" si="6"/>
        <v>1.4E-2</v>
      </c>
      <c r="Z33" s="152">
        <f t="shared" si="3"/>
        <v>437</v>
      </c>
      <c r="AA33" s="157">
        <v>428</v>
      </c>
      <c r="AB33" s="152">
        <f t="shared" si="4"/>
        <v>30795</v>
      </c>
      <c r="AC33" s="161">
        <f t="shared" si="5"/>
        <v>4683</v>
      </c>
      <c r="AD33" s="161">
        <v>7122</v>
      </c>
    </row>
    <row r="34" spans="1:30">
      <c r="A34" s="91" t="s">
        <v>102</v>
      </c>
      <c r="B34" s="91" t="s">
        <v>109</v>
      </c>
      <c r="C34" s="92" t="s">
        <v>110</v>
      </c>
      <c r="D34" s="160">
        <v>37963</v>
      </c>
      <c r="E34" s="161">
        <v>6157</v>
      </c>
      <c r="F34" s="152">
        <f t="shared" si="0"/>
        <v>44120</v>
      </c>
      <c r="G34" s="154">
        <v>618</v>
      </c>
      <c r="H34" s="228">
        <v>43502</v>
      </c>
      <c r="I34" s="162">
        <v>6618</v>
      </c>
      <c r="X34" s="152">
        <f t="shared" si="1"/>
        <v>44120</v>
      </c>
      <c r="Y34" s="156">
        <f t="shared" si="6"/>
        <v>1.4E-2</v>
      </c>
      <c r="Z34" s="152">
        <f t="shared" si="3"/>
        <v>618</v>
      </c>
      <c r="AA34" s="157">
        <v>605</v>
      </c>
      <c r="AB34" s="152">
        <f t="shared" si="4"/>
        <v>43515</v>
      </c>
      <c r="AC34" s="161">
        <f t="shared" si="5"/>
        <v>6618</v>
      </c>
      <c r="AD34" s="161">
        <v>10049</v>
      </c>
    </row>
    <row r="35" spans="1:30">
      <c r="A35" s="83" t="s">
        <v>102</v>
      </c>
      <c r="B35" s="83" t="s">
        <v>111</v>
      </c>
      <c r="C35" s="84" t="s">
        <v>112</v>
      </c>
      <c r="D35" s="160">
        <v>26613</v>
      </c>
      <c r="E35" s="161">
        <v>4207</v>
      </c>
      <c r="F35" s="152">
        <f t="shared" si="0"/>
        <v>30820</v>
      </c>
      <c r="G35" s="154">
        <v>431</v>
      </c>
      <c r="H35" s="228">
        <v>30389</v>
      </c>
      <c r="I35" s="162">
        <v>4623</v>
      </c>
      <c r="X35" s="152">
        <f t="shared" si="1"/>
        <v>30820</v>
      </c>
      <c r="Y35" s="156">
        <f t="shared" si="6"/>
        <v>1.4E-2</v>
      </c>
      <c r="Z35" s="152">
        <f t="shared" si="3"/>
        <v>431</v>
      </c>
      <c r="AA35" s="157">
        <v>423</v>
      </c>
      <c r="AB35" s="152">
        <f t="shared" si="4"/>
        <v>30397</v>
      </c>
      <c r="AC35" s="161">
        <f t="shared" si="5"/>
        <v>4623</v>
      </c>
      <c r="AD35" s="161">
        <v>7028</v>
      </c>
    </row>
    <row r="36" spans="1:30">
      <c r="A36" s="91" t="s">
        <v>102</v>
      </c>
      <c r="B36" s="91" t="s">
        <v>113</v>
      </c>
      <c r="C36" s="92" t="s">
        <v>114</v>
      </c>
      <c r="D36" s="160">
        <v>33300</v>
      </c>
      <c r="E36" s="161">
        <v>7976</v>
      </c>
      <c r="F36" s="152">
        <f t="shared" si="0"/>
        <v>41276</v>
      </c>
      <c r="G36" s="154">
        <v>578</v>
      </c>
      <c r="H36" s="228">
        <v>40698</v>
      </c>
      <c r="I36" s="162">
        <v>6191</v>
      </c>
      <c r="X36" s="152">
        <f t="shared" si="1"/>
        <v>41276</v>
      </c>
      <c r="Y36" s="156">
        <f t="shared" si="6"/>
        <v>1.4E-2</v>
      </c>
      <c r="Z36" s="152">
        <f t="shared" si="3"/>
        <v>578</v>
      </c>
      <c r="AA36" s="157">
        <v>566</v>
      </c>
      <c r="AB36" s="152">
        <f t="shared" si="4"/>
        <v>40710</v>
      </c>
      <c r="AC36" s="161">
        <f t="shared" si="5"/>
        <v>6191</v>
      </c>
      <c r="AD36" s="161">
        <v>9193</v>
      </c>
    </row>
    <row r="37" spans="1:30">
      <c r="A37" s="91" t="s">
        <v>102</v>
      </c>
      <c r="B37" s="91" t="s">
        <v>115</v>
      </c>
      <c r="C37" s="92" t="s">
        <v>116</v>
      </c>
      <c r="D37" s="160">
        <v>29456</v>
      </c>
      <c r="E37" s="161">
        <v>6330</v>
      </c>
      <c r="F37" s="152">
        <f t="shared" si="0"/>
        <v>35786</v>
      </c>
      <c r="G37" s="154">
        <v>501</v>
      </c>
      <c r="H37" s="228">
        <v>35285</v>
      </c>
      <c r="I37" s="162">
        <v>5368</v>
      </c>
      <c r="X37" s="152">
        <f t="shared" si="1"/>
        <v>35786</v>
      </c>
      <c r="Y37" s="156">
        <f t="shared" si="6"/>
        <v>1.4E-2</v>
      </c>
      <c r="Z37" s="152">
        <f t="shared" si="3"/>
        <v>501</v>
      </c>
      <c r="AA37" s="157">
        <v>491</v>
      </c>
      <c r="AB37" s="152">
        <f t="shared" si="4"/>
        <v>35295</v>
      </c>
      <c r="AC37" s="161">
        <f t="shared" si="5"/>
        <v>5368</v>
      </c>
      <c r="AD37" s="161">
        <v>8025</v>
      </c>
    </row>
    <row r="38" spans="1:30">
      <c r="A38" s="91" t="s">
        <v>102</v>
      </c>
      <c r="B38" s="91" t="s">
        <v>117</v>
      </c>
      <c r="C38" s="92" t="s">
        <v>118</v>
      </c>
      <c r="D38" s="160">
        <v>23929</v>
      </c>
      <c r="E38" s="161">
        <v>4162</v>
      </c>
      <c r="F38" s="152">
        <f t="shared" si="0"/>
        <v>28091</v>
      </c>
      <c r="G38" s="154">
        <v>393</v>
      </c>
      <c r="H38" s="228">
        <v>27698</v>
      </c>
      <c r="I38" s="162">
        <v>4214</v>
      </c>
      <c r="X38" s="152">
        <f t="shared" si="1"/>
        <v>28091</v>
      </c>
      <c r="Y38" s="156">
        <f t="shared" si="6"/>
        <v>1.4E-2</v>
      </c>
      <c r="Z38" s="152">
        <f t="shared" si="3"/>
        <v>393</v>
      </c>
      <c r="AA38" s="157">
        <v>385</v>
      </c>
      <c r="AB38" s="152">
        <f t="shared" si="4"/>
        <v>27706</v>
      </c>
      <c r="AC38" s="161">
        <f t="shared" si="5"/>
        <v>4214</v>
      </c>
      <c r="AD38" s="161">
        <v>6375</v>
      </c>
    </row>
    <row r="39" spans="1:30">
      <c r="A39" s="91" t="s">
        <v>102</v>
      </c>
      <c r="B39" s="91" t="s">
        <v>119</v>
      </c>
      <c r="C39" s="92" t="s">
        <v>120</v>
      </c>
      <c r="D39" s="160">
        <v>21449</v>
      </c>
      <c r="E39" s="161">
        <v>3123</v>
      </c>
      <c r="F39" s="152">
        <f t="shared" si="0"/>
        <v>24572</v>
      </c>
      <c r="G39" s="154">
        <v>344</v>
      </c>
      <c r="H39" s="228">
        <v>24228</v>
      </c>
      <c r="I39" s="162">
        <v>3686</v>
      </c>
      <c r="X39" s="152">
        <f t="shared" si="1"/>
        <v>24572</v>
      </c>
      <c r="Y39" s="156">
        <f t="shared" si="6"/>
        <v>1.4E-2</v>
      </c>
      <c r="Z39" s="152">
        <f t="shared" si="3"/>
        <v>344</v>
      </c>
      <c r="AA39" s="157">
        <v>337</v>
      </c>
      <c r="AB39" s="152">
        <f t="shared" si="4"/>
        <v>24235</v>
      </c>
      <c r="AC39" s="161">
        <f t="shared" si="5"/>
        <v>3686</v>
      </c>
      <c r="AD39" s="161">
        <v>5625</v>
      </c>
    </row>
    <row r="40" spans="1:30">
      <c r="A40" s="91" t="s">
        <v>102</v>
      </c>
      <c r="B40" s="91" t="s">
        <v>121</v>
      </c>
      <c r="C40" s="92" t="s">
        <v>122</v>
      </c>
      <c r="D40" s="160">
        <v>12851</v>
      </c>
      <c r="E40" s="161">
        <v>2689</v>
      </c>
      <c r="F40" s="152">
        <f t="shared" si="0"/>
        <v>15540</v>
      </c>
      <c r="G40" s="154">
        <v>218</v>
      </c>
      <c r="H40" s="228">
        <v>15322</v>
      </c>
      <c r="I40" s="162">
        <v>2331</v>
      </c>
      <c r="X40" s="152">
        <f t="shared" si="1"/>
        <v>15540</v>
      </c>
      <c r="Y40" s="156">
        <f t="shared" si="6"/>
        <v>1.4E-2</v>
      </c>
      <c r="Z40" s="152">
        <f t="shared" si="3"/>
        <v>218</v>
      </c>
      <c r="AA40" s="157">
        <v>213</v>
      </c>
      <c r="AB40" s="152">
        <f t="shared" si="4"/>
        <v>15327</v>
      </c>
      <c r="AC40" s="161">
        <f t="shared" si="5"/>
        <v>2331</v>
      </c>
      <c r="AD40" s="161">
        <v>3491</v>
      </c>
    </row>
    <row r="41" spans="1:30">
      <c r="A41" s="91" t="s">
        <v>102</v>
      </c>
      <c r="B41" s="91" t="s">
        <v>123</v>
      </c>
      <c r="C41" s="92" t="s">
        <v>124</v>
      </c>
      <c r="D41" s="160">
        <v>227162</v>
      </c>
      <c r="E41" s="161">
        <v>21547</v>
      </c>
      <c r="F41" s="152">
        <f t="shared" si="0"/>
        <v>248709</v>
      </c>
      <c r="G41" s="154">
        <v>3482</v>
      </c>
      <c r="H41" s="228">
        <v>245227</v>
      </c>
      <c r="I41" s="162">
        <v>37306</v>
      </c>
      <c r="X41" s="152">
        <f t="shared" si="1"/>
        <v>248709</v>
      </c>
      <c r="Y41" s="156">
        <f t="shared" si="6"/>
        <v>1.4E-2</v>
      </c>
      <c r="Z41" s="152">
        <f t="shared" si="3"/>
        <v>3482</v>
      </c>
      <c r="AA41" s="157">
        <v>3412</v>
      </c>
      <c r="AB41" s="152">
        <f t="shared" si="4"/>
        <v>245297</v>
      </c>
      <c r="AC41" s="161">
        <f t="shared" si="5"/>
        <v>37306</v>
      </c>
      <c r="AD41" s="161">
        <v>57880</v>
      </c>
    </row>
    <row r="42" spans="1:30">
      <c r="A42" s="91" t="s">
        <v>102</v>
      </c>
      <c r="B42" s="91" t="s">
        <v>125</v>
      </c>
      <c r="C42" s="92" t="s">
        <v>126</v>
      </c>
      <c r="D42" s="160">
        <v>76790</v>
      </c>
      <c r="E42" s="161">
        <v>15389</v>
      </c>
      <c r="F42" s="152">
        <f t="shared" si="0"/>
        <v>92179</v>
      </c>
      <c r="G42" s="154">
        <v>1291</v>
      </c>
      <c r="H42" s="228">
        <v>90888</v>
      </c>
      <c r="I42" s="162">
        <v>13827</v>
      </c>
      <c r="X42" s="152">
        <f t="shared" si="1"/>
        <v>92179</v>
      </c>
      <c r="Y42" s="156">
        <f t="shared" si="6"/>
        <v>1.4E-2</v>
      </c>
      <c r="Z42" s="152">
        <f t="shared" si="3"/>
        <v>1291</v>
      </c>
      <c r="AA42" s="157">
        <v>1265</v>
      </c>
      <c r="AB42" s="152">
        <f t="shared" si="4"/>
        <v>90914</v>
      </c>
      <c r="AC42" s="161">
        <f t="shared" si="5"/>
        <v>13827</v>
      </c>
      <c r="AD42" s="161">
        <v>20757</v>
      </c>
    </row>
    <row r="43" spans="1:30">
      <c r="A43" s="91" t="s">
        <v>102</v>
      </c>
      <c r="B43" s="91" t="s">
        <v>127</v>
      </c>
      <c r="C43" s="92" t="s">
        <v>128</v>
      </c>
      <c r="D43" s="160">
        <v>16354</v>
      </c>
      <c r="E43" s="161">
        <v>2079</v>
      </c>
      <c r="F43" s="152">
        <f t="shared" si="0"/>
        <v>18433</v>
      </c>
      <c r="G43" s="154">
        <v>258</v>
      </c>
      <c r="H43" s="228">
        <v>18175</v>
      </c>
      <c r="I43" s="162">
        <v>2765</v>
      </c>
      <c r="X43" s="152">
        <f t="shared" si="1"/>
        <v>18433</v>
      </c>
      <c r="Y43" s="156">
        <f t="shared" si="6"/>
        <v>1.4E-2</v>
      </c>
      <c r="Z43" s="152">
        <f t="shared" si="3"/>
        <v>258</v>
      </c>
      <c r="AA43" s="157">
        <v>253</v>
      </c>
      <c r="AB43" s="152">
        <f t="shared" si="4"/>
        <v>18180</v>
      </c>
      <c r="AC43" s="161">
        <f t="shared" si="5"/>
        <v>2765</v>
      </c>
      <c r="AD43" s="161">
        <v>4245</v>
      </c>
    </row>
    <row r="44" spans="1:30">
      <c r="A44" s="91" t="s">
        <v>102</v>
      </c>
      <c r="B44" s="91" t="s">
        <v>129</v>
      </c>
      <c r="C44" s="92" t="s">
        <v>130</v>
      </c>
      <c r="D44" s="160">
        <v>59617</v>
      </c>
      <c r="E44" s="161">
        <v>7847</v>
      </c>
      <c r="F44" s="152">
        <f t="shared" si="0"/>
        <v>67464</v>
      </c>
      <c r="G44" s="154">
        <v>944</v>
      </c>
      <c r="H44" s="228">
        <v>66520</v>
      </c>
      <c r="I44" s="162">
        <v>10120</v>
      </c>
      <c r="X44" s="152">
        <f t="shared" si="1"/>
        <v>67464</v>
      </c>
      <c r="Y44" s="156">
        <f t="shared" si="6"/>
        <v>1.4E-2</v>
      </c>
      <c r="Z44" s="152">
        <f t="shared" si="3"/>
        <v>944</v>
      </c>
      <c r="AA44" s="157">
        <v>926</v>
      </c>
      <c r="AB44" s="152">
        <f t="shared" si="4"/>
        <v>66538</v>
      </c>
      <c r="AC44" s="161">
        <f t="shared" si="5"/>
        <v>10120</v>
      </c>
      <c r="AD44" s="161">
        <v>15512</v>
      </c>
    </row>
    <row r="45" spans="1:30">
      <c r="A45" s="91" t="s">
        <v>102</v>
      </c>
      <c r="B45" s="91" t="s">
        <v>131</v>
      </c>
      <c r="C45" s="92" t="s">
        <v>132</v>
      </c>
      <c r="D45" s="160">
        <v>6414</v>
      </c>
      <c r="E45" s="161">
        <v>0</v>
      </c>
      <c r="F45" s="152">
        <f t="shared" si="0"/>
        <v>6414</v>
      </c>
      <c r="G45" s="154">
        <v>90</v>
      </c>
      <c r="H45" s="228">
        <v>6324</v>
      </c>
      <c r="I45" s="162">
        <v>962</v>
      </c>
      <c r="X45" s="152">
        <f t="shared" si="1"/>
        <v>6414</v>
      </c>
      <c r="Y45" s="156">
        <f t="shared" si="6"/>
        <v>1.4E-2</v>
      </c>
      <c r="Z45" s="152">
        <f t="shared" si="3"/>
        <v>90</v>
      </c>
      <c r="AA45" s="157">
        <v>88</v>
      </c>
      <c r="AB45" s="152">
        <f t="shared" si="4"/>
        <v>6326</v>
      </c>
      <c r="AC45" s="161">
        <f t="shared" si="5"/>
        <v>962</v>
      </c>
      <c r="AD45" s="161">
        <v>1545</v>
      </c>
    </row>
    <row r="46" spans="1:30">
      <c r="A46" s="91" t="s">
        <v>102</v>
      </c>
      <c r="B46" s="91" t="s">
        <v>133</v>
      </c>
      <c r="C46" s="92" t="s">
        <v>134</v>
      </c>
      <c r="D46" s="160">
        <v>33323</v>
      </c>
      <c r="E46" s="161">
        <v>1862</v>
      </c>
      <c r="F46" s="152">
        <f t="shared" si="0"/>
        <v>35185</v>
      </c>
      <c r="G46" s="154">
        <v>493</v>
      </c>
      <c r="H46" s="228">
        <v>34692</v>
      </c>
      <c r="I46" s="162">
        <v>5278</v>
      </c>
      <c r="X46" s="152">
        <f t="shared" si="1"/>
        <v>35185</v>
      </c>
      <c r="Y46" s="156">
        <f t="shared" si="6"/>
        <v>1.4E-2</v>
      </c>
      <c r="Z46" s="152">
        <f t="shared" si="3"/>
        <v>493</v>
      </c>
      <c r="AA46" s="157">
        <v>483</v>
      </c>
      <c r="AB46" s="152">
        <f t="shared" si="4"/>
        <v>34702</v>
      </c>
      <c r="AC46" s="161">
        <f t="shared" si="5"/>
        <v>5278</v>
      </c>
      <c r="AD46" s="161">
        <v>8300</v>
      </c>
    </row>
    <row r="47" spans="1:30">
      <c r="A47" s="83" t="s">
        <v>102</v>
      </c>
      <c r="B47" s="83" t="s">
        <v>135</v>
      </c>
      <c r="C47" s="84" t="s">
        <v>136</v>
      </c>
      <c r="D47" s="160">
        <v>37030</v>
      </c>
      <c r="E47" s="161">
        <v>3380</v>
      </c>
      <c r="F47" s="152">
        <f t="shared" si="0"/>
        <v>40410</v>
      </c>
      <c r="G47" s="154">
        <v>566</v>
      </c>
      <c r="H47" s="228">
        <v>39844</v>
      </c>
      <c r="I47" s="162">
        <v>6062</v>
      </c>
      <c r="X47" s="152">
        <f t="shared" si="1"/>
        <v>40410</v>
      </c>
      <c r="Y47" s="156">
        <f t="shared" si="6"/>
        <v>1.4E-2</v>
      </c>
      <c r="Z47" s="152">
        <f t="shared" si="3"/>
        <v>566</v>
      </c>
      <c r="AA47" s="157">
        <v>554</v>
      </c>
      <c r="AB47" s="152">
        <f t="shared" si="4"/>
        <v>39856</v>
      </c>
      <c r="AC47" s="161">
        <f t="shared" si="5"/>
        <v>6062</v>
      </c>
      <c r="AD47" s="161">
        <v>9416</v>
      </c>
    </row>
    <row r="48" spans="1:30">
      <c r="A48" s="91" t="s">
        <v>102</v>
      </c>
      <c r="B48" s="91" t="s">
        <v>137</v>
      </c>
      <c r="C48" s="92" t="s">
        <v>138</v>
      </c>
      <c r="D48" s="160">
        <v>5914</v>
      </c>
      <c r="E48" s="161">
        <v>1345</v>
      </c>
      <c r="F48" s="152">
        <f t="shared" si="0"/>
        <v>7259</v>
      </c>
      <c r="G48" s="154">
        <v>102</v>
      </c>
      <c r="H48" s="228">
        <v>7157</v>
      </c>
      <c r="I48" s="162">
        <v>1089</v>
      </c>
      <c r="X48" s="152">
        <f t="shared" si="1"/>
        <v>7259</v>
      </c>
      <c r="Y48" s="156">
        <f t="shared" si="6"/>
        <v>1.4E-2</v>
      </c>
      <c r="Z48" s="152">
        <f t="shared" si="3"/>
        <v>102</v>
      </c>
      <c r="AA48" s="157">
        <v>100</v>
      </c>
      <c r="AB48" s="152">
        <f t="shared" si="4"/>
        <v>7159</v>
      </c>
      <c r="AC48" s="161">
        <f t="shared" si="5"/>
        <v>1089</v>
      </c>
      <c r="AD48" s="161">
        <v>1622</v>
      </c>
    </row>
    <row r="49" spans="1:30">
      <c r="A49" s="91" t="s">
        <v>102</v>
      </c>
      <c r="B49" s="91" t="s">
        <v>139</v>
      </c>
      <c r="C49" s="92" t="s">
        <v>140</v>
      </c>
      <c r="D49" s="160">
        <v>21836</v>
      </c>
      <c r="E49" s="161">
        <v>3468</v>
      </c>
      <c r="F49" s="152">
        <f t="shared" si="0"/>
        <v>25304</v>
      </c>
      <c r="G49" s="154">
        <v>354</v>
      </c>
      <c r="H49" s="228">
        <v>24950</v>
      </c>
      <c r="I49" s="162">
        <v>3796</v>
      </c>
      <c r="X49" s="152">
        <f t="shared" si="1"/>
        <v>25304</v>
      </c>
      <c r="Y49" s="156">
        <f t="shared" si="6"/>
        <v>1.4E-2</v>
      </c>
      <c r="Z49" s="152">
        <f t="shared" si="3"/>
        <v>354</v>
      </c>
      <c r="AA49" s="157">
        <v>347</v>
      </c>
      <c r="AB49" s="152">
        <f t="shared" si="4"/>
        <v>24957</v>
      </c>
      <c r="AC49" s="161">
        <f t="shared" si="5"/>
        <v>3796</v>
      </c>
      <c r="AD49" s="161">
        <v>5769</v>
      </c>
    </row>
    <row r="50" spans="1:30">
      <c r="A50" s="91" t="s">
        <v>102</v>
      </c>
      <c r="B50" s="91" t="s">
        <v>141</v>
      </c>
      <c r="C50" s="92" t="s">
        <v>142</v>
      </c>
      <c r="D50" s="160">
        <v>25271</v>
      </c>
      <c r="E50" s="161">
        <v>3990</v>
      </c>
      <c r="F50" s="152">
        <f t="shared" si="0"/>
        <v>29261</v>
      </c>
      <c r="G50" s="154">
        <v>410</v>
      </c>
      <c r="H50" s="228">
        <v>28851</v>
      </c>
      <c r="I50" s="162">
        <v>4389</v>
      </c>
      <c r="X50" s="152">
        <f t="shared" si="1"/>
        <v>29261</v>
      </c>
      <c r="Y50" s="156">
        <f t="shared" si="6"/>
        <v>1.4E-2</v>
      </c>
      <c r="Z50" s="152">
        <f t="shared" si="3"/>
        <v>410</v>
      </c>
      <c r="AA50" s="157">
        <v>401</v>
      </c>
      <c r="AB50" s="152">
        <f t="shared" si="4"/>
        <v>28860</v>
      </c>
      <c r="AC50" s="161">
        <f t="shared" si="5"/>
        <v>4389</v>
      </c>
      <c r="AD50" s="161">
        <v>6673</v>
      </c>
    </row>
    <row r="51" spans="1:30">
      <c r="A51" s="91" t="s">
        <v>102</v>
      </c>
      <c r="B51" s="91" t="s">
        <v>143</v>
      </c>
      <c r="C51" s="92" t="s">
        <v>144</v>
      </c>
      <c r="D51" s="160">
        <v>29842</v>
      </c>
      <c r="E51" s="161">
        <v>6764</v>
      </c>
      <c r="F51" s="152">
        <f t="shared" si="0"/>
        <v>36606</v>
      </c>
      <c r="G51" s="154">
        <v>512</v>
      </c>
      <c r="H51" s="228">
        <v>36094</v>
      </c>
      <c r="I51" s="162">
        <v>5491</v>
      </c>
      <c r="X51" s="152">
        <f t="shared" si="1"/>
        <v>36606</v>
      </c>
      <c r="Y51" s="156">
        <f t="shared" si="6"/>
        <v>1.4E-2</v>
      </c>
      <c r="Z51" s="152">
        <f t="shared" si="3"/>
        <v>512</v>
      </c>
      <c r="AA51" s="157">
        <v>502</v>
      </c>
      <c r="AB51" s="152">
        <f t="shared" si="4"/>
        <v>36104</v>
      </c>
      <c r="AC51" s="161">
        <f t="shared" si="5"/>
        <v>5491</v>
      </c>
      <c r="AD51" s="161">
        <v>8182</v>
      </c>
    </row>
    <row r="52" spans="1:30">
      <c r="A52" s="83" t="s">
        <v>102</v>
      </c>
      <c r="B52" s="83" t="s">
        <v>145</v>
      </c>
      <c r="C52" s="84" t="s">
        <v>146</v>
      </c>
      <c r="D52" s="160">
        <v>28887</v>
      </c>
      <c r="E52" s="161">
        <v>5029</v>
      </c>
      <c r="F52" s="152">
        <f t="shared" si="0"/>
        <v>33916</v>
      </c>
      <c r="G52" s="154">
        <v>475</v>
      </c>
      <c r="H52" s="228">
        <v>33441</v>
      </c>
      <c r="I52" s="162">
        <v>5087</v>
      </c>
      <c r="X52" s="152">
        <f t="shared" si="1"/>
        <v>33916</v>
      </c>
      <c r="Y52" s="156">
        <f t="shared" si="6"/>
        <v>1.4E-2</v>
      </c>
      <c r="Z52" s="152">
        <f t="shared" si="3"/>
        <v>475</v>
      </c>
      <c r="AA52" s="157">
        <v>465</v>
      </c>
      <c r="AB52" s="152">
        <f t="shared" si="4"/>
        <v>33451</v>
      </c>
      <c r="AC52" s="161">
        <f t="shared" si="5"/>
        <v>5087</v>
      </c>
      <c r="AD52" s="161">
        <v>7697</v>
      </c>
    </row>
    <row r="53" spans="1:30">
      <c r="A53" s="91" t="s">
        <v>102</v>
      </c>
      <c r="B53" s="91" t="s">
        <v>147</v>
      </c>
      <c r="C53" s="92" t="s">
        <v>148</v>
      </c>
      <c r="D53" s="160">
        <v>47425</v>
      </c>
      <c r="E53" s="161">
        <v>8325</v>
      </c>
      <c r="F53" s="152">
        <f t="shared" si="0"/>
        <v>55750</v>
      </c>
      <c r="G53" s="154">
        <v>781</v>
      </c>
      <c r="H53" s="228">
        <v>54969</v>
      </c>
      <c r="I53" s="162">
        <v>8363</v>
      </c>
      <c r="X53" s="152">
        <f t="shared" si="1"/>
        <v>55750</v>
      </c>
      <c r="Y53" s="156">
        <f t="shared" si="6"/>
        <v>1.4E-2</v>
      </c>
      <c r="Z53" s="152">
        <f t="shared" si="3"/>
        <v>781</v>
      </c>
      <c r="AA53" s="157">
        <v>765</v>
      </c>
      <c r="AB53" s="152">
        <f t="shared" si="4"/>
        <v>54985</v>
      </c>
      <c r="AC53" s="161">
        <f t="shared" si="5"/>
        <v>8363</v>
      </c>
      <c r="AD53" s="161">
        <v>12646</v>
      </c>
    </row>
    <row r="54" spans="1:30">
      <c r="A54" s="91" t="s">
        <v>102</v>
      </c>
      <c r="B54" s="91" t="s">
        <v>149</v>
      </c>
      <c r="C54" s="92" t="s">
        <v>150</v>
      </c>
      <c r="D54" s="160">
        <v>34710</v>
      </c>
      <c r="E54" s="161">
        <v>5507</v>
      </c>
      <c r="F54" s="152">
        <f t="shared" si="0"/>
        <v>40217</v>
      </c>
      <c r="G54" s="154">
        <v>563</v>
      </c>
      <c r="H54" s="228">
        <v>39654</v>
      </c>
      <c r="I54" s="162">
        <v>6033</v>
      </c>
      <c r="X54" s="152">
        <f t="shared" si="1"/>
        <v>40217</v>
      </c>
      <c r="Y54" s="156">
        <f t="shared" si="6"/>
        <v>1.4E-2</v>
      </c>
      <c r="Z54" s="152">
        <f t="shared" si="3"/>
        <v>563</v>
      </c>
      <c r="AA54" s="157">
        <v>552</v>
      </c>
      <c r="AB54" s="152">
        <f t="shared" si="4"/>
        <v>39665</v>
      </c>
      <c r="AC54" s="161">
        <f t="shared" si="5"/>
        <v>6033</v>
      </c>
      <c r="AD54" s="161">
        <v>9170</v>
      </c>
    </row>
    <row r="55" spans="1:30">
      <c r="A55" s="91" t="s">
        <v>102</v>
      </c>
      <c r="B55" s="91" t="s">
        <v>151</v>
      </c>
      <c r="C55" s="92" t="s">
        <v>152</v>
      </c>
      <c r="D55" s="160">
        <v>28273</v>
      </c>
      <c r="E55" s="161">
        <v>3079</v>
      </c>
      <c r="F55" s="152">
        <f t="shared" si="0"/>
        <v>31352</v>
      </c>
      <c r="G55" s="154">
        <v>439</v>
      </c>
      <c r="H55" s="228">
        <v>30913</v>
      </c>
      <c r="I55" s="162">
        <v>4703</v>
      </c>
      <c r="X55" s="152">
        <f t="shared" si="1"/>
        <v>31352</v>
      </c>
      <c r="Y55" s="156">
        <f t="shared" si="6"/>
        <v>1.4E-2</v>
      </c>
      <c r="Z55" s="152">
        <f t="shared" si="3"/>
        <v>439</v>
      </c>
      <c r="AA55" s="157">
        <v>430</v>
      </c>
      <c r="AB55" s="152">
        <f t="shared" si="4"/>
        <v>30922</v>
      </c>
      <c r="AC55" s="161">
        <f t="shared" si="5"/>
        <v>4703</v>
      </c>
      <c r="AD55" s="161">
        <v>7262</v>
      </c>
    </row>
    <row r="56" spans="1:30">
      <c r="A56" s="83" t="s">
        <v>102</v>
      </c>
      <c r="B56" s="83" t="s">
        <v>153</v>
      </c>
      <c r="C56" s="84" t="s">
        <v>154</v>
      </c>
      <c r="D56" s="160">
        <v>14353</v>
      </c>
      <c r="E56" s="161">
        <v>3468</v>
      </c>
      <c r="F56" s="152">
        <f t="shared" si="0"/>
        <v>17821</v>
      </c>
      <c r="G56" s="154">
        <v>249</v>
      </c>
      <c r="H56" s="228">
        <v>17572</v>
      </c>
      <c r="I56" s="162">
        <v>2673</v>
      </c>
      <c r="X56" s="152">
        <f t="shared" si="1"/>
        <v>17821</v>
      </c>
      <c r="Y56" s="156">
        <f t="shared" si="6"/>
        <v>1.4E-2</v>
      </c>
      <c r="Z56" s="152">
        <f t="shared" si="3"/>
        <v>249</v>
      </c>
      <c r="AA56" s="157">
        <v>244</v>
      </c>
      <c r="AB56" s="152">
        <f t="shared" si="4"/>
        <v>17577</v>
      </c>
      <c r="AC56" s="161">
        <f t="shared" si="5"/>
        <v>2673</v>
      </c>
      <c r="AD56" s="161">
        <v>3967</v>
      </c>
    </row>
    <row r="57" spans="1:30">
      <c r="A57" s="91" t="s">
        <v>102</v>
      </c>
      <c r="B57" s="91" t="s">
        <v>155</v>
      </c>
      <c r="C57" s="92" t="s">
        <v>156</v>
      </c>
      <c r="D57" s="160">
        <v>79542</v>
      </c>
      <c r="E57" s="161">
        <v>14611</v>
      </c>
      <c r="F57" s="152">
        <f t="shared" si="0"/>
        <v>94153</v>
      </c>
      <c r="G57" s="154">
        <v>1318</v>
      </c>
      <c r="H57" s="228">
        <v>92835</v>
      </c>
      <c r="I57" s="162">
        <v>14123</v>
      </c>
      <c r="X57" s="152">
        <f t="shared" si="1"/>
        <v>94153</v>
      </c>
      <c r="Y57" s="156">
        <f t="shared" si="6"/>
        <v>1.4E-2</v>
      </c>
      <c r="Z57" s="152">
        <f t="shared" si="3"/>
        <v>1318</v>
      </c>
      <c r="AA57" s="157">
        <v>1292</v>
      </c>
      <c r="AB57" s="152">
        <f t="shared" si="4"/>
        <v>92861</v>
      </c>
      <c r="AC57" s="161">
        <f t="shared" si="5"/>
        <v>14123</v>
      </c>
      <c r="AD57" s="161">
        <v>21306</v>
      </c>
    </row>
    <row r="58" spans="1:30">
      <c r="A58" s="91" t="s">
        <v>102</v>
      </c>
      <c r="B58" s="91" t="s">
        <v>157</v>
      </c>
      <c r="C58" s="92" t="s">
        <v>158</v>
      </c>
      <c r="D58" s="160">
        <v>29569</v>
      </c>
      <c r="E58" s="161">
        <v>3813</v>
      </c>
      <c r="F58" s="152">
        <f t="shared" si="0"/>
        <v>33382</v>
      </c>
      <c r="G58" s="154">
        <v>467</v>
      </c>
      <c r="H58" s="228">
        <v>32915</v>
      </c>
      <c r="I58" s="162">
        <v>5007</v>
      </c>
      <c r="X58" s="152">
        <f t="shared" si="1"/>
        <v>33382</v>
      </c>
      <c r="Y58" s="156">
        <f t="shared" si="6"/>
        <v>1.4E-2</v>
      </c>
      <c r="Z58" s="152">
        <f t="shared" si="3"/>
        <v>467</v>
      </c>
      <c r="AA58" s="157">
        <v>458</v>
      </c>
      <c r="AB58" s="152">
        <f t="shared" si="4"/>
        <v>32924</v>
      </c>
      <c r="AC58" s="161">
        <f t="shared" si="5"/>
        <v>5007</v>
      </c>
      <c r="AD58" s="161">
        <v>7682</v>
      </c>
    </row>
    <row r="59" spans="1:30">
      <c r="A59" s="91" t="s">
        <v>102</v>
      </c>
      <c r="B59" s="91" t="s">
        <v>159</v>
      </c>
      <c r="C59" s="92" t="s">
        <v>160</v>
      </c>
      <c r="D59" s="160">
        <v>52634</v>
      </c>
      <c r="E59" s="161">
        <v>13483</v>
      </c>
      <c r="F59" s="152">
        <f t="shared" si="0"/>
        <v>66117</v>
      </c>
      <c r="G59" s="154">
        <v>926</v>
      </c>
      <c r="H59" s="228">
        <v>65191</v>
      </c>
      <c r="I59" s="162">
        <v>9918</v>
      </c>
      <c r="X59" s="152">
        <f t="shared" si="1"/>
        <v>66117</v>
      </c>
      <c r="Y59" s="156">
        <f t="shared" si="6"/>
        <v>1.4E-2</v>
      </c>
      <c r="Z59" s="152">
        <f t="shared" si="3"/>
        <v>926</v>
      </c>
      <c r="AA59" s="157">
        <v>907</v>
      </c>
      <c r="AB59" s="152">
        <f t="shared" si="4"/>
        <v>65210</v>
      </c>
      <c r="AC59" s="161">
        <f t="shared" si="5"/>
        <v>9918</v>
      </c>
      <c r="AD59" s="161">
        <v>14659</v>
      </c>
    </row>
    <row r="60" spans="1:30">
      <c r="A60" s="83" t="s">
        <v>102</v>
      </c>
      <c r="B60" s="83" t="s">
        <v>161</v>
      </c>
      <c r="C60" s="84" t="s">
        <v>162</v>
      </c>
      <c r="D60" s="160">
        <v>18037</v>
      </c>
      <c r="E60" s="161">
        <v>4074</v>
      </c>
      <c r="F60" s="152">
        <f t="shared" si="0"/>
        <v>22111</v>
      </c>
      <c r="G60" s="154">
        <v>310</v>
      </c>
      <c r="H60" s="228">
        <v>21801</v>
      </c>
      <c r="I60" s="162">
        <v>3317</v>
      </c>
      <c r="X60" s="152">
        <f t="shared" si="1"/>
        <v>22111</v>
      </c>
      <c r="Y60" s="156">
        <f t="shared" si="6"/>
        <v>1.4E-2</v>
      </c>
      <c r="Z60" s="152">
        <f t="shared" si="3"/>
        <v>310</v>
      </c>
      <c r="AA60" s="157">
        <v>303</v>
      </c>
      <c r="AB60" s="152">
        <f t="shared" si="4"/>
        <v>21808</v>
      </c>
      <c r="AC60" s="161">
        <f t="shared" si="5"/>
        <v>3317</v>
      </c>
      <c r="AD60" s="161">
        <v>4943</v>
      </c>
    </row>
    <row r="61" spans="1:30">
      <c r="A61" s="83" t="s">
        <v>102</v>
      </c>
      <c r="B61" s="83" t="s">
        <v>163</v>
      </c>
      <c r="C61" s="84" t="s">
        <v>164</v>
      </c>
      <c r="D61" s="160">
        <v>30161</v>
      </c>
      <c r="E61" s="161">
        <v>3035</v>
      </c>
      <c r="F61" s="152">
        <f t="shared" si="0"/>
        <v>33196</v>
      </c>
      <c r="G61" s="154">
        <v>465</v>
      </c>
      <c r="H61" s="228">
        <v>32731</v>
      </c>
      <c r="I61" s="162">
        <v>4979</v>
      </c>
      <c r="X61" s="152">
        <f t="shared" si="1"/>
        <v>33196</v>
      </c>
      <c r="Y61" s="156">
        <f t="shared" si="6"/>
        <v>1.4E-2</v>
      </c>
      <c r="Z61" s="152">
        <f t="shared" si="3"/>
        <v>465</v>
      </c>
      <c r="AA61" s="157">
        <v>455</v>
      </c>
      <c r="AB61" s="152">
        <f t="shared" si="4"/>
        <v>32741</v>
      </c>
      <c r="AC61" s="161">
        <f t="shared" si="5"/>
        <v>4979</v>
      </c>
      <c r="AD61" s="161">
        <v>7710</v>
      </c>
    </row>
    <row r="62" spans="1:30">
      <c r="A62" s="91" t="s">
        <v>102</v>
      </c>
      <c r="B62" s="91" t="s">
        <v>165</v>
      </c>
      <c r="C62" s="92" t="s">
        <v>166</v>
      </c>
      <c r="D62" s="160">
        <v>67487</v>
      </c>
      <c r="E62" s="161">
        <v>11010</v>
      </c>
      <c r="F62" s="152">
        <f t="shared" si="0"/>
        <v>78497</v>
      </c>
      <c r="G62" s="154">
        <v>1099</v>
      </c>
      <c r="H62" s="228">
        <v>77398</v>
      </c>
      <c r="I62" s="162">
        <v>11775</v>
      </c>
      <c r="X62" s="152">
        <f t="shared" si="1"/>
        <v>78497</v>
      </c>
      <c r="Y62" s="156">
        <f t="shared" si="6"/>
        <v>1.4E-2</v>
      </c>
      <c r="Z62" s="152">
        <f t="shared" si="3"/>
        <v>1099</v>
      </c>
      <c r="AA62" s="157">
        <v>1077</v>
      </c>
      <c r="AB62" s="152">
        <f t="shared" si="4"/>
        <v>77420</v>
      </c>
      <c r="AC62" s="161">
        <f t="shared" si="5"/>
        <v>11775</v>
      </c>
      <c r="AD62" s="161">
        <v>17873</v>
      </c>
    </row>
    <row r="63" spans="1:30">
      <c r="A63" s="91" t="s">
        <v>102</v>
      </c>
      <c r="B63" s="91" t="s">
        <v>167</v>
      </c>
      <c r="C63" s="92" t="s">
        <v>168</v>
      </c>
      <c r="D63" s="160">
        <v>48835</v>
      </c>
      <c r="E63" s="161">
        <v>7542</v>
      </c>
      <c r="F63" s="152">
        <f t="shared" si="0"/>
        <v>56377</v>
      </c>
      <c r="G63" s="154">
        <v>789</v>
      </c>
      <c r="H63" s="228">
        <v>55588</v>
      </c>
      <c r="I63" s="162">
        <v>8457</v>
      </c>
      <c r="X63" s="152">
        <f t="shared" si="1"/>
        <v>56377</v>
      </c>
      <c r="Y63" s="156">
        <f t="shared" si="6"/>
        <v>1.4E-2</v>
      </c>
      <c r="Z63" s="152">
        <f t="shared" si="3"/>
        <v>789</v>
      </c>
      <c r="AA63" s="157">
        <v>773</v>
      </c>
      <c r="AB63" s="152">
        <f t="shared" si="4"/>
        <v>55604</v>
      </c>
      <c r="AC63" s="161">
        <f t="shared" si="5"/>
        <v>8457</v>
      </c>
      <c r="AD63" s="161">
        <v>12871</v>
      </c>
    </row>
    <row r="64" spans="1:30">
      <c r="A64" s="91" t="s">
        <v>102</v>
      </c>
      <c r="B64" s="91" t="s">
        <v>169</v>
      </c>
      <c r="C64" s="92" t="s">
        <v>170</v>
      </c>
      <c r="D64" s="160">
        <v>16786</v>
      </c>
      <c r="E64" s="161">
        <v>1172</v>
      </c>
      <c r="F64" s="152">
        <f t="shared" si="0"/>
        <v>17958</v>
      </c>
      <c r="G64" s="154">
        <v>251</v>
      </c>
      <c r="H64" s="228">
        <v>17707</v>
      </c>
      <c r="I64" s="162">
        <v>2694</v>
      </c>
      <c r="X64" s="152">
        <f t="shared" si="1"/>
        <v>17958</v>
      </c>
      <c r="Y64" s="156">
        <f t="shared" si="6"/>
        <v>1.4E-2</v>
      </c>
      <c r="Z64" s="152">
        <f t="shared" si="3"/>
        <v>251</v>
      </c>
      <c r="AA64" s="157">
        <v>246</v>
      </c>
      <c r="AB64" s="152">
        <f t="shared" si="4"/>
        <v>17712</v>
      </c>
      <c r="AC64" s="161">
        <f t="shared" si="5"/>
        <v>2694</v>
      </c>
      <c r="AD64" s="161">
        <v>4215</v>
      </c>
    </row>
    <row r="65" spans="1:30">
      <c r="A65" s="91" t="s">
        <v>102</v>
      </c>
      <c r="B65" s="91" t="s">
        <v>171</v>
      </c>
      <c r="C65" s="92" t="s">
        <v>172</v>
      </c>
      <c r="D65" s="160">
        <v>45673</v>
      </c>
      <c r="E65" s="161">
        <v>5463</v>
      </c>
      <c r="F65" s="152">
        <f t="shared" si="0"/>
        <v>51136</v>
      </c>
      <c r="G65" s="154">
        <v>716</v>
      </c>
      <c r="H65" s="228">
        <v>50420</v>
      </c>
      <c r="I65" s="162">
        <v>7670</v>
      </c>
      <c r="X65" s="152">
        <f t="shared" si="1"/>
        <v>51136</v>
      </c>
      <c r="Y65" s="156">
        <f t="shared" si="6"/>
        <v>1.4E-2</v>
      </c>
      <c r="Z65" s="152">
        <f t="shared" si="3"/>
        <v>716</v>
      </c>
      <c r="AA65" s="157">
        <v>702</v>
      </c>
      <c r="AB65" s="152">
        <f t="shared" si="4"/>
        <v>50434</v>
      </c>
      <c r="AC65" s="161">
        <f t="shared" si="5"/>
        <v>7670</v>
      </c>
      <c r="AD65" s="161">
        <v>11804</v>
      </c>
    </row>
    <row r="66" spans="1:30">
      <c r="A66" s="91" t="s">
        <v>102</v>
      </c>
      <c r="B66" s="91" t="s">
        <v>173</v>
      </c>
      <c r="C66" s="92" t="s">
        <v>174</v>
      </c>
      <c r="D66" s="160">
        <v>26635</v>
      </c>
      <c r="E66" s="161">
        <v>4508</v>
      </c>
      <c r="F66" s="152">
        <f t="shared" si="0"/>
        <v>31143</v>
      </c>
      <c r="G66" s="154">
        <v>436</v>
      </c>
      <c r="H66" s="228">
        <v>30707</v>
      </c>
      <c r="I66" s="162">
        <v>4671</v>
      </c>
      <c r="X66" s="152">
        <f t="shared" si="1"/>
        <v>31143</v>
      </c>
      <c r="Y66" s="156">
        <f t="shared" si="6"/>
        <v>1.4E-2</v>
      </c>
      <c r="Z66" s="152">
        <f t="shared" si="3"/>
        <v>436</v>
      </c>
      <c r="AA66" s="157">
        <v>427</v>
      </c>
      <c r="AB66" s="152">
        <f t="shared" si="4"/>
        <v>30716</v>
      </c>
      <c r="AC66" s="161">
        <f t="shared" si="5"/>
        <v>4671</v>
      </c>
      <c r="AD66" s="161">
        <v>7078</v>
      </c>
    </row>
    <row r="67" spans="1:30">
      <c r="A67" s="83" t="s">
        <v>102</v>
      </c>
      <c r="B67" s="83" t="s">
        <v>175</v>
      </c>
      <c r="C67" s="84" t="s">
        <v>176</v>
      </c>
      <c r="D67" s="160">
        <v>245313</v>
      </c>
      <c r="E67" s="161">
        <v>69494</v>
      </c>
      <c r="F67" s="152">
        <f t="shared" si="0"/>
        <v>314807</v>
      </c>
      <c r="G67" s="154">
        <v>4407</v>
      </c>
      <c r="H67" s="228">
        <v>310400</v>
      </c>
      <c r="I67" s="162">
        <v>47221</v>
      </c>
      <c r="X67" s="152">
        <f t="shared" si="1"/>
        <v>314807</v>
      </c>
      <c r="Y67" s="156">
        <f t="shared" si="6"/>
        <v>1.4E-2</v>
      </c>
      <c r="Z67" s="152">
        <f t="shared" si="3"/>
        <v>4407</v>
      </c>
      <c r="AA67" s="157">
        <v>4319</v>
      </c>
      <c r="AB67" s="152">
        <f t="shared" si="4"/>
        <v>310488</v>
      </c>
      <c r="AC67" s="161">
        <f t="shared" si="5"/>
        <v>47221</v>
      </c>
      <c r="AD67" s="161">
        <v>69299</v>
      </c>
    </row>
    <row r="68" spans="1:30">
      <c r="A68" s="91" t="s">
        <v>102</v>
      </c>
      <c r="B68" s="91" t="s">
        <v>177</v>
      </c>
      <c r="C68" s="92" t="s">
        <v>178</v>
      </c>
      <c r="D68" s="160">
        <v>192133</v>
      </c>
      <c r="E68" s="161">
        <v>42745</v>
      </c>
      <c r="F68" s="152">
        <f t="shared" si="0"/>
        <v>234878</v>
      </c>
      <c r="G68" s="154">
        <v>3288</v>
      </c>
      <c r="H68" s="228">
        <v>231590</v>
      </c>
      <c r="I68" s="162">
        <v>35232</v>
      </c>
      <c r="X68" s="152">
        <f t="shared" si="1"/>
        <v>234878</v>
      </c>
      <c r="Y68" s="156">
        <f t="shared" si="6"/>
        <v>1.4E-2</v>
      </c>
      <c r="Z68" s="152">
        <f t="shared" si="3"/>
        <v>3288</v>
      </c>
      <c r="AA68" s="157">
        <v>3222</v>
      </c>
      <c r="AB68" s="152">
        <f t="shared" si="4"/>
        <v>231656</v>
      </c>
      <c r="AC68" s="161">
        <f t="shared" si="5"/>
        <v>35232</v>
      </c>
      <c r="AD68" s="161">
        <v>52559</v>
      </c>
    </row>
    <row r="69" spans="1:30">
      <c r="A69" s="91" t="s">
        <v>102</v>
      </c>
      <c r="B69" s="91" t="s">
        <v>179</v>
      </c>
      <c r="C69" s="92" t="s">
        <v>180</v>
      </c>
      <c r="D69" s="160">
        <v>23838</v>
      </c>
      <c r="E69" s="161">
        <v>4291</v>
      </c>
      <c r="F69" s="152">
        <f t="shared" si="0"/>
        <v>28129</v>
      </c>
      <c r="G69" s="154">
        <v>394</v>
      </c>
      <c r="H69" s="228">
        <v>27735</v>
      </c>
      <c r="I69" s="162">
        <v>4219</v>
      </c>
      <c r="X69" s="152">
        <f t="shared" si="1"/>
        <v>28129</v>
      </c>
      <c r="Y69" s="156">
        <f t="shared" si="6"/>
        <v>1.4E-2</v>
      </c>
      <c r="Z69" s="152">
        <f t="shared" si="3"/>
        <v>394</v>
      </c>
      <c r="AA69" s="157">
        <v>386</v>
      </c>
      <c r="AB69" s="152">
        <f t="shared" si="4"/>
        <v>27743</v>
      </c>
      <c r="AC69" s="161">
        <f t="shared" si="5"/>
        <v>4219</v>
      </c>
      <c r="AD69" s="161">
        <v>6372</v>
      </c>
    </row>
    <row r="70" spans="1:30">
      <c r="A70" s="91" t="s">
        <v>102</v>
      </c>
      <c r="B70" s="91" t="s">
        <v>181</v>
      </c>
      <c r="C70" s="92" t="s">
        <v>182</v>
      </c>
      <c r="D70" s="160">
        <v>29410</v>
      </c>
      <c r="E70" s="161">
        <v>3857</v>
      </c>
      <c r="F70" s="152">
        <f t="shared" si="0"/>
        <v>33267</v>
      </c>
      <c r="G70" s="154">
        <v>466</v>
      </c>
      <c r="H70" s="228">
        <v>32801</v>
      </c>
      <c r="I70" s="162">
        <v>4990</v>
      </c>
      <c r="X70" s="152">
        <f t="shared" si="1"/>
        <v>33267</v>
      </c>
      <c r="Y70" s="156">
        <f t="shared" si="6"/>
        <v>1.4E-2</v>
      </c>
      <c r="Z70" s="152">
        <f t="shared" si="3"/>
        <v>466</v>
      </c>
      <c r="AA70" s="157">
        <v>456</v>
      </c>
      <c r="AB70" s="152">
        <f t="shared" si="4"/>
        <v>32811</v>
      </c>
      <c r="AC70" s="161">
        <f t="shared" si="5"/>
        <v>4990</v>
      </c>
      <c r="AD70" s="161">
        <v>7651</v>
      </c>
    </row>
    <row r="71" spans="1:30">
      <c r="A71" s="104" t="s">
        <v>102</v>
      </c>
      <c r="B71" s="104" t="s">
        <v>183</v>
      </c>
      <c r="C71" s="105" t="s">
        <v>184</v>
      </c>
      <c r="D71" s="160">
        <v>40351</v>
      </c>
      <c r="E71" s="161">
        <v>5290</v>
      </c>
      <c r="F71" s="152">
        <f t="shared" ref="F71:F134" si="7">+E71+D71</f>
        <v>45641</v>
      </c>
      <c r="G71" s="154">
        <v>639</v>
      </c>
      <c r="H71" s="228">
        <v>45002</v>
      </c>
      <c r="I71" s="162">
        <v>6846</v>
      </c>
      <c r="X71" s="152">
        <f t="shared" si="1"/>
        <v>45641</v>
      </c>
      <c r="Y71" s="156">
        <f t="shared" si="6"/>
        <v>1.4E-2</v>
      </c>
      <c r="Z71" s="152">
        <f t="shared" si="3"/>
        <v>639</v>
      </c>
      <c r="AA71" s="157">
        <v>626</v>
      </c>
      <c r="AB71" s="152">
        <f t="shared" si="4"/>
        <v>45015</v>
      </c>
      <c r="AC71" s="161">
        <f t="shared" si="5"/>
        <v>6846</v>
      </c>
      <c r="AD71" s="161">
        <v>10496</v>
      </c>
    </row>
    <row r="72" spans="1:30">
      <c r="A72" s="83" t="s">
        <v>102</v>
      </c>
      <c r="B72" s="83" t="s">
        <v>185</v>
      </c>
      <c r="C72" s="84" t="s">
        <v>186</v>
      </c>
      <c r="D72" s="160">
        <v>23383</v>
      </c>
      <c r="E72" s="161">
        <v>3035</v>
      </c>
      <c r="F72" s="152">
        <f t="shared" si="7"/>
        <v>26418</v>
      </c>
      <c r="G72" s="154">
        <v>370</v>
      </c>
      <c r="H72" s="228">
        <v>26048</v>
      </c>
      <c r="I72" s="162">
        <v>3963</v>
      </c>
      <c r="X72" s="152">
        <f t="shared" ref="X72:X135" si="8">+F72</f>
        <v>26418</v>
      </c>
      <c r="Y72" s="156">
        <f t="shared" si="6"/>
        <v>1.4E-2</v>
      </c>
      <c r="Z72" s="152">
        <f t="shared" ref="Z72:Z135" si="9">ROUND(X72*Y72,0)</f>
        <v>370</v>
      </c>
      <c r="AA72" s="157">
        <v>362</v>
      </c>
      <c r="AB72" s="152">
        <f t="shared" ref="AB72:AB135" si="10">+X72-AA72</f>
        <v>26056</v>
      </c>
      <c r="AC72" s="161">
        <f t="shared" ref="AC72:AC135" si="11">ROUND((X72*0.15),0)</f>
        <v>3963</v>
      </c>
      <c r="AD72" s="161">
        <v>6078</v>
      </c>
    </row>
    <row r="73" spans="1:30">
      <c r="A73" s="91" t="s">
        <v>102</v>
      </c>
      <c r="B73" s="91" t="s">
        <v>187</v>
      </c>
      <c r="C73" s="92" t="s">
        <v>188</v>
      </c>
      <c r="D73" s="160">
        <v>22359</v>
      </c>
      <c r="E73" s="161">
        <v>3424</v>
      </c>
      <c r="F73" s="152">
        <f t="shared" si="7"/>
        <v>25783</v>
      </c>
      <c r="G73" s="154">
        <v>361</v>
      </c>
      <c r="H73" s="228">
        <v>25422</v>
      </c>
      <c r="I73" s="162">
        <v>3867</v>
      </c>
      <c r="X73" s="152">
        <f t="shared" si="8"/>
        <v>25783</v>
      </c>
      <c r="Y73" s="156">
        <f t="shared" si="6"/>
        <v>1.4E-2</v>
      </c>
      <c r="Z73" s="152">
        <f t="shared" si="9"/>
        <v>361</v>
      </c>
      <c r="AA73" s="157">
        <v>354</v>
      </c>
      <c r="AB73" s="152">
        <f t="shared" si="10"/>
        <v>25429</v>
      </c>
      <c r="AC73" s="161">
        <f t="shared" si="11"/>
        <v>3867</v>
      </c>
      <c r="AD73" s="161">
        <v>5889</v>
      </c>
    </row>
    <row r="74" spans="1:30">
      <c r="A74" s="91" t="s">
        <v>102</v>
      </c>
      <c r="B74" s="91" t="s">
        <v>189</v>
      </c>
      <c r="C74" s="92" t="s">
        <v>190</v>
      </c>
      <c r="D74" s="160">
        <v>43672</v>
      </c>
      <c r="E74" s="161">
        <v>5724</v>
      </c>
      <c r="F74" s="152">
        <f t="shared" si="7"/>
        <v>49396</v>
      </c>
      <c r="G74" s="154">
        <v>692</v>
      </c>
      <c r="H74" s="228">
        <v>48704</v>
      </c>
      <c r="I74" s="162">
        <v>7409</v>
      </c>
      <c r="X74" s="152">
        <f t="shared" si="8"/>
        <v>49396</v>
      </c>
      <c r="Y74" s="156">
        <f t="shared" si="6"/>
        <v>1.4E-2</v>
      </c>
      <c r="Z74" s="152">
        <f t="shared" si="9"/>
        <v>692</v>
      </c>
      <c r="AA74" s="157">
        <v>678</v>
      </c>
      <c r="AB74" s="152">
        <f t="shared" si="10"/>
        <v>48718</v>
      </c>
      <c r="AC74" s="161">
        <f t="shared" si="11"/>
        <v>7409</v>
      </c>
      <c r="AD74" s="161">
        <v>11360</v>
      </c>
    </row>
    <row r="75" spans="1:30">
      <c r="A75" s="91" t="s">
        <v>102</v>
      </c>
      <c r="B75" s="91" t="s">
        <v>191</v>
      </c>
      <c r="C75" s="92" t="s">
        <v>192</v>
      </c>
      <c r="D75" s="160">
        <v>20994</v>
      </c>
      <c r="E75" s="161">
        <v>3340</v>
      </c>
      <c r="F75" s="152">
        <f t="shared" si="7"/>
        <v>24334</v>
      </c>
      <c r="G75" s="154">
        <v>341</v>
      </c>
      <c r="H75" s="228">
        <v>23993</v>
      </c>
      <c r="I75" s="162">
        <v>3650</v>
      </c>
      <c r="X75" s="152">
        <f t="shared" si="8"/>
        <v>24334</v>
      </c>
      <c r="Y75" s="156">
        <f t="shared" si="6"/>
        <v>1.4E-2</v>
      </c>
      <c r="Z75" s="152">
        <f t="shared" si="9"/>
        <v>341</v>
      </c>
      <c r="AA75" s="157">
        <v>334</v>
      </c>
      <c r="AB75" s="152">
        <f t="shared" si="10"/>
        <v>24000</v>
      </c>
      <c r="AC75" s="161">
        <f t="shared" si="11"/>
        <v>3650</v>
      </c>
      <c r="AD75" s="161">
        <v>5547</v>
      </c>
    </row>
    <row r="76" spans="1:30">
      <c r="A76" s="91" t="s">
        <v>102</v>
      </c>
      <c r="B76" s="91" t="s">
        <v>193</v>
      </c>
      <c r="C76" s="92" t="s">
        <v>194</v>
      </c>
      <c r="D76" s="160">
        <v>28364</v>
      </c>
      <c r="E76" s="161">
        <v>4118</v>
      </c>
      <c r="F76" s="152">
        <f t="shared" si="7"/>
        <v>32482</v>
      </c>
      <c r="G76" s="154">
        <v>455</v>
      </c>
      <c r="H76" s="228">
        <v>32027</v>
      </c>
      <c r="I76" s="162">
        <v>4872</v>
      </c>
      <c r="X76" s="152">
        <f t="shared" si="8"/>
        <v>32482</v>
      </c>
      <c r="Y76" s="156">
        <f t="shared" si="6"/>
        <v>1.4E-2</v>
      </c>
      <c r="Z76" s="152">
        <f t="shared" si="9"/>
        <v>455</v>
      </c>
      <c r="AA76" s="157">
        <v>446</v>
      </c>
      <c r="AB76" s="152">
        <f t="shared" si="10"/>
        <v>32036</v>
      </c>
      <c r="AC76" s="161">
        <f t="shared" si="11"/>
        <v>4872</v>
      </c>
      <c r="AD76" s="161">
        <v>7437</v>
      </c>
    </row>
    <row r="77" spans="1:30">
      <c r="A77" s="104" t="s">
        <v>102</v>
      </c>
      <c r="B77" s="104" t="s">
        <v>195</v>
      </c>
      <c r="C77" s="105" t="s">
        <v>196</v>
      </c>
      <c r="D77" s="160">
        <v>33368</v>
      </c>
      <c r="E77" s="161">
        <v>5202</v>
      </c>
      <c r="F77" s="152">
        <f t="shared" si="7"/>
        <v>38570</v>
      </c>
      <c r="G77" s="154">
        <v>540</v>
      </c>
      <c r="H77" s="228">
        <v>38030</v>
      </c>
      <c r="I77" s="162">
        <v>5786</v>
      </c>
      <c r="X77" s="152">
        <f t="shared" si="8"/>
        <v>38570</v>
      </c>
      <c r="Y77" s="156">
        <f t="shared" si="6"/>
        <v>1.4E-2</v>
      </c>
      <c r="Z77" s="152">
        <f t="shared" si="9"/>
        <v>540</v>
      </c>
      <c r="AA77" s="157">
        <v>529</v>
      </c>
      <c r="AB77" s="152">
        <f t="shared" si="10"/>
        <v>38041</v>
      </c>
      <c r="AC77" s="161">
        <f t="shared" si="11"/>
        <v>5786</v>
      </c>
      <c r="AD77" s="161">
        <v>8802</v>
      </c>
    </row>
    <row r="78" spans="1:30">
      <c r="A78" s="91" t="s">
        <v>102</v>
      </c>
      <c r="B78" s="91" t="s">
        <v>198</v>
      </c>
      <c r="C78" s="92" t="s">
        <v>199</v>
      </c>
      <c r="D78" s="160">
        <v>65326</v>
      </c>
      <c r="E78" s="161">
        <v>14611</v>
      </c>
      <c r="F78" s="152">
        <f t="shared" si="7"/>
        <v>79937</v>
      </c>
      <c r="G78" s="154">
        <v>1119</v>
      </c>
      <c r="H78" s="228">
        <v>78818</v>
      </c>
      <c r="I78" s="162">
        <v>11991</v>
      </c>
      <c r="X78" s="152">
        <f t="shared" si="8"/>
        <v>79937</v>
      </c>
      <c r="Y78" s="156">
        <f t="shared" si="6"/>
        <v>1.4E-2</v>
      </c>
      <c r="Z78" s="152">
        <f t="shared" si="9"/>
        <v>1119</v>
      </c>
      <c r="AA78" s="157">
        <v>1097</v>
      </c>
      <c r="AB78" s="152">
        <f t="shared" si="10"/>
        <v>78840</v>
      </c>
      <c r="AC78" s="161">
        <f t="shared" si="11"/>
        <v>11991</v>
      </c>
      <c r="AD78" s="161">
        <v>17882</v>
      </c>
    </row>
    <row r="79" spans="1:30">
      <c r="A79" s="83" t="s">
        <v>102</v>
      </c>
      <c r="B79" s="83" t="s">
        <v>200</v>
      </c>
      <c r="C79" s="84" t="s">
        <v>201</v>
      </c>
      <c r="D79" s="160">
        <v>25475</v>
      </c>
      <c r="E79" s="161">
        <v>2513</v>
      </c>
      <c r="F79" s="152">
        <f t="shared" si="7"/>
        <v>27988</v>
      </c>
      <c r="G79" s="154">
        <v>392</v>
      </c>
      <c r="H79" s="228">
        <v>27596</v>
      </c>
      <c r="I79" s="162">
        <v>4198</v>
      </c>
      <c r="X79" s="152">
        <f t="shared" si="8"/>
        <v>27988</v>
      </c>
      <c r="Y79" s="156">
        <f t="shared" si="6"/>
        <v>1.4E-2</v>
      </c>
      <c r="Z79" s="152">
        <f t="shared" si="9"/>
        <v>392</v>
      </c>
      <c r="AA79" s="157">
        <v>384</v>
      </c>
      <c r="AB79" s="152">
        <f t="shared" si="10"/>
        <v>27604</v>
      </c>
      <c r="AC79" s="161">
        <f t="shared" si="11"/>
        <v>4198</v>
      </c>
      <c r="AD79" s="161">
        <v>6505</v>
      </c>
    </row>
    <row r="80" spans="1:30">
      <c r="A80" s="83" t="s">
        <v>102</v>
      </c>
      <c r="B80" s="83" t="s">
        <v>202</v>
      </c>
      <c r="C80" s="84" t="s">
        <v>203</v>
      </c>
      <c r="D80" s="160">
        <v>20699</v>
      </c>
      <c r="E80" s="161">
        <v>2729</v>
      </c>
      <c r="F80" s="152">
        <f t="shared" si="7"/>
        <v>23428</v>
      </c>
      <c r="G80" s="154">
        <v>328</v>
      </c>
      <c r="H80" s="228">
        <v>23100</v>
      </c>
      <c r="I80" s="162">
        <v>3514</v>
      </c>
      <c r="X80" s="152">
        <f t="shared" si="8"/>
        <v>23428</v>
      </c>
      <c r="Y80" s="156">
        <f t="shared" si="6"/>
        <v>1.4E-2</v>
      </c>
      <c r="Z80" s="152">
        <f t="shared" si="9"/>
        <v>328</v>
      </c>
      <c r="AA80" s="157">
        <v>321</v>
      </c>
      <c r="AB80" s="152">
        <f t="shared" si="10"/>
        <v>23107</v>
      </c>
      <c r="AC80" s="161">
        <f t="shared" si="11"/>
        <v>3514</v>
      </c>
      <c r="AD80" s="161">
        <v>5387</v>
      </c>
    </row>
    <row r="81" spans="1:30">
      <c r="A81" s="91" t="s">
        <v>102</v>
      </c>
      <c r="B81" s="91" t="s">
        <v>204</v>
      </c>
      <c r="C81" s="92" t="s">
        <v>205</v>
      </c>
      <c r="D81" s="160">
        <v>56182</v>
      </c>
      <c r="E81" s="161">
        <v>7414</v>
      </c>
      <c r="F81" s="152">
        <f t="shared" si="7"/>
        <v>63596</v>
      </c>
      <c r="G81" s="154">
        <v>890</v>
      </c>
      <c r="H81" s="228">
        <v>62706</v>
      </c>
      <c r="I81" s="162">
        <v>9539</v>
      </c>
      <c r="X81" s="152">
        <f t="shared" si="8"/>
        <v>63596</v>
      </c>
      <c r="Y81" s="156">
        <f t="shared" si="6"/>
        <v>1.4E-2</v>
      </c>
      <c r="Z81" s="152">
        <f t="shared" si="9"/>
        <v>890</v>
      </c>
      <c r="AA81" s="157">
        <v>872</v>
      </c>
      <c r="AB81" s="152">
        <f t="shared" si="10"/>
        <v>62724</v>
      </c>
      <c r="AC81" s="161">
        <f t="shared" si="11"/>
        <v>9539</v>
      </c>
      <c r="AD81" s="161">
        <v>14621</v>
      </c>
    </row>
    <row r="82" spans="1:30">
      <c r="A82" s="91" t="s">
        <v>102</v>
      </c>
      <c r="B82" s="91" t="s">
        <v>206</v>
      </c>
      <c r="C82" s="92" t="s">
        <v>207</v>
      </c>
      <c r="D82" s="160">
        <v>11669</v>
      </c>
      <c r="E82" s="161">
        <v>1862</v>
      </c>
      <c r="F82" s="152">
        <f t="shared" si="7"/>
        <v>13531</v>
      </c>
      <c r="G82" s="154">
        <v>189</v>
      </c>
      <c r="H82" s="228">
        <v>13342</v>
      </c>
      <c r="I82" s="162">
        <v>2030</v>
      </c>
      <c r="X82" s="152">
        <f t="shared" si="8"/>
        <v>13531</v>
      </c>
      <c r="Y82" s="156">
        <f t="shared" si="6"/>
        <v>1.4E-2</v>
      </c>
      <c r="Z82" s="152">
        <f t="shared" si="9"/>
        <v>189</v>
      </c>
      <c r="AA82" s="157">
        <v>186</v>
      </c>
      <c r="AB82" s="152">
        <f t="shared" si="10"/>
        <v>13345</v>
      </c>
      <c r="AC82" s="161">
        <f t="shared" si="11"/>
        <v>2030</v>
      </c>
      <c r="AD82" s="161">
        <v>3084</v>
      </c>
    </row>
    <row r="83" spans="1:30">
      <c r="A83" s="83" t="s">
        <v>102</v>
      </c>
      <c r="B83" s="83" t="s">
        <v>208</v>
      </c>
      <c r="C83" s="84" t="s">
        <v>209</v>
      </c>
      <c r="D83" s="160">
        <v>32595</v>
      </c>
      <c r="E83" s="161">
        <v>2340</v>
      </c>
      <c r="F83" s="152">
        <f t="shared" si="7"/>
        <v>34935</v>
      </c>
      <c r="G83" s="154">
        <v>489</v>
      </c>
      <c r="H83" s="228">
        <v>34446</v>
      </c>
      <c r="I83" s="162">
        <v>5240</v>
      </c>
      <c r="X83" s="152">
        <f t="shared" si="8"/>
        <v>34935</v>
      </c>
      <c r="Y83" s="156">
        <f t="shared" si="6"/>
        <v>1.4E-2</v>
      </c>
      <c r="Z83" s="152">
        <f t="shared" si="9"/>
        <v>489</v>
      </c>
      <c r="AA83" s="157">
        <v>479</v>
      </c>
      <c r="AB83" s="152">
        <f t="shared" si="10"/>
        <v>34456</v>
      </c>
      <c r="AC83" s="161">
        <f t="shared" si="11"/>
        <v>5240</v>
      </c>
      <c r="AD83" s="161">
        <v>8195</v>
      </c>
    </row>
    <row r="84" spans="1:30">
      <c r="A84" s="91" t="s">
        <v>102</v>
      </c>
      <c r="B84" s="91" t="s">
        <v>210</v>
      </c>
      <c r="C84" s="107" t="s">
        <v>211</v>
      </c>
      <c r="D84" s="160">
        <v>542600</v>
      </c>
      <c r="E84" s="161">
        <v>143579</v>
      </c>
      <c r="F84" s="152">
        <f t="shared" si="7"/>
        <v>686179</v>
      </c>
      <c r="G84" s="154">
        <v>9607</v>
      </c>
      <c r="H84" s="228">
        <v>676572</v>
      </c>
      <c r="I84" s="226">
        <v>102927</v>
      </c>
      <c r="X84" s="152">
        <f t="shared" si="8"/>
        <v>686179</v>
      </c>
      <c r="Y84" s="156">
        <f t="shared" si="6"/>
        <v>1.4E-2</v>
      </c>
      <c r="Z84" s="152">
        <f t="shared" si="9"/>
        <v>9607</v>
      </c>
      <c r="AA84" s="157">
        <v>9414</v>
      </c>
      <c r="AB84" s="152">
        <f t="shared" si="10"/>
        <v>676765</v>
      </c>
      <c r="AC84" s="161">
        <f t="shared" si="11"/>
        <v>102927</v>
      </c>
      <c r="AD84" s="161">
        <v>151791</v>
      </c>
    </row>
    <row r="85" spans="1:30">
      <c r="A85" s="91" t="s">
        <v>102</v>
      </c>
      <c r="B85" s="91" t="s">
        <v>212</v>
      </c>
      <c r="C85" s="92" t="s">
        <v>213</v>
      </c>
      <c r="D85" s="160">
        <v>89846</v>
      </c>
      <c r="E85" s="161">
        <v>8931</v>
      </c>
      <c r="F85" s="152">
        <f t="shared" si="7"/>
        <v>98777</v>
      </c>
      <c r="G85" s="154">
        <v>1383</v>
      </c>
      <c r="H85" s="228">
        <v>97394</v>
      </c>
      <c r="I85" s="162">
        <v>14817</v>
      </c>
      <c r="X85" s="152">
        <f t="shared" si="8"/>
        <v>98777</v>
      </c>
      <c r="Y85" s="156">
        <f t="shared" si="6"/>
        <v>1.4E-2</v>
      </c>
      <c r="Z85" s="152">
        <f t="shared" si="9"/>
        <v>1383</v>
      </c>
      <c r="AA85" s="157">
        <v>1355</v>
      </c>
      <c r="AB85" s="152">
        <f t="shared" si="10"/>
        <v>97422</v>
      </c>
      <c r="AC85" s="161">
        <f t="shared" si="11"/>
        <v>14817</v>
      </c>
      <c r="AD85" s="161">
        <v>22952</v>
      </c>
    </row>
    <row r="86" spans="1:30">
      <c r="A86" s="83" t="s">
        <v>102</v>
      </c>
      <c r="B86" s="83" t="s">
        <v>214</v>
      </c>
      <c r="C86" s="84" t="s">
        <v>215</v>
      </c>
      <c r="D86" s="160">
        <v>39828</v>
      </c>
      <c r="E86" s="161">
        <v>5074</v>
      </c>
      <c r="F86" s="152">
        <f t="shared" si="7"/>
        <v>44902</v>
      </c>
      <c r="G86" s="154">
        <v>629</v>
      </c>
      <c r="H86" s="228">
        <v>44273</v>
      </c>
      <c r="I86" s="162">
        <v>6735</v>
      </c>
      <c r="X86" s="152">
        <f t="shared" si="8"/>
        <v>44902</v>
      </c>
      <c r="Y86" s="156">
        <f t="shared" si="6"/>
        <v>1.4E-2</v>
      </c>
      <c r="Z86" s="152">
        <f t="shared" si="9"/>
        <v>629</v>
      </c>
      <c r="AA86" s="157">
        <v>616</v>
      </c>
      <c r="AB86" s="152">
        <f t="shared" si="10"/>
        <v>44286</v>
      </c>
      <c r="AC86" s="161">
        <f t="shared" si="11"/>
        <v>6735</v>
      </c>
      <c r="AD86" s="161">
        <v>10338</v>
      </c>
    </row>
    <row r="87" spans="1:30" ht="15.75" thickBot="1">
      <c r="A87" s="83" t="s">
        <v>102</v>
      </c>
      <c r="B87" s="83" t="s">
        <v>216</v>
      </c>
      <c r="C87" s="84" t="s">
        <v>217</v>
      </c>
      <c r="D87" s="174">
        <v>5118</v>
      </c>
      <c r="E87" s="175">
        <v>345</v>
      </c>
      <c r="F87" s="174">
        <f t="shared" si="7"/>
        <v>5463</v>
      </c>
      <c r="G87" s="176">
        <v>76</v>
      </c>
      <c r="H87" s="229">
        <v>5387</v>
      </c>
      <c r="I87" s="177">
        <v>819</v>
      </c>
      <c r="X87" s="174">
        <f t="shared" si="8"/>
        <v>5463</v>
      </c>
      <c r="Y87" s="178">
        <f t="shared" si="6"/>
        <v>1.4E-2</v>
      </c>
      <c r="Z87" s="174">
        <f t="shared" si="9"/>
        <v>76</v>
      </c>
      <c r="AA87" s="179">
        <v>75</v>
      </c>
      <c r="AB87" s="174">
        <f t="shared" si="10"/>
        <v>5388</v>
      </c>
      <c r="AC87" s="175">
        <f t="shared" si="11"/>
        <v>819</v>
      </c>
      <c r="AD87" s="175">
        <v>1283</v>
      </c>
    </row>
    <row r="88" spans="1:30">
      <c r="A88" s="91" t="s">
        <v>218</v>
      </c>
      <c r="B88" s="91" t="s">
        <v>219</v>
      </c>
      <c r="C88" s="92" t="s">
        <v>220</v>
      </c>
      <c r="D88" s="152">
        <v>9462</v>
      </c>
      <c r="E88" s="153">
        <v>1646</v>
      </c>
      <c r="F88" s="152">
        <f t="shared" si="7"/>
        <v>11108</v>
      </c>
      <c r="G88" s="154">
        <v>247</v>
      </c>
      <c r="H88" s="228">
        <v>10861</v>
      </c>
      <c r="I88" s="155">
        <v>1666</v>
      </c>
      <c r="X88" s="152">
        <f t="shared" si="8"/>
        <v>11108</v>
      </c>
      <c r="Y88" s="156">
        <f>+$AG$21</f>
        <v>2.2200000000000001E-2</v>
      </c>
      <c r="Z88" s="152">
        <f t="shared" si="9"/>
        <v>247</v>
      </c>
      <c r="AA88" s="157">
        <v>242</v>
      </c>
      <c r="AB88" s="152">
        <f t="shared" si="10"/>
        <v>10866</v>
      </c>
      <c r="AC88" s="153">
        <f t="shared" si="11"/>
        <v>1666</v>
      </c>
      <c r="AD88" s="153">
        <v>2521</v>
      </c>
    </row>
    <row r="89" spans="1:30">
      <c r="A89" s="91" t="s">
        <v>218</v>
      </c>
      <c r="B89" s="91" t="s">
        <v>221</v>
      </c>
      <c r="C89" s="107" t="s">
        <v>222</v>
      </c>
      <c r="D89" s="160">
        <v>72673</v>
      </c>
      <c r="E89" s="161">
        <v>8409</v>
      </c>
      <c r="F89" s="152">
        <f t="shared" si="7"/>
        <v>81082</v>
      </c>
      <c r="G89" s="154">
        <v>1800</v>
      </c>
      <c r="H89" s="228">
        <v>79282</v>
      </c>
      <c r="I89" s="226">
        <v>12162</v>
      </c>
      <c r="X89" s="152">
        <f t="shared" si="8"/>
        <v>81082</v>
      </c>
      <c r="Y89" s="156">
        <f t="shared" ref="Y89:Y131" si="12">+$AG$21</f>
        <v>2.2200000000000001E-2</v>
      </c>
      <c r="Z89" s="152">
        <f t="shared" si="9"/>
        <v>1800</v>
      </c>
      <c r="AA89" s="157">
        <v>1764</v>
      </c>
      <c r="AB89" s="152">
        <f t="shared" si="10"/>
        <v>79318</v>
      </c>
      <c r="AC89" s="161">
        <f t="shared" si="11"/>
        <v>12162</v>
      </c>
      <c r="AD89" s="161">
        <v>18740</v>
      </c>
    </row>
    <row r="90" spans="1:30">
      <c r="A90" s="91" t="s">
        <v>218</v>
      </c>
      <c r="B90" s="91" t="s">
        <v>223</v>
      </c>
      <c r="C90" s="92" t="s">
        <v>224</v>
      </c>
      <c r="D90" s="160">
        <v>23496</v>
      </c>
      <c r="E90" s="161">
        <v>3990</v>
      </c>
      <c r="F90" s="152">
        <f t="shared" si="7"/>
        <v>27486</v>
      </c>
      <c r="G90" s="154">
        <v>610</v>
      </c>
      <c r="H90" s="228">
        <v>26876</v>
      </c>
      <c r="I90" s="162">
        <v>4123</v>
      </c>
      <c r="X90" s="152">
        <f t="shared" si="8"/>
        <v>27486</v>
      </c>
      <c r="Y90" s="156">
        <f t="shared" si="12"/>
        <v>2.2200000000000001E-2</v>
      </c>
      <c r="Z90" s="152">
        <f t="shared" si="9"/>
        <v>610</v>
      </c>
      <c r="AA90" s="157">
        <v>598</v>
      </c>
      <c r="AB90" s="152">
        <f t="shared" si="10"/>
        <v>26888</v>
      </c>
      <c r="AC90" s="161">
        <f t="shared" si="11"/>
        <v>4123</v>
      </c>
      <c r="AD90" s="161">
        <v>6246</v>
      </c>
    </row>
    <row r="91" spans="1:30">
      <c r="A91" s="83" t="s">
        <v>218</v>
      </c>
      <c r="B91" s="83" t="s">
        <v>225</v>
      </c>
      <c r="C91" s="84" t="s">
        <v>226</v>
      </c>
      <c r="D91" s="160">
        <v>13397</v>
      </c>
      <c r="E91" s="161">
        <v>2384</v>
      </c>
      <c r="F91" s="152">
        <f t="shared" si="7"/>
        <v>15781</v>
      </c>
      <c r="G91" s="154">
        <v>350</v>
      </c>
      <c r="H91" s="228">
        <v>15431</v>
      </c>
      <c r="I91" s="162">
        <v>2367</v>
      </c>
      <c r="X91" s="152">
        <f t="shared" si="8"/>
        <v>15781</v>
      </c>
      <c r="Y91" s="156">
        <f t="shared" si="12"/>
        <v>2.2200000000000001E-2</v>
      </c>
      <c r="Z91" s="152">
        <f t="shared" si="9"/>
        <v>350</v>
      </c>
      <c r="AA91" s="157">
        <v>343</v>
      </c>
      <c r="AB91" s="152">
        <f t="shared" si="10"/>
        <v>15438</v>
      </c>
      <c r="AC91" s="161">
        <f t="shared" si="11"/>
        <v>2367</v>
      </c>
      <c r="AD91" s="161">
        <v>3577</v>
      </c>
    </row>
    <row r="92" spans="1:30">
      <c r="A92" s="91" t="s">
        <v>218</v>
      </c>
      <c r="B92" s="91" t="s">
        <v>227</v>
      </c>
      <c r="C92" s="92" t="s">
        <v>228</v>
      </c>
      <c r="D92" s="160">
        <v>35051</v>
      </c>
      <c r="E92" s="161">
        <v>6025</v>
      </c>
      <c r="F92" s="152">
        <f t="shared" si="7"/>
        <v>41076</v>
      </c>
      <c r="G92" s="154">
        <v>912</v>
      </c>
      <c r="H92" s="228">
        <v>40164</v>
      </c>
      <c r="I92" s="162">
        <v>6161</v>
      </c>
      <c r="X92" s="152">
        <f t="shared" si="8"/>
        <v>41076</v>
      </c>
      <c r="Y92" s="156">
        <f t="shared" si="12"/>
        <v>2.2200000000000001E-2</v>
      </c>
      <c r="Z92" s="152">
        <f t="shared" si="9"/>
        <v>912</v>
      </c>
      <c r="AA92" s="157">
        <v>894</v>
      </c>
      <c r="AB92" s="152">
        <f t="shared" si="10"/>
        <v>40182</v>
      </c>
      <c r="AC92" s="161">
        <f t="shared" si="11"/>
        <v>6161</v>
      </c>
      <c r="AD92" s="161">
        <v>9328</v>
      </c>
    </row>
    <row r="93" spans="1:30">
      <c r="A93" s="83" t="s">
        <v>218</v>
      </c>
      <c r="B93" s="83" t="s">
        <v>229</v>
      </c>
      <c r="C93" s="84" t="s">
        <v>230</v>
      </c>
      <c r="D93" s="160">
        <v>17924</v>
      </c>
      <c r="E93" s="161">
        <v>2906</v>
      </c>
      <c r="F93" s="152">
        <f t="shared" si="7"/>
        <v>20830</v>
      </c>
      <c r="G93" s="154">
        <v>462</v>
      </c>
      <c r="H93" s="228">
        <v>20368</v>
      </c>
      <c r="I93" s="162">
        <v>3125</v>
      </c>
      <c r="X93" s="152">
        <f t="shared" si="8"/>
        <v>20830</v>
      </c>
      <c r="Y93" s="156">
        <f t="shared" si="12"/>
        <v>2.2200000000000001E-2</v>
      </c>
      <c r="Z93" s="152">
        <f t="shared" si="9"/>
        <v>462</v>
      </c>
      <c r="AA93" s="157">
        <v>453</v>
      </c>
      <c r="AB93" s="152">
        <f t="shared" si="10"/>
        <v>20377</v>
      </c>
      <c r="AC93" s="161">
        <f t="shared" si="11"/>
        <v>3125</v>
      </c>
      <c r="AD93" s="161">
        <v>4744</v>
      </c>
    </row>
    <row r="94" spans="1:30">
      <c r="A94" s="91" t="s">
        <v>218</v>
      </c>
      <c r="B94" s="91" t="s">
        <v>231</v>
      </c>
      <c r="C94" s="92" t="s">
        <v>232</v>
      </c>
      <c r="D94" s="160">
        <v>37371</v>
      </c>
      <c r="E94" s="161">
        <v>8409</v>
      </c>
      <c r="F94" s="152">
        <f t="shared" si="7"/>
        <v>45780</v>
      </c>
      <c r="G94" s="154">
        <v>1016</v>
      </c>
      <c r="H94" s="228">
        <v>44764</v>
      </c>
      <c r="I94" s="162">
        <v>6867</v>
      </c>
      <c r="X94" s="152">
        <f t="shared" si="8"/>
        <v>45780</v>
      </c>
      <c r="Y94" s="156">
        <f t="shared" si="12"/>
        <v>2.2200000000000001E-2</v>
      </c>
      <c r="Z94" s="152">
        <f t="shared" si="9"/>
        <v>1016</v>
      </c>
      <c r="AA94" s="157">
        <v>996</v>
      </c>
      <c r="AB94" s="152">
        <f t="shared" si="10"/>
        <v>44784</v>
      </c>
      <c r="AC94" s="161">
        <f t="shared" si="11"/>
        <v>6867</v>
      </c>
      <c r="AD94" s="161">
        <v>10237</v>
      </c>
    </row>
    <row r="95" spans="1:30">
      <c r="A95" s="91" t="s">
        <v>218</v>
      </c>
      <c r="B95" s="91" t="s">
        <v>233</v>
      </c>
      <c r="C95" s="92" t="s">
        <v>234</v>
      </c>
      <c r="D95" s="160">
        <v>14944</v>
      </c>
      <c r="E95" s="161">
        <v>3123</v>
      </c>
      <c r="F95" s="152">
        <f t="shared" si="7"/>
        <v>18067</v>
      </c>
      <c r="G95" s="154">
        <v>401</v>
      </c>
      <c r="H95" s="228">
        <v>17666</v>
      </c>
      <c r="I95" s="162">
        <v>2710</v>
      </c>
      <c r="X95" s="152">
        <f t="shared" si="8"/>
        <v>18067</v>
      </c>
      <c r="Y95" s="156">
        <f t="shared" si="12"/>
        <v>2.2200000000000001E-2</v>
      </c>
      <c r="Z95" s="152">
        <f t="shared" si="9"/>
        <v>401</v>
      </c>
      <c r="AA95" s="157">
        <v>393</v>
      </c>
      <c r="AB95" s="152">
        <f t="shared" si="10"/>
        <v>17674</v>
      </c>
      <c r="AC95" s="161">
        <f t="shared" si="11"/>
        <v>2710</v>
      </c>
      <c r="AD95" s="161">
        <v>4058</v>
      </c>
    </row>
    <row r="96" spans="1:30">
      <c r="A96" s="91" t="s">
        <v>218</v>
      </c>
      <c r="B96" s="91" t="s">
        <v>235</v>
      </c>
      <c r="C96" s="92" t="s">
        <v>236</v>
      </c>
      <c r="D96" s="160">
        <v>33436</v>
      </c>
      <c r="E96" s="161">
        <v>5419</v>
      </c>
      <c r="F96" s="152">
        <f t="shared" si="7"/>
        <v>38855</v>
      </c>
      <c r="G96" s="154">
        <v>863</v>
      </c>
      <c r="H96" s="228">
        <v>37992</v>
      </c>
      <c r="I96" s="162">
        <v>5828</v>
      </c>
      <c r="X96" s="152">
        <f t="shared" si="8"/>
        <v>38855</v>
      </c>
      <c r="Y96" s="156">
        <f t="shared" si="12"/>
        <v>2.2200000000000001E-2</v>
      </c>
      <c r="Z96" s="152">
        <f t="shared" si="9"/>
        <v>863</v>
      </c>
      <c r="AA96" s="157">
        <v>845</v>
      </c>
      <c r="AB96" s="152">
        <f t="shared" si="10"/>
        <v>38010</v>
      </c>
      <c r="AC96" s="161">
        <f t="shared" si="11"/>
        <v>5828</v>
      </c>
      <c r="AD96" s="161">
        <v>8850</v>
      </c>
    </row>
    <row r="97" spans="1:30">
      <c r="A97" s="91" t="s">
        <v>218</v>
      </c>
      <c r="B97" s="91" t="s">
        <v>237</v>
      </c>
      <c r="C97" s="92" t="s">
        <v>238</v>
      </c>
      <c r="D97" s="160">
        <v>60936</v>
      </c>
      <c r="E97" s="161">
        <v>12355</v>
      </c>
      <c r="F97" s="152">
        <f t="shared" si="7"/>
        <v>73291</v>
      </c>
      <c r="G97" s="154">
        <v>1627</v>
      </c>
      <c r="H97" s="228">
        <v>71664</v>
      </c>
      <c r="I97" s="162">
        <v>10994</v>
      </c>
      <c r="X97" s="152">
        <f t="shared" si="8"/>
        <v>73291</v>
      </c>
      <c r="Y97" s="156">
        <f t="shared" si="12"/>
        <v>2.2200000000000001E-2</v>
      </c>
      <c r="Z97" s="152">
        <f t="shared" si="9"/>
        <v>1627</v>
      </c>
      <c r="AA97" s="157">
        <v>1594</v>
      </c>
      <c r="AB97" s="152">
        <f t="shared" si="10"/>
        <v>71697</v>
      </c>
      <c r="AC97" s="161">
        <f t="shared" si="11"/>
        <v>10994</v>
      </c>
      <c r="AD97" s="161">
        <v>16493</v>
      </c>
    </row>
    <row r="98" spans="1:30">
      <c r="A98" s="91" t="s">
        <v>218</v>
      </c>
      <c r="B98" s="91" t="s">
        <v>239</v>
      </c>
      <c r="C98" s="92" t="s">
        <v>240</v>
      </c>
      <c r="D98" s="160">
        <v>200163</v>
      </c>
      <c r="E98" s="161">
        <v>42612</v>
      </c>
      <c r="F98" s="152">
        <f t="shared" si="7"/>
        <v>242775</v>
      </c>
      <c r="G98" s="154">
        <v>5390</v>
      </c>
      <c r="H98" s="228">
        <v>237385</v>
      </c>
      <c r="I98" s="162">
        <v>36416</v>
      </c>
      <c r="X98" s="152">
        <f t="shared" si="8"/>
        <v>242775</v>
      </c>
      <c r="Y98" s="156">
        <f t="shared" si="12"/>
        <v>2.2200000000000001E-2</v>
      </c>
      <c r="Z98" s="152">
        <f t="shared" si="9"/>
        <v>5390</v>
      </c>
      <c r="AA98" s="157">
        <v>5281</v>
      </c>
      <c r="AB98" s="152">
        <f t="shared" si="10"/>
        <v>237494</v>
      </c>
      <c r="AC98" s="161">
        <f t="shared" si="11"/>
        <v>36416</v>
      </c>
      <c r="AD98" s="161">
        <v>54473</v>
      </c>
    </row>
    <row r="99" spans="1:30">
      <c r="A99" s="91" t="s">
        <v>218</v>
      </c>
      <c r="B99" s="91" t="s">
        <v>241</v>
      </c>
      <c r="C99" s="92" t="s">
        <v>242</v>
      </c>
      <c r="D99" s="160">
        <v>5868</v>
      </c>
      <c r="E99" s="161">
        <v>1301</v>
      </c>
      <c r="F99" s="152">
        <f t="shared" si="7"/>
        <v>7169</v>
      </c>
      <c r="G99" s="154">
        <v>159</v>
      </c>
      <c r="H99" s="228">
        <v>7010</v>
      </c>
      <c r="I99" s="162">
        <v>1075</v>
      </c>
      <c r="X99" s="152">
        <f t="shared" si="8"/>
        <v>7169</v>
      </c>
      <c r="Y99" s="156">
        <f t="shared" si="12"/>
        <v>2.2200000000000001E-2</v>
      </c>
      <c r="Z99" s="152">
        <f t="shared" si="9"/>
        <v>159</v>
      </c>
      <c r="AA99" s="157">
        <v>156</v>
      </c>
      <c r="AB99" s="152">
        <f t="shared" si="10"/>
        <v>7013</v>
      </c>
      <c r="AC99" s="161">
        <f t="shared" si="11"/>
        <v>1075</v>
      </c>
      <c r="AD99" s="161">
        <v>1605</v>
      </c>
    </row>
    <row r="100" spans="1:30">
      <c r="A100" s="91" t="s">
        <v>218</v>
      </c>
      <c r="B100" s="91" t="s">
        <v>243</v>
      </c>
      <c r="C100" s="110" t="s">
        <v>244</v>
      </c>
      <c r="D100" s="160">
        <v>16536</v>
      </c>
      <c r="E100" s="161">
        <v>2557</v>
      </c>
      <c r="F100" s="152">
        <f t="shared" si="7"/>
        <v>19093</v>
      </c>
      <c r="G100" s="154">
        <v>424</v>
      </c>
      <c r="H100" s="228">
        <v>18669</v>
      </c>
      <c r="I100" s="162">
        <v>2864</v>
      </c>
      <c r="X100" s="152">
        <f t="shared" si="8"/>
        <v>19093</v>
      </c>
      <c r="Y100" s="156">
        <f t="shared" si="12"/>
        <v>2.2200000000000001E-2</v>
      </c>
      <c r="Z100" s="152">
        <f t="shared" si="9"/>
        <v>424</v>
      </c>
      <c r="AA100" s="157">
        <v>415</v>
      </c>
      <c r="AB100" s="152">
        <f t="shared" si="10"/>
        <v>18678</v>
      </c>
      <c r="AC100" s="161">
        <f t="shared" si="11"/>
        <v>2864</v>
      </c>
      <c r="AD100" s="161">
        <v>4359</v>
      </c>
    </row>
    <row r="101" spans="1:30">
      <c r="A101" s="83" t="s">
        <v>218</v>
      </c>
      <c r="B101" s="83" t="s">
        <v>246</v>
      </c>
      <c r="C101" s="84" t="s">
        <v>247</v>
      </c>
      <c r="D101" s="160">
        <v>14011</v>
      </c>
      <c r="E101" s="161">
        <v>2039</v>
      </c>
      <c r="F101" s="152">
        <f t="shared" si="7"/>
        <v>16050</v>
      </c>
      <c r="G101" s="154">
        <v>356</v>
      </c>
      <c r="H101" s="228">
        <v>15694</v>
      </c>
      <c r="I101" s="162">
        <v>2408</v>
      </c>
      <c r="X101" s="152">
        <f t="shared" si="8"/>
        <v>16050</v>
      </c>
      <c r="Y101" s="156">
        <f t="shared" si="12"/>
        <v>2.2200000000000001E-2</v>
      </c>
      <c r="Z101" s="152">
        <f t="shared" si="9"/>
        <v>356</v>
      </c>
      <c r="AA101" s="157">
        <v>349</v>
      </c>
      <c r="AB101" s="152">
        <f t="shared" si="10"/>
        <v>15701</v>
      </c>
      <c r="AC101" s="161">
        <f t="shared" si="11"/>
        <v>2408</v>
      </c>
      <c r="AD101" s="161">
        <v>3674</v>
      </c>
    </row>
    <row r="102" spans="1:30">
      <c r="A102" s="91" t="s">
        <v>218</v>
      </c>
      <c r="B102" s="91" t="s">
        <v>248</v>
      </c>
      <c r="C102" s="92" t="s">
        <v>249</v>
      </c>
      <c r="D102" s="160">
        <v>58479</v>
      </c>
      <c r="E102" s="161">
        <v>10099</v>
      </c>
      <c r="F102" s="152">
        <f t="shared" si="7"/>
        <v>68578</v>
      </c>
      <c r="G102" s="154">
        <v>1522</v>
      </c>
      <c r="H102" s="228">
        <v>67056</v>
      </c>
      <c r="I102" s="162">
        <v>10287</v>
      </c>
      <c r="X102" s="152">
        <f t="shared" si="8"/>
        <v>68578</v>
      </c>
      <c r="Y102" s="156">
        <f t="shared" si="12"/>
        <v>2.2200000000000001E-2</v>
      </c>
      <c r="Z102" s="152">
        <f t="shared" si="9"/>
        <v>1522</v>
      </c>
      <c r="AA102" s="157">
        <v>1492</v>
      </c>
      <c r="AB102" s="152">
        <f t="shared" si="10"/>
        <v>67086</v>
      </c>
      <c r="AC102" s="161">
        <f t="shared" si="11"/>
        <v>10287</v>
      </c>
      <c r="AD102" s="161">
        <v>15569</v>
      </c>
    </row>
    <row r="103" spans="1:30">
      <c r="A103" s="91" t="s">
        <v>218</v>
      </c>
      <c r="B103" s="91" t="s">
        <v>250</v>
      </c>
      <c r="C103" s="92" t="s">
        <v>251</v>
      </c>
      <c r="D103" s="160">
        <v>45742</v>
      </c>
      <c r="E103" s="161">
        <v>10838</v>
      </c>
      <c r="F103" s="152">
        <f t="shared" si="7"/>
        <v>56580</v>
      </c>
      <c r="G103" s="154">
        <v>1256</v>
      </c>
      <c r="H103" s="228">
        <v>55324</v>
      </c>
      <c r="I103" s="162">
        <v>8487</v>
      </c>
      <c r="X103" s="152">
        <f t="shared" si="8"/>
        <v>56580</v>
      </c>
      <c r="Y103" s="156">
        <f t="shared" si="12"/>
        <v>2.2200000000000001E-2</v>
      </c>
      <c r="Z103" s="152">
        <f t="shared" si="9"/>
        <v>1256</v>
      </c>
      <c r="AA103" s="157">
        <v>1231</v>
      </c>
      <c r="AB103" s="152">
        <f t="shared" si="10"/>
        <v>55349</v>
      </c>
      <c r="AC103" s="161">
        <f t="shared" si="11"/>
        <v>8487</v>
      </c>
      <c r="AD103" s="161">
        <v>12610</v>
      </c>
    </row>
    <row r="104" spans="1:30">
      <c r="A104" s="91" t="s">
        <v>218</v>
      </c>
      <c r="B104" s="91" t="s">
        <v>252</v>
      </c>
      <c r="C104" s="92" t="s">
        <v>253</v>
      </c>
      <c r="D104" s="160">
        <v>14876</v>
      </c>
      <c r="E104" s="161">
        <v>2906</v>
      </c>
      <c r="F104" s="152">
        <f t="shared" si="7"/>
        <v>17782</v>
      </c>
      <c r="G104" s="154">
        <v>395</v>
      </c>
      <c r="H104" s="228">
        <v>17387</v>
      </c>
      <c r="I104" s="162">
        <v>2667</v>
      </c>
      <c r="X104" s="152">
        <f t="shared" si="8"/>
        <v>17782</v>
      </c>
      <c r="Y104" s="156">
        <f t="shared" si="12"/>
        <v>2.2200000000000001E-2</v>
      </c>
      <c r="Z104" s="152">
        <f t="shared" si="9"/>
        <v>395</v>
      </c>
      <c r="AA104" s="157">
        <v>387</v>
      </c>
      <c r="AB104" s="152">
        <f t="shared" si="10"/>
        <v>17395</v>
      </c>
      <c r="AC104" s="161">
        <f t="shared" si="11"/>
        <v>2667</v>
      </c>
      <c r="AD104" s="161">
        <v>4010</v>
      </c>
    </row>
    <row r="105" spans="1:30">
      <c r="A105" s="91" t="s">
        <v>218</v>
      </c>
      <c r="B105" s="91" t="s">
        <v>254</v>
      </c>
      <c r="C105" s="92" t="s">
        <v>255</v>
      </c>
      <c r="D105" s="160">
        <v>3366</v>
      </c>
      <c r="E105" s="161">
        <v>2256</v>
      </c>
      <c r="F105" s="152">
        <f t="shared" si="7"/>
        <v>5622</v>
      </c>
      <c r="G105" s="154">
        <v>125</v>
      </c>
      <c r="H105" s="228">
        <v>5497</v>
      </c>
      <c r="I105" s="162">
        <v>843</v>
      </c>
      <c r="X105" s="152">
        <f t="shared" si="8"/>
        <v>5622</v>
      </c>
      <c r="Y105" s="156">
        <f t="shared" si="12"/>
        <v>2.2200000000000001E-2</v>
      </c>
      <c r="Z105" s="152">
        <f t="shared" si="9"/>
        <v>125</v>
      </c>
      <c r="AA105" s="157">
        <v>122</v>
      </c>
      <c r="AB105" s="152">
        <f t="shared" si="10"/>
        <v>5500</v>
      </c>
      <c r="AC105" s="161">
        <f t="shared" si="11"/>
        <v>843</v>
      </c>
      <c r="AD105" s="161">
        <v>1142</v>
      </c>
    </row>
    <row r="106" spans="1:30">
      <c r="A106" s="91" t="s">
        <v>218</v>
      </c>
      <c r="B106" s="91" t="s">
        <v>256</v>
      </c>
      <c r="C106" s="92" t="s">
        <v>257</v>
      </c>
      <c r="D106" s="160">
        <v>30002</v>
      </c>
      <c r="E106" s="161">
        <v>4162</v>
      </c>
      <c r="F106" s="152">
        <f t="shared" si="7"/>
        <v>34164</v>
      </c>
      <c r="G106" s="154">
        <v>758</v>
      </c>
      <c r="H106" s="228">
        <v>33406</v>
      </c>
      <c r="I106" s="162">
        <v>5125</v>
      </c>
      <c r="X106" s="152">
        <f t="shared" si="8"/>
        <v>34164</v>
      </c>
      <c r="Y106" s="156">
        <f t="shared" si="12"/>
        <v>2.2200000000000001E-2</v>
      </c>
      <c r="Z106" s="152">
        <f t="shared" si="9"/>
        <v>758</v>
      </c>
      <c r="AA106" s="157">
        <v>743</v>
      </c>
      <c r="AB106" s="152">
        <f t="shared" si="10"/>
        <v>33421</v>
      </c>
      <c r="AC106" s="161">
        <f t="shared" si="11"/>
        <v>5125</v>
      </c>
      <c r="AD106" s="161">
        <v>7838</v>
      </c>
    </row>
    <row r="107" spans="1:30">
      <c r="A107" s="91" t="s">
        <v>218</v>
      </c>
      <c r="B107" s="91" t="s">
        <v>258</v>
      </c>
      <c r="C107" s="92" t="s">
        <v>259</v>
      </c>
      <c r="D107" s="160">
        <v>21085</v>
      </c>
      <c r="E107" s="161">
        <v>4640</v>
      </c>
      <c r="F107" s="152">
        <f t="shared" si="7"/>
        <v>25725</v>
      </c>
      <c r="G107" s="154">
        <v>571</v>
      </c>
      <c r="H107" s="228">
        <v>25154</v>
      </c>
      <c r="I107" s="162">
        <v>3859</v>
      </c>
      <c r="X107" s="152">
        <f t="shared" si="8"/>
        <v>25725</v>
      </c>
      <c r="Y107" s="156">
        <f t="shared" si="12"/>
        <v>2.2200000000000001E-2</v>
      </c>
      <c r="Z107" s="152">
        <f t="shared" si="9"/>
        <v>571</v>
      </c>
      <c r="AA107" s="157">
        <v>560</v>
      </c>
      <c r="AB107" s="152">
        <f t="shared" si="10"/>
        <v>25165</v>
      </c>
      <c r="AC107" s="161">
        <f t="shared" si="11"/>
        <v>3859</v>
      </c>
      <c r="AD107" s="161">
        <v>5760</v>
      </c>
    </row>
    <row r="108" spans="1:30">
      <c r="A108" s="91" t="s">
        <v>218</v>
      </c>
      <c r="B108" s="91" t="s">
        <v>260</v>
      </c>
      <c r="C108" s="92" t="s">
        <v>261</v>
      </c>
      <c r="D108" s="160">
        <v>10145</v>
      </c>
      <c r="E108" s="161">
        <v>2123</v>
      </c>
      <c r="F108" s="152">
        <f t="shared" si="7"/>
        <v>12268</v>
      </c>
      <c r="G108" s="154">
        <v>272</v>
      </c>
      <c r="H108" s="228">
        <v>11996</v>
      </c>
      <c r="I108" s="162">
        <v>1840</v>
      </c>
      <c r="X108" s="152">
        <f t="shared" si="8"/>
        <v>12268</v>
      </c>
      <c r="Y108" s="156">
        <f t="shared" si="12"/>
        <v>2.2200000000000001E-2</v>
      </c>
      <c r="Z108" s="152">
        <f t="shared" si="9"/>
        <v>272</v>
      </c>
      <c r="AA108" s="157">
        <v>267</v>
      </c>
      <c r="AB108" s="152">
        <f t="shared" si="10"/>
        <v>12001</v>
      </c>
      <c r="AC108" s="161">
        <f t="shared" si="11"/>
        <v>1840</v>
      </c>
      <c r="AD108" s="161">
        <v>2756</v>
      </c>
    </row>
    <row r="109" spans="1:30">
      <c r="A109" s="91" t="s">
        <v>218</v>
      </c>
      <c r="B109" s="91" t="s">
        <v>262</v>
      </c>
      <c r="C109" s="92" t="s">
        <v>263</v>
      </c>
      <c r="D109" s="160">
        <v>15581</v>
      </c>
      <c r="E109" s="161">
        <v>1951</v>
      </c>
      <c r="F109" s="152">
        <f t="shared" si="7"/>
        <v>17532</v>
      </c>
      <c r="G109" s="154">
        <v>389</v>
      </c>
      <c r="H109" s="228">
        <v>17143</v>
      </c>
      <c r="I109" s="162">
        <v>2630</v>
      </c>
      <c r="X109" s="152">
        <f t="shared" si="8"/>
        <v>17532</v>
      </c>
      <c r="Y109" s="156">
        <f t="shared" si="12"/>
        <v>2.2200000000000001E-2</v>
      </c>
      <c r="Z109" s="152">
        <f t="shared" si="9"/>
        <v>389</v>
      </c>
      <c r="AA109" s="157">
        <v>381</v>
      </c>
      <c r="AB109" s="152">
        <f t="shared" si="10"/>
        <v>17151</v>
      </c>
      <c r="AC109" s="161">
        <f t="shared" si="11"/>
        <v>2630</v>
      </c>
      <c r="AD109" s="161">
        <v>4040</v>
      </c>
    </row>
    <row r="110" spans="1:30">
      <c r="A110" s="83" t="s">
        <v>218</v>
      </c>
      <c r="B110" s="83" t="s">
        <v>264</v>
      </c>
      <c r="C110" s="84" t="s">
        <v>265</v>
      </c>
      <c r="D110" s="160">
        <v>15103</v>
      </c>
      <c r="E110" s="161">
        <v>3512</v>
      </c>
      <c r="F110" s="152">
        <f t="shared" si="7"/>
        <v>18615</v>
      </c>
      <c r="G110" s="154">
        <v>413</v>
      </c>
      <c r="H110" s="228">
        <v>18202</v>
      </c>
      <c r="I110" s="162">
        <v>2792</v>
      </c>
      <c r="X110" s="152">
        <f t="shared" si="8"/>
        <v>18615</v>
      </c>
      <c r="Y110" s="156">
        <f t="shared" si="12"/>
        <v>2.2200000000000001E-2</v>
      </c>
      <c r="Z110" s="152">
        <f t="shared" si="9"/>
        <v>413</v>
      </c>
      <c r="AA110" s="157">
        <v>405</v>
      </c>
      <c r="AB110" s="152">
        <f t="shared" si="10"/>
        <v>18210</v>
      </c>
      <c r="AC110" s="161">
        <f t="shared" si="11"/>
        <v>2792</v>
      </c>
      <c r="AD110" s="161">
        <v>4154</v>
      </c>
    </row>
    <row r="111" spans="1:30">
      <c r="A111" s="91" t="s">
        <v>218</v>
      </c>
      <c r="B111" s="91" t="s">
        <v>266</v>
      </c>
      <c r="C111" s="92" t="s">
        <v>267</v>
      </c>
      <c r="D111" s="160">
        <v>39942</v>
      </c>
      <c r="E111" s="161">
        <v>6675</v>
      </c>
      <c r="F111" s="152">
        <f t="shared" si="7"/>
        <v>46617</v>
      </c>
      <c r="G111" s="154">
        <v>1035</v>
      </c>
      <c r="H111" s="228">
        <v>45582</v>
      </c>
      <c r="I111" s="162">
        <v>6993</v>
      </c>
      <c r="X111" s="152">
        <f t="shared" si="8"/>
        <v>46617</v>
      </c>
      <c r="Y111" s="156">
        <f t="shared" si="12"/>
        <v>2.2200000000000001E-2</v>
      </c>
      <c r="Z111" s="152">
        <f t="shared" si="9"/>
        <v>1035</v>
      </c>
      <c r="AA111" s="157">
        <v>1014</v>
      </c>
      <c r="AB111" s="152">
        <f t="shared" si="10"/>
        <v>45603</v>
      </c>
      <c r="AC111" s="161">
        <f t="shared" si="11"/>
        <v>6993</v>
      </c>
      <c r="AD111" s="161">
        <v>10601</v>
      </c>
    </row>
    <row r="112" spans="1:30">
      <c r="A112" s="91" t="s">
        <v>218</v>
      </c>
      <c r="B112" s="91" t="s">
        <v>268</v>
      </c>
      <c r="C112" s="92" t="s">
        <v>269</v>
      </c>
      <c r="D112" s="160">
        <v>8257</v>
      </c>
      <c r="E112" s="161">
        <v>1862</v>
      </c>
      <c r="F112" s="152">
        <f t="shared" si="7"/>
        <v>10119</v>
      </c>
      <c r="G112" s="154">
        <v>225</v>
      </c>
      <c r="H112" s="228">
        <v>9894</v>
      </c>
      <c r="I112" s="162">
        <v>1518</v>
      </c>
      <c r="X112" s="152">
        <f t="shared" si="8"/>
        <v>10119</v>
      </c>
      <c r="Y112" s="156">
        <f t="shared" si="12"/>
        <v>2.2200000000000001E-2</v>
      </c>
      <c r="Z112" s="152">
        <f t="shared" si="9"/>
        <v>225</v>
      </c>
      <c r="AA112" s="157">
        <v>220</v>
      </c>
      <c r="AB112" s="152">
        <f t="shared" si="10"/>
        <v>9899</v>
      </c>
      <c r="AC112" s="161">
        <f t="shared" si="11"/>
        <v>1518</v>
      </c>
      <c r="AD112" s="161">
        <v>2262</v>
      </c>
    </row>
    <row r="113" spans="1:30">
      <c r="A113" s="91" t="s">
        <v>218</v>
      </c>
      <c r="B113" s="91" t="s">
        <v>270</v>
      </c>
      <c r="C113" s="92" t="s">
        <v>271</v>
      </c>
      <c r="D113" s="160">
        <v>34483</v>
      </c>
      <c r="E113" s="161">
        <v>6025</v>
      </c>
      <c r="F113" s="152">
        <f t="shared" si="7"/>
        <v>40508</v>
      </c>
      <c r="G113" s="154">
        <v>899</v>
      </c>
      <c r="H113" s="228">
        <v>39609</v>
      </c>
      <c r="I113" s="162">
        <v>6076</v>
      </c>
      <c r="X113" s="152">
        <f t="shared" si="8"/>
        <v>40508</v>
      </c>
      <c r="Y113" s="156">
        <f t="shared" si="12"/>
        <v>2.2200000000000001E-2</v>
      </c>
      <c r="Z113" s="152">
        <f t="shared" si="9"/>
        <v>899</v>
      </c>
      <c r="AA113" s="157">
        <v>881</v>
      </c>
      <c r="AB113" s="152">
        <f t="shared" si="10"/>
        <v>39627</v>
      </c>
      <c r="AC113" s="161">
        <f t="shared" si="11"/>
        <v>6076</v>
      </c>
      <c r="AD113" s="161">
        <v>9191</v>
      </c>
    </row>
    <row r="114" spans="1:30">
      <c r="A114" s="83" t="s">
        <v>218</v>
      </c>
      <c r="B114" s="83" t="s">
        <v>273</v>
      </c>
      <c r="C114" s="84" t="s">
        <v>274</v>
      </c>
      <c r="D114" s="160">
        <v>29592</v>
      </c>
      <c r="E114" s="161">
        <v>5074</v>
      </c>
      <c r="F114" s="152">
        <f t="shared" si="7"/>
        <v>34666</v>
      </c>
      <c r="G114" s="154">
        <v>770</v>
      </c>
      <c r="H114" s="228">
        <v>33896</v>
      </c>
      <c r="I114" s="162">
        <v>5200</v>
      </c>
      <c r="X114" s="152">
        <f t="shared" si="8"/>
        <v>34666</v>
      </c>
      <c r="Y114" s="156">
        <f t="shared" si="12"/>
        <v>2.2200000000000001E-2</v>
      </c>
      <c r="Z114" s="152">
        <f t="shared" si="9"/>
        <v>770</v>
      </c>
      <c r="AA114" s="157">
        <v>754</v>
      </c>
      <c r="AB114" s="152">
        <f t="shared" si="10"/>
        <v>33912</v>
      </c>
      <c r="AC114" s="161">
        <f t="shared" si="11"/>
        <v>5200</v>
      </c>
      <c r="AD114" s="161">
        <v>7873</v>
      </c>
    </row>
    <row r="115" spans="1:30">
      <c r="A115" s="91" t="s">
        <v>218</v>
      </c>
      <c r="B115" s="91" t="s">
        <v>275</v>
      </c>
      <c r="C115" s="92" t="s">
        <v>276</v>
      </c>
      <c r="D115" s="160">
        <v>20926</v>
      </c>
      <c r="E115" s="161">
        <v>4897</v>
      </c>
      <c r="F115" s="152">
        <f t="shared" si="7"/>
        <v>25823</v>
      </c>
      <c r="G115" s="154">
        <v>573</v>
      </c>
      <c r="H115" s="228">
        <v>25250</v>
      </c>
      <c r="I115" s="162">
        <v>3873</v>
      </c>
      <c r="X115" s="152">
        <f t="shared" si="8"/>
        <v>25823</v>
      </c>
      <c r="Y115" s="156">
        <f t="shared" si="12"/>
        <v>2.2200000000000001E-2</v>
      </c>
      <c r="Z115" s="152">
        <f t="shared" si="9"/>
        <v>573</v>
      </c>
      <c r="AA115" s="157">
        <v>562</v>
      </c>
      <c r="AB115" s="152">
        <f t="shared" si="10"/>
        <v>25261</v>
      </c>
      <c r="AC115" s="161">
        <f t="shared" si="11"/>
        <v>3873</v>
      </c>
      <c r="AD115" s="161">
        <v>5760</v>
      </c>
    </row>
    <row r="116" spans="1:30">
      <c r="A116" s="91" t="s">
        <v>218</v>
      </c>
      <c r="B116" s="91" t="s">
        <v>277</v>
      </c>
      <c r="C116" s="92" t="s">
        <v>278</v>
      </c>
      <c r="D116" s="160">
        <v>11646</v>
      </c>
      <c r="E116" s="161">
        <v>1778</v>
      </c>
      <c r="F116" s="152">
        <f t="shared" si="7"/>
        <v>13424</v>
      </c>
      <c r="G116" s="154">
        <v>298</v>
      </c>
      <c r="H116" s="228">
        <v>13126</v>
      </c>
      <c r="I116" s="162">
        <v>2014</v>
      </c>
      <c r="X116" s="152">
        <f t="shared" si="8"/>
        <v>13424</v>
      </c>
      <c r="Y116" s="156">
        <f t="shared" si="12"/>
        <v>2.2200000000000001E-2</v>
      </c>
      <c r="Z116" s="152">
        <f t="shared" si="9"/>
        <v>298</v>
      </c>
      <c r="AA116" s="157">
        <v>292</v>
      </c>
      <c r="AB116" s="152">
        <f t="shared" si="10"/>
        <v>13132</v>
      </c>
      <c r="AC116" s="161">
        <f t="shared" si="11"/>
        <v>2014</v>
      </c>
      <c r="AD116" s="161">
        <v>3066</v>
      </c>
    </row>
    <row r="117" spans="1:30">
      <c r="A117" s="91" t="s">
        <v>218</v>
      </c>
      <c r="B117" s="91" t="s">
        <v>279</v>
      </c>
      <c r="C117" s="92" t="s">
        <v>280</v>
      </c>
      <c r="D117" s="160">
        <v>17264</v>
      </c>
      <c r="E117" s="161">
        <v>3340</v>
      </c>
      <c r="F117" s="152">
        <f t="shared" si="7"/>
        <v>20604</v>
      </c>
      <c r="G117" s="154">
        <v>457</v>
      </c>
      <c r="H117" s="228">
        <v>20147</v>
      </c>
      <c r="I117" s="162">
        <v>3091</v>
      </c>
      <c r="X117" s="152">
        <f t="shared" si="8"/>
        <v>20604</v>
      </c>
      <c r="Y117" s="156">
        <f t="shared" si="12"/>
        <v>2.2200000000000001E-2</v>
      </c>
      <c r="Z117" s="152">
        <f t="shared" si="9"/>
        <v>457</v>
      </c>
      <c r="AA117" s="157">
        <v>448</v>
      </c>
      <c r="AB117" s="152">
        <f t="shared" si="10"/>
        <v>20156</v>
      </c>
      <c r="AC117" s="161">
        <f t="shared" si="11"/>
        <v>3091</v>
      </c>
      <c r="AD117" s="161">
        <v>4649</v>
      </c>
    </row>
    <row r="118" spans="1:30">
      <c r="A118" s="91" t="s">
        <v>218</v>
      </c>
      <c r="B118" s="91" t="s">
        <v>281</v>
      </c>
      <c r="C118" s="92" t="s">
        <v>282</v>
      </c>
      <c r="D118" s="160">
        <v>7415</v>
      </c>
      <c r="E118" s="161">
        <v>2256</v>
      </c>
      <c r="F118" s="152">
        <f t="shared" si="7"/>
        <v>9671</v>
      </c>
      <c r="G118" s="154">
        <v>215</v>
      </c>
      <c r="H118" s="228">
        <v>9456</v>
      </c>
      <c r="I118" s="162">
        <v>1451</v>
      </c>
      <c r="X118" s="152">
        <f t="shared" si="8"/>
        <v>9671</v>
      </c>
      <c r="Y118" s="156">
        <f t="shared" si="12"/>
        <v>2.2200000000000001E-2</v>
      </c>
      <c r="Z118" s="152">
        <f t="shared" si="9"/>
        <v>215</v>
      </c>
      <c r="AA118" s="157">
        <v>210</v>
      </c>
      <c r="AB118" s="152">
        <f t="shared" si="10"/>
        <v>9461</v>
      </c>
      <c r="AC118" s="161">
        <f t="shared" si="11"/>
        <v>1451</v>
      </c>
      <c r="AD118" s="161">
        <v>2118</v>
      </c>
    </row>
    <row r="119" spans="1:30">
      <c r="A119" s="91" t="s">
        <v>218</v>
      </c>
      <c r="B119" s="91" t="s">
        <v>283</v>
      </c>
      <c r="C119" s="110" t="s">
        <v>284</v>
      </c>
      <c r="D119" s="160">
        <v>22496</v>
      </c>
      <c r="E119" s="161">
        <v>3990</v>
      </c>
      <c r="F119" s="152">
        <f t="shared" si="7"/>
        <v>26486</v>
      </c>
      <c r="G119" s="154">
        <v>588</v>
      </c>
      <c r="H119" s="228">
        <v>25898</v>
      </c>
      <c r="I119" s="162">
        <v>3973</v>
      </c>
      <c r="X119" s="152">
        <f t="shared" si="8"/>
        <v>26486</v>
      </c>
      <c r="Y119" s="156">
        <f t="shared" si="12"/>
        <v>2.2200000000000001E-2</v>
      </c>
      <c r="Z119" s="152">
        <f t="shared" si="9"/>
        <v>588</v>
      </c>
      <c r="AA119" s="157">
        <v>576</v>
      </c>
      <c r="AB119" s="152">
        <f t="shared" si="10"/>
        <v>25910</v>
      </c>
      <c r="AC119" s="161">
        <f t="shared" si="11"/>
        <v>3973</v>
      </c>
      <c r="AD119" s="161">
        <v>6005</v>
      </c>
    </row>
    <row r="120" spans="1:30">
      <c r="A120" s="83" t="s">
        <v>218</v>
      </c>
      <c r="B120" s="83" t="s">
        <v>285</v>
      </c>
      <c r="C120" s="84" t="s">
        <v>286</v>
      </c>
      <c r="D120" s="160">
        <v>22746</v>
      </c>
      <c r="E120" s="161">
        <v>2645</v>
      </c>
      <c r="F120" s="152">
        <f t="shared" si="7"/>
        <v>25391</v>
      </c>
      <c r="G120" s="154">
        <v>564</v>
      </c>
      <c r="H120" s="228">
        <v>24827</v>
      </c>
      <c r="I120" s="162">
        <v>3809</v>
      </c>
      <c r="X120" s="152">
        <f t="shared" si="8"/>
        <v>25391</v>
      </c>
      <c r="Y120" s="156">
        <f t="shared" si="12"/>
        <v>2.2200000000000001E-2</v>
      </c>
      <c r="Z120" s="152">
        <f t="shared" si="9"/>
        <v>564</v>
      </c>
      <c r="AA120" s="157">
        <v>552</v>
      </c>
      <c r="AB120" s="152">
        <f t="shared" si="10"/>
        <v>24839</v>
      </c>
      <c r="AC120" s="161">
        <f t="shared" si="11"/>
        <v>3809</v>
      </c>
      <c r="AD120" s="161">
        <v>5867</v>
      </c>
    </row>
    <row r="121" spans="1:30">
      <c r="A121" s="91" t="s">
        <v>218</v>
      </c>
      <c r="B121" s="91" t="s">
        <v>287</v>
      </c>
      <c r="C121" s="110" t="s">
        <v>288</v>
      </c>
      <c r="D121" s="160">
        <v>30297</v>
      </c>
      <c r="E121" s="161">
        <v>4207</v>
      </c>
      <c r="F121" s="152">
        <f t="shared" si="7"/>
        <v>34504</v>
      </c>
      <c r="G121" s="154">
        <v>766</v>
      </c>
      <c r="H121" s="228">
        <v>33738</v>
      </c>
      <c r="I121" s="162">
        <v>5176</v>
      </c>
      <c r="X121" s="152">
        <f t="shared" si="8"/>
        <v>34504</v>
      </c>
      <c r="Y121" s="156">
        <f t="shared" si="12"/>
        <v>2.2200000000000001E-2</v>
      </c>
      <c r="Z121" s="152">
        <f t="shared" si="9"/>
        <v>766</v>
      </c>
      <c r="AA121" s="157">
        <v>751</v>
      </c>
      <c r="AB121" s="152">
        <f t="shared" si="10"/>
        <v>33753</v>
      </c>
      <c r="AC121" s="161">
        <f t="shared" si="11"/>
        <v>5176</v>
      </c>
      <c r="AD121" s="161">
        <v>7916</v>
      </c>
    </row>
    <row r="122" spans="1:30">
      <c r="A122" s="91" t="s">
        <v>218</v>
      </c>
      <c r="B122" s="91" t="s">
        <v>289</v>
      </c>
      <c r="C122" s="110" t="s">
        <v>290</v>
      </c>
      <c r="D122" s="160">
        <v>24656</v>
      </c>
      <c r="E122" s="161">
        <v>4335</v>
      </c>
      <c r="F122" s="152">
        <f t="shared" si="7"/>
        <v>28991</v>
      </c>
      <c r="G122" s="154">
        <v>644</v>
      </c>
      <c r="H122" s="228">
        <v>28347</v>
      </c>
      <c r="I122" s="162">
        <v>4349</v>
      </c>
      <c r="X122" s="152">
        <f t="shared" si="8"/>
        <v>28991</v>
      </c>
      <c r="Y122" s="156">
        <f t="shared" si="12"/>
        <v>2.2200000000000001E-2</v>
      </c>
      <c r="Z122" s="152">
        <f t="shared" si="9"/>
        <v>644</v>
      </c>
      <c r="AA122" s="157">
        <v>631</v>
      </c>
      <c r="AB122" s="152">
        <f t="shared" si="10"/>
        <v>28360</v>
      </c>
      <c r="AC122" s="161">
        <f t="shared" si="11"/>
        <v>4349</v>
      </c>
      <c r="AD122" s="161">
        <v>6576</v>
      </c>
    </row>
    <row r="123" spans="1:30">
      <c r="A123" s="91" t="s">
        <v>218</v>
      </c>
      <c r="B123" s="91" t="s">
        <v>291</v>
      </c>
      <c r="C123" s="110" t="s">
        <v>292</v>
      </c>
      <c r="D123" s="160">
        <v>93326</v>
      </c>
      <c r="E123" s="161">
        <v>16951</v>
      </c>
      <c r="F123" s="152">
        <f t="shared" si="7"/>
        <v>110277</v>
      </c>
      <c r="G123" s="154">
        <v>2448</v>
      </c>
      <c r="H123" s="228">
        <v>107829</v>
      </c>
      <c r="I123" s="162">
        <v>16542</v>
      </c>
      <c r="X123" s="152">
        <f t="shared" si="8"/>
        <v>110277</v>
      </c>
      <c r="Y123" s="156">
        <f t="shared" si="12"/>
        <v>2.2200000000000001E-2</v>
      </c>
      <c r="Z123" s="152">
        <f t="shared" si="9"/>
        <v>2448</v>
      </c>
      <c r="AA123" s="157">
        <v>2399</v>
      </c>
      <c r="AB123" s="152">
        <f t="shared" si="10"/>
        <v>107878</v>
      </c>
      <c r="AC123" s="161">
        <f t="shared" si="11"/>
        <v>16542</v>
      </c>
      <c r="AD123" s="161">
        <v>24969</v>
      </c>
    </row>
    <row r="124" spans="1:30">
      <c r="A124" s="83" t="s">
        <v>218</v>
      </c>
      <c r="B124" s="83" t="s">
        <v>293</v>
      </c>
      <c r="C124" s="84" t="s">
        <v>294</v>
      </c>
      <c r="D124" s="160">
        <v>53748</v>
      </c>
      <c r="E124" s="161">
        <v>4941</v>
      </c>
      <c r="F124" s="152">
        <f t="shared" si="7"/>
        <v>58689</v>
      </c>
      <c r="G124" s="154">
        <v>1303</v>
      </c>
      <c r="H124" s="228">
        <v>57386</v>
      </c>
      <c r="I124" s="162">
        <v>8803</v>
      </c>
      <c r="X124" s="152">
        <f t="shared" si="8"/>
        <v>58689</v>
      </c>
      <c r="Y124" s="156">
        <f t="shared" si="12"/>
        <v>2.2200000000000001E-2</v>
      </c>
      <c r="Z124" s="152">
        <f t="shared" si="9"/>
        <v>1303</v>
      </c>
      <c r="AA124" s="157">
        <v>1277</v>
      </c>
      <c r="AB124" s="152">
        <f t="shared" si="10"/>
        <v>57412</v>
      </c>
      <c r="AC124" s="161">
        <f t="shared" si="11"/>
        <v>8803</v>
      </c>
      <c r="AD124" s="161">
        <v>13672</v>
      </c>
    </row>
    <row r="125" spans="1:30">
      <c r="A125" s="91" t="s">
        <v>218</v>
      </c>
      <c r="B125" s="91" t="s">
        <v>295</v>
      </c>
      <c r="C125" s="92" t="s">
        <v>296</v>
      </c>
      <c r="D125" s="160">
        <v>107769</v>
      </c>
      <c r="E125" s="161">
        <v>33163</v>
      </c>
      <c r="F125" s="152">
        <f t="shared" si="7"/>
        <v>140932</v>
      </c>
      <c r="G125" s="154">
        <v>3129</v>
      </c>
      <c r="H125" s="228">
        <v>137803</v>
      </c>
      <c r="I125" s="162">
        <v>21140</v>
      </c>
      <c r="X125" s="152">
        <f t="shared" si="8"/>
        <v>140932</v>
      </c>
      <c r="Y125" s="156">
        <f t="shared" si="12"/>
        <v>2.2200000000000001E-2</v>
      </c>
      <c r="Z125" s="152">
        <f t="shared" si="9"/>
        <v>3129</v>
      </c>
      <c r="AA125" s="157">
        <v>3066</v>
      </c>
      <c r="AB125" s="152">
        <f t="shared" si="10"/>
        <v>137866</v>
      </c>
      <c r="AC125" s="161">
        <f t="shared" si="11"/>
        <v>21140</v>
      </c>
      <c r="AD125" s="161">
        <v>30831</v>
      </c>
    </row>
    <row r="126" spans="1:30">
      <c r="A126" s="91" t="s">
        <v>218</v>
      </c>
      <c r="B126" s="91" t="s">
        <v>297</v>
      </c>
      <c r="C126" s="92" t="s">
        <v>298</v>
      </c>
      <c r="D126" s="160">
        <v>7370</v>
      </c>
      <c r="E126" s="161">
        <v>823</v>
      </c>
      <c r="F126" s="152">
        <f t="shared" si="7"/>
        <v>8193</v>
      </c>
      <c r="G126" s="154">
        <v>182</v>
      </c>
      <c r="H126" s="228">
        <v>8011</v>
      </c>
      <c r="I126" s="162">
        <v>1229</v>
      </c>
      <c r="X126" s="152">
        <f t="shared" si="8"/>
        <v>8193</v>
      </c>
      <c r="Y126" s="156">
        <f t="shared" si="12"/>
        <v>2.2200000000000001E-2</v>
      </c>
      <c r="Z126" s="152">
        <f t="shared" si="9"/>
        <v>182</v>
      </c>
      <c r="AA126" s="157">
        <v>178</v>
      </c>
      <c r="AB126" s="152">
        <f t="shared" si="10"/>
        <v>8015</v>
      </c>
      <c r="AC126" s="161">
        <f t="shared" si="11"/>
        <v>1229</v>
      </c>
      <c r="AD126" s="161">
        <v>1896</v>
      </c>
    </row>
    <row r="127" spans="1:30">
      <c r="A127" s="91" t="s">
        <v>218</v>
      </c>
      <c r="B127" s="91" t="s">
        <v>299</v>
      </c>
      <c r="C127" s="92" t="s">
        <v>300</v>
      </c>
      <c r="D127" s="160">
        <v>6846</v>
      </c>
      <c r="E127" s="161">
        <v>739</v>
      </c>
      <c r="F127" s="152">
        <f t="shared" si="7"/>
        <v>7585</v>
      </c>
      <c r="G127" s="154">
        <v>168</v>
      </c>
      <c r="H127" s="228">
        <v>7417</v>
      </c>
      <c r="I127" s="162">
        <v>1138</v>
      </c>
      <c r="X127" s="152">
        <f t="shared" si="8"/>
        <v>7585</v>
      </c>
      <c r="Y127" s="156">
        <f t="shared" si="12"/>
        <v>2.2200000000000001E-2</v>
      </c>
      <c r="Z127" s="152">
        <f t="shared" si="9"/>
        <v>168</v>
      </c>
      <c r="AA127" s="157">
        <v>165</v>
      </c>
      <c r="AB127" s="152">
        <f t="shared" si="10"/>
        <v>7420</v>
      </c>
      <c r="AC127" s="161">
        <f t="shared" si="11"/>
        <v>1138</v>
      </c>
      <c r="AD127" s="161">
        <v>1758</v>
      </c>
    </row>
    <row r="128" spans="1:30">
      <c r="A128" s="91" t="s">
        <v>218</v>
      </c>
      <c r="B128" s="91" t="s">
        <v>301</v>
      </c>
      <c r="C128" s="92" t="s">
        <v>302</v>
      </c>
      <c r="D128" s="160">
        <v>8370</v>
      </c>
      <c r="E128" s="161">
        <v>1172</v>
      </c>
      <c r="F128" s="152">
        <f t="shared" si="7"/>
        <v>9542</v>
      </c>
      <c r="G128" s="154">
        <v>212</v>
      </c>
      <c r="H128" s="228">
        <v>9330</v>
      </c>
      <c r="I128" s="162">
        <v>1431</v>
      </c>
      <c r="X128" s="152">
        <f t="shared" si="8"/>
        <v>9542</v>
      </c>
      <c r="Y128" s="156">
        <f t="shared" si="12"/>
        <v>2.2200000000000001E-2</v>
      </c>
      <c r="Z128" s="152">
        <f t="shared" si="9"/>
        <v>212</v>
      </c>
      <c r="AA128" s="157">
        <v>208</v>
      </c>
      <c r="AB128" s="152">
        <f t="shared" si="10"/>
        <v>9334</v>
      </c>
      <c r="AC128" s="161">
        <f t="shared" si="11"/>
        <v>1431</v>
      </c>
      <c r="AD128" s="161">
        <v>2188</v>
      </c>
    </row>
    <row r="129" spans="1:30">
      <c r="A129" s="104" t="s">
        <v>218</v>
      </c>
      <c r="B129" s="104" t="s">
        <v>303</v>
      </c>
      <c r="C129" s="105" t="s">
        <v>304</v>
      </c>
      <c r="D129" s="160">
        <v>43444</v>
      </c>
      <c r="E129" s="161">
        <v>6808</v>
      </c>
      <c r="F129" s="152">
        <f t="shared" si="7"/>
        <v>50252</v>
      </c>
      <c r="G129" s="154">
        <v>1116</v>
      </c>
      <c r="H129" s="228">
        <v>49136</v>
      </c>
      <c r="I129" s="162">
        <v>7538</v>
      </c>
      <c r="X129" s="152">
        <f t="shared" si="8"/>
        <v>50252</v>
      </c>
      <c r="Y129" s="156">
        <f t="shared" si="12"/>
        <v>2.2200000000000001E-2</v>
      </c>
      <c r="Z129" s="152">
        <f t="shared" si="9"/>
        <v>1116</v>
      </c>
      <c r="AA129" s="157">
        <v>1093</v>
      </c>
      <c r="AB129" s="152">
        <f t="shared" si="10"/>
        <v>49159</v>
      </c>
      <c r="AC129" s="161">
        <f t="shared" si="11"/>
        <v>7538</v>
      </c>
      <c r="AD129" s="161">
        <v>11464</v>
      </c>
    </row>
    <row r="130" spans="1:30">
      <c r="A130" s="91" t="s">
        <v>218</v>
      </c>
      <c r="B130" s="91" t="s">
        <v>305</v>
      </c>
      <c r="C130" s="92" t="s">
        <v>306</v>
      </c>
      <c r="D130" s="160">
        <v>73446</v>
      </c>
      <c r="E130" s="161">
        <v>14828</v>
      </c>
      <c r="F130" s="152">
        <f t="shared" si="7"/>
        <v>88274</v>
      </c>
      <c r="G130" s="154">
        <v>1960</v>
      </c>
      <c r="H130" s="228">
        <v>86314</v>
      </c>
      <c r="I130" s="162">
        <v>13241</v>
      </c>
      <c r="X130" s="152">
        <f t="shared" si="8"/>
        <v>88274</v>
      </c>
      <c r="Y130" s="156">
        <f t="shared" si="12"/>
        <v>2.2200000000000001E-2</v>
      </c>
      <c r="Z130" s="152">
        <f t="shared" si="9"/>
        <v>1960</v>
      </c>
      <c r="AA130" s="157">
        <v>1920</v>
      </c>
      <c r="AB130" s="152">
        <f t="shared" si="10"/>
        <v>86354</v>
      </c>
      <c r="AC130" s="161">
        <f t="shared" si="11"/>
        <v>13241</v>
      </c>
      <c r="AD130" s="161">
        <v>19869</v>
      </c>
    </row>
    <row r="131" spans="1:30" ht="15.75" thickBot="1">
      <c r="A131" s="93" t="s">
        <v>218</v>
      </c>
      <c r="B131" s="93" t="s">
        <v>307</v>
      </c>
      <c r="C131" s="94" t="s">
        <v>308</v>
      </c>
      <c r="D131" s="174">
        <v>15558</v>
      </c>
      <c r="E131" s="175">
        <v>1778</v>
      </c>
      <c r="F131" s="174">
        <f t="shared" si="7"/>
        <v>17336</v>
      </c>
      <c r="G131" s="176">
        <v>385</v>
      </c>
      <c r="H131" s="229">
        <v>16951</v>
      </c>
      <c r="I131" s="177">
        <v>2600</v>
      </c>
      <c r="X131" s="174">
        <f t="shared" si="8"/>
        <v>17336</v>
      </c>
      <c r="Y131" s="178">
        <f t="shared" si="12"/>
        <v>2.2200000000000001E-2</v>
      </c>
      <c r="Z131" s="174">
        <f t="shared" si="9"/>
        <v>385</v>
      </c>
      <c r="AA131" s="179">
        <v>377</v>
      </c>
      <c r="AB131" s="174">
        <f t="shared" si="10"/>
        <v>16959</v>
      </c>
      <c r="AC131" s="175">
        <f t="shared" si="11"/>
        <v>2600</v>
      </c>
      <c r="AD131" s="175">
        <v>4008</v>
      </c>
    </row>
    <row r="132" spans="1:30">
      <c r="A132" s="91" t="s">
        <v>309</v>
      </c>
      <c r="B132" s="91" t="s">
        <v>310</v>
      </c>
      <c r="C132" s="92" t="s">
        <v>311</v>
      </c>
      <c r="D132" s="152">
        <v>13147</v>
      </c>
      <c r="E132" s="153">
        <v>3035</v>
      </c>
      <c r="F132" s="152">
        <f t="shared" si="7"/>
        <v>16182</v>
      </c>
      <c r="G132" s="154">
        <v>162</v>
      </c>
      <c r="H132" s="228">
        <v>16020</v>
      </c>
      <c r="I132" s="155">
        <v>2427</v>
      </c>
      <c r="X132" s="152">
        <f t="shared" si="8"/>
        <v>16182</v>
      </c>
      <c r="Y132" s="156">
        <f>+$AG$22</f>
        <v>0.01</v>
      </c>
      <c r="Z132" s="152">
        <f t="shared" si="9"/>
        <v>162</v>
      </c>
      <c r="AA132" s="157">
        <v>159</v>
      </c>
      <c r="AB132" s="152">
        <f t="shared" si="10"/>
        <v>16023</v>
      </c>
      <c r="AC132" s="153">
        <f t="shared" si="11"/>
        <v>2427</v>
      </c>
      <c r="AD132" s="153">
        <v>3613</v>
      </c>
    </row>
    <row r="133" spans="1:30">
      <c r="A133" s="91" t="s">
        <v>309</v>
      </c>
      <c r="B133" s="91" t="s">
        <v>312</v>
      </c>
      <c r="C133" s="92" t="s">
        <v>313</v>
      </c>
      <c r="D133" s="160">
        <v>32777</v>
      </c>
      <c r="E133" s="161">
        <v>2296</v>
      </c>
      <c r="F133" s="152">
        <f t="shared" si="7"/>
        <v>35073</v>
      </c>
      <c r="G133" s="154">
        <v>351</v>
      </c>
      <c r="H133" s="228">
        <v>34722</v>
      </c>
      <c r="I133" s="162">
        <v>5261</v>
      </c>
      <c r="X133" s="152">
        <f t="shared" si="8"/>
        <v>35073</v>
      </c>
      <c r="Y133" s="156">
        <f t="shared" ref="Y133:Y153" si="13">+$AG$22</f>
        <v>0.01</v>
      </c>
      <c r="Z133" s="152">
        <f t="shared" si="9"/>
        <v>351</v>
      </c>
      <c r="AA133" s="157">
        <v>344</v>
      </c>
      <c r="AB133" s="152">
        <f t="shared" si="10"/>
        <v>34729</v>
      </c>
      <c r="AC133" s="161">
        <f t="shared" si="11"/>
        <v>5261</v>
      </c>
      <c r="AD133" s="161">
        <v>8232</v>
      </c>
    </row>
    <row r="134" spans="1:30">
      <c r="A134" s="91" t="s">
        <v>309</v>
      </c>
      <c r="B134" s="91" t="s">
        <v>314</v>
      </c>
      <c r="C134" s="92" t="s">
        <v>315</v>
      </c>
      <c r="D134" s="160">
        <v>8598</v>
      </c>
      <c r="E134" s="161">
        <v>823</v>
      </c>
      <c r="F134" s="152">
        <f t="shared" si="7"/>
        <v>9421</v>
      </c>
      <c r="G134" s="154">
        <v>94</v>
      </c>
      <c r="H134" s="228">
        <v>9327</v>
      </c>
      <c r="I134" s="162">
        <v>1413</v>
      </c>
      <c r="X134" s="152">
        <f t="shared" si="8"/>
        <v>9421</v>
      </c>
      <c r="Y134" s="156">
        <f t="shared" si="13"/>
        <v>0.01</v>
      </c>
      <c r="Z134" s="152">
        <f t="shared" si="9"/>
        <v>94</v>
      </c>
      <c r="AA134" s="157">
        <v>92</v>
      </c>
      <c r="AB134" s="152">
        <f t="shared" si="10"/>
        <v>9329</v>
      </c>
      <c r="AC134" s="161">
        <f t="shared" si="11"/>
        <v>1413</v>
      </c>
      <c r="AD134" s="161">
        <v>2192</v>
      </c>
    </row>
    <row r="135" spans="1:30">
      <c r="A135" s="91" t="s">
        <v>309</v>
      </c>
      <c r="B135" s="91" t="s">
        <v>316</v>
      </c>
      <c r="C135" s="107" t="s">
        <v>317</v>
      </c>
      <c r="D135" s="160">
        <v>193748</v>
      </c>
      <c r="E135" s="161">
        <v>27355</v>
      </c>
      <c r="F135" s="152">
        <f t="shared" ref="F135:F198" si="14">+E135+D135</f>
        <v>221103</v>
      </c>
      <c r="G135" s="154">
        <v>2211</v>
      </c>
      <c r="H135" s="228">
        <v>218892</v>
      </c>
      <c r="I135" s="226">
        <v>33165</v>
      </c>
      <c r="X135" s="152">
        <f t="shared" si="8"/>
        <v>221103</v>
      </c>
      <c r="Y135" s="156">
        <f t="shared" si="13"/>
        <v>0.01</v>
      </c>
      <c r="Z135" s="152">
        <f t="shared" si="9"/>
        <v>2211</v>
      </c>
      <c r="AA135" s="157">
        <v>2167</v>
      </c>
      <c r="AB135" s="152">
        <f t="shared" si="10"/>
        <v>218936</v>
      </c>
      <c r="AC135" s="161">
        <f t="shared" si="11"/>
        <v>33165</v>
      </c>
      <c r="AD135" s="161">
        <v>50686</v>
      </c>
    </row>
    <row r="136" spans="1:30">
      <c r="A136" s="91" t="s">
        <v>309</v>
      </c>
      <c r="B136" s="91" t="s">
        <v>318</v>
      </c>
      <c r="C136" s="92" t="s">
        <v>319</v>
      </c>
      <c r="D136" s="160">
        <v>20403</v>
      </c>
      <c r="E136" s="161">
        <v>3163</v>
      </c>
      <c r="F136" s="152">
        <f t="shared" si="14"/>
        <v>23566</v>
      </c>
      <c r="G136" s="154">
        <v>236</v>
      </c>
      <c r="H136" s="228">
        <v>23330</v>
      </c>
      <c r="I136" s="162">
        <v>3535</v>
      </c>
      <c r="X136" s="152">
        <f t="shared" ref="X136:X199" si="15">+F136</f>
        <v>23566</v>
      </c>
      <c r="Y136" s="156">
        <f t="shared" si="13"/>
        <v>0.01</v>
      </c>
      <c r="Z136" s="152">
        <f t="shared" ref="Z136:Z199" si="16">ROUND(X136*Y136,0)</f>
        <v>236</v>
      </c>
      <c r="AA136" s="157">
        <v>231</v>
      </c>
      <c r="AB136" s="152">
        <f t="shared" ref="AB136:AB199" si="17">+X136-AA136</f>
        <v>23335</v>
      </c>
      <c r="AC136" s="161">
        <f t="shared" ref="AC136:AC199" si="18">ROUND((X136*0.15),0)</f>
        <v>3535</v>
      </c>
      <c r="AD136" s="161">
        <v>5379</v>
      </c>
    </row>
    <row r="137" spans="1:30">
      <c r="A137" s="91" t="s">
        <v>309</v>
      </c>
      <c r="B137" s="91" t="s">
        <v>320</v>
      </c>
      <c r="C137" s="92" t="s">
        <v>321</v>
      </c>
      <c r="D137" s="160">
        <v>41602</v>
      </c>
      <c r="E137" s="161">
        <v>8626</v>
      </c>
      <c r="F137" s="152">
        <f t="shared" si="14"/>
        <v>50228</v>
      </c>
      <c r="G137" s="154">
        <v>502</v>
      </c>
      <c r="H137" s="228">
        <v>49726</v>
      </c>
      <c r="I137" s="162">
        <v>7534</v>
      </c>
      <c r="X137" s="152">
        <f t="shared" si="15"/>
        <v>50228</v>
      </c>
      <c r="Y137" s="156">
        <f t="shared" si="13"/>
        <v>0.01</v>
      </c>
      <c r="Z137" s="152">
        <f t="shared" si="16"/>
        <v>502</v>
      </c>
      <c r="AA137" s="157">
        <v>492</v>
      </c>
      <c r="AB137" s="152">
        <f t="shared" si="17"/>
        <v>49736</v>
      </c>
      <c r="AC137" s="161">
        <f t="shared" si="18"/>
        <v>7534</v>
      </c>
      <c r="AD137" s="161">
        <v>11288</v>
      </c>
    </row>
    <row r="138" spans="1:30">
      <c r="A138" s="91" t="s">
        <v>309</v>
      </c>
      <c r="B138" s="91" t="s">
        <v>322</v>
      </c>
      <c r="C138" s="92" t="s">
        <v>323</v>
      </c>
      <c r="D138" s="160">
        <v>75971</v>
      </c>
      <c r="E138" s="161">
        <v>8064</v>
      </c>
      <c r="F138" s="152">
        <f t="shared" si="14"/>
        <v>84035</v>
      </c>
      <c r="G138" s="154">
        <v>840</v>
      </c>
      <c r="H138" s="228">
        <v>83195</v>
      </c>
      <c r="I138" s="162">
        <v>12605</v>
      </c>
      <c r="X138" s="152">
        <f t="shared" si="15"/>
        <v>84035</v>
      </c>
      <c r="Y138" s="156">
        <f t="shared" si="13"/>
        <v>0.01</v>
      </c>
      <c r="Z138" s="152">
        <f t="shared" si="16"/>
        <v>840</v>
      </c>
      <c r="AA138" s="157">
        <v>823</v>
      </c>
      <c r="AB138" s="152">
        <f t="shared" si="17"/>
        <v>83212</v>
      </c>
      <c r="AC138" s="161">
        <f t="shared" si="18"/>
        <v>12605</v>
      </c>
      <c r="AD138" s="161">
        <v>19483</v>
      </c>
    </row>
    <row r="139" spans="1:30">
      <c r="A139" s="91" t="s">
        <v>309</v>
      </c>
      <c r="B139" s="91" t="s">
        <v>324</v>
      </c>
      <c r="C139" s="92" t="s">
        <v>325</v>
      </c>
      <c r="D139" s="160">
        <v>189199</v>
      </c>
      <c r="E139" s="161">
        <v>44434</v>
      </c>
      <c r="F139" s="152">
        <f t="shared" si="14"/>
        <v>233633</v>
      </c>
      <c r="G139" s="154">
        <v>2336</v>
      </c>
      <c r="H139" s="228">
        <v>231297</v>
      </c>
      <c r="I139" s="162">
        <v>35045</v>
      </c>
      <c r="X139" s="152">
        <f t="shared" si="15"/>
        <v>233633</v>
      </c>
      <c r="Y139" s="156">
        <f t="shared" si="13"/>
        <v>0.01</v>
      </c>
      <c r="Z139" s="152">
        <f t="shared" si="16"/>
        <v>2336</v>
      </c>
      <c r="AA139" s="157">
        <v>2289</v>
      </c>
      <c r="AB139" s="152">
        <f t="shared" si="17"/>
        <v>231344</v>
      </c>
      <c r="AC139" s="161">
        <f t="shared" si="18"/>
        <v>35045</v>
      </c>
      <c r="AD139" s="161">
        <v>52101</v>
      </c>
    </row>
    <row r="140" spans="1:30">
      <c r="A140" s="83" t="s">
        <v>309</v>
      </c>
      <c r="B140" s="83" t="s">
        <v>326</v>
      </c>
      <c r="C140" s="84" t="s">
        <v>327</v>
      </c>
      <c r="D140" s="160">
        <v>40283</v>
      </c>
      <c r="E140" s="161">
        <v>11576</v>
      </c>
      <c r="F140" s="152">
        <f t="shared" si="14"/>
        <v>51859</v>
      </c>
      <c r="G140" s="154">
        <v>519</v>
      </c>
      <c r="H140" s="228">
        <v>51340</v>
      </c>
      <c r="I140" s="162">
        <v>7779</v>
      </c>
      <c r="X140" s="152">
        <f t="shared" si="15"/>
        <v>51859</v>
      </c>
      <c r="Y140" s="156">
        <f t="shared" si="13"/>
        <v>0.01</v>
      </c>
      <c r="Z140" s="152">
        <f t="shared" si="16"/>
        <v>519</v>
      </c>
      <c r="AA140" s="157">
        <v>508</v>
      </c>
      <c r="AB140" s="152">
        <f t="shared" si="17"/>
        <v>51351</v>
      </c>
      <c r="AC140" s="161">
        <f t="shared" si="18"/>
        <v>7779</v>
      </c>
      <c r="AD140" s="161">
        <v>11404</v>
      </c>
    </row>
    <row r="141" spans="1:30">
      <c r="A141" s="91" t="s">
        <v>309</v>
      </c>
      <c r="B141" s="91" t="s">
        <v>328</v>
      </c>
      <c r="C141" s="92" t="s">
        <v>329</v>
      </c>
      <c r="D141" s="160">
        <v>801173</v>
      </c>
      <c r="E141" s="161">
        <v>201842</v>
      </c>
      <c r="F141" s="152">
        <f t="shared" si="14"/>
        <v>1003015</v>
      </c>
      <c r="G141" s="154">
        <v>10030</v>
      </c>
      <c r="H141" s="228">
        <v>992985</v>
      </c>
      <c r="I141" s="162">
        <v>150452</v>
      </c>
      <c r="X141" s="152">
        <f t="shared" si="15"/>
        <v>1003015</v>
      </c>
      <c r="Y141" s="156">
        <f t="shared" si="13"/>
        <v>0.01</v>
      </c>
      <c r="Z141" s="152">
        <f t="shared" si="16"/>
        <v>10030</v>
      </c>
      <c r="AA141" s="157">
        <v>9829</v>
      </c>
      <c r="AB141" s="152">
        <f t="shared" si="17"/>
        <v>993186</v>
      </c>
      <c r="AC141" s="161">
        <f t="shared" si="18"/>
        <v>150452</v>
      </c>
      <c r="AD141" s="161">
        <v>222633</v>
      </c>
    </row>
    <row r="142" spans="1:30">
      <c r="A142" s="91" t="s">
        <v>309</v>
      </c>
      <c r="B142" s="91" t="s">
        <v>330</v>
      </c>
      <c r="C142" s="92" t="s">
        <v>331</v>
      </c>
      <c r="D142" s="160">
        <v>9872</v>
      </c>
      <c r="E142" s="161">
        <v>1822</v>
      </c>
      <c r="F142" s="152">
        <f t="shared" si="14"/>
        <v>11694</v>
      </c>
      <c r="G142" s="154">
        <v>117</v>
      </c>
      <c r="H142" s="228">
        <v>11577</v>
      </c>
      <c r="I142" s="162">
        <v>1754</v>
      </c>
      <c r="X142" s="152">
        <f t="shared" si="15"/>
        <v>11694</v>
      </c>
      <c r="Y142" s="156">
        <f t="shared" si="13"/>
        <v>0.01</v>
      </c>
      <c r="Z142" s="152">
        <f t="shared" si="16"/>
        <v>117</v>
      </c>
      <c r="AA142" s="157">
        <v>115</v>
      </c>
      <c r="AB142" s="152">
        <f t="shared" si="17"/>
        <v>11579</v>
      </c>
      <c r="AC142" s="161">
        <f t="shared" si="18"/>
        <v>1754</v>
      </c>
      <c r="AD142" s="161">
        <v>2646</v>
      </c>
    </row>
    <row r="143" spans="1:30">
      <c r="A143" s="83" t="s">
        <v>309</v>
      </c>
      <c r="B143" s="83" t="s">
        <v>332</v>
      </c>
      <c r="C143" s="84" t="s">
        <v>333</v>
      </c>
      <c r="D143" s="160">
        <v>26271</v>
      </c>
      <c r="E143" s="161">
        <v>3857</v>
      </c>
      <c r="F143" s="152">
        <f t="shared" si="14"/>
        <v>30128</v>
      </c>
      <c r="G143" s="154">
        <v>301</v>
      </c>
      <c r="H143" s="228">
        <v>29827</v>
      </c>
      <c r="I143" s="162">
        <v>4519</v>
      </c>
      <c r="X143" s="152">
        <f t="shared" si="15"/>
        <v>30128</v>
      </c>
      <c r="Y143" s="156">
        <f t="shared" si="13"/>
        <v>0.01</v>
      </c>
      <c r="Z143" s="152">
        <f t="shared" si="16"/>
        <v>301</v>
      </c>
      <c r="AA143" s="157">
        <v>295</v>
      </c>
      <c r="AB143" s="152">
        <f t="shared" si="17"/>
        <v>29833</v>
      </c>
      <c r="AC143" s="161">
        <f t="shared" si="18"/>
        <v>4519</v>
      </c>
      <c r="AD143" s="161">
        <v>6895</v>
      </c>
    </row>
    <row r="144" spans="1:30">
      <c r="A144" s="91" t="s">
        <v>309</v>
      </c>
      <c r="B144" s="91" t="s">
        <v>334</v>
      </c>
      <c r="C144" s="92" t="s">
        <v>335</v>
      </c>
      <c r="D144" s="160">
        <v>15467</v>
      </c>
      <c r="E144" s="161">
        <v>2039</v>
      </c>
      <c r="F144" s="152">
        <f t="shared" si="14"/>
        <v>17506</v>
      </c>
      <c r="G144" s="154">
        <v>175</v>
      </c>
      <c r="H144" s="228">
        <v>17331</v>
      </c>
      <c r="I144" s="162">
        <v>2626</v>
      </c>
      <c r="X144" s="152">
        <f t="shared" si="15"/>
        <v>17506</v>
      </c>
      <c r="Y144" s="156">
        <f t="shared" si="13"/>
        <v>0.01</v>
      </c>
      <c r="Z144" s="152">
        <f t="shared" si="16"/>
        <v>175</v>
      </c>
      <c r="AA144" s="157">
        <v>172</v>
      </c>
      <c r="AB144" s="152">
        <f t="shared" si="17"/>
        <v>17334</v>
      </c>
      <c r="AC144" s="161">
        <f t="shared" si="18"/>
        <v>2626</v>
      </c>
      <c r="AD144" s="161">
        <v>4025</v>
      </c>
    </row>
    <row r="145" spans="1:30">
      <c r="A145" s="91" t="s">
        <v>309</v>
      </c>
      <c r="B145" s="91" t="s">
        <v>336</v>
      </c>
      <c r="C145" s="92" t="s">
        <v>337</v>
      </c>
      <c r="D145" s="160">
        <v>34210</v>
      </c>
      <c r="E145" s="161">
        <v>7281</v>
      </c>
      <c r="F145" s="152">
        <f t="shared" si="14"/>
        <v>41491</v>
      </c>
      <c r="G145" s="154">
        <v>415</v>
      </c>
      <c r="H145" s="228">
        <v>41076</v>
      </c>
      <c r="I145" s="162">
        <v>6224</v>
      </c>
      <c r="X145" s="152">
        <f t="shared" si="15"/>
        <v>41491</v>
      </c>
      <c r="Y145" s="156">
        <f t="shared" si="13"/>
        <v>0.01</v>
      </c>
      <c r="Z145" s="152">
        <f t="shared" si="16"/>
        <v>415</v>
      </c>
      <c r="AA145" s="157">
        <v>407</v>
      </c>
      <c r="AB145" s="152">
        <f t="shared" si="17"/>
        <v>41084</v>
      </c>
      <c r="AC145" s="161">
        <f t="shared" si="18"/>
        <v>6224</v>
      </c>
      <c r="AD145" s="161">
        <v>9310</v>
      </c>
    </row>
    <row r="146" spans="1:30">
      <c r="A146" s="91" t="s">
        <v>309</v>
      </c>
      <c r="B146" s="91" t="s">
        <v>338</v>
      </c>
      <c r="C146" s="92" t="s">
        <v>339</v>
      </c>
      <c r="D146" s="160">
        <v>66895</v>
      </c>
      <c r="E146" s="161">
        <v>14739</v>
      </c>
      <c r="F146" s="152">
        <f t="shared" si="14"/>
        <v>81634</v>
      </c>
      <c r="G146" s="154">
        <v>816</v>
      </c>
      <c r="H146" s="228">
        <v>80818</v>
      </c>
      <c r="I146" s="162">
        <v>12245</v>
      </c>
      <c r="X146" s="152">
        <f t="shared" si="15"/>
        <v>81634</v>
      </c>
      <c r="Y146" s="156">
        <f t="shared" si="13"/>
        <v>0.01</v>
      </c>
      <c r="Z146" s="152">
        <f t="shared" si="16"/>
        <v>816</v>
      </c>
      <c r="AA146" s="157">
        <v>800</v>
      </c>
      <c r="AB146" s="152">
        <f t="shared" si="17"/>
        <v>80834</v>
      </c>
      <c r="AC146" s="161">
        <f t="shared" si="18"/>
        <v>12245</v>
      </c>
      <c r="AD146" s="161">
        <v>18278</v>
      </c>
    </row>
    <row r="147" spans="1:30">
      <c r="A147" s="91" t="s">
        <v>309</v>
      </c>
      <c r="B147" s="91" t="s">
        <v>340</v>
      </c>
      <c r="C147" s="92" t="s">
        <v>341</v>
      </c>
      <c r="D147" s="160">
        <v>241810</v>
      </c>
      <c r="E147" s="161">
        <v>57006</v>
      </c>
      <c r="F147" s="152">
        <f t="shared" si="14"/>
        <v>298816</v>
      </c>
      <c r="G147" s="154">
        <v>2988</v>
      </c>
      <c r="H147" s="228">
        <v>295828</v>
      </c>
      <c r="I147" s="162">
        <v>44822</v>
      </c>
      <c r="X147" s="152">
        <f t="shared" si="15"/>
        <v>298816</v>
      </c>
      <c r="Y147" s="156">
        <f t="shared" si="13"/>
        <v>0.01</v>
      </c>
      <c r="Z147" s="152">
        <f t="shared" si="16"/>
        <v>2988</v>
      </c>
      <c r="AA147" s="157">
        <v>2928</v>
      </c>
      <c r="AB147" s="152">
        <f t="shared" si="17"/>
        <v>295888</v>
      </c>
      <c r="AC147" s="161">
        <f t="shared" si="18"/>
        <v>44822</v>
      </c>
      <c r="AD147" s="161">
        <v>66620</v>
      </c>
    </row>
    <row r="148" spans="1:30">
      <c r="A148" s="91" t="s">
        <v>309</v>
      </c>
      <c r="B148" s="91" t="s">
        <v>342</v>
      </c>
      <c r="C148" s="92" t="s">
        <v>343</v>
      </c>
      <c r="D148" s="160">
        <v>24292</v>
      </c>
      <c r="E148" s="161">
        <v>3468</v>
      </c>
      <c r="F148" s="152">
        <f t="shared" si="14"/>
        <v>27760</v>
      </c>
      <c r="G148" s="154">
        <v>278</v>
      </c>
      <c r="H148" s="228">
        <v>27482</v>
      </c>
      <c r="I148" s="162">
        <v>4164</v>
      </c>
      <c r="X148" s="152">
        <f t="shared" si="15"/>
        <v>27760</v>
      </c>
      <c r="Y148" s="156">
        <f t="shared" si="13"/>
        <v>0.01</v>
      </c>
      <c r="Z148" s="152">
        <f t="shared" si="16"/>
        <v>278</v>
      </c>
      <c r="AA148" s="157">
        <v>272</v>
      </c>
      <c r="AB148" s="152">
        <f t="shared" si="17"/>
        <v>27488</v>
      </c>
      <c r="AC148" s="161">
        <f t="shared" si="18"/>
        <v>4164</v>
      </c>
      <c r="AD148" s="161">
        <v>6361</v>
      </c>
    </row>
    <row r="149" spans="1:30">
      <c r="A149" s="83" t="s">
        <v>309</v>
      </c>
      <c r="B149" s="83" t="s">
        <v>344</v>
      </c>
      <c r="C149" s="84" t="s">
        <v>345</v>
      </c>
      <c r="D149" s="160">
        <v>135769</v>
      </c>
      <c r="E149" s="161">
        <v>16040</v>
      </c>
      <c r="F149" s="152">
        <f t="shared" si="14"/>
        <v>151809</v>
      </c>
      <c r="G149" s="154">
        <v>1518</v>
      </c>
      <c r="H149" s="228">
        <v>150291</v>
      </c>
      <c r="I149" s="162">
        <v>22771</v>
      </c>
      <c r="X149" s="152">
        <f t="shared" si="15"/>
        <v>151809</v>
      </c>
      <c r="Y149" s="156">
        <f t="shared" si="13"/>
        <v>0.01</v>
      </c>
      <c r="Z149" s="152">
        <f t="shared" si="16"/>
        <v>1518</v>
      </c>
      <c r="AA149" s="157">
        <v>1488</v>
      </c>
      <c r="AB149" s="152">
        <f t="shared" si="17"/>
        <v>150321</v>
      </c>
      <c r="AC149" s="161">
        <f t="shared" si="18"/>
        <v>22771</v>
      </c>
      <c r="AD149" s="161">
        <v>35058</v>
      </c>
    </row>
    <row r="150" spans="1:30">
      <c r="A150" s="91" t="s">
        <v>309</v>
      </c>
      <c r="B150" s="91" t="s">
        <v>346</v>
      </c>
      <c r="C150" s="92" t="s">
        <v>347</v>
      </c>
      <c r="D150" s="160">
        <v>181966</v>
      </c>
      <c r="E150" s="161">
        <v>7325</v>
      </c>
      <c r="F150" s="152">
        <f t="shared" si="14"/>
        <v>189291</v>
      </c>
      <c r="G150" s="154">
        <v>1893</v>
      </c>
      <c r="H150" s="228">
        <v>187398</v>
      </c>
      <c r="I150" s="162">
        <v>28394</v>
      </c>
      <c r="X150" s="152">
        <f t="shared" si="15"/>
        <v>189291</v>
      </c>
      <c r="Y150" s="156">
        <f t="shared" si="13"/>
        <v>0.01</v>
      </c>
      <c r="Z150" s="152">
        <f t="shared" si="16"/>
        <v>1893</v>
      </c>
      <c r="AA150" s="157">
        <v>1855</v>
      </c>
      <c r="AB150" s="152">
        <f t="shared" si="17"/>
        <v>187436</v>
      </c>
      <c r="AC150" s="161">
        <f t="shared" si="18"/>
        <v>28394</v>
      </c>
      <c r="AD150" s="161">
        <v>44904</v>
      </c>
    </row>
    <row r="151" spans="1:30">
      <c r="A151" s="91" t="s">
        <v>309</v>
      </c>
      <c r="B151" s="91" t="s">
        <v>348</v>
      </c>
      <c r="C151" s="92" t="s">
        <v>349</v>
      </c>
      <c r="D151" s="160">
        <v>15672</v>
      </c>
      <c r="E151" s="161">
        <v>2212</v>
      </c>
      <c r="F151" s="152">
        <f t="shared" si="14"/>
        <v>17884</v>
      </c>
      <c r="G151" s="154">
        <v>179</v>
      </c>
      <c r="H151" s="228">
        <v>17705</v>
      </c>
      <c r="I151" s="162">
        <v>2683</v>
      </c>
      <c r="X151" s="152">
        <f t="shared" si="15"/>
        <v>17884</v>
      </c>
      <c r="Y151" s="156">
        <f t="shared" si="13"/>
        <v>0.01</v>
      </c>
      <c r="Z151" s="152">
        <f t="shared" si="16"/>
        <v>179</v>
      </c>
      <c r="AA151" s="157">
        <v>175</v>
      </c>
      <c r="AB151" s="152">
        <f t="shared" si="17"/>
        <v>17709</v>
      </c>
      <c r="AC151" s="161">
        <f t="shared" si="18"/>
        <v>2683</v>
      </c>
      <c r="AD151" s="161">
        <v>4100</v>
      </c>
    </row>
    <row r="152" spans="1:30">
      <c r="A152" s="83" t="s">
        <v>309</v>
      </c>
      <c r="B152" s="83" t="s">
        <v>350</v>
      </c>
      <c r="C152" s="84" t="s">
        <v>351</v>
      </c>
      <c r="D152" s="160">
        <v>55977</v>
      </c>
      <c r="E152" s="161">
        <v>14478</v>
      </c>
      <c r="F152" s="152">
        <f t="shared" si="14"/>
        <v>70455</v>
      </c>
      <c r="G152" s="154">
        <v>705</v>
      </c>
      <c r="H152" s="228">
        <v>69750</v>
      </c>
      <c r="I152" s="162">
        <v>10568</v>
      </c>
      <c r="X152" s="152">
        <f t="shared" si="15"/>
        <v>70455</v>
      </c>
      <c r="Y152" s="156">
        <f t="shared" si="13"/>
        <v>0.01</v>
      </c>
      <c r="Z152" s="152">
        <f t="shared" si="16"/>
        <v>705</v>
      </c>
      <c r="AA152" s="157">
        <v>690</v>
      </c>
      <c r="AB152" s="152">
        <f t="shared" si="17"/>
        <v>69765</v>
      </c>
      <c r="AC152" s="161">
        <f t="shared" si="18"/>
        <v>10568</v>
      </c>
      <c r="AD152" s="161">
        <v>15610</v>
      </c>
    </row>
    <row r="153" spans="1:30" ht="15.75" thickBot="1">
      <c r="A153" s="93" t="s">
        <v>309</v>
      </c>
      <c r="B153" s="93" t="s">
        <v>352</v>
      </c>
      <c r="C153" s="94" t="s">
        <v>353</v>
      </c>
      <c r="D153" s="174">
        <v>35483</v>
      </c>
      <c r="E153" s="175">
        <v>5029</v>
      </c>
      <c r="F153" s="174">
        <f t="shared" si="14"/>
        <v>40512</v>
      </c>
      <c r="G153" s="176">
        <v>405</v>
      </c>
      <c r="H153" s="229">
        <v>40107</v>
      </c>
      <c r="I153" s="177">
        <v>6077</v>
      </c>
      <c r="X153" s="174">
        <f t="shared" si="15"/>
        <v>40512</v>
      </c>
      <c r="Y153" s="178">
        <f t="shared" si="13"/>
        <v>0.01</v>
      </c>
      <c r="Z153" s="174">
        <f t="shared" si="16"/>
        <v>405</v>
      </c>
      <c r="AA153" s="179">
        <v>397</v>
      </c>
      <c r="AB153" s="174">
        <f t="shared" si="17"/>
        <v>40115</v>
      </c>
      <c r="AC153" s="175">
        <f t="shared" si="18"/>
        <v>6077</v>
      </c>
      <c r="AD153" s="175">
        <v>9285</v>
      </c>
    </row>
    <row r="154" spans="1:30">
      <c r="A154" s="91" t="s">
        <v>354</v>
      </c>
      <c r="B154" s="91" t="s">
        <v>355</v>
      </c>
      <c r="C154" s="92" t="s">
        <v>356</v>
      </c>
      <c r="D154" s="152">
        <v>26089</v>
      </c>
      <c r="E154" s="153">
        <v>2557</v>
      </c>
      <c r="F154" s="152">
        <f t="shared" si="14"/>
        <v>28646</v>
      </c>
      <c r="G154" s="154">
        <v>344</v>
      </c>
      <c r="H154" s="228">
        <v>28302</v>
      </c>
      <c r="I154" s="155">
        <v>4297</v>
      </c>
      <c r="X154" s="152">
        <f t="shared" si="15"/>
        <v>28646</v>
      </c>
      <c r="Y154" s="156">
        <f>+$AG$23</f>
        <v>1.2E-2</v>
      </c>
      <c r="Z154" s="152">
        <f t="shared" si="16"/>
        <v>344</v>
      </c>
      <c r="AA154" s="157">
        <v>337</v>
      </c>
      <c r="AB154" s="152">
        <f t="shared" si="17"/>
        <v>28309</v>
      </c>
      <c r="AC154" s="153">
        <f t="shared" si="18"/>
        <v>4297</v>
      </c>
      <c r="AD154" s="153">
        <v>6660</v>
      </c>
    </row>
    <row r="155" spans="1:30">
      <c r="A155" s="91" t="s">
        <v>354</v>
      </c>
      <c r="B155" s="91" t="s">
        <v>357</v>
      </c>
      <c r="C155" s="92" t="s">
        <v>358</v>
      </c>
      <c r="D155" s="160">
        <v>57911</v>
      </c>
      <c r="E155" s="161">
        <v>8281</v>
      </c>
      <c r="F155" s="152">
        <f t="shared" si="14"/>
        <v>66192</v>
      </c>
      <c r="G155" s="154">
        <v>794</v>
      </c>
      <c r="H155" s="228">
        <v>65398</v>
      </c>
      <c r="I155" s="162">
        <v>9929</v>
      </c>
      <c r="X155" s="152">
        <f t="shared" si="15"/>
        <v>66192</v>
      </c>
      <c r="Y155" s="156">
        <f t="shared" ref="Y155:Y185" si="19">+$AG$23</f>
        <v>1.2E-2</v>
      </c>
      <c r="Z155" s="152">
        <f t="shared" si="16"/>
        <v>794</v>
      </c>
      <c r="AA155" s="157">
        <v>778</v>
      </c>
      <c r="AB155" s="152">
        <f t="shared" si="17"/>
        <v>65414</v>
      </c>
      <c r="AC155" s="161">
        <f t="shared" si="18"/>
        <v>9929</v>
      </c>
      <c r="AD155" s="161">
        <v>15165</v>
      </c>
    </row>
    <row r="156" spans="1:30">
      <c r="A156" s="83" t="s">
        <v>354</v>
      </c>
      <c r="B156" s="83" t="s">
        <v>359</v>
      </c>
      <c r="C156" s="84" t="s">
        <v>360</v>
      </c>
      <c r="D156" s="160">
        <v>26476</v>
      </c>
      <c r="E156" s="161">
        <v>5507</v>
      </c>
      <c r="F156" s="152">
        <f t="shared" si="14"/>
        <v>31983</v>
      </c>
      <c r="G156" s="154">
        <v>384</v>
      </c>
      <c r="H156" s="228">
        <v>31599</v>
      </c>
      <c r="I156" s="162">
        <v>4797</v>
      </c>
      <c r="X156" s="152">
        <f t="shared" si="15"/>
        <v>31983</v>
      </c>
      <c r="Y156" s="156">
        <f t="shared" si="19"/>
        <v>1.2E-2</v>
      </c>
      <c r="Z156" s="152">
        <f t="shared" si="16"/>
        <v>384</v>
      </c>
      <c r="AA156" s="157">
        <v>376</v>
      </c>
      <c r="AB156" s="152">
        <f t="shared" si="17"/>
        <v>31607</v>
      </c>
      <c r="AC156" s="161">
        <f t="shared" si="18"/>
        <v>4797</v>
      </c>
      <c r="AD156" s="161">
        <v>7186</v>
      </c>
    </row>
    <row r="157" spans="1:30">
      <c r="A157" s="91" t="s">
        <v>354</v>
      </c>
      <c r="B157" s="91" t="s">
        <v>361</v>
      </c>
      <c r="C157" s="92" t="s">
        <v>362</v>
      </c>
      <c r="D157" s="160">
        <v>74834</v>
      </c>
      <c r="E157" s="161">
        <v>6631</v>
      </c>
      <c r="F157" s="152">
        <f t="shared" si="14"/>
        <v>81465</v>
      </c>
      <c r="G157" s="154">
        <v>978</v>
      </c>
      <c r="H157" s="228">
        <v>80487</v>
      </c>
      <c r="I157" s="162">
        <v>12220</v>
      </c>
      <c r="X157" s="152">
        <f t="shared" si="15"/>
        <v>81465</v>
      </c>
      <c r="Y157" s="156">
        <f t="shared" si="19"/>
        <v>1.2E-2</v>
      </c>
      <c r="Z157" s="152">
        <f t="shared" si="16"/>
        <v>978</v>
      </c>
      <c r="AA157" s="157">
        <v>958</v>
      </c>
      <c r="AB157" s="152">
        <f t="shared" si="17"/>
        <v>80507</v>
      </c>
      <c r="AC157" s="161">
        <f t="shared" si="18"/>
        <v>12220</v>
      </c>
      <c r="AD157" s="161">
        <v>18999</v>
      </c>
    </row>
    <row r="158" spans="1:30">
      <c r="A158" s="83" t="s">
        <v>354</v>
      </c>
      <c r="B158" s="83" t="s">
        <v>363</v>
      </c>
      <c r="C158" s="84" t="s">
        <v>364</v>
      </c>
      <c r="D158" s="160">
        <v>853307</v>
      </c>
      <c r="E158" s="161">
        <v>155195</v>
      </c>
      <c r="F158" s="152">
        <f t="shared" si="14"/>
        <v>1008502</v>
      </c>
      <c r="G158" s="154">
        <v>12102</v>
      </c>
      <c r="H158" s="228">
        <v>996400</v>
      </c>
      <c r="I158" s="162">
        <v>151275</v>
      </c>
      <c r="X158" s="152">
        <f t="shared" si="15"/>
        <v>1008502</v>
      </c>
      <c r="Y158" s="156">
        <f t="shared" si="19"/>
        <v>1.2E-2</v>
      </c>
      <c r="Z158" s="152">
        <f t="shared" si="16"/>
        <v>12102</v>
      </c>
      <c r="AA158" s="157">
        <v>11859</v>
      </c>
      <c r="AB158" s="152">
        <f t="shared" si="17"/>
        <v>996643</v>
      </c>
      <c r="AC158" s="161">
        <f t="shared" si="18"/>
        <v>151275</v>
      </c>
      <c r="AD158" s="161">
        <v>228334</v>
      </c>
    </row>
    <row r="159" spans="1:30">
      <c r="A159" s="91" t="s">
        <v>354</v>
      </c>
      <c r="B159" s="91" t="s">
        <v>365</v>
      </c>
      <c r="C159" s="92" t="s">
        <v>366</v>
      </c>
      <c r="D159" s="160">
        <v>59071</v>
      </c>
      <c r="E159" s="161">
        <v>4508</v>
      </c>
      <c r="F159" s="152">
        <f t="shared" si="14"/>
        <v>63579</v>
      </c>
      <c r="G159" s="154">
        <v>763</v>
      </c>
      <c r="H159" s="228">
        <v>62816</v>
      </c>
      <c r="I159" s="162">
        <v>9537</v>
      </c>
      <c r="X159" s="152">
        <f t="shared" si="15"/>
        <v>63579</v>
      </c>
      <c r="Y159" s="156">
        <f t="shared" si="19"/>
        <v>1.2E-2</v>
      </c>
      <c r="Z159" s="152">
        <f t="shared" si="16"/>
        <v>763</v>
      </c>
      <c r="AA159" s="157">
        <v>748</v>
      </c>
      <c r="AB159" s="152">
        <f t="shared" si="17"/>
        <v>62831</v>
      </c>
      <c r="AC159" s="161">
        <f t="shared" si="18"/>
        <v>9537</v>
      </c>
      <c r="AD159" s="161">
        <v>14890</v>
      </c>
    </row>
    <row r="160" spans="1:30">
      <c r="A160" s="91" t="s">
        <v>354</v>
      </c>
      <c r="B160" s="91" t="s">
        <v>367</v>
      </c>
      <c r="C160" s="92" t="s">
        <v>368</v>
      </c>
      <c r="D160" s="160">
        <v>21881</v>
      </c>
      <c r="E160" s="161">
        <v>3773</v>
      </c>
      <c r="F160" s="152">
        <f t="shared" si="14"/>
        <v>25654</v>
      </c>
      <c r="G160" s="154">
        <v>308</v>
      </c>
      <c r="H160" s="228">
        <v>25346</v>
      </c>
      <c r="I160" s="162">
        <v>3848</v>
      </c>
      <c r="X160" s="152">
        <f t="shared" si="15"/>
        <v>25654</v>
      </c>
      <c r="Y160" s="156">
        <f t="shared" si="19"/>
        <v>1.2E-2</v>
      </c>
      <c r="Z160" s="152">
        <f t="shared" si="16"/>
        <v>308</v>
      </c>
      <c r="AA160" s="157">
        <v>302</v>
      </c>
      <c r="AB160" s="152">
        <f t="shared" si="17"/>
        <v>25352</v>
      </c>
      <c r="AC160" s="161">
        <f t="shared" si="18"/>
        <v>3848</v>
      </c>
      <c r="AD160" s="161">
        <v>5825</v>
      </c>
    </row>
    <row r="161" spans="1:30">
      <c r="A161" s="83" t="s">
        <v>354</v>
      </c>
      <c r="B161" s="83" t="s">
        <v>369</v>
      </c>
      <c r="C161" s="107" t="s">
        <v>370</v>
      </c>
      <c r="D161" s="160">
        <v>71899</v>
      </c>
      <c r="E161" s="161">
        <v>7847</v>
      </c>
      <c r="F161" s="152">
        <f t="shared" si="14"/>
        <v>79746</v>
      </c>
      <c r="G161" s="154">
        <v>957</v>
      </c>
      <c r="H161" s="228">
        <v>78789</v>
      </c>
      <c r="I161" s="226">
        <v>11962</v>
      </c>
      <c r="X161" s="152">
        <f t="shared" si="15"/>
        <v>79746</v>
      </c>
      <c r="Y161" s="156">
        <f t="shared" si="19"/>
        <v>1.2E-2</v>
      </c>
      <c r="Z161" s="152">
        <f t="shared" si="16"/>
        <v>957</v>
      </c>
      <c r="AA161" s="157">
        <v>938</v>
      </c>
      <c r="AB161" s="152">
        <f t="shared" si="17"/>
        <v>78808</v>
      </c>
      <c r="AC161" s="161">
        <f t="shared" si="18"/>
        <v>11962</v>
      </c>
      <c r="AD161" s="161">
        <v>18471</v>
      </c>
    </row>
    <row r="162" spans="1:30">
      <c r="A162" s="227" t="s">
        <v>354</v>
      </c>
      <c r="B162" s="227" t="s">
        <v>372</v>
      </c>
      <c r="C162" s="107" t="s">
        <v>373</v>
      </c>
      <c r="D162" s="160">
        <v>207509</v>
      </c>
      <c r="E162" s="161">
        <v>29262</v>
      </c>
      <c r="F162" s="152">
        <f t="shared" si="14"/>
        <v>236771</v>
      </c>
      <c r="G162" s="154">
        <v>2841</v>
      </c>
      <c r="H162" s="228">
        <v>233930</v>
      </c>
      <c r="I162" s="226">
        <v>35516</v>
      </c>
      <c r="X162" s="152">
        <f t="shared" si="15"/>
        <v>236771</v>
      </c>
      <c r="Y162" s="156">
        <f t="shared" si="19"/>
        <v>1.2E-2</v>
      </c>
      <c r="Z162" s="152">
        <f t="shared" si="16"/>
        <v>2841</v>
      </c>
      <c r="AA162" s="157">
        <v>2784</v>
      </c>
      <c r="AB162" s="152">
        <f t="shared" si="17"/>
        <v>233987</v>
      </c>
      <c r="AC162" s="161">
        <f t="shared" si="18"/>
        <v>35516</v>
      </c>
      <c r="AD162" s="161">
        <v>54281</v>
      </c>
    </row>
    <row r="163" spans="1:30">
      <c r="A163" s="91" t="s">
        <v>354</v>
      </c>
      <c r="B163" s="91" t="s">
        <v>374</v>
      </c>
      <c r="C163" s="92" t="s">
        <v>375</v>
      </c>
      <c r="D163" s="160">
        <v>22655</v>
      </c>
      <c r="E163" s="161">
        <v>3123</v>
      </c>
      <c r="F163" s="152">
        <f t="shared" si="14"/>
        <v>25778</v>
      </c>
      <c r="G163" s="154">
        <v>309</v>
      </c>
      <c r="H163" s="228">
        <v>25469</v>
      </c>
      <c r="I163" s="162">
        <v>3867</v>
      </c>
      <c r="X163" s="152">
        <f t="shared" si="15"/>
        <v>25778</v>
      </c>
      <c r="Y163" s="156">
        <f t="shared" si="19"/>
        <v>1.2E-2</v>
      </c>
      <c r="Z163" s="152">
        <f t="shared" si="16"/>
        <v>309</v>
      </c>
      <c r="AA163" s="157">
        <v>303</v>
      </c>
      <c r="AB163" s="152">
        <f t="shared" si="17"/>
        <v>25475</v>
      </c>
      <c r="AC163" s="161">
        <f t="shared" si="18"/>
        <v>3867</v>
      </c>
      <c r="AD163" s="161">
        <v>5916</v>
      </c>
    </row>
    <row r="164" spans="1:30">
      <c r="A164" s="91" t="s">
        <v>354</v>
      </c>
      <c r="B164" s="91" t="s">
        <v>376</v>
      </c>
      <c r="C164" s="92" t="s">
        <v>377</v>
      </c>
      <c r="D164" s="160">
        <v>15171</v>
      </c>
      <c r="E164" s="161">
        <v>1862</v>
      </c>
      <c r="F164" s="152">
        <f t="shared" si="14"/>
        <v>17033</v>
      </c>
      <c r="G164" s="154">
        <v>204</v>
      </c>
      <c r="H164" s="228">
        <v>16829</v>
      </c>
      <c r="I164" s="162">
        <v>2555</v>
      </c>
      <c r="X164" s="152">
        <f t="shared" si="15"/>
        <v>17033</v>
      </c>
      <c r="Y164" s="156">
        <f t="shared" si="19"/>
        <v>1.2E-2</v>
      </c>
      <c r="Z164" s="152">
        <f t="shared" si="16"/>
        <v>204</v>
      </c>
      <c r="AA164" s="157">
        <v>200</v>
      </c>
      <c r="AB164" s="152">
        <f t="shared" si="17"/>
        <v>16833</v>
      </c>
      <c r="AC164" s="161">
        <f t="shared" si="18"/>
        <v>2555</v>
      </c>
      <c r="AD164" s="161">
        <v>3928</v>
      </c>
    </row>
    <row r="165" spans="1:30">
      <c r="A165" s="83" t="s">
        <v>354</v>
      </c>
      <c r="B165" s="83" t="s">
        <v>378</v>
      </c>
      <c r="C165" s="84" t="s">
        <v>379</v>
      </c>
      <c r="D165" s="160">
        <v>29251</v>
      </c>
      <c r="E165" s="161">
        <v>4074</v>
      </c>
      <c r="F165" s="152">
        <f t="shared" si="14"/>
        <v>33325</v>
      </c>
      <c r="G165" s="154">
        <v>400</v>
      </c>
      <c r="H165" s="228">
        <v>32925</v>
      </c>
      <c r="I165" s="162">
        <v>4999</v>
      </c>
      <c r="X165" s="152">
        <f t="shared" si="15"/>
        <v>33325</v>
      </c>
      <c r="Y165" s="156">
        <f t="shared" si="19"/>
        <v>1.2E-2</v>
      </c>
      <c r="Z165" s="152">
        <f t="shared" si="16"/>
        <v>400</v>
      </c>
      <c r="AA165" s="157">
        <v>392</v>
      </c>
      <c r="AB165" s="152">
        <f t="shared" si="17"/>
        <v>32933</v>
      </c>
      <c r="AC165" s="161">
        <f t="shared" si="18"/>
        <v>4999</v>
      </c>
      <c r="AD165" s="161">
        <v>7644</v>
      </c>
    </row>
    <row r="166" spans="1:30">
      <c r="A166" s="83" t="s">
        <v>354</v>
      </c>
      <c r="B166" s="83" t="s">
        <v>380</v>
      </c>
      <c r="C166" s="107" t="s">
        <v>381</v>
      </c>
      <c r="D166" s="160">
        <v>593960</v>
      </c>
      <c r="E166" s="161">
        <v>77120</v>
      </c>
      <c r="F166" s="152">
        <f t="shared" si="14"/>
        <v>671080</v>
      </c>
      <c r="G166" s="154">
        <v>8053</v>
      </c>
      <c r="H166" s="228">
        <v>663027</v>
      </c>
      <c r="I166" s="226">
        <v>100662</v>
      </c>
      <c r="X166" s="152">
        <f t="shared" si="15"/>
        <v>671080</v>
      </c>
      <c r="Y166" s="156">
        <f t="shared" si="19"/>
        <v>1.2E-2</v>
      </c>
      <c r="Z166" s="152">
        <f t="shared" si="16"/>
        <v>8053</v>
      </c>
      <c r="AA166" s="157">
        <v>7891</v>
      </c>
      <c r="AB166" s="152">
        <f t="shared" si="17"/>
        <v>663189</v>
      </c>
      <c r="AC166" s="161">
        <f t="shared" si="18"/>
        <v>100662</v>
      </c>
      <c r="AD166" s="161">
        <v>154393</v>
      </c>
    </row>
    <row r="167" spans="1:30">
      <c r="A167" s="91" t="s">
        <v>354</v>
      </c>
      <c r="B167" s="91" t="s">
        <v>382</v>
      </c>
      <c r="C167" s="92" t="s">
        <v>383</v>
      </c>
      <c r="D167" s="160">
        <v>26249</v>
      </c>
      <c r="E167" s="161">
        <v>4207</v>
      </c>
      <c r="F167" s="152">
        <f t="shared" si="14"/>
        <v>30456</v>
      </c>
      <c r="G167" s="154">
        <v>365</v>
      </c>
      <c r="H167" s="228">
        <v>30091</v>
      </c>
      <c r="I167" s="162">
        <v>4568</v>
      </c>
      <c r="X167" s="152">
        <f t="shared" si="15"/>
        <v>30456</v>
      </c>
      <c r="Y167" s="156">
        <f t="shared" si="19"/>
        <v>1.2E-2</v>
      </c>
      <c r="Z167" s="152">
        <f t="shared" si="16"/>
        <v>365</v>
      </c>
      <c r="AA167" s="157">
        <v>358</v>
      </c>
      <c r="AB167" s="152">
        <f t="shared" si="17"/>
        <v>30098</v>
      </c>
      <c r="AC167" s="161">
        <f t="shared" si="18"/>
        <v>4568</v>
      </c>
      <c r="AD167" s="161">
        <v>6940</v>
      </c>
    </row>
    <row r="168" spans="1:30">
      <c r="A168" s="91" t="s">
        <v>354</v>
      </c>
      <c r="B168" s="91" t="s">
        <v>384</v>
      </c>
      <c r="C168" s="92" t="s">
        <v>385</v>
      </c>
      <c r="D168" s="160">
        <v>40237</v>
      </c>
      <c r="E168" s="161">
        <v>5419</v>
      </c>
      <c r="F168" s="152">
        <f t="shared" si="14"/>
        <v>45656</v>
      </c>
      <c r="G168" s="154">
        <v>548</v>
      </c>
      <c r="H168" s="228">
        <v>45108</v>
      </c>
      <c r="I168" s="162">
        <v>6848</v>
      </c>
      <c r="X168" s="152">
        <f t="shared" si="15"/>
        <v>45656</v>
      </c>
      <c r="Y168" s="156">
        <f t="shared" si="19"/>
        <v>1.2E-2</v>
      </c>
      <c r="Z168" s="152">
        <f t="shared" si="16"/>
        <v>548</v>
      </c>
      <c r="AA168" s="157">
        <v>537</v>
      </c>
      <c r="AB168" s="152">
        <f t="shared" si="17"/>
        <v>45119</v>
      </c>
      <c r="AC168" s="161">
        <f t="shared" si="18"/>
        <v>6848</v>
      </c>
      <c r="AD168" s="161">
        <v>10488</v>
      </c>
    </row>
    <row r="169" spans="1:30">
      <c r="A169" s="91" t="s">
        <v>354</v>
      </c>
      <c r="B169" s="91" t="s">
        <v>386</v>
      </c>
      <c r="C169" s="92" t="s">
        <v>387</v>
      </c>
      <c r="D169" s="160">
        <v>322853</v>
      </c>
      <c r="E169" s="161">
        <v>27917</v>
      </c>
      <c r="F169" s="152">
        <f t="shared" si="14"/>
        <v>350770</v>
      </c>
      <c r="G169" s="154">
        <v>4209</v>
      </c>
      <c r="H169" s="228">
        <v>346561</v>
      </c>
      <c r="I169" s="162">
        <v>52616</v>
      </c>
      <c r="X169" s="152">
        <f t="shared" si="15"/>
        <v>350770</v>
      </c>
      <c r="Y169" s="156">
        <f t="shared" si="19"/>
        <v>1.2E-2</v>
      </c>
      <c r="Z169" s="152">
        <f t="shared" si="16"/>
        <v>4209</v>
      </c>
      <c r="AA169" s="157">
        <v>4125</v>
      </c>
      <c r="AB169" s="152">
        <f t="shared" si="17"/>
        <v>346645</v>
      </c>
      <c r="AC169" s="161">
        <f t="shared" si="18"/>
        <v>52616</v>
      </c>
      <c r="AD169" s="161">
        <v>81864</v>
      </c>
    </row>
    <row r="170" spans="1:30">
      <c r="A170" s="83" t="s">
        <v>354</v>
      </c>
      <c r="B170" s="83" t="s">
        <v>388</v>
      </c>
      <c r="C170" s="84" t="s">
        <v>389</v>
      </c>
      <c r="D170" s="160">
        <v>29547</v>
      </c>
      <c r="E170" s="161">
        <v>2513</v>
      </c>
      <c r="F170" s="152">
        <f t="shared" si="14"/>
        <v>32060</v>
      </c>
      <c r="G170" s="154">
        <v>385</v>
      </c>
      <c r="H170" s="228">
        <v>31675</v>
      </c>
      <c r="I170" s="162">
        <v>4809</v>
      </c>
      <c r="X170" s="152">
        <f t="shared" si="15"/>
        <v>32060</v>
      </c>
      <c r="Y170" s="156">
        <f t="shared" si="19"/>
        <v>1.2E-2</v>
      </c>
      <c r="Z170" s="152">
        <f t="shared" si="16"/>
        <v>385</v>
      </c>
      <c r="AA170" s="157">
        <v>377</v>
      </c>
      <c r="AB170" s="152">
        <f t="shared" si="17"/>
        <v>31683</v>
      </c>
      <c r="AC170" s="161">
        <f t="shared" si="18"/>
        <v>4809</v>
      </c>
      <c r="AD170" s="161">
        <v>7486</v>
      </c>
    </row>
    <row r="171" spans="1:30">
      <c r="A171" s="91" t="s">
        <v>354</v>
      </c>
      <c r="B171" s="91" t="s">
        <v>390</v>
      </c>
      <c r="C171" s="92" t="s">
        <v>391</v>
      </c>
      <c r="D171" s="160">
        <v>19015</v>
      </c>
      <c r="E171" s="161">
        <v>3295</v>
      </c>
      <c r="F171" s="152">
        <f t="shared" si="14"/>
        <v>22310</v>
      </c>
      <c r="G171" s="154">
        <v>268</v>
      </c>
      <c r="H171" s="228">
        <v>22042</v>
      </c>
      <c r="I171" s="162">
        <v>3347</v>
      </c>
      <c r="X171" s="152">
        <f t="shared" si="15"/>
        <v>22310</v>
      </c>
      <c r="Y171" s="156">
        <f t="shared" si="19"/>
        <v>1.2E-2</v>
      </c>
      <c r="Z171" s="152">
        <f t="shared" si="16"/>
        <v>268</v>
      </c>
      <c r="AA171" s="157">
        <v>262</v>
      </c>
      <c r="AB171" s="152">
        <f t="shared" si="17"/>
        <v>22048</v>
      </c>
      <c r="AC171" s="161">
        <f t="shared" si="18"/>
        <v>3347</v>
      </c>
      <c r="AD171" s="161">
        <v>5064</v>
      </c>
    </row>
    <row r="172" spans="1:30">
      <c r="A172" s="91" t="s">
        <v>354</v>
      </c>
      <c r="B172" s="91" t="s">
        <v>392</v>
      </c>
      <c r="C172" s="92" t="s">
        <v>393</v>
      </c>
      <c r="D172" s="160">
        <v>87002</v>
      </c>
      <c r="E172" s="161">
        <v>11271</v>
      </c>
      <c r="F172" s="152">
        <f t="shared" si="14"/>
        <v>98273</v>
      </c>
      <c r="G172" s="154">
        <v>1179</v>
      </c>
      <c r="H172" s="228">
        <v>97094</v>
      </c>
      <c r="I172" s="162">
        <v>14741</v>
      </c>
      <c r="X172" s="152">
        <f t="shared" si="15"/>
        <v>98273</v>
      </c>
      <c r="Y172" s="156">
        <f t="shared" si="19"/>
        <v>1.2E-2</v>
      </c>
      <c r="Z172" s="152">
        <f t="shared" si="16"/>
        <v>1179</v>
      </c>
      <c r="AA172" s="157">
        <v>1156</v>
      </c>
      <c r="AB172" s="152">
        <f t="shared" si="17"/>
        <v>97117</v>
      </c>
      <c r="AC172" s="161">
        <f t="shared" si="18"/>
        <v>14741</v>
      </c>
      <c r="AD172" s="161">
        <v>22612</v>
      </c>
    </row>
    <row r="173" spans="1:30">
      <c r="A173" s="83" t="s">
        <v>354</v>
      </c>
      <c r="B173" s="83" t="s">
        <v>394</v>
      </c>
      <c r="C173" s="84" t="s">
        <v>395</v>
      </c>
      <c r="D173" s="160">
        <v>24133</v>
      </c>
      <c r="E173" s="161">
        <v>4379</v>
      </c>
      <c r="F173" s="152">
        <f t="shared" si="14"/>
        <v>28512</v>
      </c>
      <c r="G173" s="154">
        <v>342</v>
      </c>
      <c r="H173" s="228">
        <v>28170</v>
      </c>
      <c r="I173" s="162">
        <v>4277</v>
      </c>
      <c r="X173" s="152">
        <f t="shared" si="15"/>
        <v>28512</v>
      </c>
      <c r="Y173" s="156">
        <f t="shared" si="19"/>
        <v>1.2E-2</v>
      </c>
      <c r="Z173" s="152">
        <f t="shared" si="16"/>
        <v>342</v>
      </c>
      <c r="AA173" s="157">
        <v>335</v>
      </c>
      <c r="AB173" s="152">
        <f t="shared" si="17"/>
        <v>28177</v>
      </c>
      <c r="AC173" s="161">
        <f t="shared" si="18"/>
        <v>4277</v>
      </c>
      <c r="AD173" s="161">
        <v>6456</v>
      </c>
    </row>
    <row r="174" spans="1:30">
      <c r="A174" s="91" t="s">
        <v>354</v>
      </c>
      <c r="B174" s="91" t="s">
        <v>396</v>
      </c>
      <c r="C174" s="92" t="s">
        <v>397</v>
      </c>
      <c r="D174" s="160">
        <v>55636</v>
      </c>
      <c r="E174" s="161">
        <v>7458</v>
      </c>
      <c r="F174" s="152">
        <f t="shared" si="14"/>
        <v>63094</v>
      </c>
      <c r="G174" s="154">
        <v>757</v>
      </c>
      <c r="H174" s="228">
        <v>62337</v>
      </c>
      <c r="I174" s="162">
        <v>9464</v>
      </c>
      <c r="X174" s="152">
        <f t="shared" si="15"/>
        <v>63094</v>
      </c>
      <c r="Y174" s="156">
        <f t="shared" si="19"/>
        <v>1.2E-2</v>
      </c>
      <c r="Z174" s="152">
        <f t="shared" si="16"/>
        <v>757</v>
      </c>
      <c r="AA174" s="157">
        <v>742</v>
      </c>
      <c r="AB174" s="152">
        <f t="shared" si="17"/>
        <v>62352</v>
      </c>
      <c r="AC174" s="161">
        <f t="shared" si="18"/>
        <v>9464</v>
      </c>
      <c r="AD174" s="161">
        <v>14496</v>
      </c>
    </row>
    <row r="175" spans="1:30">
      <c r="A175" s="91" t="s">
        <v>354</v>
      </c>
      <c r="B175" s="91" t="s">
        <v>398</v>
      </c>
      <c r="C175" s="92" t="s">
        <v>399</v>
      </c>
      <c r="D175" s="160">
        <v>49313</v>
      </c>
      <c r="E175" s="161">
        <v>6936</v>
      </c>
      <c r="F175" s="152">
        <f t="shared" si="14"/>
        <v>56249</v>
      </c>
      <c r="G175" s="154">
        <v>675</v>
      </c>
      <c r="H175" s="228">
        <v>55574</v>
      </c>
      <c r="I175" s="162">
        <v>8437</v>
      </c>
      <c r="X175" s="152">
        <f t="shared" si="15"/>
        <v>56249</v>
      </c>
      <c r="Y175" s="156">
        <f t="shared" si="19"/>
        <v>1.2E-2</v>
      </c>
      <c r="Z175" s="152">
        <f t="shared" si="16"/>
        <v>675</v>
      </c>
      <c r="AA175" s="157">
        <v>661</v>
      </c>
      <c r="AB175" s="152">
        <f t="shared" si="17"/>
        <v>55588</v>
      </c>
      <c r="AC175" s="161">
        <f t="shared" si="18"/>
        <v>8437</v>
      </c>
      <c r="AD175" s="161">
        <v>12897</v>
      </c>
    </row>
    <row r="176" spans="1:30">
      <c r="A176" s="91" t="s">
        <v>354</v>
      </c>
      <c r="B176" s="91" t="s">
        <v>400</v>
      </c>
      <c r="C176" s="92" t="s">
        <v>401</v>
      </c>
      <c r="D176" s="160">
        <v>48130</v>
      </c>
      <c r="E176" s="161">
        <v>4464</v>
      </c>
      <c r="F176" s="152">
        <f t="shared" si="14"/>
        <v>52594</v>
      </c>
      <c r="G176" s="154">
        <v>631</v>
      </c>
      <c r="H176" s="228">
        <v>51963</v>
      </c>
      <c r="I176" s="162">
        <v>7889</v>
      </c>
      <c r="X176" s="152">
        <f t="shared" si="15"/>
        <v>52594</v>
      </c>
      <c r="Y176" s="156">
        <f t="shared" si="19"/>
        <v>1.2E-2</v>
      </c>
      <c r="Z176" s="152">
        <f t="shared" si="16"/>
        <v>631</v>
      </c>
      <c r="AA176" s="157">
        <v>618</v>
      </c>
      <c r="AB176" s="152">
        <f t="shared" si="17"/>
        <v>51976</v>
      </c>
      <c r="AC176" s="161">
        <f t="shared" si="18"/>
        <v>7889</v>
      </c>
      <c r="AD176" s="161">
        <v>12248</v>
      </c>
    </row>
    <row r="177" spans="1:30">
      <c r="A177" s="91" t="s">
        <v>354</v>
      </c>
      <c r="B177" s="91" t="s">
        <v>402</v>
      </c>
      <c r="C177" s="92" t="s">
        <v>403</v>
      </c>
      <c r="D177" s="160">
        <v>31890</v>
      </c>
      <c r="E177" s="161">
        <v>3380</v>
      </c>
      <c r="F177" s="152">
        <f t="shared" si="14"/>
        <v>35270</v>
      </c>
      <c r="G177" s="154">
        <v>423</v>
      </c>
      <c r="H177" s="228">
        <v>34847</v>
      </c>
      <c r="I177" s="162">
        <v>5291</v>
      </c>
      <c r="X177" s="152">
        <f t="shared" si="15"/>
        <v>35270</v>
      </c>
      <c r="Y177" s="156">
        <f t="shared" si="19"/>
        <v>1.2E-2</v>
      </c>
      <c r="Z177" s="152">
        <f t="shared" si="16"/>
        <v>423</v>
      </c>
      <c r="AA177" s="157">
        <v>415</v>
      </c>
      <c r="AB177" s="152">
        <f t="shared" si="17"/>
        <v>34855</v>
      </c>
      <c r="AC177" s="161">
        <f t="shared" si="18"/>
        <v>5291</v>
      </c>
      <c r="AD177" s="161">
        <v>8178</v>
      </c>
    </row>
    <row r="178" spans="1:30">
      <c r="A178" s="91" t="s">
        <v>354</v>
      </c>
      <c r="B178" s="91" t="s">
        <v>404</v>
      </c>
      <c r="C178" s="92" t="s">
        <v>405</v>
      </c>
      <c r="D178" s="160">
        <v>9621</v>
      </c>
      <c r="E178" s="161">
        <v>1646</v>
      </c>
      <c r="F178" s="152">
        <f t="shared" si="14"/>
        <v>11267</v>
      </c>
      <c r="G178" s="154">
        <v>135</v>
      </c>
      <c r="H178" s="228">
        <v>11132</v>
      </c>
      <c r="I178" s="162">
        <v>1690</v>
      </c>
      <c r="X178" s="152">
        <f t="shared" si="15"/>
        <v>11267</v>
      </c>
      <c r="Y178" s="156">
        <f t="shared" si="19"/>
        <v>1.2E-2</v>
      </c>
      <c r="Z178" s="152">
        <f t="shared" si="16"/>
        <v>135</v>
      </c>
      <c r="AA178" s="157">
        <v>132</v>
      </c>
      <c r="AB178" s="152">
        <f t="shared" si="17"/>
        <v>11135</v>
      </c>
      <c r="AC178" s="161">
        <f t="shared" si="18"/>
        <v>1690</v>
      </c>
      <c r="AD178" s="161">
        <v>2559</v>
      </c>
    </row>
    <row r="179" spans="1:30">
      <c r="A179" s="83" t="s">
        <v>354</v>
      </c>
      <c r="B179" s="83" t="s">
        <v>406</v>
      </c>
      <c r="C179" s="84" t="s">
        <v>407</v>
      </c>
      <c r="D179" s="160">
        <v>56842</v>
      </c>
      <c r="E179" s="161">
        <v>1646</v>
      </c>
      <c r="F179" s="152">
        <f t="shared" si="14"/>
        <v>58488</v>
      </c>
      <c r="G179" s="154">
        <v>702</v>
      </c>
      <c r="H179" s="228">
        <v>57786</v>
      </c>
      <c r="I179" s="162">
        <v>8773</v>
      </c>
      <c r="X179" s="152">
        <f t="shared" si="15"/>
        <v>58488</v>
      </c>
      <c r="Y179" s="156">
        <f t="shared" si="19"/>
        <v>1.2E-2</v>
      </c>
      <c r="Z179" s="152">
        <f t="shared" si="16"/>
        <v>702</v>
      </c>
      <c r="AA179" s="157">
        <v>688</v>
      </c>
      <c r="AB179" s="152">
        <f t="shared" si="17"/>
        <v>57800</v>
      </c>
      <c r="AC179" s="161">
        <f t="shared" si="18"/>
        <v>8773</v>
      </c>
      <c r="AD179" s="161">
        <v>13932</v>
      </c>
    </row>
    <row r="180" spans="1:30">
      <c r="A180" s="91" t="s">
        <v>354</v>
      </c>
      <c r="B180" s="91" t="s">
        <v>408</v>
      </c>
      <c r="C180" s="92" t="s">
        <v>409</v>
      </c>
      <c r="D180" s="160">
        <v>17605</v>
      </c>
      <c r="E180" s="161">
        <v>1822</v>
      </c>
      <c r="F180" s="152">
        <f t="shared" si="14"/>
        <v>19427</v>
      </c>
      <c r="G180" s="154">
        <v>233</v>
      </c>
      <c r="H180" s="228">
        <v>19194</v>
      </c>
      <c r="I180" s="162">
        <v>2914</v>
      </c>
      <c r="X180" s="152">
        <f t="shared" si="15"/>
        <v>19427</v>
      </c>
      <c r="Y180" s="156">
        <f t="shared" si="19"/>
        <v>1.2E-2</v>
      </c>
      <c r="Z180" s="152">
        <f t="shared" si="16"/>
        <v>233</v>
      </c>
      <c r="AA180" s="157">
        <v>228</v>
      </c>
      <c r="AB180" s="152">
        <f t="shared" si="17"/>
        <v>19199</v>
      </c>
      <c r="AC180" s="161">
        <f t="shared" si="18"/>
        <v>2914</v>
      </c>
      <c r="AD180" s="161">
        <v>4508</v>
      </c>
    </row>
    <row r="181" spans="1:30">
      <c r="A181" s="83" t="s">
        <v>354</v>
      </c>
      <c r="B181" s="83" t="s">
        <v>410</v>
      </c>
      <c r="C181" s="84" t="s">
        <v>411</v>
      </c>
      <c r="D181" s="160">
        <v>37576</v>
      </c>
      <c r="E181" s="161">
        <v>5507</v>
      </c>
      <c r="F181" s="152">
        <f t="shared" si="14"/>
        <v>43083</v>
      </c>
      <c r="G181" s="154">
        <v>517</v>
      </c>
      <c r="H181" s="228">
        <v>42566</v>
      </c>
      <c r="I181" s="162">
        <v>6462</v>
      </c>
      <c r="X181" s="152">
        <f t="shared" si="15"/>
        <v>43083</v>
      </c>
      <c r="Y181" s="156">
        <f t="shared" si="19"/>
        <v>1.2E-2</v>
      </c>
      <c r="Z181" s="152">
        <f t="shared" si="16"/>
        <v>517</v>
      </c>
      <c r="AA181" s="157">
        <v>507</v>
      </c>
      <c r="AB181" s="152">
        <f t="shared" si="17"/>
        <v>42576</v>
      </c>
      <c r="AC181" s="161">
        <f t="shared" si="18"/>
        <v>6462</v>
      </c>
      <c r="AD181" s="161">
        <v>9860</v>
      </c>
    </row>
    <row r="182" spans="1:30">
      <c r="A182" s="91" t="s">
        <v>354</v>
      </c>
      <c r="B182" s="91" t="s">
        <v>412</v>
      </c>
      <c r="C182" s="92" t="s">
        <v>413</v>
      </c>
      <c r="D182" s="160">
        <v>76608</v>
      </c>
      <c r="E182" s="161">
        <v>11444</v>
      </c>
      <c r="F182" s="152">
        <f t="shared" si="14"/>
        <v>88052</v>
      </c>
      <c r="G182" s="154">
        <v>1057</v>
      </c>
      <c r="H182" s="228">
        <v>86995</v>
      </c>
      <c r="I182" s="162">
        <v>13208</v>
      </c>
      <c r="X182" s="152">
        <f t="shared" si="15"/>
        <v>88052</v>
      </c>
      <c r="Y182" s="156">
        <f t="shared" si="19"/>
        <v>1.2E-2</v>
      </c>
      <c r="Z182" s="152">
        <f t="shared" si="16"/>
        <v>1057</v>
      </c>
      <c r="AA182" s="157">
        <v>1035</v>
      </c>
      <c r="AB182" s="152">
        <f t="shared" si="17"/>
        <v>87017</v>
      </c>
      <c r="AC182" s="161">
        <f t="shared" si="18"/>
        <v>13208</v>
      </c>
      <c r="AD182" s="161">
        <v>20133</v>
      </c>
    </row>
    <row r="183" spans="1:30">
      <c r="A183" s="91" t="s">
        <v>354</v>
      </c>
      <c r="B183" s="91" t="s">
        <v>414</v>
      </c>
      <c r="C183" s="92" t="s">
        <v>415</v>
      </c>
      <c r="D183" s="160">
        <v>82408</v>
      </c>
      <c r="E183" s="161">
        <v>16212</v>
      </c>
      <c r="F183" s="152">
        <f t="shared" si="14"/>
        <v>98620</v>
      </c>
      <c r="G183" s="154">
        <v>1183</v>
      </c>
      <c r="H183" s="228">
        <v>97437</v>
      </c>
      <c r="I183" s="162">
        <v>14793</v>
      </c>
      <c r="X183" s="152">
        <f t="shared" si="15"/>
        <v>98620</v>
      </c>
      <c r="Y183" s="156">
        <f t="shared" si="19"/>
        <v>1.2E-2</v>
      </c>
      <c r="Z183" s="152">
        <f t="shared" si="16"/>
        <v>1183</v>
      </c>
      <c r="AA183" s="157">
        <v>1160</v>
      </c>
      <c r="AB183" s="152">
        <f t="shared" si="17"/>
        <v>97460</v>
      </c>
      <c r="AC183" s="161">
        <f t="shared" si="18"/>
        <v>14793</v>
      </c>
      <c r="AD183" s="161">
        <v>22231</v>
      </c>
    </row>
    <row r="184" spans="1:30">
      <c r="A184" s="91" t="s">
        <v>354</v>
      </c>
      <c r="B184" s="91" t="s">
        <v>416</v>
      </c>
      <c r="C184" s="92" t="s">
        <v>417</v>
      </c>
      <c r="D184" s="160">
        <v>36621</v>
      </c>
      <c r="E184" s="161">
        <v>3380</v>
      </c>
      <c r="F184" s="152">
        <f t="shared" si="14"/>
        <v>40001</v>
      </c>
      <c r="G184" s="154">
        <v>480</v>
      </c>
      <c r="H184" s="228">
        <v>39521</v>
      </c>
      <c r="I184" s="162">
        <v>6000</v>
      </c>
      <c r="X184" s="152">
        <f t="shared" si="15"/>
        <v>40001</v>
      </c>
      <c r="Y184" s="156">
        <f t="shared" si="19"/>
        <v>1.2E-2</v>
      </c>
      <c r="Z184" s="152">
        <f t="shared" si="16"/>
        <v>480</v>
      </c>
      <c r="AA184" s="157">
        <v>470</v>
      </c>
      <c r="AB184" s="152">
        <f t="shared" si="17"/>
        <v>39531</v>
      </c>
      <c r="AC184" s="161">
        <f t="shared" si="18"/>
        <v>6000</v>
      </c>
      <c r="AD184" s="161">
        <v>9317</v>
      </c>
    </row>
    <row r="185" spans="1:30" ht="15.75" thickBot="1">
      <c r="A185" s="93" t="s">
        <v>354</v>
      </c>
      <c r="B185" s="93" t="s">
        <v>418</v>
      </c>
      <c r="C185" s="94" t="s">
        <v>419</v>
      </c>
      <c r="D185" s="174">
        <v>54271</v>
      </c>
      <c r="E185" s="175">
        <v>6764</v>
      </c>
      <c r="F185" s="174">
        <f t="shared" si="14"/>
        <v>61035</v>
      </c>
      <c r="G185" s="176">
        <v>732</v>
      </c>
      <c r="H185" s="229">
        <v>60303</v>
      </c>
      <c r="I185" s="177">
        <v>9155</v>
      </c>
      <c r="X185" s="174">
        <f t="shared" si="15"/>
        <v>61035</v>
      </c>
      <c r="Y185" s="178">
        <f t="shared" si="19"/>
        <v>1.2E-2</v>
      </c>
      <c r="Z185" s="174">
        <f t="shared" si="16"/>
        <v>732</v>
      </c>
      <c r="AA185" s="179">
        <v>718</v>
      </c>
      <c r="AB185" s="174">
        <f t="shared" si="17"/>
        <v>60317</v>
      </c>
      <c r="AC185" s="175">
        <f t="shared" si="18"/>
        <v>9155</v>
      </c>
      <c r="AD185" s="175">
        <v>14066</v>
      </c>
    </row>
    <row r="186" spans="1:30">
      <c r="A186" s="91" t="s">
        <v>420</v>
      </c>
      <c r="B186" s="91" t="s">
        <v>421</v>
      </c>
      <c r="C186" s="92" t="s">
        <v>422</v>
      </c>
      <c r="D186" s="152">
        <v>15877</v>
      </c>
      <c r="E186" s="153">
        <v>2862</v>
      </c>
      <c r="F186" s="152">
        <f t="shared" si="14"/>
        <v>18739</v>
      </c>
      <c r="G186" s="154">
        <v>172</v>
      </c>
      <c r="H186" s="228">
        <v>18567</v>
      </c>
      <c r="I186" s="155">
        <v>2811</v>
      </c>
      <c r="X186" s="152">
        <f t="shared" si="15"/>
        <v>18739</v>
      </c>
      <c r="Y186" s="156">
        <f>+$AG$24</f>
        <v>9.1999999999999998E-3</v>
      </c>
      <c r="Z186" s="152">
        <f t="shared" si="16"/>
        <v>172</v>
      </c>
      <c r="AA186" s="157">
        <v>169</v>
      </c>
      <c r="AB186" s="152">
        <f t="shared" si="17"/>
        <v>18570</v>
      </c>
      <c r="AC186" s="153">
        <f t="shared" si="18"/>
        <v>2811</v>
      </c>
      <c r="AD186" s="153">
        <v>4245</v>
      </c>
    </row>
    <row r="187" spans="1:30">
      <c r="A187" s="91" t="s">
        <v>420</v>
      </c>
      <c r="B187" s="91" t="s">
        <v>423</v>
      </c>
      <c r="C187" s="92" t="s">
        <v>424</v>
      </c>
      <c r="D187" s="160">
        <v>65258</v>
      </c>
      <c r="E187" s="161">
        <v>7024</v>
      </c>
      <c r="F187" s="152">
        <f t="shared" si="14"/>
        <v>72282</v>
      </c>
      <c r="G187" s="154">
        <v>665</v>
      </c>
      <c r="H187" s="228">
        <v>71617</v>
      </c>
      <c r="I187" s="162">
        <v>10842</v>
      </c>
      <c r="X187" s="152">
        <f t="shared" si="15"/>
        <v>72282</v>
      </c>
      <c r="Y187" s="156">
        <f t="shared" ref="Y187:Y238" si="20">+$AG$24</f>
        <v>9.1999999999999998E-3</v>
      </c>
      <c r="Z187" s="152">
        <f t="shared" si="16"/>
        <v>665</v>
      </c>
      <c r="AA187" s="157">
        <v>652</v>
      </c>
      <c r="AB187" s="152">
        <f t="shared" si="17"/>
        <v>71630</v>
      </c>
      <c r="AC187" s="161">
        <f t="shared" si="18"/>
        <v>10842</v>
      </c>
      <c r="AD187" s="161">
        <v>16750</v>
      </c>
    </row>
    <row r="188" spans="1:30">
      <c r="A188" s="91" t="s">
        <v>420</v>
      </c>
      <c r="B188" s="91" t="s">
        <v>425</v>
      </c>
      <c r="C188" s="92" t="s">
        <v>426</v>
      </c>
      <c r="D188" s="160">
        <v>196546</v>
      </c>
      <c r="E188" s="161">
        <v>27572</v>
      </c>
      <c r="F188" s="152">
        <f t="shared" si="14"/>
        <v>224118</v>
      </c>
      <c r="G188" s="154">
        <v>2062</v>
      </c>
      <c r="H188" s="228">
        <v>222056</v>
      </c>
      <c r="I188" s="162">
        <v>33618</v>
      </c>
      <c r="X188" s="152">
        <f t="shared" si="15"/>
        <v>224118</v>
      </c>
      <c r="Y188" s="156">
        <f t="shared" si="20"/>
        <v>9.1999999999999998E-3</v>
      </c>
      <c r="Z188" s="152">
        <f t="shared" si="16"/>
        <v>2062</v>
      </c>
      <c r="AA188" s="157">
        <v>2020</v>
      </c>
      <c r="AB188" s="152">
        <f t="shared" si="17"/>
        <v>222098</v>
      </c>
      <c r="AC188" s="161">
        <f t="shared" si="18"/>
        <v>33618</v>
      </c>
      <c r="AD188" s="161">
        <v>51392</v>
      </c>
    </row>
    <row r="189" spans="1:30">
      <c r="A189" s="91" t="s">
        <v>420</v>
      </c>
      <c r="B189" s="91" t="s">
        <v>427</v>
      </c>
      <c r="C189" s="107" t="s">
        <v>428</v>
      </c>
      <c r="D189" s="160">
        <v>417589</v>
      </c>
      <c r="E189" s="161">
        <v>27528</v>
      </c>
      <c r="F189" s="152">
        <f t="shared" si="14"/>
        <v>445117</v>
      </c>
      <c r="G189" s="154">
        <v>4095</v>
      </c>
      <c r="H189" s="228">
        <v>441022</v>
      </c>
      <c r="I189" s="226">
        <v>66768</v>
      </c>
      <c r="X189" s="152">
        <f t="shared" si="15"/>
        <v>445117</v>
      </c>
      <c r="Y189" s="156">
        <f t="shared" si="20"/>
        <v>9.1999999999999998E-3</v>
      </c>
      <c r="Z189" s="152">
        <f t="shared" si="16"/>
        <v>4095</v>
      </c>
      <c r="AA189" s="157">
        <v>4013</v>
      </c>
      <c r="AB189" s="152">
        <f t="shared" si="17"/>
        <v>441104</v>
      </c>
      <c r="AC189" s="161">
        <f t="shared" si="18"/>
        <v>66768</v>
      </c>
      <c r="AD189" s="161">
        <v>104624</v>
      </c>
    </row>
    <row r="190" spans="1:30">
      <c r="A190" s="91" t="s">
        <v>420</v>
      </c>
      <c r="B190" s="91" t="s">
        <v>429</v>
      </c>
      <c r="C190" s="92" t="s">
        <v>430</v>
      </c>
      <c r="D190" s="160">
        <v>24702</v>
      </c>
      <c r="E190" s="161">
        <v>3857</v>
      </c>
      <c r="F190" s="152">
        <f t="shared" si="14"/>
        <v>28559</v>
      </c>
      <c r="G190" s="154">
        <v>263</v>
      </c>
      <c r="H190" s="228">
        <v>28296</v>
      </c>
      <c r="I190" s="162">
        <v>4284</v>
      </c>
      <c r="X190" s="152">
        <f t="shared" si="15"/>
        <v>28559</v>
      </c>
      <c r="Y190" s="156">
        <f t="shared" si="20"/>
        <v>9.1999999999999998E-3</v>
      </c>
      <c r="Z190" s="152">
        <f t="shared" si="16"/>
        <v>263</v>
      </c>
      <c r="AA190" s="157">
        <v>257</v>
      </c>
      <c r="AB190" s="152">
        <f t="shared" si="17"/>
        <v>28302</v>
      </c>
      <c r="AC190" s="161">
        <f t="shared" si="18"/>
        <v>4284</v>
      </c>
      <c r="AD190" s="161">
        <v>6517</v>
      </c>
    </row>
    <row r="191" spans="1:30">
      <c r="A191" s="91" t="s">
        <v>420</v>
      </c>
      <c r="B191" s="91" t="s">
        <v>431</v>
      </c>
      <c r="C191" s="92" t="s">
        <v>432</v>
      </c>
      <c r="D191" s="160">
        <v>68442</v>
      </c>
      <c r="E191" s="161">
        <v>7370</v>
      </c>
      <c r="F191" s="152">
        <f t="shared" si="14"/>
        <v>75812</v>
      </c>
      <c r="G191" s="154">
        <v>697</v>
      </c>
      <c r="H191" s="228">
        <v>75115</v>
      </c>
      <c r="I191" s="162">
        <v>11372</v>
      </c>
      <c r="X191" s="152">
        <f t="shared" si="15"/>
        <v>75812</v>
      </c>
      <c r="Y191" s="156">
        <f t="shared" si="20"/>
        <v>9.1999999999999998E-3</v>
      </c>
      <c r="Z191" s="152">
        <f t="shared" si="16"/>
        <v>697</v>
      </c>
      <c r="AA191" s="157">
        <v>683</v>
      </c>
      <c r="AB191" s="152">
        <f t="shared" si="17"/>
        <v>75129</v>
      </c>
      <c r="AC191" s="161">
        <f t="shared" si="18"/>
        <v>11372</v>
      </c>
      <c r="AD191" s="161">
        <v>17568</v>
      </c>
    </row>
    <row r="192" spans="1:30">
      <c r="A192" s="91" t="s">
        <v>420</v>
      </c>
      <c r="B192" s="91" t="s">
        <v>433</v>
      </c>
      <c r="C192" s="92" t="s">
        <v>434</v>
      </c>
      <c r="D192" s="160">
        <v>17287</v>
      </c>
      <c r="E192" s="161">
        <v>2340</v>
      </c>
      <c r="F192" s="152">
        <f t="shared" si="14"/>
        <v>19627</v>
      </c>
      <c r="G192" s="154">
        <v>181</v>
      </c>
      <c r="H192" s="228">
        <v>19446</v>
      </c>
      <c r="I192" s="162">
        <v>2944</v>
      </c>
      <c r="X192" s="152">
        <f t="shared" si="15"/>
        <v>19627</v>
      </c>
      <c r="Y192" s="156">
        <f t="shared" si="20"/>
        <v>9.1999999999999998E-3</v>
      </c>
      <c r="Z192" s="152">
        <f t="shared" si="16"/>
        <v>181</v>
      </c>
      <c r="AA192" s="157">
        <v>177</v>
      </c>
      <c r="AB192" s="152">
        <f t="shared" si="17"/>
        <v>19450</v>
      </c>
      <c r="AC192" s="161">
        <f t="shared" si="18"/>
        <v>2944</v>
      </c>
      <c r="AD192" s="161">
        <v>4508</v>
      </c>
    </row>
    <row r="193" spans="1:30">
      <c r="A193" s="91" t="s">
        <v>420</v>
      </c>
      <c r="B193" s="91" t="s">
        <v>435</v>
      </c>
      <c r="C193" s="92" t="s">
        <v>436</v>
      </c>
      <c r="D193" s="160">
        <v>63097</v>
      </c>
      <c r="E193" s="161">
        <v>6719</v>
      </c>
      <c r="F193" s="152">
        <f t="shared" si="14"/>
        <v>69816</v>
      </c>
      <c r="G193" s="154">
        <v>642</v>
      </c>
      <c r="H193" s="228">
        <v>69174</v>
      </c>
      <c r="I193" s="162">
        <v>10472</v>
      </c>
      <c r="X193" s="152">
        <f t="shared" si="15"/>
        <v>69816</v>
      </c>
      <c r="Y193" s="156">
        <f t="shared" si="20"/>
        <v>9.1999999999999998E-3</v>
      </c>
      <c r="Z193" s="152">
        <f t="shared" si="16"/>
        <v>642</v>
      </c>
      <c r="AA193" s="157">
        <v>629</v>
      </c>
      <c r="AB193" s="152">
        <f t="shared" si="17"/>
        <v>69187</v>
      </c>
      <c r="AC193" s="161">
        <f t="shared" si="18"/>
        <v>10472</v>
      </c>
      <c r="AD193" s="161">
        <v>16185</v>
      </c>
    </row>
    <row r="194" spans="1:30">
      <c r="A194" s="91" t="s">
        <v>420</v>
      </c>
      <c r="B194" s="91" t="s">
        <v>437</v>
      </c>
      <c r="C194" s="92" t="s">
        <v>438</v>
      </c>
      <c r="D194" s="160">
        <v>106837</v>
      </c>
      <c r="E194" s="161">
        <v>19335</v>
      </c>
      <c r="F194" s="152">
        <f t="shared" si="14"/>
        <v>126172</v>
      </c>
      <c r="G194" s="154">
        <v>1161</v>
      </c>
      <c r="H194" s="228">
        <v>125011</v>
      </c>
      <c r="I194" s="162">
        <v>18926</v>
      </c>
      <c r="X194" s="152">
        <f t="shared" si="15"/>
        <v>126172</v>
      </c>
      <c r="Y194" s="156">
        <f t="shared" si="20"/>
        <v>9.1999999999999998E-3</v>
      </c>
      <c r="Z194" s="152">
        <f t="shared" si="16"/>
        <v>1161</v>
      </c>
      <c r="AA194" s="157">
        <v>1137</v>
      </c>
      <c r="AB194" s="152">
        <f t="shared" si="17"/>
        <v>125035</v>
      </c>
      <c r="AC194" s="161">
        <f t="shared" si="18"/>
        <v>18926</v>
      </c>
      <c r="AD194" s="161">
        <v>28574</v>
      </c>
    </row>
    <row r="195" spans="1:30">
      <c r="A195" s="91" t="s">
        <v>420</v>
      </c>
      <c r="B195" s="91" t="s">
        <v>439</v>
      </c>
      <c r="C195" s="92" t="s">
        <v>440</v>
      </c>
      <c r="D195" s="160">
        <v>81453</v>
      </c>
      <c r="E195" s="161">
        <v>11099</v>
      </c>
      <c r="F195" s="152">
        <f t="shared" si="14"/>
        <v>92552</v>
      </c>
      <c r="G195" s="154">
        <v>851</v>
      </c>
      <c r="H195" s="228">
        <v>91701</v>
      </c>
      <c r="I195" s="162">
        <v>13883</v>
      </c>
      <c r="X195" s="152">
        <f t="shared" si="15"/>
        <v>92552</v>
      </c>
      <c r="Y195" s="156">
        <f t="shared" si="20"/>
        <v>9.1999999999999998E-3</v>
      </c>
      <c r="Z195" s="152">
        <f t="shared" si="16"/>
        <v>851</v>
      </c>
      <c r="AA195" s="157">
        <v>834</v>
      </c>
      <c r="AB195" s="152">
        <f t="shared" si="17"/>
        <v>91718</v>
      </c>
      <c r="AC195" s="161">
        <f t="shared" si="18"/>
        <v>13883</v>
      </c>
      <c r="AD195" s="161">
        <v>21250</v>
      </c>
    </row>
    <row r="196" spans="1:30">
      <c r="A196" s="91" t="s">
        <v>420</v>
      </c>
      <c r="B196" s="91" t="s">
        <v>441</v>
      </c>
      <c r="C196" s="92" t="s">
        <v>442</v>
      </c>
      <c r="D196" s="160">
        <v>115116</v>
      </c>
      <c r="E196" s="161">
        <v>13310</v>
      </c>
      <c r="F196" s="152">
        <f t="shared" si="14"/>
        <v>128426</v>
      </c>
      <c r="G196" s="154">
        <v>1182</v>
      </c>
      <c r="H196" s="228">
        <v>127244</v>
      </c>
      <c r="I196" s="162">
        <v>19264</v>
      </c>
      <c r="X196" s="152">
        <f t="shared" si="15"/>
        <v>128426</v>
      </c>
      <c r="Y196" s="156">
        <f t="shared" si="20"/>
        <v>9.1999999999999998E-3</v>
      </c>
      <c r="Z196" s="152">
        <f t="shared" si="16"/>
        <v>1182</v>
      </c>
      <c r="AA196" s="157">
        <v>1158</v>
      </c>
      <c r="AB196" s="152">
        <f t="shared" si="17"/>
        <v>127268</v>
      </c>
      <c r="AC196" s="161">
        <f t="shared" si="18"/>
        <v>19264</v>
      </c>
      <c r="AD196" s="161">
        <v>29683</v>
      </c>
    </row>
    <row r="197" spans="1:30">
      <c r="A197" s="91" t="s">
        <v>420</v>
      </c>
      <c r="B197" s="91" t="s">
        <v>443</v>
      </c>
      <c r="C197" s="92" t="s">
        <v>444</v>
      </c>
      <c r="D197" s="160">
        <v>34846</v>
      </c>
      <c r="E197" s="161">
        <v>6242</v>
      </c>
      <c r="F197" s="152">
        <f t="shared" si="14"/>
        <v>41088</v>
      </c>
      <c r="G197" s="154">
        <v>378</v>
      </c>
      <c r="H197" s="228">
        <v>40710</v>
      </c>
      <c r="I197" s="162">
        <v>6163</v>
      </c>
      <c r="X197" s="152">
        <f t="shared" si="15"/>
        <v>41088</v>
      </c>
      <c r="Y197" s="156">
        <f t="shared" si="20"/>
        <v>9.1999999999999998E-3</v>
      </c>
      <c r="Z197" s="152">
        <f t="shared" si="16"/>
        <v>378</v>
      </c>
      <c r="AA197" s="157">
        <v>370</v>
      </c>
      <c r="AB197" s="152">
        <f t="shared" si="17"/>
        <v>40718</v>
      </c>
      <c r="AC197" s="161">
        <f t="shared" si="18"/>
        <v>6163</v>
      </c>
      <c r="AD197" s="161">
        <v>9310</v>
      </c>
    </row>
    <row r="198" spans="1:30">
      <c r="A198" s="83" t="s">
        <v>420</v>
      </c>
      <c r="B198" s="83" t="s">
        <v>445</v>
      </c>
      <c r="C198" s="84" t="s">
        <v>446</v>
      </c>
      <c r="D198" s="160">
        <v>22518</v>
      </c>
      <c r="E198" s="161">
        <v>2557</v>
      </c>
      <c r="F198" s="152">
        <f t="shared" si="14"/>
        <v>25075</v>
      </c>
      <c r="G198" s="154">
        <v>231</v>
      </c>
      <c r="H198" s="228">
        <v>24844</v>
      </c>
      <c r="I198" s="162">
        <v>3761</v>
      </c>
      <c r="X198" s="152">
        <f t="shared" si="15"/>
        <v>25075</v>
      </c>
      <c r="Y198" s="156">
        <f t="shared" si="20"/>
        <v>9.1999999999999998E-3</v>
      </c>
      <c r="Z198" s="152">
        <f t="shared" si="16"/>
        <v>231</v>
      </c>
      <c r="AA198" s="157">
        <v>226</v>
      </c>
      <c r="AB198" s="152">
        <f t="shared" si="17"/>
        <v>24849</v>
      </c>
      <c r="AC198" s="161">
        <f t="shared" si="18"/>
        <v>3761</v>
      </c>
      <c r="AD198" s="161">
        <v>5799</v>
      </c>
    </row>
    <row r="199" spans="1:30">
      <c r="A199" s="91" t="s">
        <v>420</v>
      </c>
      <c r="B199" s="91" t="s">
        <v>447</v>
      </c>
      <c r="C199" s="92" t="s">
        <v>448</v>
      </c>
      <c r="D199" s="160">
        <v>21859</v>
      </c>
      <c r="E199" s="161">
        <v>2906</v>
      </c>
      <c r="F199" s="152">
        <f t="shared" ref="F199:F262" si="21">+E199+D199</f>
        <v>24765</v>
      </c>
      <c r="G199" s="154">
        <v>228</v>
      </c>
      <c r="H199" s="228">
        <v>24537</v>
      </c>
      <c r="I199" s="162">
        <v>3715</v>
      </c>
      <c r="X199" s="152">
        <f t="shared" si="15"/>
        <v>24765</v>
      </c>
      <c r="Y199" s="156">
        <f t="shared" si="20"/>
        <v>9.1999999999999998E-3</v>
      </c>
      <c r="Z199" s="152">
        <f t="shared" si="16"/>
        <v>228</v>
      </c>
      <c r="AA199" s="157">
        <v>223</v>
      </c>
      <c r="AB199" s="152">
        <f t="shared" si="17"/>
        <v>24542</v>
      </c>
      <c r="AC199" s="161">
        <f t="shared" si="18"/>
        <v>3715</v>
      </c>
      <c r="AD199" s="161">
        <v>5692</v>
      </c>
    </row>
    <row r="200" spans="1:30">
      <c r="A200" s="91" t="s">
        <v>420</v>
      </c>
      <c r="B200" s="91" t="s">
        <v>450</v>
      </c>
      <c r="C200" s="92" t="s">
        <v>451</v>
      </c>
      <c r="D200" s="160">
        <v>19106</v>
      </c>
      <c r="E200" s="161">
        <v>4423</v>
      </c>
      <c r="F200" s="152">
        <f t="shared" si="21"/>
        <v>23529</v>
      </c>
      <c r="G200" s="154">
        <v>216</v>
      </c>
      <c r="H200" s="228">
        <v>23313</v>
      </c>
      <c r="I200" s="162">
        <v>3529</v>
      </c>
      <c r="X200" s="152">
        <f t="shared" ref="X200:X263" si="22">+F200</f>
        <v>23529</v>
      </c>
      <c r="Y200" s="156">
        <f t="shared" si="20"/>
        <v>9.1999999999999998E-3</v>
      </c>
      <c r="Z200" s="152">
        <f t="shared" ref="Z200:Z263" si="23">ROUND(X200*Y200,0)</f>
        <v>216</v>
      </c>
      <c r="AA200" s="157">
        <v>212</v>
      </c>
      <c r="AB200" s="152">
        <f t="shared" ref="AB200:AB263" si="24">+X200-AA200</f>
        <v>23317</v>
      </c>
      <c r="AC200" s="161">
        <f t="shared" ref="AC200:AC263" si="25">ROUND((X200*0.15),0)</f>
        <v>3529</v>
      </c>
      <c r="AD200" s="161">
        <v>5252</v>
      </c>
    </row>
    <row r="201" spans="1:30">
      <c r="A201" s="91" t="s">
        <v>420</v>
      </c>
      <c r="B201" s="91" t="s">
        <v>452</v>
      </c>
      <c r="C201" s="92" t="s">
        <v>453</v>
      </c>
      <c r="D201" s="160">
        <v>92257</v>
      </c>
      <c r="E201" s="161">
        <v>7197</v>
      </c>
      <c r="F201" s="152">
        <f t="shared" si="21"/>
        <v>99454</v>
      </c>
      <c r="G201" s="154">
        <v>915</v>
      </c>
      <c r="H201" s="228">
        <v>98539</v>
      </c>
      <c r="I201" s="162">
        <v>14918</v>
      </c>
      <c r="X201" s="152">
        <f t="shared" si="22"/>
        <v>99454</v>
      </c>
      <c r="Y201" s="156">
        <f t="shared" si="20"/>
        <v>9.1999999999999998E-3</v>
      </c>
      <c r="Z201" s="152">
        <f t="shared" si="23"/>
        <v>915</v>
      </c>
      <c r="AA201" s="157">
        <v>897</v>
      </c>
      <c r="AB201" s="152">
        <f t="shared" si="24"/>
        <v>98557</v>
      </c>
      <c r="AC201" s="161">
        <f t="shared" si="25"/>
        <v>14918</v>
      </c>
      <c r="AD201" s="161">
        <v>23278</v>
      </c>
    </row>
    <row r="202" spans="1:30">
      <c r="A202" s="91" t="s">
        <v>420</v>
      </c>
      <c r="B202" s="91" t="s">
        <v>454</v>
      </c>
      <c r="C202" s="92" t="s">
        <v>455</v>
      </c>
      <c r="D202" s="160">
        <v>1515731</v>
      </c>
      <c r="E202" s="182">
        <v>463764</v>
      </c>
      <c r="F202" s="152">
        <f t="shared" si="21"/>
        <v>1979495</v>
      </c>
      <c r="G202" s="154">
        <v>18211</v>
      </c>
      <c r="H202" s="228">
        <v>1961284</v>
      </c>
      <c r="I202" s="162">
        <v>296924</v>
      </c>
      <c r="X202" s="152">
        <f t="shared" si="22"/>
        <v>1979495</v>
      </c>
      <c r="Y202" s="156">
        <f t="shared" si="20"/>
        <v>9.1999999999999998E-3</v>
      </c>
      <c r="Z202" s="152">
        <f t="shared" si="23"/>
        <v>18211</v>
      </c>
      <c r="AA202" s="157">
        <v>17846</v>
      </c>
      <c r="AB202" s="152">
        <f t="shared" si="24"/>
        <v>1961649</v>
      </c>
      <c r="AC202" s="182">
        <f t="shared" si="25"/>
        <v>296924</v>
      </c>
      <c r="AD202" s="182">
        <v>433236</v>
      </c>
    </row>
    <row r="203" spans="1:30">
      <c r="A203" s="91" t="s">
        <v>420</v>
      </c>
      <c r="B203" s="91" t="s">
        <v>456</v>
      </c>
      <c r="C203" s="92" t="s">
        <v>457</v>
      </c>
      <c r="D203" s="160">
        <v>27409</v>
      </c>
      <c r="E203" s="161">
        <v>2774</v>
      </c>
      <c r="F203" s="152">
        <f t="shared" si="21"/>
        <v>30183</v>
      </c>
      <c r="G203" s="154">
        <v>278</v>
      </c>
      <c r="H203" s="228">
        <v>29905</v>
      </c>
      <c r="I203" s="162">
        <v>4527</v>
      </c>
      <c r="X203" s="152">
        <f t="shared" si="22"/>
        <v>30183</v>
      </c>
      <c r="Y203" s="156">
        <f t="shared" si="20"/>
        <v>9.1999999999999998E-3</v>
      </c>
      <c r="Z203" s="152">
        <f t="shared" si="23"/>
        <v>278</v>
      </c>
      <c r="AA203" s="157">
        <v>272</v>
      </c>
      <c r="AB203" s="152">
        <f t="shared" si="24"/>
        <v>29911</v>
      </c>
      <c r="AC203" s="161">
        <f t="shared" si="25"/>
        <v>4527</v>
      </c>
      <c r="AD203" s="161">
        <v>7009</v>
      </c>
    </row>
    <row r="204" spans="1:30">
      <c r="A204" s="91" t="s">
        <v>420</v>
      </c>
      <c r="B204" s="91" t="s">
        <v>458</v>
      </c>
      <c r="C204" s="92" t="s">
        <v>459</v>
      </c>
      <c r="D204" s="160">
        <v>10440</v>
      </c>
      <c r="E204" s="161">
        <v>1256</v>
      </c>
      <c r="F204" s="152">
        <f t="shared" si="21"/>
        <v>11696</v>
      </c>
      <c r="G204" s="154">
        <v>108</v>
      </c>
      <c r="H204" s="228">
        <v>11588</v>
      </c>
      <c r="I204" s="162">
        <v>1754</v>
      </c>
      <c r="X204" s="152">
        <f t="shared" si="22"/>
        <v>11696</v>
      </c>
      <c r="Y204" s="156">
        <f t="shared" si="20"/>
        <v>9.1999999999999998E-3</v>
      </c>
      <c r="Z204" s="152">
        <f t="shared" si="23"/>
        <v>108</v>
      </c>
      <c r="AA204" s="157">
        <v>105</v>
      </c>
      <c r="AB204" s="152">
        <f t="shared" si="24"/>
        <v>11591</v>
      </c>
      <c r="AC204" s="161">
        <f t="shared" si="25"/>
        <v>1754</v>
      </c>
      <c r="AD204" s="161">
        <v>2699</v>
      </c>
    </row>
    <row r="205" spans="1:30">
      <c r="A205" s="83" t="s">
        <v>420</v>
      </c>
      <c r="B205" s="83" t="s">
        <v>460</v>
      </c>
      <c r="C205" s="84" t="s">
        <v>461</v>
      </c>
      <c r="D205" s="160">
        <v>58525</v>
      </c>
      <c r="E205" s="161">
        <v>2473</v>
      </c>
      <c r="F205" s="152">
        <f t="shared" si="21"/>
        <v>60998</v>
      </c>
      <c r="G205" s="154">
        <v>561</v>
      </c>
      <c r="H205" s="228">
        <v>60437</v>
      </c>
      <c r="I205" s="162">
        <v>9150</v>
      </c>
      <c r="X205" s="152">
        <f t="shared" si="22"/>
        <v>60998</v>
      </c>
      <c r="Y205" s="156">
        <f t="shared" si="20"/>
        <v>9.1999999999999998E-3</v>
      </c>
      <c r="Z205" s="152">
        <f t="shared" si="23"/>
        <v>561</v>
      </c>
      <c r="AA205" s="157">
        <v>550</v>
      </c>
      <c r="AB205" s="152">
        <f t="shared" si="24"/>
        <v>60448</v>
      </c>
      <c r="AC205" s="161">
        <f t="shared" si="25"/>
        <v>9150</v>
      </c>
      <c r="AD205" s="161">
        <v>14459</v>
      </c>
    </row>
    <row r="206" spans="1:30">
      <c r="A206" s="91" t="s">
        <v>420</v>
      </c>
      <c r="B206" s="91" t="s">
        <v>462</v>
      </c>
      <c r="C206" s="92" t="s">
        <v>463</v>
      </c>
      <c r="D206" s="160">
        <v>14876</v>
      </c>
      <c r="E206" s="161">
        <v>1429</v>
      </c>
      <c r="F206" s="152">
        <f t="shared" si="21"/>
        <v>16305</v>
      </c>
      <c r="G206" s="154">
        <v>150</v>
      </c>
      <c r="H206" s="228">
        <v>16155</v>
      </c>
      <c r="I206" s="162">
        <v>2446</v>
      </c>
      <c r="X206" s="152">
        <f t="shared" si="22"/>
        <v>16305</v>
      </c>
      <c r="Y206" s="156">
        <f t="shared" si="20"/>
        <v>9.1999999999999998E-3</v>
      </c>
      <c r="Z206" s="152">
        <f t="shared" si="23"/>
        <v>150</v>
      </c>
      <c r="AA206" s="157">
        <v>147</v>
      </c>
      <c r="AB206" s="152">
        <f t="shared" si="24"/>
        <v>16158</v>
      </c>
      <c r="AC206" s="161">
        <f t="shared" si="25"/>
        <v>2446</v>
      </c>
      <c r="AD206" s="161">
        <v>3793</v>
      </c>
    </row>
    <row r="207" spans="1:30">
      <c r="A207" s="83" t="s">
        <v>420</v>
      </c>
      <c r="B207" s="83" t="s">
        <v>464</v>
      </c>
      <c r="C207" s="84" t="s">
        <v>465</v>
      </c>
      <c r="D207" s="160">
        <v>21245</v>
      </c>
      <c r="E207" s="161">
        <v>3773</v>
      </c>
      <c r="F207" s="152">
        <f t="shared" si="21"/>
        <v>25018</v>
      </c>
      <c r="G207" s="154">
        <v>230</v>
      </c>
      <c r="H207" s="228">
        <v>24788</v>
      </c>
      <c r="I207" s="162">
        <v>3753</v>
      </c>
      <c r="X207" s="152">
        <f t="shared" si="22"/>
        <v>25018</v>
      </c>
      <c r="Y207" s="156">
        <f t="shared" si="20"/>
        <v>9.1999999999999998E-3</v>
      </c>
      <c r="Z207" s="152">
        <f t="shared" si="23"/>
        <v>230</v>
      </c>
      <c r="AA207" s="157">
        <v>226</v>
      </c>
      <c r="AB207" s="152">
        <f t="shared" si="24"/>
        <v>24792</v>
      </c>
      <c r="AC207" s="161">
        <f t="shared" si="25"/>
        <v>3753</v>
      </c>
      <c r="AD207" s="161">
        <v>5671</v>
      </c>
    </row>
    <row r="208" spans="1:30">
      <c r="A208" s="91" t="s">
        <v>420</v>
      </c>
      <c r="B208" s="91" t="s">
        <v>466</v>
      </c>
      <c r="C208" s="92" t="s">
        <v>467</v>
      </c>
      <c r="D208" s="160">
        <v>151555</v>
      </c>
      <c r="E208" s="161">
        <v>20636</v>
      </c>
      <c r="F208" s="152">
        <f t="shared" si="21"/>
        <v>172191</v>
      </c>
      <c r="G208" s="154">
        <v>1584</v>
      </c>
      <c r="H208" s="228">
        <v>170607</v>
      </c>
      <c r="I208" s="162">
        <v>25829</v>
      </c>
      <c r="X208" s="152">
        <f t="shared" si="22"/>
        <v>172191</v>
      </c>
      <c r="Y208" s="156">
        <f t="shared" si="20"/>
        <v>9.1999999999999998E-3</v>
      </c>
      <c r="Z208" s="152">
        <f t="shared" si="23"/>
        <v>1584</v>
      </c>
      <c r="AA208" s="157">
        <v>1552</v>
      </c>
      <c r="AB208" s="152">
        <f t="shared" si="24"/>
        <v>170639</v>
      </c>
      <c r="AC208" s="161">
        <f t="shared" si="25"/>
        <v>25829</v>
      </c>
      <c r="AD208" s="161">
        <v>39536</v>
      </c>
    </row>
    <row r="209" spans="1:30">
      <c r="A209" s="83" t="s">
        <v>420</v>
      </c>
      <c r="B209" s="83" t="s">
        <v>468</v>
      </c>
      <c r="C209" s="84" t="s">
        <v>469</v>
      </c>
      <c r="D209" s="160">
        <v>40078</v>
      </c>
      <c r="E209" s="161">
        <v>4941</v>
      </c>
      <c r="F209" s="152">
        <f t="shared" si="21"/>
        <v>45019</v>
      </c>
      <c r="G209" s="154">
        <v>414</v>
      </c>
      <c r="H209" s="228">
        <v>44605</v>
      </c>
      <c r="I209" s="162">
        <v>6753</v>
      </c>
      <c r="X209" s="152">
        <f t="shared" si="22"/>
        <v>45019</v>
      </c>
      <c r="Y209" s="156">
        <f t="shared" si="20"/>
        <v>9.1999999999999998E-3</v>
      </c>
      <c r="Z209" s="152">
        <f t="shared" si="23"/>
        <v>414</v>
      </c>
      <c r="AA209" s="157">
        <v>406</v>
      </c>
      <c r="AB209" s="152">
        <f t="shared" si="24"/>
        <v>44613</v>
      </c>
      <c r="AC209" s="161">
        <f t="shared" si="25"/>
        <v>6753</v>
      </c>
      <c r="AD209" s="161">
        <v>10379</v>
      </c>
    </row>
    <row r="210" spans="1:30">
      <c r="A210" s="91" t="s">
        <v>420</v>
      </c>
      <c r="B210" s="91" t="s">
        <v>470</v>
      </c>
      <c r="C210" s="107" t="s">
        <v>471</v>
      </c>
      <c r="D210" s="160">
        <v>295103</v>
      </c>
      <c r="E210" s="161">
        <v>18641</v>
      </c>
      <c r="F210" s="152">
        <f t="shared" si="21"/>
        <v>313744</v>
      </c>
      <c r="G210" s="154">
        <v>2886</v>
      </c>
      <c r="H210" s="228">
        <v>310858</v>
      </c>
      <c r="I210" s="226">
        <v>47062</v>
      </c>
      <c r="X210" s="152">
        <f t="shared" si="22"/>
        <v>313744</v>
      </c>
      <c r="Y210" s="156">
        <f t="shared" si="20"/>
        <v>9.1999999999999998E-3</v>
      </c>
      <c r="Z210" s="152">
        <f t="shared" si="23"/>
        <v>2886</v>
      </c>
      <c r="AA210" s="157">
        <v>2828</v>
      </c>
      <c r="AB210" s="152">
        <f t="shared" si="24"/>
        <v>310916</v>
      </c>
      <c r="AC210" s="161">
        <f t="shared" si="25"/>
        <v>47062</v>
      </c>
      <c r="AD210" s="161">
        <v>73817</v>
      </c>
    </row>
    <row r="211" spans="1:30">
      <c r="A211" s="91" t="s">
        <v>420</v>
      </c>
      <c r="B211" s="91" t="s">
        <v>472</v>
      </c>
      <c r="C211" s="92" t="s">
        <v>473</v>
      </c>
      <c r="D211" s="160">
        <v>84819</v>
      </c>
      <c r="E211" s="161">
        <v>15261</v>
      </c>
      <c r="F211" s="152">
        <f t="shared" si="21"/>
        <v>100080</v>
      </c>
      <c r="G211" s="154">
        <v>921</v>
      </c>
      <c r="H211" s="228">
        <v>99159</v>
      </c>
      <c r="I211" s="162">
        <v>15012</v>
      </c>
      <c r="X211" s="152">
        <f t="shared" si="22"/>
        <v>100080</v>
      </c>
      <c r="Y211" s="156">
        <f t="shared" si="20"/>
        <v>9.1999999999999998E-3</v>
      </c>
      <c r="Z211" s="152">
        <f t="shared" si="23"/>
        <v>921</v>
      </c>
      <c r="AA211" s="157">
        <v>902</v>
      </c>
      <c r="AB211" s="152">
        <f t="shared" si="24"/>
        <v>99178</v>
      </c>
      <c r="AC211" s="161">
        <f t="shared" si="25"/>
        <v>15012</v>
      </c>
      <c r="AD211" s="161">
        <v>22672</v>
      </c>
    </row>
    <row r="212" spans="1:30">
      <c r="A212" s="83" t="s">
        <v>420</v>
      </c>
      <c r="B212" s="83" t="s">
        <v>474</v>
      </c>
      <c r="C212" s="84" t="s">
        <v>475</v>
      </c>
      <c r="D212" s="160">
        <v>23178</v>
      </c>
      <c r="E212" s="161">
        <v>1907</v>
      </c>
      <c r="F212" s="152">
        <f t="shared" si="21"/>
        <v>25085</v>
      </c>
      <c r="G212" s="154">
        <v>231</v>
      </c>
      <c r="H212" s="228">
        <v>24854</v>
      </c>
      <c r="I212" s="162">
        <v>3763</v>
      </c>
      <c r="X212" s="152">
        <f t="shared" si="22"/>
        <v>25085</v>
      </c>
      <c r="Y212" s="156">
        <f t="shared" si="20"/>
        <v>9.1999999999999998E-3</v>
      </c>
      <c r="Z212" s="152">
        <f t="shared" si="23"/>
        <v>231</v>
      </c>
      <c r="AA212" s="157">
        <v>226</v>
      </c>
      <c r="AB212" s="152">
        <f t="shared" si="24"/>
        <v>24859</v>
      </c>
      <c r="AC212" s="161">
        <f t="shared" si="25"/>
        <v>3763</v>
      </c>
      <c r="AD212" s="161">
        <v>5863</v>
      </c>
    </row>
    <row r="213" spans="1:30">
      <c r="A213" s="91" t="s">
        <v>420</v>
      </c>
      <c r="B213" s="91" t="s">
        <v>476</v>
      </c>
      <c r="C213" s="92" t="s">
        <v>477</v>
      </c>
      <c r="D213" s="160">
        <v>29842</v>
      </c>
      <c r="E213" s="161">
        <v>3685</v>
      </c>
      <c r="F213" s="152">
        <f t="shared" si="21"/>
        <v>33527</v>
      </c>
      <c r="G213" s="154">
        <v>308</v>
      </c>
      <c r="H213" s="228">
        <v>33219</v>
      </c>
      <c r="I213" s="162">
        <v>5029</v>
      </c>
      <c r="X213" s="152">
        <f t="shared" si="22"/>
        <v>33527</v>
      </c>
      <c r="Y213" s="156">
        <f t="shared" si="20"/>
        <v>9.1999999999999998E-3</v>
      </c>
      <c r="Z213" s="152">
        <f t="shared" si="23"/>
        <v>308</v>
      </c>
      <c r="AA213" s="157">
        <v>302</v>
      </c>
      <c r="AB213" s="152">
        <f t="shared" si="24"/>
        <v>33225</v>
      </c>
      <c r="AC213" s="161">
        <f t="shared" si="25"/>
        <v>5029</v>
      </c>
      <c r="AD213" s="161">
        <v>7729</v>
      </c>
    </row>
    <row r="214" spans="1:30">
      <c r="A214" s="91" t="s">
        <v>420</v>
      </c>
      <c r="B214" s="91" t="s">
        <v>478</v>
      </c>
      <c r="C214" s="92" t="s">
        <v>479</v>
      </c>
      <c r="D214" s="160">
        <v>24474</v>
      </c>
      <c r="E214" s="161">
        <v>2123</v>
      </c>
      <c r="F214" s="152">
        <f t="shared" si="21"/>
        <v>26597</v>
      </c>
      <c r="G214" s="154">
        <v>245</v>
      </c>
      <c r="H214" s="228">
        <v>26352</v>
      </c>
      <c r="I214" s="162">
        <v>3990</v>
      </c>
      <c r="X214" s="152">
        <f t="shared" si="22"/>
        <v>26597</v>
      </c>
      <c r="Y214" s="156">
        <f t="shared" si="20"/>
        <v>9.1999999999999998E-3</v>
      </c>
      <c r="Z214" s="152">
        <f t="shared" si="23"/>
        <v>245</v>
      </c>
      <c r="AA214" s="157">
        <v>240</v>
      </c>
      <c r="AB214" s="152">
        <f t="shared" si="24"/>
        <v>26357</v>
      </c>
      <c r="AC214" s="161">
        <f t="shared" si="25"/>
        <v>3990</v>
      </c>
      <c r="AD214" s="161">
        <v>6207</v>
      </c>
    </row>
    <row r="215" spans="1:30">
      <c r="A215" s="91" t="s">
        <v>420</v>
      </c>
      <c r="B215" s="91" t="s">
        <v>480</v>
      </c>
      <c r="C215" s="92" t="s">
        <v>481</v>
      </c>
      <c r="D215" s="160">
        <v>13238</v>
      </c>
      <c r="E215" s="161">
        <v>2990</v>
      </c>
      <c r="F215" s="152">
        <f t="shared" si="21"/>
        <v>16228</v>
      </c>
      <c r="G215" s="154">
        <v>149</v>
      </c>
      <c r="H215" s="228">
        <v>16079</v>
      </c>
      <c r="I215" s="162">
        <v>2434</v>
      </c>
      <c r="X215" s="152">
        <f t="shared" si="22"/>
        <v>16228</v>
      </c>
      <c r="Y215" s="156">
        <f t="shared" si="20"/>
        <v>9.1999999999999998E-3</v>
      </c>
      <c r="Z215" s="152">
        <f t="shared" si="23"/>
        <v>149</v>
      </c>
      <c r="AA215" s="157">
        <v>146</v>
      </c>
      <c r="AB215" s="152">
        <f t="shared" si="24"/>
        <v>16082</v>
      </c>
      <c r="AC215" s="161">
        <f t="shared" si="25"/>
        <v>2434</v>
      </c>
      <c r="AD215" s="161">
        <v>3628</v>
      </c>
    </row>
    <row r="216" spans="1:30">
      <c r="A216" s="91" t="s">
        <v>420</v>
      </c>
      <c r="B216" s="91" t="s">
        <v>482</v>
      </c>
      <c r="C216" s="92" t="s">
        <v>483</v>
      </c>
      <c r="D216" s="160">
        <v>68624</v>
      </c>
      <c r="E216" s="161">
        <v>10794</v>
      </c>
      <c r="F216" s="152">
        <f t="shared" si="21"/>
        <v>79418</v>
      </c>
      <c r="G216" s="154">
        <v>731</v>
      </c>
      <c r="H216" s="228">
        <v>78687</v>
      </c>
      <c r="I216" s="162">
        <v>11913</v>
      </c>
      <c r="X216" s="152">
        <f t="shared" si="22"/>
        <v>79418</v>
      </c>
      <c r="Y216" s="156">
        <f t="shared" si="20"/>
        <v>9.1999999999999998E-3</v>
      </c>
      <c r="Z216" s="152">
        <f t="shared" si="23"/>
        <v>731</v>
      </c>
      <c r="AA216" s="157">
        <v>716</v>
      </c>
      <c r="AB216" s="152">
        <f t="shared" si="24"/>
        <v>78702</v>
      </c>
      <c r="AC216" s="161">
        <f t="shared" si="25"/>
        <v>11913</v>
      </c>
      <c r="AD216" s="161">
        <v>18115</v>
      </c>
    </row>
    <row r="217" spans="1:30">
      <c r="A217" s="91" t="s">
        <v>420</v>
      </c>
      <c r="B217" s="91" t="s">
        <v>484</v>
      </c>
      <c r="C217" s="92" t="s">
        <v>485</v>
      </c>
      <c r="D217" s="160">
        <v>139386</v>
      </c>
      <c r="E217" s="161">
        <v>31084</v>
      </c>
      <c r="F217" s="152">
        <f t="shared" si="21"/>
        <v>170470</v>
      </c>
      <c r="G217" s="154">
        <v>1568</v>
      </c>
      <c r="H217" s="228">
        <v>168902</v>
      </c>
      <c r="I217" s="162">
        <v>25571</v>
      </c>
      <c r="X217" s="152">
        <f t="shared" si="22"/>
        <v>170470</v>
      </c>
      <c r="Y217" s="156">
        <f t="shared" si="20"/>
        <v>9.1999999999999998E-3</v>
      </c>
      <c r="Z217" s="152">
        <f t="shared" si="23"/>
        <v>1568</v>
      </c>
      <c r="AA217" s="157">
        <v>1537</v>
      </c>
      <c r="AB217" s="152">
        <f t="shared" si="24"/>
        <v>168933</v>
      </c>
      <c r="AC217" s="161">
        <f t="shared" si="25"/>
        <v>25571</v>
      </c>
      <c r="AD217" s="161">
        <v>38141</v>
      </c>
    </row>
    <row r="218" spans="1:30">
      <c r="A218" s="91" t="s">
        <v>420</v>
      </c>
      <c r="B218" s="91" t="s">
        <v>486</v>
      </c>
      <c r="C218" s="92" t="s">
        <v>487</v>
      </c>
      <c r="D218" s="160">
        <v>58911</v>
      </c>
      <c r="E218" s="161">
        <v>3857</v>
      </c>
      <c r="F218" s="152">
        <f t="shared" si="21"/>
        <v>62768</v>
      </c>
      <c r="G218" s="154">
        <v>577</v>
      </c>
      <c r="H218" s="228">
        <v>62191</v>
      </c>
      <c r="I218" s="162">
        <v>9415</v>
      </c>
      <c r="X218" s="152">
        <f t="shared" si="22"/>
        <v>62768</v>
      </c>
      <c r="Y218" s="156">
        <f t="shared" si="20"/>
        <v>9.1999999999999998E-3</v>
      </c>
      <c r="Z218" s="152">
        <f t="shared" si="23"/>
        <v>577</v>
      </c>
      <c r="AA218" s="157">
        <v>566</v>
      </c>
      <c r="AB218" s="152">
        <f t="shared" si="24"/>
        <v>62202</v>
      </c>
      <c r="AC218" s="161">
        <f t="shared" si="25"/>
        <v>9415</v>
      </c>
      <c r="AD218" s="161">
        <v>14756</v>
      </c>
    </row>
    <row r="219" spans="1:30">
      <c r="A219" s="91" t="s">
        <v>420</v>
      </c>
      <c r="B219" s="91" t="s">
        <v>488</v>
      </c>
      <c r="C219" s="92" t="s">
        <v>489</v>
      </c>
      <c r="D219" s="160">
        <v>109703</v>
      </c>
      <c r="E219" s="161">
        <v>10360</v>
      </c>
      <c r="F219" s="152">
        <f t="shared" si="21"/>
        <v>120063</v>
      </c>
      <c r="G219" s="154">
        <v>1105</v>
      </c>
      <c r="H219" s="228">
        <v>118958</v>
      </c>
      <c r="I219" s="162">
        <v>18009</v>
      </c>
      <c r="X219" s="152">
        <f t="shared" si="22"/>
        <v>120063</v>
      </c>
      <c r="Y219" s="156">
        <f t="shared" si="20"/>
        <v>9.1999999999999998E-3</v>
      </c>
      <c r="Z219" s="152">
        <f t="shared" si="23"/>
        <v>1105</v>
      </c>
      <c r="AA219" s="157">
        <v>1082</v>
      </c>
      <c r="AB219" s="152">
        <f t="shared" si="24"/>
        <v>118981</v>
      </c>
      <c r="AC219" s="161">
        <f t="shared" si="25"/>
        <v>18009</v>
      </c>
      <c r="AD219" s="161">
        <v>27945</v>
      </c>
    </row>
    <row r="220" spans="1:30">
      <c r="A220" s="91" t="s">
        <v>420</v>
      </c>
      <c r="B220" s="91" t="s">
        <v>490</v>
      </c>
      <c r="C220" s="92" t="s">
        <v>491</v>
      </c>
      <c r="D220" s="160">
        <v>29410</v>
      </c>
      <c r="E220" s="161">
        <v>3729</v>
      </c>
      <c r="F220" s="152">
        <f t="shared" si="21"/>
        <v>33139</v>
      </c>
      <c r="G220" s="154">
        <v>305</v>
      </c>
      <c r="H220" s="228">
        <v>32834</v>
      </c>
      <c r="I220" s="162">
        <v>4971</v>
      </c>
      <c r="X220" s="152">
        <f t="shared" si="22"/>
        <v>33139</v>
      </c>
      <c r="Y220" s="156">
        <f t="shared" si="20"/>
        <v>9.1999999999999998E-3</v>
      </c>
      <c r="Z220" s="152">
        <f t="shared" si="23"/>
        <v>305</v>
      </c>
      <c r="AA220" s="157">
        <v>299</v>
      </c>
      <c r="AB220" s="152">
        <f t="shared" si="24"/>
        <v>32840</v>
      </c>
      <c r="AC220" s="161">
        <f t="shared" si="25"/>
        <v>4971</v>
      </c>
      <c r="AD220" s="161">
        <v>7632</v>
      </c>
    </row>
    <row r="221" spans="1:30">
      <c r="A221" s="83" t="s">
        <v>420</v>
      </c>
      <c r="B221" s="83" t="s">
        <v>492</v>
      </c>
      <c r="C221" s="84" t="s">
        <v>493</v>
      </c>
      <c r="D221" s="160">
        <v>32981</v>
      </c>
      <c r="E221" s="161">
        <v>5463</v>
      </c>
      <c r="F221" s="152">
        <f t="shared" si="21"/>
        <v>38444</v>
      </c>
      <c r="G221" s="154">
        <v>354</v>
      </c>
      <c r="H221" s="228">
        <v>38090</v>
      </c>
      <c r="I221" s="162">
        <v>5767</v>
      </c>
      <c r="X221" s="152">
        <f t="shared" si="22"/>
        <v>38444</v>
      </c>
      <c r="Y221" s="156">
        <f t="shared" si="20"/>
        <v>9.1999999999999998E-3</v>
      </c>
      <c r="Z221" s="152">
        <f t="shared" si="23"/>
        <v>354</v>
      </c>
      <c r="AA221" s="157">
        <v>347</v>
      </c>
      <c r="AB221" s="152">
        <f t="shared" si="24"/>
        <v>38097</v>
      </c>
      <c r="AC221" s="161">
        <f t="shared" si="25"/>
        <v>5767</v>
      </c>
      <c r="AD221" s="161">
        <v>8747</v>
      </c>
    </row>
    <row r="222" spans="1:30">
      <c r="A222" s="91" t="s">
        <v>420</v>
      </c>
      <c r="B222" s="91" t="s">
        <v>494</v>
      </c>
      <c r="C222" s="92" t="s">
        <v>495</v>
      </c>
      <c r="D222" s="160">
        <v>46606</v>
      </c>
      <c r="E222" s="161">
        <v>5375</v>
      </c>
      <c r="F222" s="152">
        <f t="shared" si="21"/>
        <v>51981</v>
      </c>
      <c r="G222" s="154">
        <v>478</v>
      </c>
      <c r="H222" s="228">
        <v>51503</v>
      </c>
      <c r="I222" s="162">
        <v>7797</v>
      </c>
      <c r="X222" s="152">
        <f t="shared" si="22"/>
        <v>51981</v>
      </c>
      <c r="Y222" s="156">
        <f t="shared" si="20"/>
        <v>9.1999999999999998E-3</v>
      </c>
      <c r="Z222" s="152">
        <f t="shared" si="23"/>
        <v>478</v>
      </c>
      <c r="AA222" s="157">
        <v>469</v>
      </c>
      <c r="AB222" s="152">
        <f t="shared" si="24"/>
        <v>51512</v>
      </c>
      <c r="AC222" s="161">
        <f t="shared" si="25"/>
        <v>7797</v>
      </c>
      <c r="AD222" s="161">
        <v>12015</v>
      </c>
    </row>
    <row r="223" spans="1:30">
      <c r="A223" s="91" t="s">
        <v>420</v>
      </c>
      <c r="B223" s="91" t="s">
        <v>496</v>
      </c>
      <c r="C223" s="92" t="s">
        <v>497</v>
      </c>
      <c r="D223" s="160">
        <v>122668</v>
      </c>
      <c r="E223" s="161">
        <v>8542</v>
      </c>
      <c r="F223" s="152">
        <f t="shared" si="21"/>
        <v>131210</v>
      </c>
      <c r="G223" s="154">
        <v>1207</v>
      </c>
      <c r="H223" s="228">
        <v>130003</v>
      </c>
      <c r="I223" s="162">
        <v>19682</v>
      </c>
      <c r="X223" s="152">
        <f t="shared" si="22"/>
        <v>131210</v>
      </c>
      <c r="Y223" s="156">
        <f t="shared" si="20"/>
        <v>9.1999999999999998E-3</v>
      </c>
      <c r="Z223" s="152">
        <f t="shared" si="23"/>
        <v>1207</v>
      </c>
      <c r="AA223" s="157">
        <v>1183</v>
      </c>
      <c r="AB223" s="152">
        <f t="shared" si="24"/>
        <v>130027</v>
      </c>
      <c r="AC223" s="161">
        <f t="shared" si="25"/>
        <v>19682</v>
      </c>
      <c r="AD223" s="161">
        <v>30801</v>
      </c>
    </row>
    <row r="224" spans="1:30">
      <c r="A224" s="91" t="s">
        <v>420</v>
      </c>
      <c r="B224" s="91" t="s">
        <v>498</v>
      </c>
      <c r="C224" s="92" t="s">
        <v>499</v>
      </c>
      <c r="D224" s="160">
        <v>85660</v>
      </c>
      <c r="E224" s="161">
        <v>24927</v>
      </c>
      <c r="F224" s="152">
        <f t="shared" si="21"/>
        <v>110587</v>
      </c>
      <c r="G224" s="154">
        <v>1017</v>
      </c>
      <c r="H224" s="228">
        <v>109570</v>
      </c>
      <c r="I224" s="162">
        <v>16588</v>
      </c>
      <c r="X224" s="152">
        <f t="shared" si="22"/>
        <v>110587</v>
      </c>
      <c r="Y224" s="156">
        <f t="shared" si="20"/>
        <v>9.1999999999999998E-3</v>
      </c>
      <c r="Z224" s="152">
        <f t="shared" si="23"/>
        <v>1017</v>
      </c>
      <c r="AA224" s="157">
        <v>997</v>
      </c>
      <c r="AB224" s="152">
        <f t="shared" si="24"/>
        <v>109590</v>
      </c>
      <c r="AC224" s="161">
        <f t="shared" si="25"/>
        <v>16588</v>
      </c>
      <c r="AD224" s="161">
        <v>24296</v>
      </c>
    </row>
    <row r="225" spans="1:30">
      <c r="A225" s="83" t="s">
        <v>420</v>
      </c>
      <c r="B225" s="83" t="s">
        <v>500</v>
      </c>
      <c r="C225" s="84" t="s">
        <v>501</v>
      </c>
      <c r="D225" s="160">
        <v>27909</v>
      </c>
      <c r="E225" s="161">
        <v>4552</v>
      </c>
      <c r="F225" s="152">
        <f t="shared" si="21"/>
        <v>32461</v>
      </c>
      <c r="G225" s="154">
        <v>299</v>
      </c>
      <c r="H225" s="228">
        <v>32162</v>
      </c>
      <c r="I225" s="162">
        <v>4869</v>
      </c>
      <c r="X225" s="152">
        <f t="shared" si="22"/>
        <v>32461</v>
      </c>
      <c r="Y225" s="156">
        <f t="shared" si="20"/>
        <v>9.1999999999999998E-3</v>
      </c>
      <c r="Z225" s="152">
        <f t="shared" si="23"/>
        <v>299</v>
      </c>
      <c r="AA225" s="157">
        <v>293</v>
      </c>
      <c r="AB225" s="152">
        <f t="shared" si="24"/>
        <v>32168</v>
      </c>
      <c r="AC225" s="161">
        <f t="shared" si="25"/>
        <v>4869</v>
      </c>
      <c r="AD225" s="161">
        <v>7391</v>
      </c>
    </row>
    <row r="226" spans="1:30">
      <c r="A226" s="91" t="s">
        <v>420</v>
      </c>
      <c r="B226" s="91" t="s">
        <v>502</v>
      </c>
      <c r="C226" s="92" t="s">
        <v>503</v>
      </c>
      <c r="D226" s="160">
        <v>42375</v>
      </c>
      <c r="E226" s="161">
        <v>4508</v>
      </c>
      <c r="F226" s="152">
        <f t="shared" si="21"/>
        <v>46883</v>
      </c>
      <c r="G226" s="154">
        <v>431</v>
      </c>
      <c r="H226" s="228">
        <v>46452</v>
      </c>
      <c r="I226" s="162">
        <v>7032</v>
      </c>
      <c r="X226" s="152">
        <f t="shared" si="22"/>
        <v>46883</v>
      </c>
      <c r="Y226" s="156">
        <f t="shared" si="20"/>
        <v>9.1999999999999998E-3</v>
      </c>
      <c r="Z226" s="152">
        <f t="shared" si="23"/>
        <v>431</v>
      </c>
      <c r="AA226" s="157">
        <v>423</v>
      </c>
      <c r="AB226" s="152">
        <f t="shared" si="24"/>
        <v>46460</v>
      </c>
      <c r="AC226" s="161">
        <f t="shared" si="25"/>
        <v>7032</v>
      </c>
      <c r="AD226" s="161">
        <v>10869</v>
      </c>
    </row>
    <row r="227" spans="1:30">
      <c r="A227" s="91" t="s">
        <v>420</v>
      </c>
      <c r="B227" s="91" t="s">
        <v>504</v>
      </c>
      <c r="C227" s="92" t="s">
        <v>505</v>
      </c>
      <c r="D227" s="160">
        <v>55522</v>
      </c>
      <c r="E227" s="161">
        <v>14651</v>
      </c>
      <c r="F227" s="152">
        <f t="shared" si="21"/>
        <v>70173</v>
      </c>
      <c r="G227" s="154">
        <v>646</v>
      </c>
      <c r="H227" s="228">
        <v>69527</v>
      </c>
      <c r="I227" s="162">
        <v>10526</v>
      </c>
      <c r="X227" s="152">
        <f t="shared" si="22"/>
        <v>70173</v>
      </c>
      <c r="Y227" s="156">
        <f t="shared" si="20"/>
        <v>9.1999999999999998E-3</v>
      </c>
      <c r="Z227" s="152">
        <f t="shared" si="23"/>
        <v>646</v>
      </c>
      <c r="AA227" s="157">
        <v>633</v>
      </c>
      <c r="AB227" s="152">
        <f t="shared" si="24"/>
        <v>69540</v>
      </c>
      <c r="AC227" s="161">
        <f t="shared" si="25"/>
        <v>10526</v>
      </c>
      <c r="AD227" s="161">
        <v>15526</v>
      </c>
    </row>
    <row r="228" spans="1:30">
      <c r="A228" s="83" t="s">
        <v>420</v>
      </c>
      <c r="B228" s="83" t="s">
        <v>506</v>
      </c>
      <c r="C228" s="84" t="s">
        <v>507</v>
      </c>
      <c r="D228" s="160">
        <v>24474</v>
      </c>
      <c r="E228" s="161">
        <v>3251</v>
      </c>
      <c r="F228" s="152">
        <f t="shared" si="21"/>
        <v>27725</v>
      </c>
      <c r="G228" s="154">
        <v>255</v>
      </c>
      <c r="H228" s="228">
        <v>27470</v>
      </c>
      <c r="I228" s="162">
        <v>4159</v>
      </c>
      <c r="X228" s="152">
        <f t="shared" si="22"/>
        <v>27725</v>
      </c>
      <c r="Y228" s="156">
        <f t="shared" si="20"/>
        <v>9.1999999999999998E-3</v>
      </c>
      <c r="Z228" s="152">
        <f t="shared" si="23"/>
        <v>255</v>
      </c>
      <c r="AA228" s="157">
        <v>250</v>
      </c>
      <c r="AB228" s="152">
        <f t="shared" si="24"/>
        <v>27475</v>
      </c>
      <c r="AC228" s="161">
        <f t="shared" si="25"/>
        <v>4159</v>
      </c>
      <c r="AD228" s="161">
        <v>6373</v>
      </c>
    </row>
    <row r="229" spans="1:30">
      <c r="A229" s="91" t="s">
        <v>420</v>
      </c>
      <c r="B229" s="91" t="s">
        <v>508</v>
      </c>
      <c r="C229" s="92" t="s">
        <v>509</v>
      </c>
      <c r="D229" s="160">
        <v>289303</v>
      </c>
      <c r="E229" s="161">
        <v>35375</v>
      </c>
      <c r="F229" s="152">
        <f t="shared" si="21"/>
        <v>324678</v>
      </c>
      <c r="G229" s="154">
        <v>2987</v>
      </c>
      <c r="H229" s="228">
        <v>321691</v>
      </c>
      <c r="I229" s="162">
        <v>48702</v>
      </c>
      <c r="X229" s="152">
        <f t="shared" si="22"/>
        <v>324678</v>
      </c>
      <c r="Y229" s="156">
        <f t="shared" si="20"/>
        <v>9.1999999999999998E-3</v>
      </c>
      <c r="Z229" s="152">
        <f t="shared" si="23"/>
        <v>2987</v>
      </c>
      <c r="AA229" s="157">
        <v>2927</v>
      </c>
      <c r="AB229" s="152">
        <f t="shared" si="24"/>
        <v>321751</v>
      </c>
      <c r="AC229" s="161">
        <f t="shared" si="25"/>
        <v>48702</v>
      </c>
      <c r="AD229" s="161">
        <v>74879</v>
      </c>
    </row>
    <row r="230" spans="1:30">
      <c r="A230" s="91" t="s">
        <v>420</v>
      </c>
      <c r="B230" s="91" t="s">
        <v>510</v>
      </c>
      <c r="C230" s="92" t="s">
        <v>511</v>
      </c>
      <c r="D230" s="160">
        <v>42830</v>
      </c>
      <c r="E230" s="161">
        <v>8020</v>
      </c>
      <c r="F230" s="152">
        <f t="shared" si="21"/>
        <v>50850</v>
      </c>
      <c r="G230" s="154">
        <v>468</v>
      </c>
      <c r="H230" s="228">
        <v>50382</v>
      </c>
      <c r="I230" s="162">
        <v>7628</v>
      </c>
      <c r="X230" s="152">
        <f t="shared" si="22"/>
        <v>50850</v>
      </c>
      <c r="Y230" s="156">
        <f t="shared" si="20"/>
        <v>9.1999999999999998E-3</v>
      </c>
      <c r="Z230" s="152">
        <f t="shared" si="23"/>
        <v>468</v>
      </c>
      <c r="AA230" s="157">
        <v>458</v>
      </c>
      <c r="AB230" s="152">
        <f t="shared" si="24"/>
        <v>50392</v>
      </c>
      <c r="AC230" s="161">
        <f t="shared" si="25"/>
        <v>7628</v>
      </c>
      <c r="AD230" s="161">
        <v>11495</v>
      </c>
    </row>
    <row r="231" spans="1:30">
      <c r="A231" s="91" t="s">
        <v>420</v>
      </c>
      <c r="B231" s="91" t="s">
        <v>512</v>
      </c>
      <c r="C231" s="92" t="s">
        <v>513</v>
      </c>
      <c r="D231" s="160">
        <v>18083</v>
      </c>
      <c r="E231" s="161">
        <v>3207</v>
      </c>
      <c r="F231" s="152">
        <f t="shared" si="21"/>
        <v>21290</v>
      </c>
      <c r="G231" s="154">
        <v>196</v>
      </c>
      <c r="H231" s="228">
        <v>21094</v>
      </c>
      <c r="I231" s="162">
        <v>3194</v>
      </c>
      <c r="X231" s="152">
        <f t="shared" si="22"/>
        <v>21290</v>
      </c>
      <c r="Y231" s="156">
        <f t="shared" si="20"/>
        <v>9.1999999999999998E-3</v>
      </c>
      <c r="Z231" s="152">
        <f t="shared" si="23"/>
        <v>196</v>
      </c>
      <c r="AA231" s="157">
        <v>192</v>
      </c>
      <c r="AB231" s="152">
        <f t="shared" si="24"/>
        <v>21098</v>
      </c>
      <c r="AC231" s="161">
        <f t="shared" si="25"/>
        <v>3194</v>
      </c>
      <c r="AD231" s="161">
        <v>4827</v>
      </c>
    </row>
    <row r="232" spans="1:30">
      <c r="A232" s="91" t="s">
        <v>420</v>
      </c>
      <c r="B232" s="91" t="s">
        <v>514</v>
      </c>
      <c r="C232" s="92" t="s">
        <v>515</v>
      </c>
      <c r="D232" s="160">
        <v>13943</v>
      </c>
      <c r="E232" s="161">
        <v>1517</v>
      </c>
      <c r="F232" s="152">
        <f t="shared" si="21"/>
        <v>15460</v>
      </c>
      <c r="G232" s="154">
        <v>142</v>
      </c>
      <c r="H232" s="228">
        <v>15318</v>
      </c>
      <c r="I232" s="162">
        <v>2319</v>
      </c>
      <c r="X232" s="152">
        <f t="shared" si="22"/>
        <v>15460</v>
      </c>
      <c r="Y232" s="156">
        <f t="shared" si="20"/>
        <v>9.1999999999999998E-3</v>
      </c>
      <c r="Z232" s="152">
        <f t="shared" si="23"/>
        <v>142</v>
      </c>
      <c r="AA232" s="157">
        <v>139</v>
      </c>
      <c r="AB232" s="152">
        <f t="shared" si="24"/>
        <v>15321</v>
      </c>
      <c r="AC232" s="161">
        <f t="shared" si="25"/>
        <v>2319</v>
      </c>
      <c r="AD232" s="161">
        <v>3581</v>
      </c>
    </row>
    <row r="233" spans="1:30">
      <c r="A233" s="91" t="s">
        <v>420</v>
      </c>
      <c r="B233" s="91" t="s">
        <v>516</v>
      </c>
      <c r="C233" s="92" t="s">
        <v>517</v>
      </c>
      <c r="D233" s="160">
        <v>167727</v>
      </c>
      <c r="E233" s="161">
        <v>17645</v>
      </c>
      <c r="F233" s="152">
        <f t="shared" si="21"/>
        <v>185372</v>
      </c>
      <c r="G233" s="154">
        <v>1705</v>
      </c>
      <c r="H233" s="228">
        <v>183667</v>
      </c>
      <c r="I233" s="162">
        <v>27806</v>
      </c>
      <c r="X233" s="152">
        <f t="shared" si="22"/>
        <v>185372</v>
      </c>
      <c r="Y233" s="156">
        <f t="shared" si="20"/>
        <v>9.1999999999999998E-3</v>
      </c>
      <c r="Z233" s="152">
        <f t="shared" si="23"/>
        <v>1705</v>
      </c>
      <c r="AA233" s="157">
        <v>1671</v>
      </c>
      <c r="AB233" s="152">
        <f t="shared" si="24"/>
        <v>183701</v>
      </c>
      <c r="AC233" s="161">
        <f t="shared" si="25"/>
        <v>27806</v>
      </c>
      <c r="AD233" s="161">
        <v>42991</v>
      </c>
    </row>
    <row r="234" spans="1:30">
      <c r="A234" s="91" t="s">
        <v>420</v>
      </c>
      <c r="B234" s="91" t="s">
        <v>518</v>
      </c>
      <c r="C234" s="92" t="s">
        <v>519</v>
      </c>
      <c r="D234" s="160">
        <v>27477</v>
      </c>
      <c r="E234" s="161">
        <v>1907</v>
      </c>
      <c r="F234" s="152">
        <f t="shared" si="21"/>
        <v>29384</v>
      </c>
      <c r="G234" s="154">
        <v>270</v>
      </c>
      <c r="H234" s="228">
        <v>29114</v>
      </c>
      <c r="I234" s="162">
        <v>4408</v>
      </c>
      <c r="X234" s="152">
        <f t="shared" si="22"/>
        <v>29384</v>
      </c>
      <c r="Y234" s="156">
        <f t="shared" si="20"/>
        <v>9.1999999999999998E-3</v>
      </c>
      <c r="Z234" s="152">
        <f t="shared" si="23"/>
        <v>270</v>
      </c>
      <c r="AA234" s="157">
        <v>265</v>
      </c>
      <c r="AB234" s="152">
        <f t="shared" si="24"/>
        <v>29119</v>
      </c>
      <c r="AC234" s="161">
        <f t="shared" si="25"/>
        <v>4408</v>
      </c>
      <c r="AD234" s="161">
        <v>6898</v>
      </c>
    </row>
    <row r="235" spans="1:30">
      <c r="A235" s="91" t="s">
        <v>420</v>
      </c>
      <c r="B235" s="91" t="s">
        <v>520</v>
      </c>
      <c r="C235" s="92" t="s">
        <v>521</v>
      </c>
      <c r="D235" s="160">
        <v>354401</v>
      </c>
      <c r="E235" s="161">
        <v>19464</v>
      </c>
      <c r="F235" s="152">
        <f t="shared" si="21"/>
        <v>373865</v>
      </c>
      <c r="G235" s="154">
        <v>3440</v>
      </c>
      <c r="H235" s="228">
        <v>370425</v>
      </c>
      <c r="I235" s="162">
        <v>56080</v>
      </c>
      <c r="X235" s="152">
        <f t="shared" si="22"/>
        <v>373865</v>
      </c>
      <c r="Y235" s="156">
        <f t="shared" si="20"/>
        <v>9.1999999999999998E-3</v>
      </c>
      <c r="Z235" s="152">
        <f t="shared" si="23"/>
        <v>3440</v>
      </c>
      <c r="AA235" s="157">
        <v>3370</v>
      </c>
      <c r="AB235" s="152">
        <f t="shared" si="24"/>
        <v>370495</v>
      </c>
      <c r="AC235" s="161">
        <f t="shared" si="25"/>
        <v>56080</v>
      </c>
      <c r="AD235" s="161">
        <v>88220</v>
      </c>
    </row>
    <row r="236" spans="1:30">
      <c r="A236" s="91" t="s">
        <v>420</v>
      </c>
      <c r="B236" s="91" t="s">
        <v>522</v>
      </c>
      <c r="C236" s="92" t="s">
        <v>523</v>
      </c>
      <c r="D236" s="160">
        <v>480458</v>
      </c>
      <c r="E236" s="161">
        <v>51892</v>
      </c>
      <c r="F236" s="152">
        <f t="shared" si="21"/>
        <v>532350</v>
      </c>
      <c r="G236" s="154">
        <v>4898</v>
      </c>
      <c r="H236" s="228">
        <v>527452</v>
      </c>
      <c r="I236" s="162">
        <v>79853</v>
      </c>
      <c r="X236" s="152">
        <f t="shared" si="22"/>
        <v>532350</v>
      </c>
      <c r="Y236" s="156">
        <f t="shared" si="20"/>
        <v>9.1999999999999998E-3</v>
      </c>
      <c r="Z236" s="152">
        <f t="shared" si="23"/>
        <v>4898</v>
      </c>
      <c r="AA236" s="157">
        <v>4799</v>
      </c>
      <c r="AB236" s="152">
        <f t="shared" si="24"/>
        <v>527551</v>
      </c>
      <c r="AC236" s="161">
        <f t="shared" si="25"/>
        <v>79853</v>
      </c>
      <c r="AD236" s="161">
        <v>123348</v>
      </c>
    </row>
    <row r="237" spans="1:30">
      <c r="A237" s="83" t="s">
        <v>420</v>
      </c>
      <c r="B237" s="83" t="s">
        <v>524</v>
      </c>
      <c r="C237" s="84" t="s">
        <v>525</v>
      </c>
      <c r="D237" s="160">
        <v>77404</v>
      </c>
      <c r="E237" s="161">
        <v>12311</v>
      </c>
      <c r="F237" s="152">
        <f t="shared" si="21"/>
        <v>89715</v>
      </c>
      <c r="G237" s="154">
        <v>825</v>
      </c>
      <c r="H237" s="228">
        <v>88890</v>
      </c>
      <c r="I237" s="162">
        <v>13457</v>
      </c>
      <c r="X237" s="152">
        <f t="shared" si="22"/>
        <v>89715</v>
      </c>
      <c r="Y237" s="156">
        <f t="shared" si="20"/>
        <v>9.1999999999999998E-3</v>
      </c>
      <c r="Z237" s="152">
        <f t="shared" si="23"/>
        <v>825</v>
      </c>
      <c r="AA237" s="157">
        <v>809</v>
      </c>
      <c r="AB237" s="152">
        <f t="shared" si="24"/>
        <v>88906</v>
      </c>
      <c r="AC237" s="161">
        <f t="shared" si="25"/>
        <v>13457</v>
      </c>
      <c r="AD237" s="161">
        <v>20452</v>
      </c>
    </row>
    <row r="238" spans="1:30" ht="15.75" thickBot="1">
      <c r="A238" s="93" t="s">
        <v>420</v>
      </c>
      <c r="B238" s="93" t="s">
        <v>526</v>
      </c>
      <c r="C238" s="94" t="s">
        <v>527</v>
      </c>
      <c r="D238" s="174">
        <v>40647</v>
      </c>
      <c r="E238" s="175">
        <v>2862</v>
      </c>
      <c r="F238" s="174">
        <f t="shared" si="21"/>
        <v>43509</v>
      </c>
      <c r="G238" s="176">
        <v>400</v>
      </c>
      <c r="H238" s="229">
        <v>43109</v>
      </c>
      <c r="I238" s="177">
        <v>6526</v>
      </c>
      <c r="X238" s="174">
        <f t="shared" si="22"/>
        <v>43509</v>
      </c>
      <c r="Y238" s="178">
        <f t="shared" si="20"/>
        <v>9.1999999999999998E-3</v>
      </c>
      <c r="Z238" s="174">
        <f t="shared" si="23"/>
        <v>400</v>
      </c>
      <c r="AA238" s="179">
        <v>392</v>
      </c>
      <c r="AB238" s="174">
        <f t="shared" si="24"/>
        <v>43117</v>
      </c>
      <c r="AC238" s="175">
        <f t="shared" si="25"/>
        <v>6526</v>
      </c>
      <c r="AD238" s="175">
        <v>10211</v>
      </c>
    </row>
    <row r="239" spans="1:30">
      <c r="A239" s="91" t="s">
        <v>528</v>
      </c>
      <c r="B239" s="91" t="s">
        <v>529</v>
      </c>
      <c r="C239" s="92" t="s">
        <v>530</v>
      </c>
      <c r="D239" s="152">
        <v>23519</v>
      </c>
      <c r="E239" s="153">
        <v>3424</v>
      </c>
      <c r="F239" s="152">
        <f t="shared" si="21"/>
        <v>26943</v>
      </c>
      <c r="G239" s="154">
        <v>418</v>
      </c>
      <c r="H239" s="228">
        <v>26525</v>
      </c>
      <c r="I239" s="155">
        <v>4041</v>
      </c>
      <c r="X239" s="152">
        <f t="shared" si="22"/>
        <v>26943</v>
      </c>
      <c r="Y239" s="156">
        <f>+$AG$25</f>
        <v>1.55E-2</v>
      </c>
      <c r="Z239" s="152">
        <f t="shared" si="23"/>
        <v>418</v>
      </c>
      <c r="AA239" s="157">
        <v>409</v>
      </c>
      <c r="AB239" s="152">
        <f t="shared" si="24"/>
        <v>26534</v>
      </c>
      <c r="AC239" s="153">
        <f t="shared" si="25"/>
        <v>4041</v>
      </c>
      <c r="AD239" s="153">
        <v>6168</v>
      </c>
    </row>
    <row r="240" spans="1:30">
      <c r="A240" s="91" t="s">
        <v>528</v>
      </c>
      <c r="B240" s="91" t="s">
        <v>531</v>
      </c>
      <c r="C240" s="92" t="s">
        <v>532</v>
      </c>
      <c r="D240" s="160">
        <v>15786</v>
      </c>
      <c r="E240" s="161">
        <v>1606</v>
      </c>
      <c r="F240" s="152">
        <f t="shared" si="21"/>
        <v>17392</v>
      </c>
      <c r="G240" s="154">
        <v>270</v>
      </c>
      <c r="H240" s="228">
        <v>17122</v>
      </c>
      <c r="I240" s="162">
        <v>2609</v>
      </c>
      <c r="X240" s="152">
        <f t="shared" si="22"/>
        <v>17392</v>
      </c>
      <c r="Y240" s="156">
        <f t="shared" ref="Y240:Y273" si="26">+$AG$25</f>
        <v>1.55E-2</v>
      </c>
      <c r="Z240" s="152">
        <f t="shared" si="23"/>
        <v>270</v>
      </c>
      <c r="AA240" s="157">
        <v>264</v>
      </c>
      <c r="AB240" s="152">
        <f t="shared" si="24"/>
        <v>17128</v>
      </c>
      <c r="AC240" s="161">
        <f t="shared" si="25"/>
        <v>2609</v>
      </c>
      <c r="AD240" s="161">
        <v>4038</v>
      </c>
    </row>
    <row r="241" spans="1:30">
      <c r="A241" s="91" t="s">
        <v>528</v>
      </c>
      <c r="B241" s="91" t="s">
        <v>533</v>
      </c>
      <c r="C241" s="92" t="s">
        <v>534</v>
      </c>
      <c r="D241" s="160">
        <v>11669</v>
      </c>
      <c r="E241" s="161">
        <v>2079</v>
      </c>
      <c r="F241" s="152">
        <f t="shared" si="21"/>
        <v>13748</v>
      </c>
      <c r="G241" s="154">
        <v>213</v>
      </c>
      <c r="H241" s="228">
        <v>13535</v>
      </c>
      <c r="I241" s="162">
        <v>2062</v>
      </c>
      <c r="X241" s="152">
        <f t="shared" si="22"/>
        <v>13748</v>
      </c>
      <c r="Y241" s="156">
        <f t="shared" si="26"/>
        <v>1.55E-2</v>
      </c>
      <c r="Z241" s="152">
        <f t="shared" si="23"/>
        <v>213</v>
      </c>
      <c r="AA241" s="157">
        <v>209</v>
      </c>
      <c r="AB241" s="152">
        <f t="shared" si="24"/>
        <v>13539</v>
      </c>
      <c r="AC241" s="161">
        <f t="shared" si="25"/>
        <v>2062</v>
      </c>
      <c r="AD241" s="161">
        <v>3116</v>
      </c>
    </row>
    <row r="242" spans="1:30">
      <c r="A242" s="91" t="s">
        <v>528</v>
      </c>
      <c r="B242" s="91" t="s">
        <v>535</v>
      </c>
      <c r="C242" s="92" t="s">
        <v>536</v>
      </c>
      <c r="D242" s="160">
        <v>29024</v>
      </c>
      <c r="E242" s="161">
        <v>4897</v>
      </c>
      <c r="F242" s="152">
        <f t="shared" si="21"/>
        <v>33921</v>
      </c>
      <c r="G242" s="154">
        <v>526</v>
      </c>
      <c r="H242" s="228">
        <v>33395</v>
      </c>
      <c r="I242" s="162">
        <v>5088</v>
      </c>
      <c r="X242" s="152">
        <f t="shared" si="22"/>
        <v>33921</v>
      </c>
      <c r="Y242" s="156">
        <f t="shared" si="26"/>
        <v>1.55E-2</v>
      </c>
      <c r="Z242" s="152">
        <f t="shared" si="23"/>
        <v>526</v>
      </c>
      <c r="AA242" s="157">
        <v>515</v>
      </c>
      <c r="AB242" s="152">
        <f t="shared" si="24"/>
        <v>33406</v>
      </c>
      <c r="AC242" s="161">
        <f t="shared" si="25"/>
        <v>5088</v>
      </c>
      <c r="AD242" s="161">
        <v>7710</v>
      </c>
    </row>
    <row r="243" spans="1:30">
      <c r="A243" s="83" t="s">
        <v>528</v>
      </c>
      <c r="B243" s="83" t="s">
        <v>537</v>
      </c>
      <c r="C243" s="84" t="s">
        <v>538</v>
      </c>
      <c r="D243" s="160">
        <v>42193</v>
      </c>
      <c r="E243" s="161">
        <v>4423</v>
      </c>
      <c r="F243" s="152">
        <f t="shared" si="21"/>
        <v>46616</v>
      </c>
      <c r="G243" s="154">
        <v>723</v>
      </c>
      <c r="H243" s="228">
        <v>45893</v>
      </c>
      <c r="I243" s="162">
        <v>6992</v>
      </c>
      <c r="X243" s="152">
        <f t="shared" si="22"/>
        <v>46616</v>
      </c>
      <c r="Y243" s="156">
        <f t="shared" si="26"/>
        <v>1.55E-2</v>
      </c>
      <c r="Z243" s="152">
        <f t="shared" si="23"/>
        <v>723</v>
      </c>
      <c r="AA243" s="157">
        <v>708</v>
      </c>
      <c r="AB243" s="152">
        <f t="shared" si="24"/>
        <v>45908</v>
      </c>
      <c r="AC243" s="161">
        <f t="shared" si="25"/>
        <v>6992</v>
      </c>
      <c r="AD243" s="161">
        <v>10813</v>
      </c>
    </row>
    <row r="244" spans="1:30">
      <c r="A244" s="91" t="s">
        <v>528</v>
      </c>
      <c r="B244" s="91" t="s">
        <v>539</v>
      </c>
      <c r="C244" s="92" t="s">
        <v>540</v>
      </c>
      <c r="D244" s="160">
        <v>35847</v>
      </c>
      <c r="E244" s="161">
        <v>4379</v>
      </c>
      <c r="F244" s="152">
        <f t="shared" si="21"/>
        <v>40226</v>
      </c>
      <c r="G244" s="154">
        <v>624</v>
      </c>
      <c r="H244" s="228">
        <v>39602</v>
      </c>
      <c r="I244" s="162">
        <v>6034</v>
      </c>
      <c r="X244" s="152">
        <f t="shared" si="22"/>
        <v>40226</v>
      </c>
      <c r="Y244" s="156">
        <f t="shared" si="26"/>
        <v>1.55E-2</v>
      </c>
      <c r="Z244" s="152">
        <f t="shared" si="23"/>
        <v>624</v>
      </c>
      <c r="AA244" s="157">
        <v>611</v>
      </c>
      <c r="AB244" s="152">
        <f t="shared" si="24"/>
        <v>39615</v>
      </c>
      <c r="AC244" s="161">
        <f t="shared" si="25"/>
        <v>6034</v>
      </c>
      <c r="AD244" s="161">
        <v>9278</v>
      </c>
    </row>
    <row r="245" spans="1:30">
      <c r="A245" s="83" t="s">
        <v>528</v>
      </c>
      <c r="B245" s="83" t="s">
        <v>541</v>
      </c>
      <c r="C245" s="84" t="s">
        <v>542</v>
      </c>
      <c r="D245" s="160">
        <v>14353</v>
      </c>
      <c r="E245" s="161">
        <v>2990</v>
      </c>
      <c r="F245" s="152">
        <f t="shared" si="21"/>
        <v>17343</v>
      </c>
      <c r="G245" s="154">
        <v>269</v>
      </c>
      <c r="H245" s="228">
        <v>17074</v>
      </c>
      <c r="I245" s="162">
        <v>2601</v>
      </c>
      <c r="X245" s="152">
        <f t="shared" si="22"/>
        <v>17343</v>
      </c>
      <c r="Y245" s="156">
        <f t="shared" si="26"/>
        <v>1.55E-2</v>
      </c>
      <c r="Z245" s="152">
        <f t="shared" si="23"/>
        <v>269</v>
      </c>
      <c r="AA245" s="157">
        <v>263</v>
      </c>
      <c r="AB245" s="152">
        <f t="shared" si="24"/>
        <v>17080</v>
      </c>
      <c r="AC245" s="161">
        <f t="shared" si="25"/>
        <v>2601</v>
      </c>
      <c r="AD245" s="161">
        <v>3896</v>
      </c>
    </row>
    <row r="246" spans="1:30">
      <c r="A246" s="91" t="s">
        <v>528</v>
      </c>
      <c r="B246" s="91" t="s">
        <v>543</v>
      </c>
      <c r="C246" s="92" t="s">
        <v>544</v>
      </c>
      <c r="D246" s="160">
        <v>41784</v>
      </c>
      <c r="E246" s="161">
        <v>7847</v>
      </c>
      <c r="F246" s="152">
        <f t="shared" si="21"/>
        <v>49631</v>
      </c>
      <c r="G246" s="154">
        <v>769</v>
      </c>
      <c r="H246" s="228">
        <v>48862</v>
      </c>
      <c r="I246" s="162">
        <v>7445</v>
      </c>
      <c r="X246" s="152">
        <f t="shared" si="22"/>
        <v>49631</v>
      </c>
      <c r="Y246" s="156">
        <f t="shared" si="26"/>
        <v>1.55E-2</v>
      </c>
      <c r="Z246" s="152">
        <f t="shared" si="23"/>
        <v>769</v>
      </c>
      <c r="AA246" s="157">
        <v>754</v>
      </c>
      <c r="AB246" s="152">
        <f t="shared" si="24"/>
        <v>48877</v>
      </c>
      <c r="AC246" s="161">
        <f t="shared" si="25"/>
        <v>7445</v>
      </c>
      <c r="AD246" s="161">
        <v>11217</v>
      </c>
    </row>
    <row r="247" spans="1:30">
      <c r="A247" s="91" t="s">
        <v>528</v>
      </c>
      <c r="B247" s="91" t="s">
        <v>545</v>
      </c>
      <c r="C247" s="92" t="s">
        <v>546</v>
      </c>
      <c r="D247" s="160">
        <v>97511</v>
      </c>
      <c r="E247" s="161">
        <v>29868</v>
      </c>
      <c r="F247" s="152">
        <f t="shared" si="21"/>
        <v>127379</v>
      </c>
      <c r="G247" s="154">
        <v>1974</v>
      </c>
      <c r="H247" s="228">
        <v>125405</v>
      </c>
      <c r="I247" s="162">
        <v>19107</v>
      </c>
      <c r="X247" s="152">
        <f t="shared" si="22"/>
        <v>127379</v>
      </c>
      <c r="Y247" s="156">
        <f t="shared" si="26"/>
        <v>1.55E-2</v>
      </c>
      <c r="Z247" s="152">
        <f t="shared" si="23"/>
        <v>1974</v>
      </c>
      <c r="AA247" s="157">
        <v>1935</v>
      </c>
      <c r="AB247" s="152">
        <f t="shared" si="24"/>
        <v>125444</v>
      </c>
      <c r="AC247" s="161">
        <f t="shared" si="25"/>
        <v>19107</v>
      </c>
      <c r="AD247" s="161">
        <v>27876</v>
      </c>
    </row>
    <row r="248" spans="1:30">
      <c r="A248" s="91" t="s">
        <v>528</v>
      </c>
      <c r="B248" s="91" t="s">
        <v>547</v>
      </c>
      <c r="C248" s="92" t="s">
        <v>548</v>
      </c>
      <c r="D248" s="160">
        <v>18902</v>
      </c>
      <c r="E248" s="161">
        <v>3990</v>
      </c>
      <c r="F248" s="152">
        <f t="shared" si="21"/>
        <v>22892</v>
      </c>
      <c r="G248" s="154">
        <v>355</v>
      </c>
      <c r="H248" s="228">
        <v>22537</v>
      </c>
      <c r="I248" s="162">
        <v>3434</v>
      </c>
      <c r="X248" s="152">
        <f t="shared" si="22"/>
        <v>22892</v>
      </c>
      <c r="Y248" s="156">
        <f t="shared" si="26"/>
        <v>1.55E-2</v>
      </c>
      <c r="Z248" s="152">
        <f t="shared" si="23"/>
        <v>355</v>
      </c>
      <c r="AA248" s="157">
        <v>348</v>
      </c>
      <c r="AB248" s="152">
        <f t="shared" si="24"/>
        <v>22544</v>
      </c>
      <c r="AC248" s="161">
        <f t="shared" si="25"/>
        <v>3434</v>
      </c>
      <c r="AD248" s="161">
        <v>5139</v>
      </c>
    </row>
    <row r="249" spans="1:30">
      <c r="A249" s="83" t="s">
        <v>528</v>
      </c>
      <c r="B249" s="83" t="s">
        <v>549</v>
      </c>
      <c r="C249" s="84" t="s">
        <v>550</v>
      </c>
      <c r="D249" s="160">
        <v>19630</v>
      </c>
      <c r="E249" s="161">
        <v>2079</v>
      </c>
      <c r="F249" s="152">
        <f t="shared" si="21"/>
        <v>21709</v>
      </c>
      <c r="G249" s="154">
        <v>336</v>
      </c>
      <c r="H249" s="228">
        <v>21373</v>
      </c>
      <c r="I249" s="162">
        <v>3256</v>
      </c>
      <c r="X249" s="152">
        <f t="shared" si="22"/>
        <v>21709</v>
      </c>
      <c r="Y249" s="156">
        <f t="shared" si="26"/>
        <v>1.55E-2</v>
      </c>
      <c r="Z249" s="152">
        <f t="shared" si="23"/>
        <v>336</v>
      </c>
      <c r="AA249" s="157">
        <v>330</v>
      </c>
      <c r="AB249" s="152">
        <f t="shared" si="24"/>
        <v>21379</v>
      </c>
      <c r="AC249" s="161">
        <f t="shared" si="25"/>
        <v>3256</v>
      </c>
      <c r="AD249" s="161">
        <v>5033</v>
      </c>
    </row>
    <row r="250" spans="1:30">
      <c r="A250" s="91" t="s">
        <v>528</v>
      </c>
      <c r="B250" s="91" t="s">
        <v>551</v>
      </c>
      <c r="C250" s="92" t="s">
        <v>552</v>
      </c>
      <c r="D250" s="160">
        <v>21199</v>
      </c>
      <c r="E250" s="161">
        <v>3685</v>
      </c>
      <c r="F250" s="152">
        <f t="shared" si="21"/>
        <v>24884</v>
      </c>
      <c r="G250" s="154">
        <v>386</v>
      </c>
      <c r="H250" s="228">
        <v>24498</v>
      </c>
      <c r="I250" s="162">
        <v>3733</v>
      </c>
      <c r="X250" s="152">
        <f t="shared" si="22"/>
        <v>24884</v>
      </c>
      <c r="Y250" s="156">
        <f t="shared" si="26"/>
        <v>1.55E-2</v>
      </c>
      <c r="Z250" s="152">
        <f t="shared" si="23"/>
        <v>386</v>
      </c>
      <c r="AA250" s="157">
        <v>378</v>
      </c>
      <c r="AB250" s="152">
        <f t="shared" si="24"/>
        <v>24506</v>
      </c>
      <c r="AC250" s="161">
        <f t="shared" si="25"/>
        <v>3733</v>
      </c>
      <c r="AD250" s="161">
        <v>5648</v>
      </c>
    </row>
    <row r="251" spans="1:30">
      <c r="A251" s="83" t="s">
        <v>528</v>
      </c>
      <c r="B251" s="83" t="s">
        <v>553</v>
      </c>
      <c r="C251" s="84" t="s">
        <v>554</v>
      </c>
      <c r="D251" s="160">
        <v>32162</v>
      </c>
      <c r="E251" s="161">
        <v>5547</v>
      </c>
      <c r="F251" s="152">
        <f t="shared" si="21"/>
        <v>37709</v>
      </c>
      <c r="G251" s="154">
        <v>584</v>
      </c>
      <c r="H251" s="228">
        <v>37125</v>
      </c>
      <c r="I251" s="162">
        <v>5656</v>
      </c>
      <c r="X251" s="152">
        <f t="shared" si="22"/>
        <v>37709</v>
      </c>
      <c r="Y251" s="156">
        <f t="shared" si="26"/>
        <v>1.55E-2</v>
      </c>
      <c r="Z251" s="152">
        <f t="shared" si="23"/>
        <v>584</v>
      </c>
      <c r="AA251" s="157">
        <v>573</v>
      </c>
      <c r="AB251" s="152">
        <f t="shared" si="24"/>
        <v>37136</v>
      </c>
      <c r="AC251" s="161">
        <f t="shared" si="25"/>
        <v>5656</v>
      </c>
      <c r="AD251" s="161">
        <v>8562</v>
      </c>
    </row>
    <row r="252" spans="1:30">
      <c r="A252" s="83" t="s">
        <v>528</v>
      </c>
      <c r="B252" s="83" t="s">
        <v>555</v>
      </c>
      <c r="C252" s="84" t="s">
        <v>556</v>
      </c>
      <c r="D252" s="160">
        <v>24702</v>
      </c>
      <c r="E252" s="161">
        <v>2340</v>
      </c>
      <c r="F252" s="152">
        <f t="shared" si="21"/>
        <v>27042</v>
      </c>
      <c r="G252" s="154">
        <v>419</v>
      </c>
      <c r="H252" s="228">
        <v>26623</v>
      </c>
      <c r="I252" s="162">
        <v>4056</v>
      </c>
      <c r="X252" s="152">
        <f t="shared" si="22"/>
        <v>27042</v>
      </c>
      <c r="Y252" s="156">
        <f t="shared" si="26"/>
        <v>1.55E-2</v>
      </c>
      <c r="Z252" s="152">
        <f t="shared" si="23"/>
        <v>419</v>
      </c>
      <c r="AA252" s="157">
        <v>411</v>
      </c>
      <c r="AB252" s="152">
        <f t="shared" si="24"/>
        <v>26631</v>
      </c>
      <c r="AC252" s="161">
        <f t="shared" si="25"/>
        <v>4056</v>
      </c>
      <c r="AD252" s="161">
        <v>6294</v>
      </c>
    </row>
    <row r="253" spans="1:30">
      <c r="A253" s="83" t="s">
        <v>528</v>
      </c>
      <c r="B253" s="83" t="s">
        <v>557</v>
      </c>
      <c r="C253" s="84" t="s">
        <v>558</v>
      </c>
      <c r="D253" s="160">
        <v>21154</v>
      </c>
      <c r="E253" s="161">
        <v>2513</v>
      </c>
      <c r="F253" s="152">
        <f t="shared" si="21"/>
        <v>23667</v>
      </c>
      <c r="G253" s="154">
        <v>367</v>
      </c>
      <c r="H253" s="228">
        <v>23300</v>
      </c>
      <c r="I253" s="162">
        <v>3550</v>
      </c>
      <c r="X253" s="152">
        <f t="shared" si="22"/>
        <v>23667</v>
      </c>
      <c r="Y253" s="156">
        <f t="shared" si="26"/>
        <v>1.55E-2</v>
      </c>
      <c r="Z253" s="152">
        <f t="shared" si="23"/>
        <v>367</v>
      </c>
      <c r="AA253" s="157">
        <v>359</v>
      </c>
      <c r="AB253" s="152">
        <f t="shared" si="24"/>
        <v>23308</v>
      </c>
      <c r="AC253" s="161">
        <f t="shared" si="25"/>
        <v>3550</v>
      </c>
      <c r="AD253" s="161">
        <v>5464</v>
      </c>
    </row>
    <row r="254" spans="1:30">
      <c r="A254" s="91" t="s">
        <v>528</v>
      </c>
      <c r="B254" s="91" t="s">
        <v>559</v>
      </c>
      <c r="C254" s="92" t="s">
        <v>560</v>
      </c>
      <c r="D254" s="160">
        <v>29046</v>
      </c>
      <c r="E254" s="161">
        <v>2473</v>
      </c>
      <c r="F254" s="152">
        <f t="shared" si="21"/>
        <v>31519</v>
      </c>
      <c r="G254" s="154">
        <v>489</v>
      </c>
      <c r="H254" s="228">
        <v>31030</v>
      </c>
      <c r="I254" s="162">
        <v>4728</v>
      </c>
      <c r="X254" s="152">
        <f t="shared" si="22"/>
        <v>31519</v>
      </c>
      <c r="Y254" s="156">
        <f t="shared" si="26"/>
        <v>1.55E-2</v>
      </c>
      <c r="Z254" s="152">
        <f t="shared" si="23"/>
        <v>489</v>
      </c>
      <c r="AA254" s="157">
        <v>479</v>
      </c>
      <c r="AB254" s="152">
        <f t="shared" si="24"/>
        <v>31040</v>
      </c>
      <c r="AC254" s="161">
        <f t="shared" si="25"/>
        <v>4728</v>
      </c>
      <c r="AD254" s="161">
        <v>7359</v>
      </c>
    </row>
    <row r="255" spans="1:30">
      <c r="A255" s="83" t="s">
        <v>528</v>
      </c>
      <c r="B255" s="83" t="s">
        <v>561</v>
      </c>
      <c r="C255" s="84" t="s">
        <v>562</v>
      </c>
      <c r="D255" s="160">
        <v>111773</v>
      </c>
      <c r="E255" s="161">
        <v>13700</v>
      </c>
      <c r="F255" s="152">
        <f t="shared" si="21"/>
        <v>125473</v>
      </c>
      <c r="G255" s="154">
        <v>1945</v>
      </c>
      <c r="H255" s="228">
        <v>123528</v>
      </c>
      <c r="I255" s="162">
        <v>18821</v>
      </c>
      <c r="X255" s="152">
        <f t="shared" si="22"/>
        <v>125473</v>
      </c>
      <c r="Y255" s="156">
        <f t="shared" si="26"/>
        <v>1.55E-2</v>
      </c>
      <c r="Z255" s="152">
        <f t="shared" si="23"/>
        <v>1945</v>
      </c>
      <c r="AA255" s="157">
        <v>1906</v>
      </c>
      <c r="AB255" s="152">
        <f t="shared" si="24"/>
        <v>123567</v>
      </c>
      <c r="AC255" s="161">
        <f t="shared" si="25"/>
        <v>18821</v>
      </c>
      <c r="AD255" s="161">
        <v>28934</v>
      </c>
    </row>
    <row r="256" spans="1:30">
      <c r="A256" s="91" t="s">
        <v>528</v>
      </c>
      <c r="B256" s="91" t="s">
        <v>563</v>
      </c>
      <c r="C256" s="92" t="s">
        <v>564</v>
      </c>
      <c r="D256" s="160">
        <v>32981</v>
      </c>
      <c r="E256" s="161">
        <v>6719</v>
      </c>
      <c r="F256" s="152">
        <f t="shared" si="21"/>
        <v>39700</v>
      </c>
      <c r="G256" s="154">
        <v>615</v>
      </c>
      <c r="H256" s="228">
        <v>39085</v>
      </c>
      <c r="I256" s="162">
        <v>5955</v>
      </c>
      <c r="X256" s="152">
        <f t="shared" si="22"/>
        <v>39700</v>
      </c>
      <c r="Y256" s="156">
        <f t="shared" si="26"/>
        <v>1.55E-2</v>
      </c>
      <c r="Z256" s="152">
        <f t="shared" si="23"/>
        <v>615</v>
      </c>
      <c r="AA256" s="157">
        <v>603</v>
      </c>
      <c r="AB256" s="152">
        <f t="shared" si="24"/>
        <v>39097</v>
      </c>
      <c r="AC256" s="161">
        <f t="shared" si="25"/>
        <v>5955</v>
      </c>
      <c r="AD256" s="161">
        <v>8931</v>
      </c>
    </row>
    <row r="257" spans="1:30">
      <c r="A257" s="91" t="s">
        <v>528</v>
      </c>
      <c r="B257" s="91" t="s">
        <v>565</v>
      </c>
      <c r="C257" s="92" t="s">
        <v>566</v>
      </c>
      <c r="D257" s="160">
        <v>20608</v>
      </c>
      <c r="E257" s="161">
        <v>3123</v>
      </c>
      <c r="F257" s="152">
        <f t="shared" si="21"/>
        <v>23731</v>
      </c>
      <c r="G257" s="154">
        <v>368</v>
      </c>
      <c r="H257" s="228">
        <v>23363</v>
      </c>
      <c r="I257" s="162">
        <v>3560</v>
      </c>
      <c r="X257" s="152">
        <f t="shared" si="22"/>
        <v>23731</v>
      </c>
      <c r="Y257" s="156">
        <f t="shared" si="26"/>
        <v>1.55E-2</v>
      </c>
      <c r="Z257" s="152">
        <f t="shared" si="23"/>
        <v>368</v>
      </c>
      <c r="AA257" s="157">
        <v>360</v>
      </c>
      <c r="AB257" s="152">
        <f t="shared" si="24"/>
        <v>23371</v>
      </c>
      <c r="AC257" s="161">
        <f t="shared" si="25"/>
        <v>3560</v>
      </c>
      <c r="AD257" s="161">
        <v>5422</v>
      </c>
    </row>
    <row r="258" spans="1:30">
      <c r="A258" s="83" t="s">
        <v>528</v>
      </c>
      <c r="B258" s="83" t="s">
        <v>567</v>
      </c>
      <c r="C258" s="84" t="s">
        <v>568</v>
      </c>
      <c r="D258" s="160">
        <v>83227</v>
      </c>
      <c r="E258" s="161">
        <v>8281</v>
      </c>
      <c r="F258" s="152">
        <f t="shared" si="21"/>
        <v>91508</v>
      </c>
      <c r="G258" s="154">
        <v>1418</v>
      </c>
      <c r="H258" s="228">
        <v>90090</v>
      </c>
      <c r="I258" s="162">
        <v>13726</v>
      </c>
      <c r="X258" s="152">
        <f t="shared" si="22"/>
        <v>91508</v>
      </c>
      <c r="Y258" s="156">
        <f t="shared" si="26"/>
        <v>1.55E-2</v>
      </c>
      <c r="Z258" s="152">
        <f t="shared" si="23"/>
        <v>1418</v>
      </c>
      <c r="AA258" s="157">
        <v>1390</v>
      </c>
      <c r="AB258" s="152">
        <f t="shared" si="24"/>
        <v>90118</v>
      </c>
      <c r="AC258" s="161">
        <f t="shared" si="25"/>
        <v>13726</v>
      </c>
      <c r="AD258" s="161">
        <v>21263</v>
      </c>
    </row>
    <row r="259" spans="1:30">
      <c r="A259" s="91" t="s">
        <v>528</v>
      </c>
      <c r="B259" s="91" t="s">
        <v>569</v>
      </c>
      <c r="C259" s="92" t="s">
        <v>570</v>
      </c>
      <c r="D259" s="160">
        <v>27477</v>
      </c>
      <c r="E259" s="161">
        <v>1734</v>
      </c>
      <c r="F259" s="152">
        <f t="shared" si="21"/>
        <v>29211</v>
      </c>
      <c r="G259" s="154">
        <v>453</v>
      </c>
      <c r="H259" s="228">
        <v>28758</v>
      </c>
      <c r="I259" s="162">
        <v>4382</v>
      </c>
      <c r="X259" s="152">
        <f t="shared" si="22"/>
        <v>29211</v>
      </c>
      <c r="Y259" s="156">
        <f t="shared" si="26"/>
        <v>1.55E-2</v>
      </c>
      <c r="Z259" s="152">
        <f t="shared" si="23"/>
        <v>453</v>
      </c>
      <c r="AA259" s="157">
        <v>444</v>
      </c>
      <c r="AB259" s="152">
        <f t="shared" si="24"/>
        <v>28767</v>
      </c>
      <c r="AC259" s="161">
        <f t="shared" si="25"/>
        <v>4382</v>
      </c>
      <c r="AD259" s="161">
        <v>6873</v>
      </c>
    </row>
    <row r="260" spans="1:30">
      <c r="A260" s="83" t="s">
        <v>528</v>
      </c>
      <c r="B260" s="83" t="s">
        <v>571</v>
      </c>
      <c r="C260" s="84" t="s">
        <v>572</v>
      </c>
      <c r="D260" s="160">
        <v>47516</v>
      </c>
      <c r="E260" s="161">
        <v>6242</v>
      </c>
      <c r="F260" s="152">
        <f t="shared" si="21"/>
        <v>53758</v>
      </c>
      <c r="G260" s="154">
        <v>833</v>
      </c>
      <c r="H260" s="228">
        <v>52925</v>
      </c>
      <c r="I260" s="162">
        <v>8064</v>
      </c>
      <c r="X260" s="152">
        <f t="shared" si="22"/>
        <v>53758</v>
      </c>
      <c r="Y260" s="156">
        <f t="shared" si="26"/>
        <v>1.55E-2</v>
      </c>
      <c r="Z260" s="152">
        <f t="shared" si="23"/>
        <v>833</v>
      </c>
      <c r="AA260" s="157">
        <v>816</v>
      </c>
      <c r="AB260" s="152">
        <f t="shared" si="24"/>
        <v>52942</v>
      </c>
      <c r="AC260" s="161">
        <f t="shared" si="25"/>
        <v>8064</v>
      </c>
      <c r="AD260" s="161">
        <v>12362</v>
      </c>
    </row>
    <row r="261" spans="1:30">
      <c r="A261" s="91" t="s">
        <v>528</v>
      </c>
      <c r="B261" s="91" t="s">
        <v>573</v>
      </c>
      <c r="C261" s="92" t="s">
        <v>574</v>
      </c>
      <c r="D261" s="160">
        <v>14011</v>
      </c>
      <c r="E261" s="161">
        <v>2818</v>
      </c>
      <c r="F261" s="152">
        <f t="shared" si="21"/>
        <v>16829</v>
      </c>
      <c r="G261" s="154">
        <v>261</v>
      </c>
      <c r="H261" s="228">
        <v>16568</v>
      </c>
      <c r="I261" s="162">
        <v>2524</v>
      </c>
      <c r="X261" s="152">
        <f t="shared" si="22"/>
        <v>16829</v>
      </c>
      <c r="Y261" s="156">
        <f t="shared" si="26"/>
        <v>1.55E-2</v>
      </c>
      <c r="Z261" s="152">
        <f t="shared" si="23"/>
        <v>261</v>
      </c>
      <c r="AA261" s="157">
        <v>256</v>
      </c>
      <c r="AB261" s="152">
        <f t="shared" si="24"/>
        <v>16573</v>
      </c>
      <c r="AC261" s="161">
        <f t="shared" si="25"/>
        <v>2524</v>
      </c>
      <c r="AD261" s="161">
        <v>3789</v>
      </c>
    </row>
    <row r="262" spans="1:30">
      <c r="A262" s="91" t="s">
        <v>528</v>
      </c>
      <c r="B262" s="91" t="s">
        <v>575</v>
      </c>
      <c r="C262" s="92" t="s">
        <v>576</v>
      </c>
      <c r="D262" s="160">
        <v>62301</v>
      </c>
      <c r="E262" s="161">
        <v>9537</v>
      </c>
      <c r="F262" s="152">
        <f t="shared" si="21"/>
        <v>71838</v>
      </c>
      <c r="G262" s="154">
        <v>1113</v>
      </c>
      <c r="H262" s="228">
        <v>70725</v>
      </c>
      <c r="I262" s="162">
        <v>10776</v>
      </c>
      <c r="X262" s="152">
        <f t="shared" si="22"/>
        <v>71838</v>
      </c>
      <c r="Y262" s="156">
        <f t="shared" si="26"/>
        <v>1.55E-2</v>
      </c>
      <c r="Z262" s="152">
        <f t="shared" si="23"/>
        <v>1113</v>
      </c>
      <c r="AA262" s="157">
        <v>1091</v>
      </c>
      <c r="AB262" s="152">
        <f t="shared" si="24"/>
        <v>70747</v>
      </c>
      <c r="AC262" s="161">
        <f t="shared" si="25"/>
        <v>10776</v>
      </c>
      <c r="AD262" s="161">
        <v>16407</v>
      </c>
    </row>
    <row r="263" spans="1:30">
      <c r="A263" s="91" t="s">
        <v>528</v>
      </c>
      <c r="B263" s="91" t="s">
        <v>577</v>
      </c>
      <c r="C263" s="92" t="s">
        <v>578</v>
      </c>
      <c r="D263" s="160">
        <v>55227</v>
      </c>
      <c r="E263" s="161">
        <v>8020</v>
      </c>
      <c r="F263" s="152">
        <f t="shared" ref="F263:F326" si="27">+E263+D263</f>
        <v>63247</v>
      </c>
      <c r="G263" s="154">
        <v>980</v>
      </c>
      <c r="H263" s="228">
        <v>62267</v>
      </c>
      <c r="I263" s="162">
        <v>9487</v>
      </c>
      <c r="X263" s="152">
        <f t="shared" si="22"/>
        <v>63247</v>
      </c>
      <c r="Y263" s="156">
        <f t="shared" si="26"/>
        <v>1.55E-2</v>
      </c>
      <c r="Z263" s="152">
        <f t="shared" si="23"/>
        <v>980</v>
      </c>
      <c r="AA263" s="157">
        <v>961</v>
      </c>
      <c r="AB263" s="152">
        <f t="shared" si="24"/>
        <v>62286</v>
      </c>
      <c r="AC263" s="161">
        <f t="shared" si="25"/>
        <v>9487</v>
      </c>
      <c r="AD263" s="161">
        <v>14480</v>
      </c>
    </row>
    <row r="264" spans="1:30">
      <c r="A264" s="91" t="s">
        <v>528</v>
      </c>
      <c r="B264" s="91" t="s">
        <v>579</v>
      </c>
      <c r="C264" s="92" t="s">
        <v>580</v>
      </c>
      <c r="D264" s="160">
        <v>33482</v>
      </c>
      <c r="E264" s="161">
        <v>5331</v>
      </c>
      <c r="F264" s="152">
        <f t="shared" si="27"/>
        <v>38813</v>
      </c>
      <c r="G264" s="154">
        <v>602</v>
      </c>
      <c r="H264" s="228">
        <v>38211</v>
      </c>
      <c r="I264" s="162">
        <v>5822</v>
      </c>
      <c r="X264" s="152">
        <f t="shared" ref="X264:X327" si="28">+F264</f>
        <v>38813</v>
      </c>
      <c r="Y264" s="156">
        <f t="shared" si="26"/>
        <v>1.55E-2</v>
      </c>
      <c r="Z264" s="152">
        <f t="shared" ref="Z264:Z327" si="29">ROUND(X264*Y264,0)</f>
        <v>602</v>
      </c>
      <c r="AA264" s="157">
        <v>589</v>
      </c>
      <c r="AB264" s="152">
        <f t="shared" ref="AB264:AB327" si="30">+X264-AA264</f>
        <v>38224</v>
      </c>
      <c r="AC264" s="161">
        <f t="shared" ref="AC264:AC327" si="31">ROUND((X264*0.15),0)</f>
        <v>5822</v>
      </c>
      <c r="AD264" s="161">
        <v>8848</v>
      </c>
    </row>
    <row r="265" spans="1:30">
      <c r="A265" s="83" t="s">
        <v>528</v>
      </c>
      <c r="B265" s="83" t="s">
        <v>581</v>
      </c>
      <c r="C265" s="84" t="s">
        <v>582</v>
      </c>
      <c r="D265" s="160">
        <v>73059</v>
      </c>
      <c r="E265" s="161">
        <v>7803</v>
      </c>
      <c r="F265" s="152">
        <f t="shared" si="27"/>
        <v>80862</v>
      </c>
      <c r="G265" s="154">
        <v>1253</v>
      </c>
      <c r="H265" s="228">
        <v>79609</v>
      </c>
      <c r="I265" s="162">
        <v>12129</v>
      </c>
      <c r="X265" s="152">
        <f t="shared" si="28"/>
        <v>80862</v>
      </c>
      <c r="Y265" s="156">
        <f t="shared" si="26"/>
        <v>1.55E-2</v>
      </c>
      <c r="Z265" s="152">
        <f t="shared" si="29"/>
        <v>1253</v>
      </c>
      <c r="AA265" s="157">
        <v>1228</v>
      </c>
      <c r="AB265" s="152">
        <f t="shared" si="30"/>
        <v>79634</v>
      </c>
      <c r="AC265" s="161">
        <f t="shared" si="31"/>
        <v>12129</v>
      </c>
      <c r="AD265" s="161">
        <v>18744</v>
      </c>
    </row>
    <row r="266" spans="1:30">
      <c r="A266" s="91" t="s">
        <v>528</v>
      </c>
      <c r="B266" s="91" t="s">
        <v>583</v>
      </c>
      <c r="C266" s="92" t="s">
        <v>584</v>
      </c>
      <c r="D266" s="160">
        <v>675844</v>
      </c>
      <c r="E266" s="161">
        <v>170103</v>
      </c>
      <c r="F266" s="152">
        <f t="shared" si="27"/>
        <v>845947</v>
      </c>
      <c r="G266" s="154">
        <v>13112</v>
      </c>
      <c r="H266" s="228">
        <v>832835</v>
      </c>
      <c r="I266" s="162">
        <v>126892</v>
      </c>
      <c r="X266" s="152">
        <f t="shared" si="28"/>
        <v>845947</v>
      </c>
      <c r="Y266" s="156">
        <f t="shared" si="26"/>
        <v>1.55E-2</v>
      </c>
      <c r="Z266" s="152">
        <f t="shared" si="29"/>
        <v>13112</v>
      </c>
      <c r="AA266" s="157">
        <v>12849</v>
      </c>
      <c r="AB266" s="152">
        <f t="shared" si="30"/>
        <v>833098</v>
      </c>
      <c r="AC266" s="161">
        <f t="shared" si="31"/>
        <v>126892</v>
      </c>
      <c r="AD266" s="161">
        <v>187782</v>
      </c>
    </row>
    <row r="267" spans="1:30">
      <c r="A267" s="91" t="s">
        <v>528</v>
      </c>
      <c r="B267" s="91" t="s">
        <v>585</v>
      </c>
      <c r="C267" s="92" t="s">
        <v>586</v>
      </c>
      <c r="D267" s="160">
        <v>34164</v>
      </c>
      <c r="E267" s="161">
        <v>4162</v>
      </c>
      <c r="F267" s="152">
        <f t="shared" si="27"/>
        <v>38326</v>
      </c>
      <c r="G267" s="154">
        <v>594</v>
      </c>
      <c r="H267" s="228">
        <v>37732</v>
      </c>
      <c r="I267" s="162">
        <v>5749</v>
      </c>
      <c r="X267" s="152">
        <f t="shared" si="28"/>
        <v>38326</v>
      </c>
      <c r="Y267" s="156">
        <f t="shared" si="26"/>
        <v>1.55E-2</v>
      </c>
      <c r="Z267" s="152">
        <f t="shared" si="29"/>
        <v>594</v>
      </c>
      <c r="AA267" s="157">
        <v>582</v>
      </c>
      <c r="AB267" s="152">
        <f t="shared" si="30"/>
        <v>37744</v>
      </c>
      <c r="AC267" s="161">
        <f t="shared" si="31"/>
        <v>5749</v>
      </c>
      <c r="AD267" s="161">
        <v>8840</v>
      </c>
    </row>
    <row r="268" spans="1:30">
      <c r="A268" s="91" t="s">
        <v>528</v>
      </c>
      <c r="B268" s="91" t="s">
        <v>587</v>
      </c>
      <c r="C268" s="92" t="s">
        <v>588</v>
      </c>
      <c r="D268" s="160">
        <v>41033</v>
      </c>
      <c r="E268" s="161">
        <v>3773</v>
      </c>
      <c r="F268" s="152">
        <f t="shared" si="27"/>
        <v>44806</v>
      </c>
      <c r="G268" s="154">
        <v>694</v>
      </c>
      <c r="H268" s="228">
        <v>44112</v>
      </c>
      <c r="I268" s="162">
        <v>6721</v>
      </c>
      <c r="X268" s="152">
        <f t="shared" si="28"/>
        <v>44806</v>
      </c>
      <c r="Y268" s="156">
        <f t="shared" si="26"/>
        <v>1.55E-2</v>
      </c>
      <c r="Z268" s="152">
        <f t="shared" si="29"/>
        <v>694</v>
      </c>
      <c r="AA268" s="157">
        <v>681</v>
      </c>
      <c r="AB268" s="152">
        <f t="shared" si="30"/>
        <v>44125</v>
      </c>
      <c r="AC268" s="161">
        <f t="shared" si="31"/>
        <v>6721</v>
      </c>
      <c r="AD268" s="161">
        <v>10438</v>
      </c>
    </row>
    <row r="269" spans="1:30">
      <c r="A269" s="91" t="s">
        <v>528</v>
      </c>
      <c r="B269" s="91" t="s">
        <v>589</v>
      </c>
      <c r="C269" s="92" t="s">
        <v>590</v>
      </c>
      <c r="D269" s="160">
        <v>32094</v>
      </c>
      <c r="E269" s="161">
        <v>7065</v>
      </c>
      <c r="F269" s="152">
        <f t="shared" si="27"/>
        <v>39159</v>
      </c>
      <c r="G269" s="154">
        <v>607</v>
      </c>
      <c r="H269" s="228">
        <v>38552</v>
      </c>
      <c r="I269" s="162">
        <v>5874</v>
      </c>
      <c r="X269" s="152">
        <f t="shared" si="28"/>
        <v>39159</v>
      </c>
      <c r="Y269" s="156">
        <f t="shared" si="26"/>
        <v>1.55E-2</v>
      </c>
      <c r="Z269" s="152">
        <f t="shared" si="29"/>
        <v>607</v>
      </c>
      <c r="AA269" s="157">
        <v>595</v>
      </c>
      <c r="AB269" s="152">
        <f t="shared" si="30"/>
        <v>38564</v>
      </c>
      <c r="AC269" s="161">
        <f t="shared" si="31"/>
        <v>5874</v>
      </c>
      <c r="AD269" s="161">
        <v>8768</v>
      </c>
    </row>
    <row r="270" spans="1:30">
      <c r="A270" s="83" t="s">
        <v>528</v>
      </c>
      <c r="B270" s="83" t="s">
        <v>591</v>
      </c>
      <c r="C270" s="84" t="s">
        <v>592</v>
      </c>
      <c r="D270" s="160">
        <v>34141</v>
      </c>
      <c r="E270" s="161">
        <v>8020</v>
      </c>
      <c r="F270" s="152">
        <f t="shared" si="27"/>
        <v>42161</v>
      </c>
      <c r="G270" s="154">
        <v>653</v>
      </c>
      <c r="H270" s="228">
        <v>41508</v>
      </c>
      <c r="I270" s="162">
        <v>6324</v>
      </c>
      <c r="X270" s="152">
        <f t="shared" si="28"/>
        <v>42161</v>
      </c>
      <c r="Y270" s="156">
        <f t="shared" si="26"/>
        <v>1.55E-2</v>
      </c>
      <c r="Z270" s="152">
        <f t="shared" si="29"/>
        <v>653</v>
      </c>
      <c r="AA270" s="157">
        <v>640</v>
      </c>
      <c r="AB270" s="152">
        <f t="shared" si="30"/>
        <v>41521</v>
      </c>
      <c r="AC270" s="161">
        <f t="shared" si="31"/>
        <v>6324</v>
      </c>
      <c r="AD270" s="161">
        <v>9402</v>
      </c>
    </row>
    <row r="271" spans="1:30">
      <c r="A271" s="91" t="s">
        <v>528</v>
      </c>
      <c r="B271" s="91" t="s">
        <v>593</v>
      </c>
      <c r="C271" s="92" t="s">
        <v>594</v>
      </c>
      <c r="D271" s="160">
        <v>24611</v>
      </c>
      <c r="E271" s="161">
        <v>3340</v>
      </c>
      <c r="F271" s="152">
        <f t="shared" si="27"/>
        <v>27951</v>
      </c>
      <c r="G271" s="154">
        <v>433</v>
      </c>
      <c r="H271" s="228">
        <v>27518</v>
      </c>
      <c r="I271" s="162">
        <v>4193</v>
      </c>
      <c r="X271" s="152">
        <f t="shared" si="28"/>
        <v>27951</v>
      </c>
      <c r="Y271" s="156">
        <f t="shared" si="26"/>
        <v>1.55E-2</v>
      </c>
      <c r="Z271" s="152">
        <f t="shared" si="29"/>
        <v>433</v>
      </c>
      <c r="AA271" s="157">
        <v>425</v>
      </c>
      <c r="AB271" s="152">
        <f t="shared" si="30"/>
        <v>27526</v>
      </c>
      <c r="AC271" s="161">
        <f t="shared" si="31"/>
        <v>4193</v>
      </c>
      <c r="AD271" s="161">
        <v>6419</v>
      </c>
    </row>
    <row r="272" spans="1:30">
      <c r="A272" s="91" t="s">
        <v>528</v>
      </c>
      <c r="B272" s="91" t="s">
        <v>595</v>
      </c>
      <c r="C272" s="92" t="s">
        <v>596</v>
      </c>
      <c r="D272" s="160">
        <v>8211</v>
      </c>
      <c r="E272" s="161">
        <v>2689</v>
      </c>
      <c r="F272" s="152">
        <f t="shared" si="27"/>
        <v>10900</v>
      </c>
      <c r="G272" s="154">
        <v>169</v>
      </c>
      <c r="H272" s="228">
        <v>10731</v>
      </c>
      <c r="I272" s="162">
        <v>1635</v>
      </c>
      <c r="X272" s="152">
        <f t="shared" si="28"/>
        <v>10900</v>
      </c>
      <c r="Y272" s="156">
        <f t="shared" si="26"/>
        <v>1.55E-2</v>
      </c>
      <c r="Z272" s="152">
        <f t="shared" si="29"/>
        <v>169</v>
      </c>
      <c r="AA272" s="157">
        <v>166</v>
      </c>
      <c r="AB272" s="152">
        <f t="shared" si="30"/>
        <v>10734</v>
      </c>
      <c r="AC272" s="161">
        <f t="shared" si="31"/>
        <v>1635</v>
      </c>
      <c r="AD272" s="161">
        <v>2373</v>
      </c>
    </row>
    <row r="273" spans="1:30" ht="15.75" thickBot="1">
      <c r="A273" s="93" t="s">
        <v>528</v>
      </c>
      <c r="B273" s="93" t="s">
        <v>597</v>
      </c>
      <c r="C273" s="94" t="s">
        <v>598</v>
      </c>
      <c r="D273" s="174">
        <v>26863</v>
      </c>
      <c r="E273" s="175">
        <v>1907</v>
      </c>
      <c r="F273" s="174">
        <f t="shared" si="27"/>
        <v>28770</v>
      </c>
      <c r="G273" s="176">
        <v>446</v>
      </c>
      <c r="H273" s="229">
        <v>28324</v>
      </c>
      <c r="I273" s="177">
        <v>4316</v>
      </c>
      <c r="X273" s="174">
        <f t="shared" si="28"/>
        <v>28770</v>
      </c>
      <c r="Y273" s="178">
        <f t="shared" si="26"/>
        <v>1.55E-2</v>
      </c>
      <c r="Z273" s="174">
        <f t="shared" si="29"/>
        <v>446</v>
      </c>
      <c r="AA273" s="179">
        <v>437</v>
      </c>
      <c r="AB273" s="174">
        <f t="shared" si="30"/>
        <v>28333</v>
      </c>
      <c r="AC273" s="175">
        <f t="shared" si="31"/>
        <v>4316</v>
      </c>
      <c r="AD273" s="175">
        <v>6750</v>
      </c>
    </row>
    <row r="274" spans="1:30">
      <c r="A274" s="91" t="s">
        <v>599</v>
      </c>
      <c r="B274" s="91" t="s">
        <v>600</v>
      </c>
      <c r="C274" s="92" t="s">
        <v>601</v>
      </c>
      <c r="D274" s="152">
        <v>63916</v>
      </c>
      <c r="E274" s="153">
        <v>14868</v>
      </c>
      <c r="F274" s="152">
        <f t="shared" si="27"/>
        <v>78784</v>
      </c>
      <c r="G274" s="154">
        <v>678</v>
      </c>
      <c r="H274" s="228">
        <v>78106</v>
      </c>
      <c r="I274" s="155">
        <v>11818</v>
      </c>
      <c r="X274" s="152">
        <f t="shared" si="28"/>
        <v>78784</v>
      </c>
      <c r="Y274" s="156">
        <f>+$AG$26</f>
        <v>8.6E-3</v>
      </c>
      <c r="Z274" s="152">
        <f t="shared" si="29"/>
        <v>678</v>
      </c>
      <c r="AA274" s="157">
        <v>664</v>
      </c>
      <c r="AB274" s="152">
        <f t="shared" si="30"/>
        <v>78120</v>
      </c>
      <c r="AC274" s="153">
        <f t="shared" si="31"/>
        <v>11818</v>
      </c>
      <c r="AD274" s="153">
        <v>17580</v>
      </c>
    </row>
    <row r="275" spans="1:30">
      <c r="A275" s="91" t="s">
        <v>599</v>
      </c>
      <c r="B275" s="91" t="s">
        <v>602</v>
      </c>
      <c r="C275" s="92" t="s">
        <v>603</v>
      </c>
      <c r="D275" s="160">
        <v>27067</v>
      </c>
      <c r="E275" s="161">
        <v>3295</v>
      </c>
      <c r="F275" s="152">
        <f t="shared" si="27"/>
        <v>30362</v>
      </c>
      <c r="G275" s="154">
        <v>261</v>
      </c>
      <c r="H275" s="228">
        <v>30101</v>
      </c>
      <c r="I275" s="162">
        <v>4554</v>
      </c>
      <c r="X275" s="152">
        <f t="shared" si="28"/>
        <v>30362</v>
      </c>
      <c r="Y275" s="156">
        <f t="shared" ref="Y275:Y321" si="32">+$AG$26</f>
        <v>8.6E-3</v>
      </c>
      <c r="Z275" s="152">
        <f t="shared" si="29"/>
        <v>261</v>
      </c>
      <c r="AA275" s="157">
        <v>256</v>
      </c>
      <c r="AB275" s="152">
        <f t="shared" si="30"/>
        <v>30106</v>
      </c>
      <c r="AC275" s="161">
        <f t="shared" si="31"/>
        <v>4554</v>
      </c>
      <c r="AD275" s="161">
        <v>7004</v>
      </c>
    </row>
    <row r="276" spans="1:30">
      <c r="A276" s="91" t="s">
        <v>599</v>
      </c>
      <c r="B276" s="91" t="s">
        <v>604</v>
      </c>
      <c r="C276" s="92" t="s">
        <v>605</v>
      </c>
      <c r="D276" s="160">
        <v>23246</v>
      </c>
      <c r="E276" s="161">
        <v>4596</v>
      </c>
      <c r="F276" s="152">
        <f t="shared" si="27"/>
        <v>27842</v>
      </c>
      <c r="G276" s="154">
        <v>239</v>
      </c>
      <c r="H276" s="228">
        <v>27603</v>
      </c>
      <c r="I276" s="162">
        <v>4176</v>
      </c>
      <c r="X276" s="152">
        <f t="shared" si="28"/>
        <v>27842</v>
      </c>
      <c r="Y276" s="156">
        <f t="shared" si="32"/>
        <v>8.6E-3</v>
      </c>
      <c r="Z276" s="152">
        <f t="shared" si="29"/>
        <v>239</v>
      </c>
      <c r="AA276" s="157">
        <v>235</v>
      </c>
      <c r="AB276" s="152">
        <f t="shared" si="30"/>
        <v>27607</v>
      </c>
      <c r="AC276" s="161">
        <f t="shared" si="31"/>
        <v>4176</v>
      </c>
      <c r="AD276" s="161">
        <v>6275</v>
      </c>
    </row>
    <row r="277" spans="1:30">
      <c r="A277" s="104" t="s">
        <v>599</v>
      </c>
      <c r="B277" s="104" t="s">
        <v>606</v>
      </c>
      <c r="C277" s="105" t="s">
        <v>607</v>
      </c>
      <c r="D277" s="160">
        <v>19448</v>
      </c>
      <c r="E277" s="161">
        <v>3902</v>
      </c>
      <c r="F277" s="152">
        <f t="shared" si="27"/>
        <v>23350</v>
      </c>
      <c r="G277" s="154">
        <v>201</v>
      </c>
      <c r="H277" s="228">
        <v>23149</v>
      </c>
      <c r="I277" s="162">
        <v>3503</v>
      </c>
      <c r="X277" s="152">
        <f t="shared" si="28"/>
        <v>23350</v>
      </c>
      <c r="Y277" s="156">
        <f t="shared" si="32"/>
        <v>8.6E-3</v>
      </c>
      <c r="Z277" s="152">
        <f t="shared" si="29"/>
        <v>201</v>
      </c>
      <c r="AA277" s="157">
        <v>197</v>
      </c>
      <c r="AB277" s="152">
        <f t="shared" si="30"/>
        <v>23153</v>
      </c>
      <c r="AC277" s="161">
        <f t="shared" si="31"/>
        <v>3503</v>
      </c>
      <c r="AD277" s="161">
        <v>5258</v>
      </c>
    </row>
    <row r="278" spans="1:30">
      <c r="A278" s="83" t="s">
        <v>599</v>
      </c>
      <c r="B278" s="83" t="s">
        <v>608</v>
      </c>
      <c r="C278" s="84" t="s">
        <v>609</v>
      </c>
      <c r="D278" s="160">
        <v>29501</v>
      </c>
      <c r="E278" s="161">
        <v>8626</v>
      </c>
      <c r="F278" s="152">
        <f t="shared" si="27"/>
        <v>38127</v>
      </c>
      <c r="G278" s="154">
        <v>328</v>
      </c>
      <c r="H278" s="228">
        <v>37799</v>
      </c>
      <c r="I278" s="162">
        <v>5719</v>
      </c>
      <c r="X278" s="152">
        <f t="shared" si="28"/>
        <v>38127</v>
      </c>
      <c r="Y278" s="156">
        <f t="shared" si="32"/>
        <v>8.6E-3</v>
      </c>
      <c r="Z278" s="152">
        <f t="shared" si="29"/>
        <v>328</v>
      </c>
      <c r="AA278" s="157">
        <v>321</v>
      </c>
      <c r="AB278" s="152">
        <f t="shared" si="30"/>
        <v>37806</v>
      </c>
      <c r="AC278" s="161">
        <f t="shared" si="31"/>
        <v>5719</v>
      </c>
      <c r="AD278" s="161">
        <v>8373</v>
      </c>
    </row>
    <row r="279" spans="1:30">
      <c r="A279" s="91" t="s">
        <v>599</v>
      </c>
      <c r="B279" s="91" t="s">
        <v>610</v>
      </c>
      <c r="C279" s="92" t="s">
        <v>611</v>
      </c>
      <c r="D279" s="160">
        <v>45878</v>
      </c>
      <c r="E279" s="161">
        <v>8409</v>
      </c>
      <c r="F279" s="152">
        <f t="shared" si="27"/>
        <v>54287</v>
      </c>
      <c r="G279" s="154">
        <v>467</v>
      </c>
      <c r="H279" s="228">
        <v>53820</v>
      </c>
      <c r="I279" s="162">
        <v>8143</v>
      </c>
      <c r="X279" s="152">
        <f t="shared" si="28"/>
        <v>54287</v>
      </c>
      <c r="Y279" s="156">
        <f t="shared" si="32"/>
        <v>8.6E-3</v>
      </c>
      <c r="Z279" s="152">
        <f t="shared" si="29"/>
        <v>467</v>
      </c>
      <c r="AA279" s="157">
        <v>457</v>
      </c>
      <c r="AB279" s="152">
        <f t="shared" si="30"/>
        <v>53830</v>
      </c>
      <c r="AC279" s="161">
        <f t="shared" si="31"/>
        <v>8143</v>
      </c>
      <c r="AD279" s="161">
        <v>12286</v>
      </c>
    </row>
    <row r="280" spans="1:30">
      <c r="A280" s="91" t="s">
        <v>599</v>
      </c>
      <c r="B280" s="91" t="s">
        <v>612</v>
      </c>
      <c r="C280" s="92" t="s">
        <v>613</v>
      </c>
      <c r="D280" s="160">
        <v>62232</v>
      </c>
      <c r="E280" s="161">
        <v>14956</v>
      </c>
      <c r="F280" s="152">
        <f t="shared" si="27"/>
        <v>77188</v>
      </c>
      <c r="G280" s="154">
        <v>664</v>
      </c>
      <c r="H280" s="228">
        <v>76524</v>
      </c>
      <c r="I280" s="162">
        <v>11578</v>
      </c>
      <c r="X280" s="152">
        <f t="shared" si="28"/>
        <v>77188</v>
      </c>
      <c r="Y280" s="156">
        <f t="shared" si="32"/>
        <v>8.6E-3</v>
      </c>
      <c r="Z280" s="152">
        <f t="shared" si="29"/>
        <v>664</v>
      </c>
      <c r="AA280" s="157">
        <v>650</v>
      </c>
      <c r="AB280" s="152">
        <f t="shared" si="30"/>
        <v>76538</v>
      </c>
      <c r="AC280" s="161">
        <f t="shared" si="31"/>
        <v>11578</v>
      </c>
      <c r="AD280" s="161">
        <v>17187</v>
      </c>
    </row>
    <row r="281" spans="1:30">
      <c r="A281" s="91" t="s">
        <v>599</v>
      </c>
      <c r="B281" s="91" t="s">
        <v>614</v>
      </c>
      <c r="C281" s="92" t="s">
        <v>615</v>
      </c>
      <c r="D281" s="160">
        <v>3958</v>
      </c>
      <c r="E281" s="161">
        <v>955</v>
      </c>
      <c r="F281" s="152">
        <f t="shared" si="27"/>
        <v>4913</v>
      </c>
      <c r="G281" s="154">
        <v>42</v>
      </c>
      <c r="H281" s="228">
        <v>4871</v>
      </c>
      <c r="I281" s="162">
        <v>737</v>
      </c>
      <c r="X281" s="152">
        <f t="shared" si="28"/>
        <v>4913</v>
      </c>
      <c r="Y281" s="156">
        <f t="shared" si="32"/>
        <v>8.6E-3</v>
      </c>
      <c r="Z281" s="152">
        <f t="shared" si="29"/>
        <v>42</v>
      </c>
      <c r="AA281" s="157">
        <v>41</v>
      </c>
      <c r="AB281" s="152">
        <f t="shared" si="30"/>
        <v>4872</v>
      </c>
      <c r="AC281" s="161">
        <f t="shared" si="31"/>
        <v>737</v>
      </c>
      <c r="AD281" s="161">
        <v>1094</v>
      </c>
    </row>
    <row r="282" spans="1:30">
      <c r="A282" s="91" t="s">
        <v>599</v>
      </c>
      <c r="B282" s="91" t="s">
        <v>616</v>
      </c>
      <c r="C282" s="92" t="s">
        <v>617</v>
      </c>
      <c r="D282" s="160">
        <v>19334</v>
      </c>
      <c r="E282" s="161">
        <v>4335</v>
      </c>
      <c r="F282" s="152">
        <f t="shared" si="27"/>
        <v>23669</v>
      </c>
      <c r="G282" s="154">
        <v>204</v>
      </c>
      <c r="H282" s="228">
        <v>23465</v>
      </c>
      <c r="I282" s="162">
        <v>3550</v>
      </c>
      <c r="X282" s="152">
        <f t="shared" si="28"/>
        <v>23669</v>
      </c>
      <c r="Y282" s="156">
        <f t="shared" si="32"/>
        <v>8.6E-3</v>
      </c>
      <c r="Z282" s="152">
        <f t="shared" si="29"/>
        <v>204</v>
      </c>
      <c r="AA282" s="157">
        <v>199</v>
      </c>
      <c r="AB282" s="152">
        <f t="shared" si="30"/>
        <v>23470</v>
      </c>
      <c r="AC282" s="161">
        <f t="shared" si="31"/>
        <v>3550</v>
      </c>
      <c r="AD282" s="161">
        <v>5294</v>
      </c>
    </row>
    <row r="283" spans="1:30">
      <c r="A283" s="91" t="s">
        <v>599</v>
      </c>
      <c r="B283" s="91" t="s">
        <v>618</v>
      </c>
      <c r="C283" s="92" t="s">
        <v>619</v>
      </c>
      <c r="D283" s="160">
        <v>423571</v>
      </c>
      <c r="E283" s="161">
        <v>117914</v>
      </c>
      <c r="F283" s="152">
        <f t="shared" si="27"/>
        <v>541485</v>
      </c>
      <c r="G283" s="154">
        <v>4657</v>
      </c>
      <c r="H283" s="228">
        <v>536828</v>
      </c>
      <c r="I283" s="162">
        <v>81223</v>
      </c>
      <c r="X283" s="152">
        <f t="shared" si="28"/>
        <v>541485</v>
      </c>
      <c r="Y283" s="156">
        <f t="shared" si="32"/>
        <v>8.6E-3</v>
      </c>
      <c r="Z283" s="152">
        <f t="shared" si="29"/>
        <v>4657</v>
      </c>
      <c r="AA283" s="157">
        <v>4563</v>
      </c>
      <c r="AB283" s="152">
        <f t="shared" si="30"/>
        <v>536922</v>
      </c>
      <c r="AC283" s="161">
        <f t="shared" si="31"/>
        <v>81223</v>
      </c>
      <c r="AD283" s="161">
        <v>119350</v>
      </c>
    </row>
    <row r="284" spans="1:30">
      <c r="A284" s="83" t="s">
        <v>599</v>
      </c>
      <c r="B284" s="83" t="s">
        <v>620</v>
      </c>
      <c r="C284" s="84" t="s">
        <v>621</v>
      </c>
      <c r="D284" s="160">
        <v>68829</v>
      </c>
      <c r="E284" s="161">
        <v>16385</v>
      </c>
      <c r="F284" s="152">
        <f t="shared" si="27"/>
        <v>85214</v>
      </c>
      <c r="G284" s="154">
        <v>733</v>
      </c>
      <c r="H284" s="228">
        <v>84481</v>
      </c>
      <c r="I284" s="162">
        <v>12782</v>
      </c>
      <c r="X284" s="152">
        <f t="shared" si="28"/>
        <v>85214</v>
      </c>
      <c r="Y284" s="156">
        <f t="shared" si="32"/>
        <v>8.6E-3</v>
      </c>
      <c r="Z284" s="152">
        <f t="shared" si="29"/>
        <v>733</v>
      </c>
      <c r="AA284" s="157">
        <v>718</v>
      </c>
      <c r="AB284" s="152">
        <f t="shared" si="30"/>
        <v>84496</v>
      </c>
      <c r="AC284" s="161">
        <f t="shared" si="31"/>
        <v>12782</v>
      </c>
      <c r="AD284" s="161">
        <v>18986</v>
      </c>
    </row>
    <row r="285" spans="1:30">
      <c r="A285" s="91" t="s">
        <v>599</v>
      </c>
      <c r="B285" s="91" t="s">
        <v>622</v>
      </c>
      <c r="C285" s="92" t="s">
        <v>623</v>
      </c>
      <c r="D285" s="160">
        <v>4572</v>
      </c>
      <c r="E285" s="161">
        <v>1172</v>
      </c>
      <c r="F285" s="152">
        <f t="shared" si="27"/>
        <v>5744</v>
      </c>
      <c r="G285" s="154">
        <v>49</v>
      </c>
      <c r="H285" s="228">
        <v>5695</v>
      </c>
      <c r="I285" s="162">
        <v>862</v>
      </c>
      <c r="X285" s="152">
        <f t="shared" si="28"/>
        <v>5744</v>
      </c>
      <c r="Y285" s="156">
        <f t="shared" si="32"/>
        <v>8.6E-3</v>
      </c>
      <c r="Z285" s="152">
        <f t="shared" si="29"/>
        <v>49</v>
      </c>
      <c r="AA285" s="157">
        <v>48</v>
      </c>
      <c r="AB285" s="152">
        <f t="shared" si="30"/>
        <v>5696</v>
      </c>
      <c r="AC285" s="161">
        <f t="shared" si="31"/>
        <v>862</v>
      </c>
      <c r="AD285" s="161">
        <v>1274</v>
      </c>
    </row>
    <row r="286" spans="1:30">
      <c r="A286" s="83" t="s">
        <v>599</v>
      </c>
      <c r="B286" s="83" t="s">
        <v>624</v>
      </c>
      <c r="C286" s="84" t="s">
        <v>625</v>
      </c>
      <c r="D286" s="160">
        <v>20130</v>
      </c>
      <c r="E286" s="161">
        <v>3380</v>
      </c>
      <c r="F286" s="152">
        <f t="shared" si="27"/>
        <v>23510</v>
      </c>
      <c r="G286" s="154">
        <v>202</v>
      </c>
      <c r="H286" s="228">
        <v>23308</v>
      </c>
      <c r="I286" s="162">
        <v>3527</v>
      </c>
      <c r="X286" s="152">
        <f t="shared" si="28"/>
        <v>23510</v>
      </c>
      <c r="Y286" s="156">
        <f t="shared" si="32"/>
        <v>8.6E-3</v>
      </c>
      <c r="Z286" s="152">
        <f t="shared" si="29"/>
        <v>202</v>
      </c>
      <c r="AA286" s="157">
        <v>198</v>
      </c>
      <c r="AB286" s="152">
        <f t="shared" si="30"/>
        <v>23312</v>
      </c>
      <c r="AC286" s="161">
        <f t="shared" si="31"/>
        <v>3527</v>
      </c>
      <c r="AD286" s="161">
        <v>5345</v>
      </c>
    </row>
    <row r="287" spans="1:30">
      <c r="A287" s="91" t="s">
        <v>599</v>
      </c>
      <c r="B287" s="91" t="s">
        <v>626</v>
      </c>
      <c r="C287" s="92" t="s">
        <v>627</v>
      </c>
      <c r="D287" s="160">
        <v>20926</v>
      </c>
      <c r="E287" s="161">
        <v>3556</v>
      </c>
      <c r="F287" s="152">
        <f t="shared" si="27"/>
        <v>24482</v>
      </c>
      <c r="G287" s="154">
        <v>211</v>
      </c>
      <c r="H287" s="228">
        <v>24271</v>
      </c>
      <c r="I287" s="162">
        <v>3672</v>
      </c>
      <c r="X287" s="152">
        <f t="shared" si="28"/>
        <v>24482</v>
      </c>
      <c r="Y287" s="156">
        <f t="shared" si="32"/>
        <v>8.6E-3</v>
      </c>
      <c r="Z287" s="152">
        <f t="shared" si="29"/>
        <v>211</v>
      </c>
      <c r="AA287" s="157">
        <v>206</v>
      </c>
      <c r="AB287" s="152">
        <f t="shared" si="30"/>
        <v>24276</v>
      </c>
      <c r="AC287" s="161">
        <f t="shared" si="31"/>
        <v>3672</v>
      </c>
      <c r="AD287" s="161">
        <v>5563</v>
      </c>
    </row>
    <row r="288" spans="1:30">
      <c r="A288" s="91" t="s">
        <v>599</v>
      </c>
      <c r="B288" s="91" t="s">
        <v>628</v>
      </c>
      <c r="C288" s="92" t="s">
        <v>629</v>
      </c>
      <c r="D288" s="160">
        <v>10668</v>
      </c>
      <c r="E288" s="161">
        <v>1561</v>
      </c>
      <c r="F288" s="152">
        <f t="shared" si="27"/>
        <v>12229</v>
      </c>
      <c r="G288" s="154">
        <v>105</v>
      </c>
      <c r="H288" s="228">
        <v>12124</v>
      </c>
      <c r="I288" s="162">
        <v>1834</v>
      </c>
      <c r="X288" s="152">
        <f t="shared" si="28"/>
        <v>12229</v>
      </c>
      <c r="Y288" s="156">
        <f t="shared" si="32"/>
        <v>8.6E-3</v>
      </c>
      <c r="Z288" s="152">
        <f t="shared" si="29"/>
        <v>105</v>
      </c>
      <c r="AA288" s="157">
        <v>103</v>
      </c>
      <c r="AB288" s="152">
        <f t="shared" si="30"/>
        <v>12126</v>
      </c>
      <c r="AC288" s="161">
        <f t="shared" si="31"/>
        <v>1834</v>
      </c>
      <c r="AD288" s="161">
        <v>2799</v>
      </c>
    </row>
    <row r="289" spans="1:30">
      <c r="A289" s="83" t="s">
        <v>599</v>
      </c>
      <c r="B289" s="83" t="s">
        <v>630</v>
      </c>
      <c r="C289" s="84" t="s">
        <v>631</v>
      </c>
      <c r="D289" s="160">
        <v>10418</v>
      </c>
      <c r="E289" s="161">
        <v>1301</v>
      </c>
      <c r="F289" s="152">
        <f t="shared" si="27"/>
        <v>11719</v>
      </c>
      <c r="G289" s="154">
        <v>101</v>
      </c>
      <c r="H289" s="228">
        <v>11618</v>
      </c>
      <c r="I289" s="162">
        <v>1758</v>
      </c>
      <c r="X289" s="152">
        <f t="shared" si="28"/>
        <v>11719</v>
      </c>
      <c r="Y289" s="156">
        <f t="shared" si="32"/>
        <v>8.6E-3</v>
      </c>
      <c r="Z289" s="152">
        <f t="shared" si="29"/>
        <v>101</v>
      </c>
      <c r="AA289" s="157">
        <v>99</v>
      </c>
      <c r="AB289" s="152">
        <f t="shared" si="30"/>
        <v>11620</v>
      </c>
      <c r="AC289" s="161">
        <f t="shared" si="31"/>
        <v>1758</v>
      </c>
      <c r="AD289" s="161">
        <v>2700</v>
      </c>
    </row>
    <row r="290" spans="1:30">
      <c r="A290" s="83" t="s">
        <v>599</v>
      </c>
      <c r="B290" s="83" t="s">
        <v>632</v>
      </c>
      <c r="C290" s="84" t="s">
        <v>633</v>
      </c>
      <c r="D290" s="160">
        <v>10008</v>
      </c>
      <c r="E290" s="161">
        <v>911</v>
      </c>
      <c r="F290" s="152">
        <f t="shared" si="27"/>
        <v>10919</v>
      </c>
      <c r="G290" s="154">
        <v>94</v>
      </c>
      <c r="H290" s="228">
        <v>10825</v>
      </c>
      <c r="I290" s="162">
        <v>1638</v>
      </c>
      <c r="X290" s="152">
        <f t="shared" si="28"/>
        <v>10919</v>
      </c>
      <c r="Y290" s="156">
        <f t="shared" si="32"/>
        <v>8.6E-3</v>
      </c>
      <c r="Z290" s="152">
        <f t="shared" si="29"/>
        <v>94</v>
      </c>
      <c r="AA290" s="157">
        <v>92</v>
      </c>
      <c r="AB290" s="152">
        <f t="shared" si="30"/>
        <v>10827</v>
      </c>
      <c r="AC290" s="161">
        <f t="shared" si="31"/>
        <v>1638</v>
      </c>
      <c r="AD290" s="161">
        <v>2544</v>
      </c>
    </row>
    <row r="291" spans="1:30">
      <c r="A291" s="91" t="s">
        <v>599</v>
      </c>
      <c r="B291" s="91" t="s">
        <v>634</v>
      </c>
      <c r="C291" s="92" t="s">
        <v>635</v>
      </c>
      <c r="D291" s="160">
        <v>19061</v>
      </c>
      <c r="E291" s="161">
        <v>3295</v>
      </c>
      <c r="F291" s="152">
        <f t="shared" si="27"/>
        <v>22356</v>
      </c>
      <c r="G291" s="154">
        <v>192</v>
      </c>
      <c r="H291" s="228">
        <v>22164</v>
      </c>
      <c r="I291" s="162">
        <v>3353</v>
      </c>
      <c r="X291" s="152">
        <f t="shared" si="28"/>
        <v>22356</v>
      </c>
      <c r="Y291" s="156">
        <f t="shared" si="32"/>
        <v>8.6E-3</v>
      </c>
      <c r="Z291" s="152">
        <f t="shared" si="29"/>
        <v>192</v>
      </c>
      <c r="AA291" s="157">
        <v>188</v>
      </c>
      <c r="AB291" s="152">
        <f t="shared" si="30"/>
        <v>22168</v>
      </c>
      <c r="AC291" s="161">
        <f t="shared" si="31"/>
        <v>3353</v>
      </c>
      <c r="AD291" s="161">
        <v>5075</v>
      </c>
    </row>
    <row r="292" spans="1:30">
      <c r="A292" s="91" t="s">
        <v>599</v>
      </c>
      <c r="B292" s="91" t="s">
        <v>636</v>
      </c>
      <c r="C292" s="92" t="s">
        <v>637</v>
      </c>
      <c r="D292" s="160">
        <v>91688</v>
      </c>
      <c r="E292" s="161">
        <v>14350</v>
      </c>
      <c r="F292" s="152">
        <f t="shared" si="27"/>
        <v>106038</v>
      </c>
      <c r="G292" s="154">
        <v>912</v>
      </c>
      <c r="H292" s="228">
        <v>105126</v>
      </c>
      <c r="I292" s="162">
        <v>15906</v>
      </c>
      <c r="X292" s="152">
        <f t="shared" si="28"/>
        <v>106038</v>
      </c>
      <c r="Y292" s="156">
        <f t="shared" si="32"/>
        <v>8.6E-3</v>
      </c>
      <c r="Z292" s="152">
        <f t="shared" si="29"/>
        <v>912</v>
      </c>
      <c r="AA292" s="157">
        <v>894</v>
      </c>
      <c r="AB292" s="152">
        <f t="shared" si="30"/>
        <v>105144</v>
      </c>
      <c r="AC292" s="161">
        <f t="shared" si="31"/>
        <v>15906</v>
      </c>
      <c r="AD292" s="161">
        <v>24193</v>
      </c>
    </row>
    <row r="293" spans="1:30">
      <c r="A293" s="91" t="s">
        <v>599</v>
      </c>
      <c r="B293" s="91" t="s">
        <v>638</v>
      </c>
      <c r="C293" s="92" t="s">
        <v>639</v>
      </c>
      <c r="D293" s="160">
        <v>30843</v>
      </c>
      <c r="E293" s="161">
        <v>5158</v>
      </c>
      <c r="F293" s="152">
        <f t="shared" si="27"/>
        <v>36001</v>
      </c>
      <c r="G293" s="154">
        <v>310</v>
      </c>
      <c r="H293" s="228">
        <v>35691</v>
      </c>
      <c r="I293" s="162">
        <v>5400</v>
      </c>
      <c r="X293" s="152">
        <f t="shared" si="28"/>
        <v>36001</v>
      </c>
      <c r="Y293" s="156">
        <f t="shared" si="32"/>
        <v>8.6E-3</v>
      </c>
      <c r="Z293" s="152">
        <f t="shared" si="29"/>
        <v>310</v>
      </c>
      <c r="AA293" s="157">
        <v>303</v>
      </c>
      <c r="AB293" s="152">
        <f t="shared" si="30"/>
        <v>35698</v>
      </c>
      <c r="AC293" s="161">
        <f t="shared" si="31"/>
        <v>5400</v>
      </c>
      <c r="AD293" s="161">
        <v>8187</v>
      </c>
    </row>
    <row r="294" spans="1:30">
      <c r="A294" s="91" t="s">
        <v>599</v>
      </c>
      <c r="B294" s="91" t="s">
        <v>640</v>
      </c>
      <c r="C294" s="92" t="s">
        <v>641</v>
      </c>
      <c r="D294" s="160">
        <v>26271</v>
      </c>
      <c r="E294" s="161">
        <v>4335</v>
      </c>
      <c r="F294" s="152">
        <f t="shared" si="27"/>
        <v>30606</v>
      </c>
      <c r="G294" s="154">
        <v>263</v>
      </c>
      <c r="H294" s="228">
        <v>30343</v>
      </c>
      <c r="I294" s="162">
        <v>4591</v>
      </c>
      <c r="X294" s="152">
        <f t="shared" si="28"/>
        <v>30606</v>
      </c>
      <c r="Y294" s="156">
        <f t="shared" si="32"/>
        <v>8.6E-3</v>
      </c>
      <c r="Z294" s="152">
        <f t="shared" si="29"/>
        <v>263</v>
      </c>
      <c r="AA294" s="157">
        <v>258</v>
      </c>
      <c r="AB294" s="152">
        <f t="shared" si="30"/>
        <v>30348</v>
      </c>
      <c r="AC294" s="161">
        <f t="shared" si="31"/>
        <v>4591</v>
      </c>
      <c r="AD294" s="161">
        <v>6965</v>
      </c>
    </row>
    <row r="295" spans="1:30">
      <c r="A295" s="91" t="s">
        <v>599</v>
      </c>
      <c r="B295" s="91" t="s">
        <v>642</v>
      </c>
      <c r="C295" s="92" t="s">
        <v>643</v>
      </c>
      <c r="D295" s="160">
        <v>10850</v>
      </c>
      <c r="E295" s="161">
        <v>3380</v>
      </c>
      <c r="F295" s="152">
        <f t="shared" si="27"/>
        <v>14230</v>
      </c>
      <c r="G295" s="154">
        <v>122</v>
      </c>
      <c r="H295" s="228">
        <v>14108</v>
      </c>
      <c r="I295" s="162">
        <v>2135</v>
      </c>
      <c r="X295" s="152">
        <f t="shared" si="28"/>
        <v>14230</v>
      </c>
      <c r="Y295" s="156">
        <f t="shared" si="32"/>
        <v>8.6E-3</v>
      </c>
      <c r="Z295" s="152">
        <f t="shared" si="29"/>
        <v>122</v>
      </c>
      <c r="AA295" s="157">
        <v>120</v>
      </c>
      <c r="AB295" s="152">
        <f t="shared" si="30"/>
        <v>14110</v>
      </c>
      <c r="AC295" s="161">
        <f t="shared" si="31"/>
        <v>2135</v>
      </c>
      <c r="AD295" s="161">
        <v>3110</v>
      </c>
    </row>
    <row r="296" spans="1:30">
      <c r="A296" s="91" t="s">
        <v>599</v>
      </c>
      <c r="B296" s="91" t="s">
        <v>644</v>
      </c>
      <c r="C296" s="92" t="s">
        <v>645</v>
      </c>
      <c r="D296" s="160">
        <v>69420</v>
      </c>
      <c r="E296" s="161">
        <v>9882</v>
      </c>
      <c r="F296" s="152">
        <f t="shared" si="27"/>
        <v>79302</v>
      </c>
      <c r="G296" s="154">
        <v>682</v>
      </c>
      <c r="H296" s="228">
        <v>78620</v>
      </c>
      <c r="I296" s="162">
        <v>11895</v>
      </c>
      <c r="X296" s="152">
        <f t="shared" si="28"/>
        <v>79302</v>
      </c>
      <c r="Y296" s="156">
        <f t="shared" si="32"/>
        <v>8.6E-3</v>
      </c>
      <c r="Z296" s="152">
        <f t="shared" si="29"/>
        <v>682</v>
      </c>
      <c r="AA296" s="157">
        <v>668</v>
      </c>
      <c r="AB296" s="152">
        <f t="shared" si="30"/>
        <v>78634</v>
      </c>
      <c r="AC296" s="161">
        <f t="shared" si="31"/>
        <v>11895</v>
      </c>
      <c r="AD296" s="161">
        <v>18173</v>
      </c>
    </row>
    <row r="297" spans="1:30">
      <c r="A297" s="104" t="s">
        <v>599</v>
      </c>
      <c r="B297" s="104" t="s">
        <v>646</v>
      </c>
      <c r="C297" s="84" t="s">
        <v>647</v>
      </c>
      <c r="D297" s="160">
        <v>33459</v>
      </c>
      <c r="E297" s="161">
        <v>5375</v>
      </c>
      <c r="F297" s="152">
        <f t="shared" si="27"/>
        <v>38834</v>
      </c>
      <c r="G297" s="154">
        <v>334</v>
      </c>
      <c r="H297" s="228">
        <v>38500</v>
      </c>
      <c r="I297" s="162">
        <v>5825</v>
      </c>
      <c r="X297" s="152">
        <f t="shared" si="28"/>
        <v>38834</v>
      </c>
      <c r="Y297" s="156">
        <f t="shared" si="32"/>
        <v>8.6E-3</v>
      </c>
      <c r="Z297" s="152">
        <f t="shared" si="29"/>
        <v>334</v>
      </c>
      <c r="AA297" s="157">
        <v>327</v>
      </c>
      <c r="AB297" s="152">
        <f t="shared" si="30"/>
        <v>38507</v>
      </c>
      <c r="AC297" s="161">
        <f t="shared" si="31"/>
        <v>5825</v>
      </c>
      <c r="AD297" s="161">
        <v>8849</v>
      </c>
    </row>
    <row r="298" spans="1:30">
      <c r="A298" s="91" t="s">
        <v>599</v>
      </c>
      <c r="B298" s="91" t="s">
        <v>649</v>
      </c>
      <c r="C298" s="92" t="s">
        <v>650</v>
      </c>
      <c r="D298" s="160">
        <v>15490</v>
      </c>
      <c r="E298" s="161">
        <v>5547</v>
      </c>
      <c r="F298" s="152">
        <f t="shared" si="27"/>
        <v>21037</v>
      </c>
      <c r="G298" s="154">
        <v>181</v>
      </c>
      <c r="H298" s="228">
        <v>20856</v>
      </c>
      <c r="I298" s="162">
        <v>3156</v>
      </c>
      <c r="X298" s="152">
        <f t="shared" si="28"/>
        <v>21037</v>
      </c>
      <c r="Y298" s="156">
        <f t="shared" si="32"/>
        <v>8.6E-3</v>
      </c>
      <c r="Z298" s="152">
        <f t="shared" si="29"/>
        <v>181</v>
      </c>
      <c r="AA298" s="157">
        <v>177</v>
      </c>
      <c r="AB298" s="152">
        <f t="shared" si="30"/>
        <v>20860</v>
      </c>
      <c r="AC298" s="161">
        <f t="shared" si="31"/>
        <v>3156</v>
      </c>
      <c r="AD298" s="161">
        <v>4546</v>
      </c>
    </row>
    <row r="299" spans="1:30">
      <c r="A299" s="91" t="s">
        <v>599</v>
      </c>
      <c r="B299" s="91" t="s">
        <v>651</v>
      </c>
      <c r="C299" s="92" t="s">
        <v>652</v>
      </c>
      <c r="D299" s="160">
        <v>18356</v>
      </c>
      <c r="E299" s="161">
        <v>5463</v>
      </c>
      <c r="F299" s="152">
        <f t="shared" si="27"/>
        <v>23819</v>
      </c>
      <c r="G299" s="154">
        <v>205</v>
      </c>
      <c r="H299" s="228">
        <v>23614</v>
      </c>
      <c r="I299" s="162">
        <v>3573</v>
      </c>
      <c r="X299" s="152">
        <f t="shared" si="28"/>
        <v>23819</v>
      </c>
      <c r="Y299" s="156">
        <f t="shared" si="32"/>
        <v>8.6E-3</v>
      </c>
      <c r="Z299" s="152">
        <f t="shared" si="29"/>
        <v>205</v>
      </c>
      <c r="AA299" s="157">
        <v>201</v>
      </c>
      <c r="AB299" s="152">
        <f t="shared" si="30"/>
        <v>23618</v>
      </c>
      <c r="AC299" s="161">
        <f t="shared" si="31"/>
        <v>3573</v>
      </c>
      <c r="AD299" s="161">
        <v>5224</v>
      </c>
    </row>
    <row r="300" spans="1:30">
      <c r="A300" s="91" t="s">
        <v>599</v>
      </c>
      <c r="B300" s="91" t="s">
        <v>653</v>
      </c>
      <c r="C300" s="92" t="s">
        <v>654</v>
      </c>
      <c r="D300" s="160">
        <v>123214</v>
      </c>
      <c r="E300" s="161">
        <v>27917</v>
      </c>
      <c r="F300" s="152">
        <f t="shared" si="27"/>
        <v>151131</v>
      </c>
      <c r="G300" s="154">
        <v>1300</v>
      </c>
      <c r="H300" s="228">
        <v>149831</v>
      </c>
      <c r="I300" s="162">
        <v>22670</v>
      </c>
      <c r="X300" s="152">
        <f t="shared" si="28"/>
        <v>151131</v>
      </c>
      <c r="Y300" s="156">
        <f t="shared" si="32"/>
        <v>8.6E-3</v>
      </c>
      <c r="Z300" s="152">
        <f t="shared" si="29"/>
        <v>1300</v>
      </c>
      <c r="AA300" s="157">
        <v>1274</v>
      </c>
      <c r="AB300" s="152">
        <f t="shared" si="30"/>
        <v>149857</v>
      </c>
      <c r="AC300" s="161">
        <f t="shared" si="31"/>
        <v>22670</v>
      </c>
      <c r="AD300" s="161">
        <v>33780</v>
      </c>
    </row>
    <row r="301" spans="1:30">
      <c r="A301" s="91" t="s">
        <v>599</v>
      </c>
      <c r="B301" s="91" t="s">
        <v>655</v>
      </c>
      <c r="C301" s="92" t="s">
        <v>656</v>
      </c>
      <c r="D301" s="160">
        <v>25748</v>
      </c>
      <c r="E301" s="161">
        <v>3295</v>
      </c>
      <c r="F301" s="152">
        <f t="shared" si="27"/>
        <v>29043</v>
      </c>
      <c r="G301" s="154">
        <v>250</v>
      </c>
      <c r="H301" s="228">
        <v>28793</v>
      </c>
      <c r="I301" s="162">
        <v>4356</v>
      </c>
      <c r="X301" s="152">
        <f t="shared" si="28"/>
        <v>29043</v>
      </c>
      <c r="Y301" s="156">
        <f t="shared" si="32"/>
        <v>8.6E-3</v>
      </c>
      <c r="Z301" s="152">
        <f t="shared" si="29"/>
        <v>250</v>
      </c>
      <c r="AA301" s="157">
        <v>245</v>
      </c>
      <c r="AB301" s="152">
        <f t="shared" si="30"/>
        <v>28798</v>
      </c>
      <c r="AC301" s="161">
        <f t="shared" si="31"/>
        <v>4356</v>
      </c>
      <c r="AD301" s="161">
        <v>6686</v>
      </c>
    </row>
    <row r="302" spans="1:30">
      <c r="A302" s="104" t="s">
        <v>599</v>
      </c>
      <c r="B302" s="104" t="s">
        <v>657</v>
      </c>
      <c r="C302" s="105" t="s">
        <v>658</v>
      </c>
      <c r="D302" s="160">
        <v>25543</v>
      </c>
      <c r="E302" s="161">
        <v>4508</v>
      </c>
      <c r="F302" s="152">
        <f t="shared" si="27"/>
        <v>30051</v>
      </c>
      <c r="G302" s="154">
        <v>258</v>
      </c>
      <c r="H302" s="228">
        <v>29793</v>
      </c>
      <c r="I302" s="162">
        <v>4508</v>
      </c>
      <c r="X302" s="152">
        <f t="shared" si="28"/>
        <v>30051</v>
      </c>
      <c r="Y302" s="156">
        <f t="shared" si="32"/>
        <v>8.6E-3</v>
      </c>
      <c r="Z302" s="152">
        <f t="shared" si="29"/>
        <v>258</v>
      </c>
      <c r="AA302" s="157">
        <v>253</v>
      </c>
      <c r="AB302" s="152">
        <f t="shared" si="30"/>
        <v>29798</v>
      </c>
      <c r="AC302" s="161">
        <f t="shared" si="31"/>
        <v>4508</v>
      </c>
      <c r="AD302" s="161">
        <v>6815</v>
      </c>
    </row>
    <row r="303" spans="1:30">
      <c r="A303" s="73" t="s">
        <v>599</v>
      </c>
      <c r="B303" s="73" t="s">
        <v>659</v>
      </c>
      <c r="C303" s="74" t="s">
        <v>660</v>
      </c>
      <c r="D303" s="160">
        <v>38008</v>
      </c>
      <c r="E303" s="161">
        <v>6675</v>
      </c>
      <c r="F303" s="152">
        <f t="shared" si="27"/>
        <v>44683</v>
      </c>
      <c r="G303" s="154">
        <v>384</v>
      </c>
      <c r="H303" s="228">
        <v>44299</v>
      </c>
      <c r="I303" s="162">
        <v>6702</v>
      </c>
      <c r="X303" s="152">
        <f t="shared" si="28"/>
        <v>44683</v>
      </c>
      <c r="Y303" s="156">
        <f t="shared" si="32"/>
        <v>8.6E-3</v>
      </c>
      <c r="Z303" s="152">
        <f t="shared" si="29"/>
        <v>384</v>
      </c>
      <c r="AA303" s="157">
        <v>377</v>
      </c>
      <c r="AB303" s="152">
        <f t="shared" si="30"/>
        <v>44306</v>
      </c>
      <c r="AC303" s="161">
        <f t="shared" si="31"/>
        <v>6702</v>
      </c>
      <c r="AD303" s="161">
        <v>10136</v>
      </c>
    </row>
    <row r="304" spans="1:30">
      <c r="A304" s="91" t="s">
        <v>599</v>
      </c>
      <c r="B304" s="91" t="s">
        <v>661</v>
      </c>
      <c r="C304" s="92" t="s">
        <v>662</v>
      </c>
      <c r="D304" s="160">
        <v>11145</v>
      </c>
      <c r="E304" s="161">
        <v>2340</v>
      </c>
      <c r="F304" s="152">
        <f t="shared" si="27"/>
        <v>13485</v>
      </c>
      <c r="G304" s="154">
        <v>116</v>
      </c>
      <c r="H304" s="228">
        <v>13369</v>
      </c>
      <c r="I304" s="162">
        <v>2023</v>
      </c>
      <c r="X304" s="152">
        <f t="shared" si="28"/>
        <v>13485</v>
      </c>
      <c r="Y304" s="156">
        <f t="shared" si="32"/>
        <v>8.6E-3</v>
      </c>
      <c r="Z304" s="152">
        <f t="shared" si="29"/>
        <v>116</v>
      </c>
      <c r="AA304" s="157">
        <v>114</v>
      </c>
      <c r="AB304" s="152">
        <f t="shared" si="30"/>
        <v>13371</v>
      </c>
      <c r="AC304" s="161">
        <f t="shared" si="31"/>
        <v>2023</v>
      </c>
      <c r="AD304" s="161">
        <v>3028</v>
      </c>
    </row>
    <row r="305" spans="1:30">
      <c r="A305" s="91" t="s">
        <v>599</v>
      </c>
      <c r="B305" s="91" t="s">
        <v>663</v>
      </c>
      <c r="C305" s="92" t="s">
        <v>664</v>
      </c>
      <c r="D305" s="160">
        <v>27295</v>
      </c>
      <c r="E305" s="161">
        <v>5981</v>
      </c>
      <c r="F305" s="152">
        <f t="shared" si="27"/>
        <v>33276</v>
      </c>
      <c r="G305" s="154">
        <v>286</v>
      </c>
      <c r="H305" s="228">
        <v>32990</v>
      </c>
      <c r="I305" s="162">
        <v>4991</v>
      </c>
      <c r="X305" s="152">
        <f t="shared" si="28"/>
        <v>33276</v>
      </c>
      <c r="Y305" s="156">
        <f t="shared" si="32"/>
        <v>8.6E-3</v>
      </c>
      <c r="Z305" s="152">
        <f t="shared" si="29"/>
        <v>286</v>
      </c>
      <c r="AA305" s="157">
        <v>280</v>
      </c>
      <c r="AB305" s="152">
        <f t="shared" si="30"/>
        <v>32996</v>
      </c>
      <c r="AC305" s="161">
        <f t="shared" si="31"/>
        <v>4991</v>
      </c>
      <c r="AD305" s="161">
        <v>7453</v>
      </c>
    </row>
    <row r="306" spans="1:30">
      <c r="A306" s="91" t="s">
        <v>599</v>
      </c>
      <c r="B306" s="91" t="s">
        <v>665</v>
      </c>
      <c r="C306" s="92" t="s">
        <v>666</v>
      </c>
      <c r="D306" s="160">
        <v>12169</v>
      </c>
      <c r="E306" s="161">
        <v>3773</v>
      </c>
      <c r="F306" s="152">
        <f t="shared" si="27"/>
        <v>15942</v>
      </c>
      <c r="G306" s="154">
        <v>137</v>
      </c>
      <c r="H306" s="228">
        <v>15805</v>
      </c>
      <c r="I306" s="162">
        <v>2391</v>
      </c>
      <c r="X306" s="152">
        <f t="shared" si="28"/>
        <v>15942</v>
      </c>
      <c r="Y306" s="156">
        <f t="shared" si="32"/>
        <v>8.6E-3</v>
      </c>
      <c r="Z306" s="152">
        <f t="shared" si="29"/>
        <v>137</v>
      </c>
      <c r="AA306" s="157">
        <v>134</v>
      </c>
      <c r="AB306" s="152">
        <f t="shared" si="30"/>
        <v>15808</v>
      </c>
      <c r="AC306" s="161">
        <f t="shared" si="31"/>
        <v>2391</v>
      </c>
      <c r="AD306" s="161">
        <v>3486</v>
      </c>
    </row>
    <row r="307" spans="1:30">
      <c r="A307" s="83" t="s">
        <v>599</v>
      </c>
      <c r="B307" s="83" t="s">
        <v>667</v>
      </c>
      <c r="C307" s="84" t="s">
        <v>668</v>
      </c>
      <c r="D307" s="160">
        <v>9326</v>
      </c>
      <c r="E307" s="161">
        <v>1517</v>
      </c>
      <c r="F307" s="152">
        <f t="shared" si="27"/>
        <v>10843</v>
      </c>
      <c r="G307" s="154">
        <v>93</v>
      </c>
      <c r="H307" s="228">
        <v>10750</v>
      </c>
      <c r="I307" s="162">
        <v>1626</v>
      </c>
      <c r="X307" s="152">
        <f t="shared" si="28"/>
        <v>10843</v>
      </c>
      <c r="Y307" s="156">
        <f t="shared" si="32"/>
        <v>8.6E-3</v>
      </c>
      <c r="Z307" s="152">
        <f t="shared" si="29"/>
        <v>93</v>
      </c>
      <c r="AA307" s="157">
        <v>91</v>
      </c>
      <c r="AB307" s="152">
        <f t="shared" si="30"/>
        <v>10752</v>
      </c>
      <c r="AC307" s="161">
        <f t="shared" si="31"/>
        <v>1626</v>
      </c>
      <c r="AD307" s="161">
        <v>2469</v>
      </c>
    </row>
    <row r="308" spans="1:30">
      <c r="A308" s="91" t="s">
        <v>599</v>
      </c>
      <c r="B308" s="91" t="s">
        <v>669</v>
      </c>
      <c r="C308" s="92" t="s">
        <v>670</v>
      </c>
      <c r="D308" s="160">
        <v>4071</v>
      </c>
      <c r="E308" s="161">
        <v>694</v>
      </c>
      <c r="F308" s="152">
        <f t="shared" si="27"/>
        <v>4765</v>
      </c>
      <c r="G308" s="154">
        <v>41</v>
      </c>
      <c r="H308" s="228">
        <v>4724</v>
      </c>
      <c r="I308" s="162">
        <v>715</v>
      </c>
      <c r="X308" s="152">
        <f t="shared" si="28"/>
        <v>4765</v>
      </c>
      <c r="Y308" s="156">
        <f t="shared" si="32"/>
        <v>8.6E-3</v>
      </c>
      <c r="Z308" s="152">
        <f t="shared" si="29"/>
        <v>41</v>
      </c>
      <c r="AA308" s="157">
        <v>40</v>
      </c>
      <c r="AB308" s="152">
        <f t="shared" si="30"/>
        <v>4725</v>
      </c>
      <c r="AC308" s="161">
        <f t="shared" si="31"/>
        <v>715</v>
      </c>
      <c r="AD308" s="161">
        <v>1083</v>
      </c>
    </row>
    <row r="309" spans="1:30">
      <c r="A309" s="91" t="s">
        <v>599</v>
      </c>
      <c r="B309" s="91" t="s">
        <v>671</v>
      </c>
      <c r="C309" s="92" t="s">
        <v>672</v>
      </c>
      <c r="D309" s="160">
        <v>54362</v>
      </c>
      <c r="E309" s="161">
        <v>13784</v>
      </c>
      <c r="F309" s="152">
        <f t="shared" si="27"/>
        <v>68146</v>
      </c>
      <c r="G309" s="154">
        <v>586</v>
      </c>
      <c r="H309" s="228">
        <v>67560</v>
      </c>
      <c r="I309" s="162">
        <v>10222</v>
      </c>
      <c r="X309" s="152">
        <f t="shared" si="28"/>
        <v>68146</v>
      </c>
      <c r="Y309" s="156">
        <f t="shared" si="32"/>
        <v>8.6E-3</v>
      </c>
      <c r="Z309" s="152">
        <f t="shared" si="29"/>
        <v>586</v>
      </c>
      <c r="AA309" s="157">
        <v>574</v>
      </c>
      <c r="AB309" s="152">
        <f t="shared" si="30"/>
        <v>67572</v>
      </c>
      <c r="AC309" s="161">
        <f t="shared" si="31"/>
        <v>10222</v>
      </c>
      <c r="AD309" s="161">
        <v>15119</v>
      </c>
    </row>
    <row r="310" spans="1:30">
      <c r="A310" s="83" t="s">
        <v>599</v>
      </c>
      <c r="B310" s="83" t="s">
        <v>673</v>
      </c>
      <c r="C310" s="84" t="s">
        <v>674</v>
      </c>
      <c r="D310" s="160">
        <v>30502</v>
      </c>
      <c r="E310" s="161">
        <v>5114</v>
      </c>
      <c r="F310" s="152">
        <f t="shared" si="27"/>
        <v>35616</v>
      </c>
      <c r="G310" s="154">
        <v>306</v>
      </c>
      <c r="H310" s="228">
        <v>35310</v>
      </c>
      <c r="I310" s="162">
        <v>5342</v>
      </c>
      <c r="X310" s="152">
        <f t="shared" si="28"/>
        <v>35616</v>
      </c>
      <c r="Y310" s="156">
        <f t="shared" si="32"/>
        <v>8.6E-3</v>
      </c>
      <c r="Z310" s="152">
        <f t="shared" si="29"/>
        <v>306</v>
      </c>
      <c r="AA310" s="157">
        <v>300</v>
      </c>
      <c r="AB310" s="152">
        <f t="shared" si="30"/>
        <v>35316</v>
      </c>
      <c r="AC310" s="161">
        <f t="shared" si="31"/>
        <v>5342</v>
      </c>
      <c r="AD310" s="161">
        <v>8098</v>
      </c>
    </row>
    <row r="311" spans="1:30">
      <c r="A311" s="91" t="s">
        <v>599</v>
      </c>
      <c r="B311" s="91" t="s">
        <v>675</v>
      </c>
      <c r="C311" s="92" t="s">
        <v>676</v>
      </c>
      <c r="D311" s="160">
        <v>44468</v>
      </c>
      <c r="E311" s="161">
        <v>8931</v>
      </c>
      <c r="F311" s="152">
        <f t="shared" si="27"/>
        <v>53399</v>
      </c>
      <c r="G311" s="154">
        <v>459</v>
      </c>
      <c r="H311" s="228">
        <v>52940</v>
      </c>
      <c r="I311" s="162">
        <v>8010</v>
      </c>
      <c r="X311" s="152">
        <f t="shared" si="28"/>
        <v>53399</v>
      </c>
      <c r="Y311" s="156">
        <f t="shared" si="32"/>
        <v>8.6E-3</v>
      </c>
      <c r="Z311" s="152">
        <f t="shared" si="29"/>
        <v>459</v>
      </c>
      <c r="AA311" s="157">
        <v>450</v>
      </c>
      <c r="AB311" s="152">
        <f t="shared" si="30"/>
        <v>52949</v>
      </c>
      <c r="AC311" s="161">
        <f t="shared" si="31"/>
        <v>8010</v>
      </c>
      <c r="AD311" s="161">
        <v>12023</v>
      </c>
    </row>
    <row r="312" spans="1:30">
      <c r="A312" s="91" t="s">
        <v>599</v>
      </c>
      <c r="B312" s="91" t="s">
        <v>677</v>
      </c>
      <c r="C312" s="92" t="s">
        <v>678</v>
      </c>
      <c r="D312" s="160">
        <v>15422</v>
      </c>
      <c r="E312" s="161">
        <v>3556</v>
      </c>
      <c r="F312" s="152">
        <f t="shared" si="27"/>
        <v>18978</v>
      </c>
      <c r="G312" s="154">
        <v>163</v>
      </c>
      <c r="H312" s="228">
        <v>18815</v>
      </c>
      <c r="I312" s="162">
        <v>2847</v>
      </c>
      <c r="X312" s="152">
        <f t="shared" si="28"/>
        <v>18978</v>
      </c>
      <c r="Y312" s="156">
        <f t="shared" si="32"/>
        <v>8.6E-3</v>
      </c>
      <c r="Z312" s="152">
        <f t="shared" si="29"/>
        <v>163</v>
      </c>
      <c r="AA312" s="157">
        <v>160</v>
      </c>
      <c r="AB312" s="152">
        <f t="shared" si="30"/>
        <v>18818</v>
      </c>
      <c r="AC312" s="161">
        <f t="shared" si="31"/>
        <v>2847</v>
      </c>
      <c r="AD312" s="161">
        <v>4237</v>
      </c>
    </row>
    <row r="313" spans="1:30">
      <c r="A313" s="91" t="s">
        <v>599</v>
      </c>
      <c r="B313" s="91" t="s">
        <v>679</v>
      </c>
      <c r="C313" s="92" t="s">
        <v>680</v>
      </c>
      <c r="D313" s="160">
        <v>9917</v>
      </c>
      <c r="E313" s="161">
        <v>1907</v>
      </c>
      <c r="F313" s="152">
        <f t="shared" si="27"/>
        <v>11824</v>
      </c>
      <c r="G313" s="154">
        <v>102</v>
      </c>
      <c r="H313" s="228">
        <v>11722</v>
      </c>
      <c r="I313" s="162">
        <v>1774</v>
      </c>
      <c r="X313" s="152">
        <f t="shared" si="28"/>
        <v>11824</v>
      </c>
      <c r="Y313" s="156">
        <f t="shared" si="32"/>
        <v>8.6E-3</v>
      </c>
      <c r="Z313" s="152">
        <f t="shared" si="29"/>
        <v>102</v>
      </c>
      <c r="AA313" s="157">
        <v>100</v>
      </c>
      <c r="AB313" s="152">
        <f t="shared" si="30"/>
        <v>11724</v>
      </c>
      <c r="AC313" s="161">
        <f t="shared" si="31"/>
        <v>1774</v>
      </c>
      <c r="AD313" s="161">
        <v>2669</v>
      </c>
    </row>
    <row r="314" spans="1:30">
      <c r="A314" s="83" t="s">
        <v>599</v>
      </c>
      <c r="B314" s="83" t="s">
        <v>681</v>
      </c>
      <c r="C314" s="84" t="s">
        <v>682</v>
      </c>
      <c r="D314" s="160">
        <v>8075</v>
      </c>
      <c r="E314" s="161">
        <v>867</v>
      </c>
      <c r="F314" s="152">
        <f t="shared" si="27"/>
        <v>8942</v>
      </c>
      <c r="G314" s="154">
        <v>77</v>
      </c>
      <c r="H314" s="228">
        <v>8865</v>
      </c>
      <c r="I314" s="162">
        <v>1341</v>
      </c>
      <c r="X314" s="152">
        <f t="shared" si="28"/>
        <v>8942</v>
      </c>
      <c r="Y314" s="156">
        <f t="shared" si="32"/>
        <v>8.6E-3</v>
      </c>
      <c r="Z314" s="152">
        <f t="shared" si="29"/>
        <v>77</v>
      </c>
      <c r="AA314" s="157">
        <v>75</v>
      </c>
      <c r="AB314" s="152">
        <f t="shared" si="30"/>
        <v>8867</v>
      </c>
      <c r="AC314" s="161">
        <f t="shared" si="31"/>
        <v>1341</v>
      </c>
      <c r="AD314" s="161">
        <v>2072</v>
      </c>
    </row>
    <row r="315" spans="1:30">
      <c r="A315" s="91" t="s">
        <v>599</v>
      </c>
      <c r="B315" s="91" t="s">
        <v>683</v>
      </c>
      <c r="C315" s="92" t="s">
        <v>684</v>
      </c>
      <c r="D315" s="160">
        <v>28819</v>
      </c>
      <c r="E315" s="161">
        <v>1778</v>
      </c>
      <c r="F315" s="152">
        <f t="shared" si="27"/>
        <v>30597</v>
      </c>
      <c r="G315" s="154">
        <v>263</v>
      </c>
      <c r="H315" s="228">
        <v>30334</v>
      </c>
      <c r="I315" s="162">
        <v>4590</v>
      </c>
      <c r="X315" s="152">
        <f t="shared" si="28"/>
        <v>30597</v>
      </c>
      <c r="Y315" s="156">
        <f t="shared" si="32"/>
        <v>8.6E-3</v>
      </c>
      <c r="Z315" s="152">
        <f t="shared" si="29"/>
        <v>263</v>
      </c>
      <c r="AA315" s="157">
        <v>258</v>
      </c>
      <c r="AB315" s="152">
        <f t="shared" si="30"/>
        <v>30339</v>
      </c>
      <c r="AC315" s="161">
        <f t="shared" si="31"/>
        <v>4590</v>
      </c>
      <c r="AD315" s="161">
        <v>7202</v>
      </c>
    </row>
    <row r="316" spans="1:30">
      <c r="A316" s="83" t="s">
        <v>599</v>
      </c>
      <c r="B316" s="83" t="s">
        <v>685</v>
      </c>
      <c r="C316" s="84" t="s">
        <v>686</v>
      </c>
      <c r="D316" s="160">
        <v>30934</v>
      </c>
      <c r="E316" s="161">
        <v>3729</v>
      </c>
      <c r="F316" s="152">
        <f t="shared" si="27"/>
        <v>34663</v>
      </c>
      <c r="G316" s="154">
        <v>298</v>
      </c>
      <c r="H316" s="228">
        <v>34365</v>
      </c>
      <c r="I316" s="162">
        <v>5199</v>
      </c>
      <c r="X316" s="152">
        <f t="shared" si="28"/>
        <v>34663</v>
      </c>
      <c r="Y316" s="156">
        <f t="shared" si="32"/>
        <v>8.6E-3</v>
      </c>
      <c r="Z316" s="152">
        <f t="shared" si="29"/>
        <v>298</v>
      </c>
      <c r="AA316" s="157">
        <v>292</v>
      </c>
      <c r="AB316" s="152">
        <f t="shared" si="30"/>
        <v>34371</v>
      </c>
      <c r="AC316" s="161">
        <f t="shared" si="31"/>
        <v>5199</v>
      </c>
      <c r="AD316" s="161">
        <v>7999</v>
      </c>
    </row>
    <row r="317" spans="1:30">
      <c r="A317" s="91" t="s">
        <v>599</v>
      </c>
      <c r="B317" s="91" t="s">
        <v>687</v>
      </c>
      <c r="C317" s="92" t="s">
        <v>688</v>
      </c>
      <c r="D317" s="160">
        <v>34414</v>
      </c>
      <c r="E317" s="161">
        <v>2946</v>
      </c>
      <c r="F317" s="152">
        <f t="shared" si="27"/>
        <v>37360</v>
      </c>
      <c r="G317" s="154">
        <v>321</v>
      </c>
      <c r="H317" s="228">
        <v>37039</v>
      </c>
      <c r="I317" s="162">
        <v>5604</v>
      </c>
      <c r="X317" s="152">
        <f t="shared" si="28"/>
        <v>37360</v>
      </c>
      <c r="Y317" s="156">
        <f t="shared" si="32"/>
        <v>8.6E-3</v>
      </c>
      <c r="Z317" s="152">
        <f t="shared" si="29"/>
        <v>321</v>
      </c>
      <c r="AA317" s="157">
        <v>315</v>
      </c>
      <c r="AB317" s="152">
        <f t="shared" si="30"/>
        <v>37045</v>
      </c>
      <c r="AC317" s="161">
        <f t="shared" si="31"/>
        <v>5604</v>
      </c>
      <c r="AD317" s="161">
        <v>8722</v>
      </c>
    </row>
    <row r="318" spans="1:30">
      <c r="A318" s="91" t="s">
        <v>599</v>
      </c>
      <c r="B318" s="91" t="s">
        <v>689</v>
      </c>
      <c r="C318" s="92" t="s">
        <v>690</v>
      </c>
      <c r="D318" s="160">
        <v>16309</v>
      </c>
      <c r="E318" s="161">
        <v>3946</v>
      </c>
      <c r="F318" s="152">
        <f t="shared" si="27"/>
        <v>20255</v>
      </c>
      <c r="G318" s="154">
        <v>174</v>
      </c>
      <c r="H318" s="228">
        <v>20081</v>
      </c>
      <c r="I318" s="162">
        <v>3038</v>
      </c>
      <c r="X318" s="152">
        <f t="shared" si="28"/>
        <v>20255</v>
      </c>
      <c r="Y318" s="156">
        <f t="shared" si="32"/>
        <v>8.6E-3</v>
      </c>
      <c r="Z318" s="152">
        <f t="shared" si="29"/>
        <v>174</v>
      </c>
      <c r="AA318" s="157">
        <v>171</v>
      </c>
      <c r="AB318" s="152">
        <f t="shared" si="30"/>
        <v>20084</v>
      </c>
      <c r="AC318" s="161">
        <f t="shared" si="31"/>
        <v>3038</v>
      </c>
      <c r="AD318" s="161">
        <v>4508</v>
      </c>
    </row>
    <row r="319" spans="1:30">
      <c r="A319" s="91" t="s">
        <v>599</v>
      </c>
      <c r="B319" s="91" t="s">
        <v>691</v>
      </c>
      <c r="C319" s="92" t="s">
        <v>692</v>
      </c>
      <c r="D319" s="160">
        <v>9007</v>
      </c>
      <c r="E319" s="161">
        <v>1690</v>
      </c>
      <c r="F319" s="152">
        <f t="shared" si="27"/>
        <v>10697</v>
      </c>
      <c r="G319" s="154">
        <v>92</v>
      </c>
      <c r="H319" s="228">
        <v>10605</v>
      </c>
      <c r="I319" s="162">
        <v>1605</v>
      </c>
      <c r="X319" s="152">
        <f t="shared" si="28"/>
        <v>10697</v>
      </c>
      <c r="Y319" s="156">
        <f t="shared" si="32"/>
        <v>8.6E-3</v>
      </c>
      <c r="Z319" s="152">
        <f t="shared" si="29"/>
        <v>92</v>
      </c>
      <c r="AA319" s="157">
        <v>90</v>
      </c>
      <c r="AB319" s="152">
        <f t="shared" si="30"/>
        <v>10607</v>
      </c>
      <c r="AC319" s="161">
        <f t="shared" si="31"/>
        <v>1605</v>
      </c>
      <c r="AD319" s="161">
        <v>2418</v>
      </c>
    </row>
    <row r="320" spans="1:30">
      <c r="A320" s="83" t="s">
        <v>599</v>
      </c>
      <c r="B320" s="83" t="s">
        <v>693</v>
      </c>
      <c r="C320" s="84" t="s">
        <v>694</v>
      </c>
      <c r="D320" s="160">
        <v>19493</v>
      </c>
      <c r="E320" s="161">
        <v>2601</v>
      </c>
      <c r="F320" s="152">
        <f t="shared" si="27"/>
        <v>22094</v>
      </c>
      <c r="G320" s="154">
        <v>190</v>
      </c>
      <c r="H320" s="228">
        <v>21904</v>
      </c>
      <c r="I320" s="162">
        <v>3314</v>
      </c>
      <c r="X320" s="152">
        <f t="shared" si="28"/>
        <v>22094</v>
      </c>
      <c r="Y320" s="156">
        <f t="shared" si="32"/>
        <v>8.6E-3</v>
      </c>
      <c r="Z320" s="152">
        <f t="shared" si="29"/>
        <v>190</v>
      </c>
      <c r="AA320" s="157">
        <v>186</v>
      </c>
      <c r="AB320" s="152">
        <f t="shared" si="30"/>
        <v>21908</v>
      </c>
      <c r="AC320" s="161">
        <f t="shared" si="31"/>
        <v>3314</v>
      </c>
      <c r="AD320" s="161">
        <v>5077</v>
      </c>
    </row>
    <row r="321" spans="1:30" ht="15.75" thickBot="1">
      <c r="A321" s="93" t="s">
        <v>599</v>
      </c>
      <c r="B321" s="93" t="s">
        <v>695</v>
      </c>
      <c r="C321" s="94" t="s">
        <v>696</v>
      </c>
      <c r="D321" s="174">
        <v>19925</v>
      </c>
      <c r="E321" s="175">
        <v>2513</v>
      </c>
      <c r="F321" s="174">
        <f t="shared" si="27"/>
        <v>22438</v>
      </c>
      <c r="G321" s="176">
        <v>193</v>
      </c>
      <c r="H321" s="229">
        <v>22245</v>
      </c>
      <c r="I321" s="177">
        <v>3366</v>
      </c>
      <c r="X321" s="174">
        <f t="shared" si="28"/>
        <v>22438</v>
      </c>
      <c r="Y321" s="178">
        <f t="shared" si="32"/>
        <v>8.6E-3</v>
      </c>
      <c r="Z321" s="174">
        <f t="shared" si="29"/>
        <v>193</v>
      </c>
      <c r="AA321" s="179">
        <v>189</v>
      </c>
      <c r="AB321" s="174">
        <f t="shared" si="30"/>
        <v>22249</v>
      </c>
      <c r="AC321" s="175">
        <f t="shared" si="31"/>
        <v>3366</v>
      </c>
      <c r="AD321" s="175">
        <v>5168</v>
      </c>
    </row>
    <row r="322" spans="1:30">
      <c r="A322" s="91" t="s">
        <v>697</v>
      </c>
      <c r="B322" s="91" t="s">
        <v>698</v>
      </c>
      <c r="C322" s="92" t="s">
        <v>699</v>
      </c>
      <c r="D322" s="152">
        <v>53634</v>
      </c>
      <c r="E322" s="153">
        <v>10665</v>
      </c>
      <c r="F322" s="152">
        <f t="shared" si="27"/>
        <v>64299</v>
      </c>
      <c r="G322" s="154">
        <v>572</v>
      </c>
      <c r="H322" s="228">
        <v>63727</v>
      </c>
      <c r="I322" s="155">
        <v>9645</v>
      </c>
      <c r="X322" s="152">
        <f t="shared" si="28"/>
        <v>64299</v>
      </c>
      <c r="Y322" s="156">
        <f>+$AG$27</f>
        <v>8.8999999999999999E-3</v>
      </c>
      <c r="Z322" s="152">
        <f t="shared" si="29"/>
        <v>572</v>
      </c>
      <c r="AA322" s="157">
        <v>561</v>
      </c>
      <c r="AB322" s="152">
        <f t="shared" si="30"/>
        <v>63738</v>
      </c>
      <c r="AC322" s="153">
        <f t="shared" si="31"/>
        <v>9645</v>
      </c>
      <c r="AD322" s="153">
        <v>14486</v>
      </c>
    </row>
    <row r="323" spans="1:30">
      <c r="A323" s="91" t="s">
        <v>697</v>
      </c>
      <c r="B323" s="91" t="s">
        <v>700</v>
      </c>
      <c r="C323" s="92" t="s">
        <v>701</v>
      </c>
      <c r="D323" s="160">
        <v>39805</v>
      </c>
      <c r="E323" s="161">
        <v>7976</v>
      </c>
      <c r="F323" s="152">
        <f t="shared" si="27"/>
        <v>47781</v>
      </c>
      <c r="G323" s="154">
        <v>425</v>
      </c>
      <c r="H323" s="228">
        <v>47356</v>
      </c>
      <c r="I323" s="162">
        <v>7167</v>
      </c>
      <c r="X323" s="152">
        <f t="shared" si="28"/>
        <v>47781</v>
      </c>
      <c r="Y323" s="156">
        <f t="shared" ref="Y323:Y354" si="33">+$AG$27</f>
        <v>8.8999999999999999E-3</v>
      </c>
      <c r="Z323" s="152">
        <f t="shared" si="29"/>
        <v>425</v>
      </c>
      <c r="AA323" s="157">
        <v>417</v>
      </c>
      <c r="AB323" s="152">
        <f t="shared" si="30"/>
        <v>47364</v>
      </c>
      <c r="AC323" s="161">
        <f t="shared" si="31"/>
        <v>7167</v>
      </c>
      <c r="AD323" s="161">
        <v>10760</v>
      </c>
    </row>
    <row r="324" spans="1:30">
      <c r="A324" s="91" t="s">
        <v>697</v>
      </c>
      <c r="B324" s="91" t="s">
        <v>702</v>
      </c>
      <c r="C324" s="92" t="s">
        <v>703</v>
      </c>
      <c r="D324" s="160">
        <v>218314</v>
      </c>
      <c r="E324" s="161">
        <v>51932</v>
      </c>
      <c r="F324" s="152">
        <f t="shared" si="27"/>
        <v>270246</v>
      </c>
      <c r="G324" s="154">
        <v>2405</v>
      </c>
      <c r="H324" s="228">
        <v>267841</v>
      </c>
      <c r="I324" s="162">
        <v>40537</v>
      </c>
      <c r="X324" s="152">
        <f t="shared" si="28"/>
        <v>270246</v>
      </c>
      <c r="Y324" s="156">
        <f t="shared" si="33"/>
        <v>8.8999999999999999E-3</v>
      </c>
      <c r="Z324" s="152">
        <f t="shared" si="29"/>
        <v>2405</v>
      </c>
      <c r="AA324" s="157">
        <v>2357</v>
      </c>
      <c r="AB324" s="152">
        <f t="shared" si="30"/>
        <v>267889</v>
      </c>
      <c r="AC324" s="161">
        <f t="shared" si="31"/>
        <v>40537</v>
      </c>
      <c r="AD324" s="161">
        <v>60215</v>
      </c>
    </row>
    <row r="325" spans="1:30">
      <c r="A325" s="91" t="s">
        <v>697</v>
      </c>
      <c r="B325" s="91" t="s">
        <v>704</v>
      </c>
      <c r="C325" s="92" t="s">
        <v>705</v>
      </c>
      <c r="D325" s="160">
        <v>27500</v>
      </c>
      <c r="E325" s="161">
        <v>6414</v>
      </c>
      <c r="F325" s="152">
        <f t="shared" si="27"/>
        <v>33914</v>
      </c>
      <c r="G325" s="154">
        <v>302</v>
      </c>
      <c r="H325" s="228">
        <v>33612</v>
      </c>
      <c r="I325" s="162">
        <v>5087</v>
      </c>
      <c r="X325" s="152">
        <f t="shared" si="28"/>
        <v>33914</v>
      </c>
      <c r="Y325" s="156">
        <f t="shared" si="33"/>
        <v>8.8999999999999999E-3</v>
      </c>
      <c r="Z325" s="152">
        <f t="shared" si="29"/>
        <v>302</v>
      </c>
      <c r="AA325" s="157">
        <v>296</v>
      </c>
      <c r="AB325" s="152">
        <f t="shared" si="30"/>
        <v>33618</v>
      </c>
      <c r="AC325" s="161">
        <f t="shared" si="31"/>
        <v>5087</v>
      </c>
      <c r="AD325" s="161">
        <v>7566</v>
      </c>
    </row>
    <row r="326" spans="1:30">
      <c r="A326" s="91" t="s">
        <v>697</v>
      </c>
      <c r="B326" s="91" t="s">
        <v>706</v>
      </c>
      <c r="C326" s="92" t="s">
        <v>707</v>
      </c>
      <c r="D326" s="160">
        <v>62437</v>
      </c>
      <c r="E326" s="161">
        <v>13094</v>
      </c>
      <c r="F326" s="152">
        <f t="shared" si="27"/>
        <v>75531</v>
      </c>
      <c r="G326" s="154">
        <v>672</v>
      </c>
      <c r="H326" s="228">
        <v>74859</v>
      </c>
      <c r="I326" s="162">
        <v>11330</v>
      </c>
      <c r="X326" s="152">
        <f t="shared" si="28"/>
        <v>75531</v>
      </c>
      <c r="Y326" s="156">
        <f t="shared" si="33"/>
        <v>8.8999999999999999E-3</v>
      </c>
      <c r="Z326" s="152">
        <f t="shared" si="29"/>
        <v>672</v>
      </c>
      <c r="AA326" s="157">
        <v>659</v>
      </c>
      <c r="AB326" s="152">
        <f t="shared" si="30"/>
        <v>74872</v>
      </c>
      <c r="AC326" s="161">
        <f t="shared" si="31"/>
        <v>11330</v>
      </c>
      <c r="AD326" s="161">
        <v>16963</v>
      </c>
    </row>
    <row r="327" spans="1:30">
      <c r="A327" s="91" t="s">
        <v>697</v>
      </c>
      <c r="B327" s="91" t="s">
        <v>708</v>
      </c>
      <c r="C327" s="92" t="s">
        <v>709</v>
      </c>
      <c r="D327" s="160">
        <v>37394</v>
      </c>
      <c r="E327" s="161">
        <v>8237</v>
      </c>
      <c r="F327" s="152">
        <f t="shared" ref="F327:F354" si="34">+E327+D327</f>
        <v>45631</v>
      </c>
      <c r="G327" s="154">
        <v>406</v>
      </c>
      <c r="H327" s="228">
        <v>45225</v>
      </c>
      <c r="I327" s="162">
        <v>6845</v>
      </c>
      <c r="X327" s="152">
        <f t="shared" si="28"/>
        <v>45631</v>
      </c>
      <c r="Y327" s="156">
        <f t="shared" si="33"/>
        <v>8.8999999999999999E-3</v>
      </c>
      <c r="Z327" s="152">
        <f t="shared" si="29"/>
        <v>406</v>
      </c>
      <c r="AA327" s="157">
        <v>398</v>
      </c>
      <c r="AB327" s="152">
        <f t="shared" si="30"/>
        <v>45233</v>
      </c>
      <c r="AC327" s="161">
        <f t="shared" si="31"/>
        <v>6845</v>
      </c>
      <c r="AD327" s="161">
        <v>10217</v>
      </c>
    </row>
    <row r="328" spans="1:30">
      <c r="A328" s="91" t="s">
        <v>697</v>
      </c>
      <c r="B328" s="91" t="s">
        <v>710</v>
      </c>
      <c r="C328" s="92" t="s">
        <v>711</v>
      </c>
      <c r="D328" s="160">
        <v>61868</v>
      </c>
      <c r="E328" s="161">
        <v>14611</v>
      </c>
      <c r="F328" s="152">
        <f t="shared" si="34"/>
        <v>76479</v>
      </c>
      <c r="G328" s="154">
        <v>681</v>
      </c>
      <c r="H328" s="228">
        <v>75798</v>
      </c>
      <c r="I328" s="162">
        <v>11472</v>
      </c>
      <c r="X328" s="152">
        <f t="shared" ref="X328:X354" si="35">+F328</f>
        <v>76479</v>
      </c>
      <c r="Y328" s="156">
        <f t="shared" si="33"/>
        <v>8.8999999999999999E-3</v>
      </c>
      <c r="Z328" s="152">
        <f t="shared" ref="Z328:Z354" si="36">ROUND(X328*Y328,0)</f>
        <v>681</v>
      </c>
      <c r="AA328" s="157">
        <v>667</v>
      </c>
      <c r="AB328" s="152">
        <f t="shared" ref="AB328:AB354" si="37">+X328-AA328</f>
        <v>75812</v>
      </c>
      <c r="AC328" s="161">
        <f t="shared" ref="AC328:AC354" si="38">ROUND((X328*0.15),0)</f>
        <v>11472</v>
      </c>
      <c r="AD328" s="161">
        <v>17049</v>
      </c>
    </row>
    <row r="329" spans="1:30">
      <c r="A329" s="91" t="s">
        <v>697</v>
      </c>
      <c r="B329" s="91" t="s">
        <v>712</v>
      </c>
      <c r="C329" s="92" t="s">
        <v>713</v>
      </c>
      <c r="D329" s="160">
        <v>21722</v>
      </c>
      <c r="E329" s="161">
        <v>3340</v>
      </c>
      <c r="F329" s="152">
        <f t="shared" si="34"/>
        <v>25062</v>
      </c>
      <c r="G329" s="154">
        <v>223</v>
      </c>
      <c r="H329" s="228">
        <v>24839</v>
      </c>
      <c r="I329" s="162">
        <v>3759</v>
      </c>
      <c r="X329" s="152">
        <f t="shared" si="35"/>
        <v>25062</v>
      </c>
      <c r="Y329" s="156">
        <f t="shared" si="33"/>
        <v>8.8999999999999999E-3</v>
      </c>
      <c r="Z329" s="152">
        <f t="shared" si="36"/>
        <v>223</v>
      </c>
      <c r="AA329" s="157">
        <v>219</v>
      </c>
      <c r="AB329" s="152">
        <f t="shared" si="37"/>
        <v>24843</v>
      </c>
      <c r="AC329" s="161">
        <f t="shared" si="38"/>
        <v>3759</v>
      </c>
      <c r="AD329" s="161">
        <v>5723</v>
      </c>
    </row>
    <row r="330" spans="1:30">
      <c r="A330" s="91" t="s">
        <v>697</v>
      </c>
      <c r="B330" s="91" t="s">
        <v>714</v>
      </c>
      <c r="C330" s="92" t="s">
        <v>715</v>
      </c>
      <c r="D330" s="160">
        <v>53475</v>
      </c>
      <c r="E330" s="161">
        <v>9710</v>
      </c>
      <c r="F330" s="152">
        <f t="shared" si="34"/>
        <v>63185</v>
      </c>
      <c r="G330" s="154">
        <v>562</v>
      </c>
      <c r="H330" s="228">
        <v>62623</v>
      </c>
      <c r="I330" s="162">
        <v>9478</v>
      </c>
      <c r="X330" s="152">
        <f t="shared" si="35"/>
        <v>63185</v>
      </c>
      <c r="Y330" s="156">
        <f t="shared" si="33"/>
        <v>8.8999999999999999E-3</v>
      </c>
      <c r="Z330" s="152">
        <f t="shared" si="36"/>
        <v>562</v>
      </c>
      <c r="AA330" s="157">
        <v>551</v>
      </c>
      <c r="AB330" s="152">
        <f t="shared" si="37"/>
        <v>62634</v>
      </c>
      <c r="AC330" s="161">
        <f t="shared" si="38"/>
        <v>9478</v>
      </c>
      <c r="AD330" s="161">
        <v>14307</v>
      </c>
    </row>
    <row r="331" spans="1:30">
      <c r="A331" s="91" t="s">
        <v>697</v>
      </c>
      <c r="B331" s="91" t="s">
        <v>716</v>
      </c>
      <c r="C331" s="92" t="s">
        <v>717</v>
      </c>
      <c r="D331" s="160">
        <v>84273</v>
      </c>
      <c r="E331" s="161">
        <v>15000</v>
      </c>
      <c r="F331" s="152">
        <f t="shared" si="34"/>
        <v>99273</v>
      </c>
      <c r="G331" s="154">
        <v>884</v>
      </c>
      <c r="H331" s="228">
        <v>98389</v>
      </c>
      <c r="I331" s="162">
        <v>14891</v>
      </c>
      <c r="X331" s="152">
        <f t="shared" si="35"/>
        <v>99273</v>
      </c>
      <c r="Y331" s="156">
        <f t="shared" si="33"/>
        <v>8.8999999999999999E-3</v>
      </c>
      <c r="Z331" s="152">
        <f t="shared" si="36"/>
        <v>884</v>
      </c>
      <c r="AA331" s="157">
        <v>866</v>
      </c>
      <c r="AB331" s="152">
        <f t="shared" si="37"/>
        <v>98407</v>
      </c>
      <c r="AC331" s="161">
        <f t="shared" si="38"/>
        <v>14891</v>
      </c>
      <c r="AD331" s="161">
        <v>22502</v>
      </c>
    </row>
    <row r="332" spans="1:30">
      <c r="A332" s="91" t="s">
        <v>697</v>
      </c>
      <c r="B332" s="91" t="s">
        <v>718</v>
      </c>
      <c r="C332" s="92" t="s">
        <v>719</v>
      </c>
      <c r="D332" s="160">
        <v>112773</v>
      </c>
      <c r="E332" s="161">
        <v>19769</v>
      </c>
      <c r="F332" s="152">
        <f t="shared" si="34"/>
        <v>132542</v>
      </c>
      <c r="G332" s="154">
        <v>1180</v>
      </c>
      <c r="H332" s="228">
        <v>131362</v>
      </c>
      <c r="I332" s="162">
        <v>19881</v>
      </c>
      <c r="X332" s="152">
        <f t="shared" si="35"/>
        <v>132542</v>
      </c>
      <c r="Y332" s="156">
        <f t="shared" si="33"/>
        <v>8.8999999999999999E-3</v>
      </c>
      <c r="Z332" s="152">
        <f t="shared" si="36"/>
        <v>1180</v>
      </c>
      <c r="AA332" s="157">
        <v>1156</v>
      </c>
      <c r="AB332" s="152">
        <f t="shared" si="37"/>
        <v>131386</v>
      </c>
      <c r="AC332" s="161">
        <f t="shared" si="38"/>
        <v>19881</v>
      </c>
      <c r="AD332" s="161">
        <v>30068</v>
      </c>
    </row>
    <row r="333" spans="1:30">
      <c r="A333" s="91" t="s">
        <v>697</v>
      </c>
      <c r="B333" s="91" t="s">
        <v>720</v>
      </c>
      <c r="C333" s="92" t="s">
        <v>721</v>
      </c>
      <c r="D333" s="160">
        <v>16263</v>
      </c>
      <c r="E333" s="161">
        <v>4335</v>
      </c>
      <c r="F333" s="152">
        <f t="shared" si="34"/>
        <v>20598</v>
      </c>
      <c r="G333" s="154">
        <v>183</v>
      </c>
      <c r="H333" s="228">
        <v>20415</v>
      </c>
      <c r="I333" s="162">
        <v>3090</v>
      </c>
      <c r="X333" s="152">
        <f t="shared" si="35"/>
        <v>20598</v>
      </c>
      <c r="Y333" s="156">
        <f t="shared" si="33"/>
        <v>8.8999999999999999E-3</v>
      </c>
      <c r="Z333" s="152">
        <f t="shared" si="36"/>
        <v>183</v>
      </c>
      <c r="AA333" s="157">
        <v>180</v>
      </c>
      <c r="AB333" s="152">
        <f t="shared" si="37"/>
        <v>20418</v>
      </c>
      <c r="AC333" s="161">
        <f t="shared" si="38"/>
        <v>3090</v>
      </c>
      <c r="AD333" s="161">
        <v>4554</v>
      </c>
    </row>
    <row r="334" spans="1:30">
      <c r="A334" s="91" t="s">
        <v>697</v>
      </c>
      <c r="B334" s="91" t="s">
        <v>722</v>
      </c>
      <c r="C334" s="92" t="s">
        <v>723</v>
      </c>
      <c r="D334" s="160">
        <v>91506</v>
      </c>
      <c r="E334" s="161">
        <v>22932</v>
      </c>
      <c r="F334" s="152">
        <f t="shared" si="34"/>
        <v>114438</v>
      </c>
      <c r="G334" s="154">
        <v>1018</v>
      </c>
      <c r="H334" s="228">
        <v>113420</v>
      </c>
      <c r="I334" s="162">
        <v>17166</v>
      </c>
      <c r="X334" s="152">
        <f t="shared" si="35"/>
        <v>114438</v>
      </c>
      <c r="Y334" s="156">
        <f t="shared" si="33"/>
        <v>8.8999999999999999E-3</v>
      </c>
      <c r="Z334" s="152">
        <f t="shared" si="36"/>
        <v>1018</v>
      </c>
      <c r="AA334" s="157">
        <v>998</v>
      </c>
      <c r="AB334" s="152">
        <f t="shared" si="37"/>
        <v>113440</v>
      </c>
      <c r="AC334" s="161">
        <f t="shared" si="38"/>
        <v>17166</v>
      </c>
      <c r="AD334" s="161">
        <v>25410</v>
      </c>
    </row>
    <row r="335" spans="1:30">
      <c r="A335" s="91" t="s">
        <v>697</v>
      </c>
      <c r="B335" s="91" t="s">
        <v>724</v>
      </c>
      <c r="C335" s="92" t="s">
        <v>725</v>
      </c>
      <c r="D335" s="160">
        <v>14648</v>
      </c>
      <c r="E335" s="161">
        <v>1822</v>
      </c>
      <c r="F335" s="152">
        <f t="shared" si="34"/>
        <v>16470</v>
      </c>
      <c r="G335" s="154">
        <v>147</v>
      </c>
      <c r="H335" s="228">
        <v>16323</v>
      </c>
      <c r="I335" s="162">
        <v>2471</v>
      </c>
      <c r="X335" s="152">
        <f t="shared" si="35"/>
        <v>16470</v>
      </c>
      <c r="Y335" s="156">
        <f t="shared" si="33"/>
        <v>8.8999999999999999E-3</v>
      </c>
      <c r="Z335" s="152">
        <f t="shared" si="36"/>
        <v>147</v>
      </c>
      <c r="AA335" s="157">
        <v>144</v>
      </c>
      <c r="AB335" s="152">
        <f t="shared" si="37"/>
        <v>16326</v>
      </c>
      <c r="AC335" s="161">
        <f t="shared" si="38"/>
        <v>2471</v>
      </c>
      <c r="AD335" s="161">
        <v>3796</v>
      </c>
    </row>
    <row r="336" spans="1:30">
      <c r="A336" s="83" t="s">
        <v>697</v>
      </c>
      <c r="B336" s="83" t="s">
        <v>726</v>
      </c>
      <c r="C336" s="84" t="s">
        <v>727</v>
      </c>
      <c r="D336" s="160">
        <v>36871</v>
      </c>
      <c r="E336" s="161">
        <v>4857</v>
      </c>
      <c r="F336" s="152">
        <f t="shared" si="34"/>
        <v>41728</v>
      </c>
      <c r="G336" s="154">
        <v>371</v>
      </c>
      <c r="H336" s="228">
        <v>41357</v>
      </c>
      <c r="I336" s="162">
        <v>6259</v>
      </c>
      <c r="X336" s="152">
        <f t="shared" si="35"/>
        <v>41728</v>
      </c>
      <c r="Y336" s="156">
        <f t="shared" si="33"/>
        <v>8.8999999999999999E-3</v>
      </c>
      <c r="Z336" s="152">
        <f t="shared" si="36"/>
        <v>371</v>
      </c>
      <c r="AA336" s="157">
        <v>364</v>
      </c>
      <c r="AB336" s="152">
        <f t="shared" si="37"/>
        <v>41364</v>
      </c>
      <c r="AC336" s="161">
        <f t="shared" si="38"/>
        <v>6259</v>
      </c>
      <c r="AD336" s="161">
        <v>9594</v>
      </c>
    </row>
    <row r="337" spans="1:30">
      <c r="A337" s="91" t="s">
        <v>697</v>
      </c>
      <c r="B337" s="91" t="s">
        <v>728</v>
      </c>
      <c r="C337" s="92" t="s">
        <v>729</v>
      </c>
      <c r="D337" s="160">
        <v>15717</v>
      </c>
      <c r="E337" s="161">
        <v>3596</v>
      </c>
      <c r="F337" s="152">
        <f t="shared" si="34"/>
        <v>19313</v>
      </c>
      <c r="G337" s="154">
        <v>172</v>
      </c>
      <c r="H337" s="228">
        <v>19141</v>
      </c>
      <c r="I337" s="162">
        <v>2897</v>
      </c>
      <c r="X337" s="152">
        <f t="shared" si="35"/>
        <v>19313</v>
      </c>
      <c r="Y337" s="156">
        <f t="shared" si="33"/>
        <v>8.8999999999999999E-3</v>
      </c>
      <c r="Z337" s="152">
        <f t="shared" si="36"/>
        <v>172</v>
      </c>
      <c r="AA337" s="157">
        <v>168</v>
      </c>
      <c r="AB337" s="152">
        <f t="shared" si="37"/>
        <v>19145</v>
      </c>
      <c r="AC337" s="161">
        <f t="shared" si="38"/>
        <v>2897</v>
      </c>
      <c r="AD337" s="161">
        <v>4314</v>
      </c>
    </row>
    <row r="338" spans="1:30">
      <c r="A338" s="83" t="s">
        <v>697</v>
      </c>
      <c r="B338" s="83" t="s">
        <v>730</v>
      </c>
      <c r="C338" s="84" t="s">
        <v>731</v>
      </c>
      <c r="D338" s="160">
        <v>9599</v>
      </c>
      <c r="E338" s="161">
        <v>2039</v>
      </c>
      <c r="F338" s="152">
        <f t="shared" si="34"/>
        <v>11638</v>
      </c>
      <c r="G338" s="154">
        <v>104</v>
      </c>
      <c r="H338" s="228">
        <v>11534</v>
      </c>
      <c r="I338" s="162">
        <v>1746</v>
      </c>
      <c r="X338" s="152">
        <f t="shared" si="35"/>
        <v>11638</v>
      </c>
      <c r="Y338" s="156">
        <f t="shared" si="33"/>
        <v>8.8999999999999999E-3</v>
      </c>
      <c r="Z338" s="152">
        <f t="shared" si="36"/>
        <v>104</v>
      </c>
      <c r="AA338" s="157">
        <v>101</v>
      </c>
      <c r="AB338" s="152">
        <f t="shared" si="37"/>
        <v>11537</v>
      </c>
      <c r="AC338" s="161">
        <f t="shared" si="38"/>
        <v>1746</v>
      </c>
      <c r="AD338" s="161">
        <v>2612</v>
      </c>
    </row>
    <row r="339" spans="1:30">
      <c r="A339" s="91" t="s">
        <v>697</v>
      </c>
      <c r="B339" s="91" t="s">
        <v>732</v>
      </c>
      <c r="C339" s="92" t="s">
        <v>733</v>
      </c>
      <c r="D339" s="160">
        <v>9235</v>
      </c>
      <c r="E339" s="161">
        <v>1907</v>
      </c>
      <c r="F339" s="152">
        <f t="shared" si="34"/>
        <v>11142</v>
      </c>
      <c r="G339" s="154">
        <v>99</v>
      </c>
      <c r="H339" s="228">
        <v>11043</v>
      </c>
      <c r="I339" s="162">
        <v>1671</v>
      </c>
      <c r="X339" s="152">
        <f t="shared" si="35"/>
        <v>11142</v>
      </c>
      <c r="Y339" s="156">
        <f t="shared" si="33"/>
        <v>8.8999999999999999E-3</v>
      </c>
      <c r="Z339" s="152">
        <f t="shared" si="36"/>
        <v>99</v>
      </c>
      <c r="AA339" s="157">
        <v>97</v>
      </c>
      <c r="AB339" s="152">
        <f t="shared" si="37"/>
        <v>11045</v>
      </c>
      <c r="AC339" s="161">
        <f t="shared" si="38"/>
        <v>1671</v>
      </c>
      <c r="AD339" s="161">
        <v>2504</v>
      </c>
    </row>
    <row r="340" spans="1:30">
      <c r="A340" s="91" t="s">
        <v>697</v>
      </c>
      <c r="B340" s="91" t="s">
        <v>734</v>
      </c>
      <c r="C340" s="92" t="s">
        <v>735</v>
      </c>
      <c r="D340" s="160">
        <v>91756</v>
      </c>
      <c r="E340" s="161">
        <v>18729</v>
      </c>
      <c r="F340" s="152">
        <f t="shared" si="34"/>
        <v>110485</v>
      </c>
      <c r="G340" s="154">
        <v>983</v>
      </c>
      <c r="H340" s="228">
        <v>109502</v>
      </c>
      <c r="I340" s="162">
        <v>16573</v>
      </c>
      <c r="X340" s="152">
        <f t="shared" si="35"/>
        <v>110485</v>
      </c>
      <c r="Y340" s="156">
        <f t="shared" si="33"/>
        <v>8.8999999999999999E-3</v>
      </c>
      <c r="Z340" s="152">
        <f t="shared" si="36"/>
        <v>983</v>
      </c>
      <c r="AA340" s="157">
        <v>964</v>
      </c>
      <c r="AB340" s="152">
        <f t="shared" si="37"/>
        <v>109521</v>
      </c>
      <c r="AC340" s="161">
        <f t="shared" si="38"/>
        <v>16573</v>
      </c>
      <c r="AD340" s="161">
        <v>24853</v>
      </c>
    </row>
    <row r="341" spans="1:30">
      <c r="A341" s="91" t="s">
        <v>697</v>
      </c>
      <c r="B341" s="91" t="s">
        <v>736</v>
      </c>
      <c r="C341" s="92" t="s">
        <v>737</v>
      </c>
      <c r="D341" s="160">
        <v>23087</v>
      </c>
      <c r="E341" s="161">
        <v>4508</v>
      </c>
      <c r="F341" s="152">
        <f t="shared" si="34"/>
        <v>27595</v>
      </c>
      <c r="G341" s="154">
        <v>246</v>
      </c>
      <c r="H341" s="228">
        <v>27349</v>
      </c>
      <c r="I341" s="162">
        <v>4139</v>
      </c>
      <c r="X341" s="152">
        <f t="shared" si="35"/>
        <v>27595</v>
      </c>
      <c r="Y341" s="156">
        <f t="shared" si="33"/>
        <v>8.8999999999999999E-3</v>
      </c>
      <c r="Z341" s="152">
        <f t="shared" si="36"/>
        <v>246</v>
      </c>
      <c r="AA341" s="157">
        <v>241</v>
      </c>
      <c r="AB341" s="152">
        <f t="shared" si="37"/>
        <v>27354</v>
      </c>
      <c r="AC341" s="161">
        <f t="shared" si="38"/>
        <v>4139</v>
      </c>
      <c r="AD341" s="161">
        <v>6223</v>
      </c>
    </row>
    <row r="342" spans="1:30">
      <c r="A342" s="91" t="s">
        <v>697</v>
      </c>
      <c r="B342" s="91" t="s">
        <v>738</v>
      </c>
      <c r="C342" s="92" t="s">
        <v>739</v>
      </c>
      <c r="D342" s="160">
        <v>25271</v>
      </c>
      <c r="E342" s="161">
        <v>3773</v>
      </c>
      <c r="F342" s="152">
        <f t="shared" si="34"/>
        <v>29044</v>
      </c>
      <c r="G342" s="154">
        <v>258</v>
      </c>
      <c r="H342" s="228">
        <v>28786</v>
      </c>
      <c r="I342" s="162">
        <v>4357</v>
      </c>
      <c r="X342" s="152">
        <f t="shared" si="35"/>
        <v>29044</v>
      </c>
      <c r="Y342" s="156">
        <f t="shared" si="33"/>
        <v>8.8999999999999999E-3</v>
      </c>
      <c r="Z342" s="152">
        <f t="shared" si="36"/>
        <v>258</v>
      </c>
      <c r="AA342" s="157">
        <v>253</v>
      </c>
      <c r="AB342" s="152">
        <f t="shared" si="37"/>
        <v>28791</v>
      </c>
      <c r="AC342" s="161">
        <f t="shared" si="38"/>
        <v>4357</v>
      </c>
      <c r="AD342" s="161">
        <v>6641</v>
      </c>
    </row>
    <row r="343" spans="1:30">
      <c r="A343" s="91" t="s">
        <v>697</v>
      </c>
      <c r="B343" s="91" t="s">
        <v>740</v>
      </c>
      <c r="C343" s="92" t="s">
        <v>741</v>
      </c>
      <c r="D343" s="160">
        <v>114502</v>
      </c>
      <c r="E343" s="161">
        <v>18035</v>
      </c>
      <c r="F343" s="152">
        <f t="shared" si="34"/>
        <v>132537</v>
      </c>
      <c r="G343" s="154">
        <v>1180</v>
      </c>
      <c r="H343" s="228">
        <v>131357</v>
      </c>
      <c r="I343" s="162">
        <v>19881</v>
      </c>
      <c r="X343" s="152">
        <f t="shared" si="35"/>
        <v>132537</v>
      </c>
      <c r="Y343" s="156">
        <f t="shared" si="33"/>
        <v>8.8999999999999999E-3</v>
      </c>
      <c r="Z343" s="152">
        <f t="shared" si="36"/>
        <v>1180</v>
      </c>
      <c r="AA343" s="157">
        <v>1156</v>
      </c>
      <c r="AB343" s="152">
        <f t="shared" si="37"/>
        <v>131381</v>
      </c>
      <c r="AC343" s="161">
        <f t="shared" si="38"/>
        <v>19881</v>
      </c>
      <c r="AD343" s="161">
        <v>30229</v>
      </c>
    </row>
    <row r="344" spans="1:30">
      <c r="A344" s="91" t="s">
        <v>697</v>
      </c>
      <c r="B344" s="91" t="s">
        <v>742</v>
      </c>
      <c r="C344" s="92" t="s">
        <v>743</v>
      </c>
      <c r="D344" s="160">
        <v>203688</v>
      </c>
      <c r="E344" s="161">
        <v>52800</v>
      </c>
      <c r="F344" s="152">
        <f t="shared" si="34"/>
        <v>256488</v>
      </c>
      <c r="G344" s="154">
        <v>2283</v>
      </c>
      <c r="H344" s="228">
        <v>254205</v>
      </c>
      <c r="I344" s="162">
        <v>38473</v>
      </c>
      <c r="X344" s="152">
        <f t="shared" si="35"/>
        <v>256488</v>
      </c>
      <c r="Y344" s="156">
        <f t="shared" si="33"/>
        <v>8.8999999999999999E-3</v>
      </c>
      <c r="Z344" s="152">
        <f t="shared" si="36"/>
        <v>2283</v>
      </c>
      <c r="AA344" s="157">
        <v>2237</v>
      </c>
      <c r="AB344" s="152">
        <f t="shared" si="37"/>
        <v>254251</v>
      </c>
      <c r="AC344" s="161">
        <f t="shared" si="38"/>
        <v>38473</v>
      </c>
      <c r="AD344" s="161">
        <v>56820</v>
      </c>
    </row>
    <row r="345" spans="1:30">
      <c r="A345" s="91" t="s">
        <v>697</v>
      </c>
      <c r="B345" s="91" t="s">
        <v>744</v>
      </c>
      <c r="C345" s="92" t="s">
        <v>745</v>
      </c>
      <c r="D345" s="160">
        <v>28819</v>
      </c>
      <c r="E345" s="161">
        <v>4724</v>
      </c>
      <c r="F345" s="152">
        <f t="shared" si="34"/>
        <v>33543</v>
      </c>
      <c r="G345" s="154">
        <v>299</v>
      </c>
      <c r="H345" s="228">
        <v>33244</v>
      </c>
      <c r="I345" s="162">
        <v>5031</v>
      </c>
      <c r="X345" s="152">
        <f t="shared" si="35"/>
        <v>33543</v>
      </c>
      <c r="Y345" s="156">
        <f t="shared" si="33"/>
        <v>8.8999999999999999E-3</v>
      </c>
      <c r="Z345" s="152">
        <f t="shared" si="36"/>
        <v>299</v>
      </c>
      <c r="AA345" s="157">
        <v>293</v>
      </c>
      <c r="AB345" s="152">
        <f t="shared" si="37"/>
        <v>33250</v>
      </c>
      <c r="AC345" s="161">
        <f t="shared" si="38"/>
        <v>5031</v>
      </c>
      <c r="AD345" s="161">
        <v>7636</v>
      </c>
    </row>
    <row r="346" spans="1:30">
      <c r="A346" s="91" t="s">
        <v>697</v>
      </c>
      <c r="B346" s="91" t="s">
        <v>746</v>
      </c>
      <c r="C346" s="92" t="s">
        <v>747</v>
      </c>
      <c r="D346" s="160">
        <v>10668</v>
      </c>
      <c r="E346" s="161">
        <v>2906</v>
      </c>
      <c r="F346" s="152">
        <f t="shared" si="34"/>
        <v>13574</v>
      </c>
      <c r="G346" s="154">
        <v>121</v>
      </c>
      <c r="H346" s="228">
        <v>13453</v>
      </c>
      <c r="I346" s="162">
        <v>2036</v>
      </c>
      <c r="X346" s="152">
        <f t="shared" si="35"/>
        <v>13574</v>
      </c>
      <c r="Y346" s="156">
        <f t="shared" si="33"/>
        <v>8.8999999999999999E-3</v>
      </c>
      <c r="Z346" s="152">
        <f t="shared" si="36"/>
        <v>121</v>
      </c>
      <c r="AA346" s="157">
        <v>118</v>
      </c>
      <c r="AB346" s="152">
        <f t="shared" si="37"/>
        <v>13456</v>
      </c>
      <c r="AC346" s="161">
        <f t="shared" si="38"/>
        <v>2036</v>
      </c>
      <c r="AD346" s="161">
        <v>2997</v>
      </c>
    </row>
    <row r="347" spans="1:30">
      <c r="A347" s="91" t="s">
        <v>697</v>
      </c>
      <c r="B347" s="91" t="s">
        <v>748</v>
      </c>
      <c r="C347" s="92" t="s">
        <v>749</v>
      </c>
      <c r="D347" s="160">
        <v>24929</v>
      </c>
      <c r="E347" s="161">
        <v>4508</v>
      </c>
      <c r="F347" s="152">
        <f t="shared" si="34"/>
        <v>29437</v>
      </c>
      <c r="G347" s="154">
        <v>262</v>
      </c>
      <c r="H347" s="228">
        <v>29175</v>
      </c>
      <c r="I347" s="162">
        <v>4416</v>
      </c>
      <c r="X347" s="152">
        <f t="shared" si="35"/>
        <v>29437</v>
      </c>
      <c r="Y347" s="156">
        <f t="shared" si="33"/>
        <v>8.8999999999999999E-3</v>
      </c>
      <c r="Z347" s="152">
        <f t="shared" si="36"/>
        <v>262</v>
      </c>
      <c r="AA347" s="157">
        <v>257</v>
      </c>
      <c r="AB347" s="152">
        <f t="shared" si="37"/>
        <v>29180</v>
      </c>
      <c r="AC347" s="161">
        <f t="shared" si="38"/>
        <v>4416</v>
      </c>
      <c r="AD347" s="161">
        <v>6667</v>
      </c>
    </row>
    <row r="348" spans="1:30">
      <c r="A348" s="91" t="s">
        <v>697</v>
      </c>
      <c r="B348" s="91" t="s">
        <v>750</v>
      </c>
      <c r="C348" s="92" t="s">
        <v>751</v>
      </c>
      <c r="D348" s="160">
        <v>12055</v>
      </c>
      <c r="E348" s="161">
        <v>2123</v>
      </c>
      <c r="F348" s="152">
        <f t="shared" si="34"/>
        <v>14178</v>
      </c>
      <c r="G348" s="154">
        <v>126</v>
      </c>
      <c r="H348" s="228">
        <v>14052</v>
      </c>
      <c r="I348" s="162">
        <v>2127</v>
      </c>
      <c r="X348" s="152">
        <f t="shared" si="35"/>
        <v>14178</v>
      </c>
      <c r="Y348" s="156">
        <f t="shared" si="33"/>
        <v>8.8999999999999999E-3</v>
      </c>
      <c r="Z348" s="152">
        <f t="shared" si="36"/>
        <v>126</v>
      </c>
      <c r="AA348" s="157">
        <v>124</v>
      </c>
      <c r="AB348" s="152">
        <f t="shared" si="37"/>
        <v>14054</v>
      </c>
      <c r="AC348" s="161">
        <f t="shared" si="38"/>
        <v>2127</v>
      </c>
      <c r="AD348" s="161">
        <v>3216</v>
      </c>
    </row>
    <row r="349" spans="1:30">
      <c r="A349" s="91" t="s">
        <v>697</v>
      </c>
      <c r="B349" s="91" t="s">
        <v>752</v>
      </c>
      <c r="C349" s="92" t="s">
        <v>753</v>
      </c>
      <c r="D349" s="160">
        <v>29501</v>
      </c>
      <c r="E349" s="161">
        <v>5941</v>
      </c>
      <c r="F349" s="152">
        <f t="shared" si="34"/>
        <v>35442</v>
      </c>
      <c r="G349" s="154">
        <v>315</v>
      </c>
      <c r="H349" s="228">
        <v>35127</v>
      </c>
      <c r="I349" s="162">
        <v>5316</v>
      </c>
      <c r="X349" s="152">
        <f t="shared" si="35"/>
        <v>35442</v>
      </c>
      <c r="Y349" s="156">
        <f t="shared" si="33"/>
        <v>8.8999999999999999E-3</v>
      </c>
      <c r="Z349" s="152">
        <f t="shared" si="36"/>
        <v>315</v>
      </c>
      <c r="AA349" s="157">
        <v>309</v>
      </c>
      <c r="AB349" s="152">
        <f t="shared" si="37"/>
        <v>35133</v>
      </c>
      <c r="AC349" s="161">
        <f t="shared" si="38"/>
        <v>5316</v>
      </c>
      <c r="AD349" s="161">
        <v>7979</v>
      </c>
    </row>
    <row r="350" spans="1:30">
      <c r="A350" s="91" t="s">
        <v>697</v>
      </c>
      <c r="B350" s="91" t="s">
        <v>754</v>
      </c>
      <c r="C350" s="92" t="s">
        <v>755</v>
      </c>
      <c r="D350" s="160">
        <v>23201</v>
      </c>
      <c r="E350" s="161">
        <v>3729</v>
      </c>
      <c r="F350" s="152">
        <f t="shared" si="34"/>
        <v>26930</v>
      </c>
      <c r="G350" s="154">
        <v>240</v>
      </c>
      <c r="H350" s="228">
        <v>26690</v>
      </c>
      <c r="I350" s="162">
        <v>4040</v>
      </c>
      <c r="X350" s="152">
        <f t="shared" si="35"/>
        <v>26930</v>
      </c>
      <c r="Y350" s="156">
        <f t="shared" si="33"/>
        <v>8.8999999999999999E-3</v>
      </c>
      <c r="Z350" s="152">
        <f t="shared" si="36"/>
        <v>240</v>
      </c>
      <c r="AA350" s="157">
        <v>235</v>
      </c>
      <c r="AB350" s="152">
        <f t="shared" si="37"/>
        <v>26695</v>
      </c>
      <c r="AC350" s="161">
        <f t="shared" si="38"/>
        <v>4040</v>
      </c>
      <c r="AD350" s="161">
        <v>6136</v>
      </c>
    </row>
    <row r="351" spans="1:30">
      <c r="A351" s="83" t="s">
        <v>697</v>
      </c>
      <c r="B351" s="83" t="s">
        <v>756</v>
      </c>
      <c r="C351" s="84" t="s">
        <v>757</v>
      </c>
      <c r="D351" s="160">
        <v>32435</v>
      </c>
      <c r="E351" s="161">
        <v>6591</v>
      </c>
      <c r="F351" s="152">
        <f t="shared" si="34"/>
        <v>39026</v>
      </c>
      <c r="G351" s="154">
        <v>347</v>
      </c>
      <c r="H351" s="228">
        <v>38679</v>
      </c>
      <c r="I351" s="162">
        <v>5854</v>
      </c>
      <c r="X351" s="152">
        <f t="shared" si="35"/>
        <v>39026</v>
      </c>
      <c r="Y351" s="156">
        <f t="shared" si="33"/>
        <v>8.8999999999999999E-3</v>
      </c>
      <c r="Z351" s="152">
        <f t="shared" si="36"/>
        <v>347</v>
      </c>
      <c r="AA351" s="157">
        <v>340</v>
      </c>
      <c r="AB351" s="152">
        <f t="shared" si="37"/>
        <v>38686</v>
      </c>
      <c r="AC351" s="161">
        <f t="shared" si="38"/>
        <v>5854</v>
      </c>
      <c r="AD351" s="161">
        <v>8781</v>
      </c>
    </row>
    <row r="352" spans="1:30">
      <c r="A352" s="104" t="s">
        <v>697</v>
      </c>
      <c r="B352" s="104" t="s">
        <v>758</v>
      </c>
      <c r="C352" s="105" t="s">
        <v>759</v>
      </c>
      <c r="D352" s="160">
        <v>24770</v>
      </c>
      <c r="E352" s="161">
        <v>5764</v>
      </c>
      <c r="F352" s="152">
        <f t="shared" si="34"/>
        <v>30534</v>
      </c>
      <c r="G352" s="154">
        <v>272</v>
      </c>
      <c r="H352" s="228">
        <v>30262</v>
      </c>
      <c r="I352" s="162">
        <v>4580</v>
      </c>
      <c r="X352" s="152">
        <f t="shared" si="35"/>
        <v>30534</v>
      </c>
      <c r="Y352" s="156">
        <f t="shared" si="33"/>
        <v>8.8999999999999999E-3</v>
      </c>
      <c r="Z352" s="152">
        <f t="shared" si="36"/>
        <v>272</v>
      </c>
      <c r="AA352" s="157">
        <v>266</v>
      </c>
      <c r="AB352" s="152">
        <f t="shared" si="37"/>
        <v>30268</v>
      </c>
      <c r="AC352" s="161">
        <f t="shared" si="38"/>
        <v>4580</v>
      </c>
      <c r="AD352" s="161">
        <v>6813</v>
      </c>
    </row>
    <row r="353" spans="1:30">
      <c r="A353" s="91" t="s">
        <v>697</v>
      </c>
      <c r="B353" s="91" t="s">
        <v>760</v>
      </c>
      <c r="C353" s="92" t="s">
        <v>761</v>
      </c>
      <c r="D353" s="160">
        <v>21540</v>
      </c>
      <c r="E353" s="161">
        <v>8064</v>
      </c>
      <c r="F353" s="152">
        <f t="shared" si="34"/>
        <v>29604</v>
      </c>
      <c r="G353" s="154">
        <v>263</v>
      </c>
      <c r="H353" s="228">
        <v>29341</v>
      </c>
      <c r="I353" s="162">
        <v>4441</v>
      </c>
      <c r="X353" s="152">
        <f t="shared" si="35"/>
        <v>29604</v>
      </c>
      <c r="Y353" s="156">
        <f t="shared" si="33"/>
        <v>8.8999999999999999E-3</v>
      </c>
      <c r="Z353" s="152">
        <f t="shared" si="36"/>
        <v>263</v>
      </c>
      <c r="AA353" s="157">
        <v>258</v>
      </c>
      <c r="AB353" s="152">
        <f t="shared" si="37"/>
        <v>29346</v>
      </c>
      <c r="AC353" s="161">
        <f t="shared" si="38"/>
        <v>4441</v>
      </c>
      <c r="AD353" s="161">
        <v>6373</v>
      </c>
    </row>
    <row r="354" spans="1:30" ht="15.75" thickBot="1">
      <c r="A354" s="93" t="s">
        <v>697</v>
      </c>
      <c r="B354" s="93" t="s">
        <v>762</v>
      </c>
      <c r="C354" s="94" t="s">
        <v>763</v>
      </c>
      <c r="D354" s="174">
        <v>16218</v>
      </c>
      <c r="E354" s="175">
        <v>3123</v>
      </c>
      <c r="F354" s="174">
        <f t="shared" si="34"/>
        <v>19341</v>
      </c>
      <c r="G354" s="176">
        <v>172</v>
      </c>
      <c r="H354" s="229">
        <v>19169</v>
      </c>
      <c r="I354" s="177">
        <v>2901</v>
      </c>
      <c r="X354" s="174">
        <f t="shared" si="35"/>
        <v>19341</v>
      </c>
      <c r="Y354" s="178">
        <f t="shared" si="33"/>
        <v>8.8999999999999999E-3</v>
      </c>
      <c r="Z354" s="174">
        <f t="shared" si="36"/>
        <v>172</v>
      </c>
      <c r="AA354" s="179">
        <v>169</v>
      </c>
      <c r="AB354" s="174">
        <f t="shared" si="37"/>
        <v>19172</v>
      </c>
      <c r="AC354" s="175">
        <f t="shared" si="38"/>
        <v>2901</v>
      </c>
      <c r="AD354" s="175">
        <v>4365</v>
      </c>
    </row>
    <row r="355" spans="1:30">
      <c r="A355" s="183"/>
      <c r="B355" s="183">
        <f>COUNTIF(B7:B354,"not blank")</f>
        <v>0</v>
      </c>
      <c r="C355" s="183" t="s">
        <v>765</v>
      </c>
      <c r="D355" s="153">
        <f>SUM(D7:D354)</f>
        <v>22718175</v>
      </c>
      <c r="E355" s="153">
        <f>SUM(E7:E354)</f>
        <v>4002337</v>
      </c>
      <c r="F355" s="153">
        <f t="shared" ref="F355:H355" si="39">SUM(F7:F354)</f>
        <v>26720512</v>
      </c>
      <c r="G355" s="153">
        <f t="shared" si="39"/>
        <v>326642</v>
      </c>
      <c r="H355" s="184">
        <f t="shared" si="39"/>
        <v>26393870</v>
      </c>
      <c r="I355" s="153">
        <f>SUM(I7:I354)</f>
        <v>4008088</v>
      </c>
      <c r="X355" s="153">
        <f>SUM(X7:X354)</f>
        <v>26720512</v>
      </c>
      <c r="Y355" s="185"/>
      <c r="Z355" s="153">
        <f t="shared" ref="Z355:AD355" si="40">SUM(Z7:Z354)</f>
        <v>326642</v>
      </c>
      <c r="AA355" s="153">
        <f t="shared" si="40"/>
        <v>320079</v>
      </c>
      <c r="AB355" s="153">
        <f t="shared" si="40"/>
        <v>26400433</v>
      </c>
      <c r="AC355" s="153">
        <f t="shared" si="40"/>
        <v>4008088</v>
      </c>
      <c r="AD355" s="153">
        <f t="shared" si="40"/>
        <v>6060059</v>
      </c>
    </row>
    <row r="356" spans="1:30">
      <c r="C356" s="183"/>
      <c r="E356" s="186"/>
      <c r="I356" s="186"/>
      <c r="Y356" s="186"/>
      <c r="AC356" s="186"/>
      <c r="AD356" s="186"/>
    </row>
    <row r="357" spans="1:30">
      <c r="E357" s="186"/>
      <c r="I357" s="186"/>
      <c r="Y357" s="186"/>
      <c r="AC357" s="186"/>
      <c r="AD357" s="186"/>
    </row>
    <row r="358" spans="1:30">
      <c r="A358" s="158"/>
      <c r="B358" s="159"/>
      <c r="C358" s="188" t="s">
        <v>781</v>
      </c>
      <c r="D358" s="189"/>
      <c r="E358" s="189"/>
      <c r="F358" s="189"/>
      <c r="G358" s="189"/>
      <c r="H358" s="189"/>
      <c r="I358" s="189"/>
      <c r="X358" s="189"/>
      <c r="Y358" s="189"/>
      <c r="Z358" s="189"/>
      <c r="AA358" s="189"/>
      <c r="AB358" s="189"/>
      <c r="AC358" s="189"/>
      <c r="AD358" s="189"/>
    </row>
    <row r="359" spans="1:30">
      <c r="A359" s="158"/>
      <c r="B359" s="159"/>
      <c r="C359" s="159"/>
      <c r="D359" s="189"/>
      <c r="E359" s="189"/>
      <c r="F359" s="189"/>
      <c r="G359" s="189"/>
      <c r="H359" s="189"/>
      <c r="I359" s="189"/>
      <c r="X359" s="189"/>
      <c r="Y359" s="189"/>
      <c r="Z359" s="189"/>
      <c r="AA359" s="189"/>
      <c r="AB359" s="189"/>
      <c r="AC359" s="189"/>
      <c r="AD359" s="189"/>
    </row>
    <row r="360" spans="1:30">
      <c r="A360" s="158"/>
      <c r="B360" s="159"/>
      <c r="C360" s="159" t="s">
        <v>544</v>
      </c>
      <c r="D360" s="160">
        <v>264</v>
      </c>
      <c r="E360" s="160">
        <v>126</v>
      </c>
      <c r="F360" s="152">
        <f t="shared" ref="F360:F367" si="41">+E360+D360</f>
        <v>390</v>
      </c>
      <c r="G360" s="190"/>
      <c r="H360" s="152">
        <f t="shared" ref="H360:H367" si="42">+F360-G360</f>
        <v>390</v>
      </c>
      <c r="I360" s="191"/>
      <c r="X360" s="152">
        <v>392</v>
      </c>
      <c r="Y360" s="192"/>
      <c r="Z360" s="190"/>
      <c r="AA360" s="190"/>
      <c r="AB360" s="152">
        <f t="shared" ref="AB360:AB367" si="43">+X360-AA360</f>
        <v>392</v>
      </c>
      <c r="AC360" s="191"/>
      <c r="AD360" s="191"/>
    </row>
    <row r="361" spans="1:30">
      <c r="A361" s="158"/>
      <c r="B361" s="159"/>
      <c r="C361" s="193" t="s">
        <v>166</v>
      </c>
      <c r="D361" s="160">
        <v>1888</v>
      </c>
      <c r="E361" s="160">
        <v>806</v>
      </c>
      <c r="F361" s="152">
        <f t="shared" si="41"/>
        <v>2694</v>
      </c>
      <c r="G361" s="190"/>
      <c r="H361" s="152">
        <f t="shared" si="42"/>
        <v>2694</v>
      </c>
      <c r="I361" s="191"/>
      <c r="X361" s="152">
        <v>2711</v>
      </c>
      <c r="Y361" s="192"/>
      <c r="Z361" s="190"/>
      <c r="AA361" s="190"/>
      <c r="AB361" s="152">
        <f t="shared" si="43"/>
        <v>2711</v>
      </c>
      <c r="AC361" s="191"/>
      <c r="AD361" s="191"/>
    </row>
    <row r="362" spans="1:30">
      <c r="A362" s="158"/>
      <c r="B362" s="159"/>
      <c r="C362" s="159" t="s">
        <v>782</v>
      </c>
      <c r="D362" s="160">
        <v>6456</v>
      </c>
      <c r="E362" s="160">
        <v>2718</v>
      </c>
      <c r="F362" s="152">
        <f t="shared" si="41"/>
        <v>9174</v>
      </c>
      <c r="G362" s="190"/>
      <c r="H362" s="152">
        <f t="shared" si="42"/>
        <v>9174</v>
      </c>
      <c r="I362" s="191"/>
      <c r="X362" s="152">
        <v>9231</v>
      </c>
      <c r="Y362" s="192"/>
      <c r="Z362" s="190"/>
      <c r="AA362" s="190"/>
      <c r="AB362" s="152">
        <f t="shared" si="43"/>
        <v>9231</v>
      </c>
      <c r="AC362" s="191"/>
      <c r="AD362" s="191"/>
    </row>
    <row r="363" spans="1:30">
      <c r="A363" s="158"/>
      <c r="B363" s="159"/>
      <c r="C363" s="159" t="s">
        <v>783</v>
      </c>
      <c r="D363" s="160">
        <v>2547</v>
      </c>
      <c r="E363" s="160">
        <v>1062</v>
      </c>
      <c r="F363" s="152">
        <f t="shared" si="41"/>
        <v>3609</v>
      </c>
      <c r="G363" s="190"/>
      <c r="H363" s="152">
        <f t="shared" si="42"/>
        <v>3609</v>
      </c>
      <c r="I363" s="191"/>
      <c r="X363" s="152">
        <v>3632</v>
      </c>
      <c r="Y363" s="192"/>
      <c r="Z363" s="190"/>
      <c r="AA363" s="190"/>
      <c r="AB363" s="152">
        <f t="shared" si="43"/>
        <v>3632</v>
      </c>
      <c r="AC363" s="191"/>
      <c r="AD363" s="191"/>
    </row>
    <row r="364" spans="1:30">
      <c r="A364" s="158"/>
      <c r="B364" s="159"/>
      <c r="C364" s="159" t="s">
        <v>784</v>
      </c>
      <c r="D364" s="160">
        <v>483</v>
      </c>
      <c r="E364" s="160">
        <v>212</v>
      </c>
      <c r="F364" s="152">
        <f t="shared" si="41"/>
        <v>695</v>
      </c>
      <c r="G364" s="190"/>
      <c r="H364" s="152">
        <f t="shared" si="42"/>
        <v>695</v>
      </c>
      <c r="I364" s="191"/>
      <c r="X364" s="152">
        <v>700</v>
      </c>
      <c r="Y364" s="192"/>
      <c r="Z364" s="190"/>
      <c r="AA364" s="190"/>
      <c r="AB364" s="152">
        <f t="shared" si="43"/>
        <v>700</v>
      </c>
      <c r="AC364" s="191"/>
      <c r="AD364" s="191"/>
    </row>
    <row r="365" spans="1:30">
      <c r="A365" s="158"/>
      <c r="B365" s="159"/>
      <c r="C365" s="159" t="s">
        <v>785</v>
      </c>
      <c r="D365" s="160">
        <v>4787</v>
      </c>
      <c r="E365" s="160">
        <v>1998</v>
      </c>
      <c r="F365" s="152">
        <f t="shared" si="41"/>
        <v>6785</v>
      </c>
      <c r="G365" s="190"/>
      <c r="H365" s="152">
        <f t="shared" si="42"/>
        <v>6785</v>
      </c>
      <c r="I365" s="191"/>
      <c r="X365" s="152">
        <v>6828</v>
      </c>
      <c r="Y365" s="192"/>
      <c r="Z365" s="190"/>
      <c r="AA365" s="190"/>
      <c r="AB365" s="152">
        <f t="shared" si="43"/>
        <v>6828</v>
      </c>
      <c r="AC365" s="191"/>
      <c r="AD365" s="191"/>
    </row>
    <row r="366" spans="1:30">
      <c r="A366" s="158"/>
      <c r="B366" s="159"/>
      <c r="C366" s="159" t="s">
        <v>786</v>
      </c>
      <c r="D366" s="160">
        <v>220</v>
      </c>
      <c r="E366" s="160">
        <v>87</v>
      </c>
      <c r="F366" s="152">
        <f t="shared" si="41"/>
        <v>307</v>
      </c>
      <c r="G366" s="190"/>
      <c r="H366" s="152">
        <f t="shared" si="42"/>
        <v>307</v>
      </c>
      <c r="I366" s="191"/>
      <c r="X366" s="152">
        <v>308</v>
      </c>
      <c r="Y366" s="192"/>
      <c r="Z366" s="190"/>
      <c r="AA366" s="190"/>
      <c r="AB366" s="152">
        <f t="shared" si="43"/>
        <v>308</v>
      </c>
      <c r="AC366" s="191"/>
      <c r="AD366" s="191"/>
    </row>
    <row r="367" spans="1:30">
      <c r="A367" s="158"/>
      <c r="B367" s="159"/>
      <c r="C367" s="159" t="s">
        <v>787</v>
      </c>
      <c r="D367" s="160">
        <v>10364</v>
      </c>
      <c r="E367" s="160">
        <v>4374</v>
      </c>
      <c r="F367" s="152">
        <f t="shared" si="41"/>
        <v>14738</v>
      </c>
      <c r="G367" s="190"/>
      <c r="H367" s="152">
        <f t="shared" si="42"/>
        <v>14738</v>
      </c>
      <c r="I367" s="191"/>
      <c r="X367" s="152">
        <v>14830</v>
      </c>
      <c r="Y367" s="192"/>
      <c r="Z367" s="190"/>
      <c r="AA367" s="190"/>
      <c r="AB367" s="152">
        <f t="shared" si="43"/>
        <v>14830</v>
      </c>
      <c r="AC367" s="191"/>
      <c r="AD367" s="191"/>
    </row>
    <row r="368" spans="1:30" ht="15.75" thickBot="1">
      <c r="A368" s="194"/>
      <c r="B368" s="195"/>
      <c r="C368" s="195"/>
      <c r="D368" s="196"/>
      <c r="E368" s="196"/>
      <c r="F368" s="196"/>
      <c r="G368" s="196"/>
      <c r="H368" s="196"/>
      <c r="I368" s="196"/>
      <c r="X368" s="196"/>
      <c r="Y368" s="196"/>
      <c r="Z368" s="196"/>
      <c r="AA368" s="196"/>
      <c r="AB368" s="196"/>
      <c r="AC368" s="196"/>
      <c r="AD368" s="196"/>
    </row>
    <row r="369" spans="1:30" ht="15.75" thickBot="1">
      <c r="A369" s="197"/>
      <c r="B369" s="198"/>
      <c r="C369" s="199" t="s">
        <v>788</v>
      </c>
      <c r="D369" s="200">
        <f>SUM(D360:D367)</f>
        <v>27009</v>
      </c>
      <c r="E369" s="200">
        <f>SUM(E360:E367)</f>
        <v>11383</v>
      </c>
      <c r="F369" s="200">
        <f t="shared" ref="F369:I369" si="44">SUM(F360:F367)</f>
        <v>38392</v>
      </c>
      <c r="G369" s="201"/>
      <c r="H369" s="200">
        <f>SUM(H360:H368)</f>
        <v>38392</v>
      </c>
      <c r="I369" s="202">
        <f t="shared" si="44"/>
        <v>0</v>
      </c>
      <c r="X369" s="200">
        <v>38632</v>
      </c>
      <c r="Y369" s="203"/>
      <c r="Z369" s="201"/>
      <c r="AA369" s="201"/>
      <c r="AB369" s="200">
        <f>SUM(AB360:AB368)</f>
        <v>38632</v>
      </c>
      <c r="AC369" s="200">
        <f t="shared" ref="AC369:AD369" si="45">SUM(AC360:AC367)</f>
        <v>0</v>
      </c>
      <c r="AD369" s="200">
        <f t="shared" si="45"/>
        <v>0</v>
      </c>
    </row>
    <row r="370" spans="1:30" ht="15.75" thickBot="1">
      <c r="A370" s="204"/>
      <c r="B370" s="198"/>
      <c r="C370" s="198"/>
      <c r="D370" s="205"/>
      <c r="E370" s="205"/>
      <c r="F370" s="205"/>
      <c r="G370" s="205"/>
      <c r="H370" s="205"/>
      <c r="I370" s="205"/>
      <c r="X370" s="205"/>
      <c r="Y370" s="205"/>
      <c r="Z370" s="205"/>
      <c r="AA370" s="205"/>
      <c r="AB370" s="205"/>
      <c r="AC370" s="205"/>
      <c r="AD370" s="205"/>
    </row>
    <row r="371" spans="1:30" ht="15.75" thickBot="1">
      <c r="A371" s="204"/>
      <c r="B371" s="198"/>
      <c r="C371" s="199" t="s">
        <v>789</v>
      </c>
      <c r="D371" s="206">
        <f>+D369+D355</f>
        <v>22745184</v>
      </c>
      <c r="E371" s="206">
        <f>+E369+E355</f>
        <v>4013720</v>
      </c>
      <c r="F371" s="206">
        <f t="shared" ref="F371:I371" si="46">+F369+F355</f>
        <v>26758904</v>
      </c>
      <c r="G371" s="206">
        <f t="shared" si="46"/>
        <v>326642</v>
      </c>
      <c r="H371" s="206">
        <f t="shared" si="46"/>
        <v>26432262</v>
      </c>
      <c r="I371" s="207">
        <f t="shared" si="46"/>
        <v>4008088</v>
      </c>
      <c r="X371" s="206">
        <f>+X369+X355</f>
        <v>26759144</v>
      </c>
      <c r="Y371" s="208"/>
      <c r="Z371" s="206">
        <f t="shared" ref="Z371:AD371" si="47">+Z369+Z355</f>
        <v>326642</v>
      </c>
      <c r="AA371" s="206">
        <f t="shared" si="47"/>
        <v>320079</v>
      </c>
      <c r="AB371" s="206">
        <f t="shared" si="47"/>
        <v>26439065</v>
      </c>
      <c r="AC371" s="206">
        <f t="shared" si="47"/>
        <v>4008088</v>
      </c>
      <c r="AD371" s="206">
        <f t="shared" si="47"/>
        <v>6060059</v>
      </c>
    </row>
    <row r="372" spans="1:30">
      <c r="A372" s="150"/>
      <c r="B372" s="151"/>
      <c r="C372" s="151"/>
      <c r="D372" s="209"/>
      <c r="E372" s="209"/>
      <c r="F372" s="209"/>
      <c r="G372" s="209"/>
      <c r="H372" s="209"/>
      <c r="I372" s="209"/>
      <c r="X372" s="209"/>
      <c r="Y372" s="209"/>
      <c r="Z372" s="209"/>
      <c r="AA372" s="209"/>
      <c r="AB372" s="209"/>
      <c r="AC372" s="209"/>
      <c r="AD372" s="209"/>
    </row>
    <row r="373" spans="1:30">
      <c r="A373" s="158"/>
      <c r="B373" s="159"/>
      <c r="C373" s="159"/>
      <c r="D373" s="189"/>
      <c r="E373" s="189"/>
      <c r="F373" s="189"/>
      <c r="G373" s="189"/>
      <c r="H373" s="189"/>
      <c r="I373" s="189"/>
      <c r="X373" s="189"/>
      <c r="Y373" s="189"/>
      <c r="Z373" s="189"/>
      <c r="AA373" s="189"/>
      <c r="AB373" s="189"/>
      <c r="AC373" s="189"/>
      <c r="AD373" s="189"/>
    </row>
    <row r="374" spans="1:30">
      <c r="A374" s="158"/>
      <c r="B374" s="159"/>
      <c r="C374" s="159"/>
      <c r="D374" s="189"/>
      <c r="E374" s="189"/>
      <c r="F374" s="189"/>
      <c r="G374" s="189"/>
      <c r="H374" s="189"/>
      <c r="I374" s="189"/>
      <c r="X374" s="189"/>
      <c r="Y374" s="189"/>
      <c r="Z374" s="189"/>
      <c r="AA374" s="189"/>
      <c r="AB374" s="189"/>
      <c r="AC374" s="189"/>
      <c r="AD374" s="189"/>
    </row>
    <row r="375" spans="1:30">
      <c r="A375" s="158"/>
      <c r="B375" s="159"/>
      <c r="C375" s="210" t="s">
        <v>790</v>
      </c>
      <c r="D375" s="160">
        <f>SUM(D7:D30)</f>
        <v>1514228</v>
      </c>
      <c r="E375" s="160">
        <f>SUM(E7:E30)</f>
        <v>227370</v>
      </c>
      <c r="F375" s="160">
        <f t="shared" ref="F375:I375" si="48">SUM(F7:F30)</f>
        <v>1741598</v>
      </c>
      <c r="G375" s="160">
        <f t="shared" si="48"/>
        <v>32916</v>
      </c>
      <c r="H375" s="160">
        <f t="shared" si="48"/>
        <v>1708682</v>
      </c>
      <c r="I375" s="160">
        <f t="shared" si="48"/>
        <v>261241</v>
      </c>
      <c r="X375" s="160">
        <f t="shared" ref="X375" si="49">SUM(X7:X30)</f>
        <v>1741598</v>
      </c>
      <c r="Y375" s="211">
        <f>+AG19</f>
        <v>1.89E-2</v>
      </c>
      <c r="Z375" s="160">
        <f t="shared" ref="Z375:AD375" si="50">SUM(Z7:Z30)</f>
        <v>32916</v>
      </c>
      <c r="AA375" s="160">
        <f t="shared" si="50"/>
        <v>32254</v>
      </c>
      <c r="AB375" s="160">
        <f t="shared" si="50"/>
        <v>1709344</v>
      </c>
      <c r="AC375" s="160">
        <f t="shared" si="50"/>
        <v>261241</v>
      </c>
      <c r="AD375" s="160">
        <f t="shared" si="50"/>
        <v>398128</v>
      </c>
    </row>
    <row r="376" spans="1:30">
      <c r="A376" s="158"/>
      <c r="B376" s="159"/>
      <c r="C376" s="210" t="s">
        <v>791</v>
      </c>
      <c r="D376" s="160">
        <f>SUM(D31:D87)</f>
        <v>2954858</v>
      </c>
      <c r="E376" s="160">
        <f>SUM(E31:E87)</f>
        <v>548791</v>
      </c>
      <c r="F376" s="160">
        <f t="shared" ref="F376:I376" si="51">SUM(F31:F87)</f>
        <v>3503649</v>
      </c>
      <c r="G376" s="160">
        <f t="shared" si="51"/>
        <v>49053</v>
      </c>
      <c r="H376" s="160">
        <f t="shared" si="51"/>
        <v>3454596</v>
      </c>
      <c r="I376" s="160">
        <f t="shared" si="51"/>
        <v>525548</v>
      </c>
      <c r="X376" s="160">
        <f t="shared" ref="X376" si="52">SUM(X31:X87)</f>
        <v>3503649</v>
      </c>
      <c r="Y376" s="211">
        <f t="shared" ref="Y376:Y383" si="53">+AG20</f>
        <v>1.4E-2</v>
      </c>
      <c r="Z376" s="160">
        <f t="shared" ref="Z376:AD376" si="54">SUM(Z31:Z87)</f>
        <v>49053</v>
      </c>
      <c r="AA376" s="160">
        <f t="shared" si="54"/>
        <v>48065</v>
      </c>
      <c r="AB376" s="160">
        <f t="shared" si="54"/>
        <v>3455584</v>
      </c>
      <c r="AC376" s="160">
        <f t="shared" si="54"/>
        <v>525548</v>
      </c>
      <c r="AD376" s="160">
        <f t="shared" si="54"/>
        <v>792357</v>
      </c>
    </row>
    <row r="377" spans="1:30">
      <c r="A377" s="158"/>
      <c r="B377" s="159"/>
      <c r="C377" s="210" t="s">
        <v>792</v>
      </c>
      <c r="D377" s="160">
        <f>SUM(D88:D131)</f>
        <v>1449244</v>
      </c>
      <c r="E377" s="160">
        <f>SUM(E88:E131)</f>
        <v>273949</v>
      </c>
      <c r="F377" s="160">
        <f t="shared" ref="F377:I377" si="55">SUM(F88:F131)</f>
        <v>1723193</v>
      </c>
      <c r="G377" s="160">
        <f t="shared" si="55"/>
        <v>38255</v>
      </c>
      <c r="H377" s="160">
        <f t="shared" si="55"/>
        <v>1684938</v>
      </c>
      <c r="I377" s="160">
        <f t="shared" si="55"/>
        <v>258481</v>
      </c>
      <c r="X377" s="160">
        <f t="shared" ref="X377" si="56">SUM(X88:X131)</f>
        <v>1723193</v>
      </c>
      <c r="Y377" s="211">
        <f t="shared" si="53"/>
        <v>2.2200000000000001E-2</v>
      </c>
      <c r="Z377" s="160">
        <f t="shared" ref="Z377:AD377" si="57">SUM(Z88:Z131)</f>
        <v>38255</v>
      </c>
      <c r="AA377" s="160">
        <f t="shared" si="57"/>
        <v>37485</v>
      </c>
      <c r="AB377" s="160">
        <f t="shared" si="57"/>
        <v>1685708</v>
      </c>
      <c r="AC377" s="160">
        <f t="shared" si="57"/>
        <v>258481</v>
      </c>
      <c r="AD377" s="160">
        <f t="shared" si="57"/>
        <v>389323</v>
      </c>
    </row>
    <row r="378" spans="1:30">
      <c r="A378" s="158"/>
      <c r="B378" s="159"/>
      <c r="C378" s="210" t="s">
        <v>793</v>
      </c>
      <c r="D378" s="160">
        <f>SUM(D132:D153)</f>
        <v>2260585</v>
      </c>
      <c r="E378" s="160">
        <f>SUM(E132:E153)</f>
        <v>446510</v>
      </c>
      <c r="F378" s="160">
        <f t="shared" ref="F378:I378" si="58">SUM(F132:F153)</f>
        <v>2707095</v>
      </c>
      <c r="G378" s="160">
        <f t="shared" si="58"/>
        <v>27071</v>
      </c>
      <c r="H378" s="160">
        <f t="shared" si="58"/>
        <v>2680024</v>
      </c>
      <c r="I378" s="160">
        <f t="shared" si="58"/>
        <v>406063</v>
      </c>
      <c r="X378" s="160">
        <f t="shared" ref="X378" si="59">SUM(X132:X153)</f>
        <v>2707095</v>
      </c>
      <c r="Y378" s="211">
        <f t="shared" si="53"/>
        <v>0.01</v>
      </c>
      <c r="Z378" s="160">
        <f t="shared" ref="Z378:AD378" si="60">SUM(Z132:Z153)</f>
        <v>27071</v>
      </c>
      <c r="AA378" s="160">
        <f t="shared" si="60"/>
        <v>26528</v>
      </c>
      <c r="AB378" s="160">
        <f t="shared" si="60"/>
        <v>2680567</v>
      </c>
      <c r="AC378" s="160">
        <f t="shared" si="60"/>
        <v>406063</v>
      </c>
      <c r="AD378" s="160">
        <f t="shared" si="60"/>
        <v>610103</v>
      </c>
    </row>
    <row r="379" spans="1:30">
      <c r="A379" s="158"/>
      <c r="B379" s="159"/>
      <c r="C379" s="210" t="s">
        <v>794</v>
      </c>
      <c r="D379" s="160">
        <f>SUM(D154:D185)</f>
        <v>3165571</v>
      </c>
      <c r="E379" s="160">
        <f>SUM(E154:E185)</f>
        <v>439400</v>
      </c>
      <c r="F379" s="160">
        <f t="shared" ref="F379:I379" si="61">SUM(F154:F185)</f>
        <v>3604971</v>
      </c>
      <c r="G379" s="160">
        <f t="shared" si="61"/>
        <v>43258</v>
      </c>
      <c r="H379" s="160">
        <f t="shared" si="61"/>
        <v>3561713</v>
      </c>
      <c r="I379" s="160">
        <f t="shared" si="61"/>
        <v>540746</v>
      </c>
      <c r="X379" s="160">
        <f t="shared" ref="X379" si="62">SUM(X154:X185)</f>
        <v>3604971</v>
      </c>
      <c r="Y379" s="211">
        <f t="shared" si="53"/>
        <v>1.2E-2</v>
      </c>
      <c r="Z379" s="160">
        <f t="shared" ref="Z379:AD379" si="63">SUM(Z154:Z185)</f>
        <v>43258</v>
      </c>
      <c r="AA379" s="160">
        <f t="shared" si="63"/>
        <v>42390</v>
      </c>
      <c r="AB379" s="160">
        <f t="shared" si="63"/>
        <v>3562581</v>
      </c>
      <c r="AC379" s="160">
        <f t="shared" si="63"/>
        <v>540746</v>
      </c>
      <c r="AD379" s="160">
        <f t="shared" si="63"/>
        <v>827027</v>
      </c>
    </row>
    <row r="380" spans="1:30">
      <c r="A380" s="158"/>
      <c r="B380" s="159"/>
      <c r="C380" s="210" t="s">
        <v>795</v>
      </c>
      <c r="D380" s="160">
        <f>SUM(D186:D238)</f>
        <v>6029805</v>
      </c>
      <c r="E380" s="160">
        <f>SUM(E186:E238)</f>
        <v>983287</v>
      </c>
      <c r="F380" s="160">
        <f t="shared" ref="F380:I380" si="64">SUM(F186:F238)</f>
        <v>7013092</v>
      </c>
      <c r="G380" s="160">
        <f t="shared" si="64"/>
        <v>64519</v>
      </c>
      <c r="H380" s="160">
        <f t="shared" si="64"/>
        <v>6948573</v>
      </c>
      <c r="I380" s="160">
        <f t="shared" si="64"/>
        <v>1051968</v>
      </c>
      <c r="X380" s="160">
        <f t="shared" ref="X380" si="65">SUM(X186:X238)</f>
        <v>7013092</v>
      </c>
      <c r="Y380" s="211">
        <f t="shared" si="53"/>
        <v>9.1999999999999998E-3</v>
      </c>
      <c r="Z380" s="160">
        <f t="shared" ref="Z380:AD380" si="66">SUM(Z186:Z238)</f>
        <v>64519</v>
      </c>
      <c r="AA380" s="160">
        <f t="shared" si="66"/>
        <v>63222</v>
      </c>
      <c r="AB380" s="160">
        <f t="shared" si="66"/>
        <v>6949870</v>
      </c>
      <c r="AC380" s="160">
        <f t="shared" si="66"/>
        <v>1051968</v>
      </c>
      <c r="AD380" s="160">
        <f t="shared" si="66"/>
        <v>1596834</v>
      </c>
    </row>
    <row r="381" spans="1:30">
      <c r="A381" s="158"/>
      <c r="B381" s="159"/>
      <c r="C381" s="210" t="s">
        <v>796</v>
      </c>
      <c r="D381" s="160">
        <f>SUM(D239:D273)</f>
        <v>1917104</v>
      </c>
      <c r="E381" s="160">
        <f>SUM(E239:E273)</f>
        <v>358507</v>
      </c>
      <c r="F381" s="160">
        <f t="shared" ref="F381:I381" si="67">SUM(F239:F273)</f>
        <v>2275611</v>
      </c>
      <c r="G381" s="160">
        <f t="shared" si="67"/>
        <v>35271</v>
      </c>
      <c r="H381" s="160">
        <f t="shared" si="67"/>
        <v>2240340</v>
      </c>
      <c r="I381" s="160">
        <f t="shared" si="67"/>
        <v>341342</v>
      </c>
      <c r="X381" s="160">
        <f t="shared" ref="X381" si="68">SUM(X239:X273)</f>
        <v>2275611</v>
      </c>
      <c r="Y381" s="211">
        <f t="shared" si="53"/>
        <v>1.55E-2</v>
      </c>
      <c r="Z381" s="160">
        <f t="shared" ref="Z381:AD381" si="69">SUM(Z239:Z273)</f>
        <v>35271</v>
      </c>
      <c r="AA381" s="160">
        <f t="shared" si="69"/>
        <v>34565</v>
      </c>
      <c r="AB381" s="160">
        <f t="shared" si="69"/>
        <v>2241046</v>
      </c>
      <c r="AC381" s="160">
        <f t="shared" si="69"/>
        <v>341342</v>
      </c>
      <c r="AD381" s="160">
        <f t="shared" si="69"/>
        <v>514436</v>
      </c>
    </row>
    <row r="382" spans="1:30">
      <c r="A382" s="158"/>
      <c r="B382" s="159"/>
      <c r="C382" s="210" t="s">
        <v>797</v>
      </c>
      <c r="D382" s="160">
        <f>SUM(D274:D321)</f>
        <v>1777306</v>
      </c>
      <c r="E382" s="160">
        <f>SUM(E274:E321)</f>
        <v>376969</v>
      </c>
      <c r="F382" s="160">
        <f t="shared" ref="F382:I382" si="70">SUM(F274:F321)</f>
        <v>2154275</v>
      </c>
      <c r="G382" s="160">
        <f t="shared" si="70"/>
        <v>18526</v>
      </c>
      <c r="H382" s="160">
        <f t="shared" si="70"/>
        <v>2135749</v>
      </c>
      <c r="I382" s="160">
        <f t="shared" si="70"/>
        <v>323142</v>
      </c>
      <c r="X382" s="160">
        <f t="shared" ref="X382" si="71">SUM(X274:X321)</f>
        <v>2154275</v>
      </c>
      <c r="Y382" s="211">
        <f t="shared" si="53"/>
        <v>8.6E-3</v>
      </c>
      <c r="Z382" s="160">
        <f t="shared" ref="Z382:AD382" si="72">SUM(Z274:Z321)</f>
        <v>18526</v>
      </c>
      <c r="AA382" s="160">
        <f t="shared" si="72"/>
        <v>18151</v>
      </c>
      <c r="AB382" s="160">
        <f t="shared" si="72"/>
        <v>2136124</v>
      </c>
      <c r="AC382" s="160">
        <f t="shared" si="72"/>
        <v>323142</v>
      </c>
      <c r="AD382" s="160">
        <f t="shared" si="72"/>
        <v>483482</v>
      </c>
    </row>
    <row r="383" spans="1:30" ht="15.75" thickBot="1">
      <c r="A383" s="172"/>
      <c r="B383" s="173"/>
      <c r="C383" s="212" t="s">
        <v>798</v>
      </c>
      <c r="D383" s="174">
        <f>SUM(D322:D354)</f>
        <v>1649474</v>
      </c>
      <c r="E383" s="174">
        <f>SUM(E322:E354)</f>
        <v>347554</v>
      </c>
      <c r="F383" s="174">
        <f t="shared" ref="F383:I383" si="73">SUM(F322:F354)</f>
        <v>1997028</v>
      </c>
      <c r="G383" s="174">
        <f t="shared" si="73"/>
        <v>17773</v>
      </c>
      <c r="H383" s="174">
        <f t="shared" si="73"/>
        <v>1979255</v>
      </c>
      <c r="I383" s="174">
        <f t="shared" si="73"/>
        <v>299557</v>
      </c>
      <c r="X383" s="174">
        <f t="shared" ref="X383" si="74">SUM(X322:X354)</f>
        <v>1997028</v>
      </c>
      <c r="Y383" s="213">
        <f t="shared" si="53"/>
        <v>8.8999999999999999E-3</v>
      </c>
      <c r="Z383" s="174">
        <f t="shared" ref="Z383:AD383" si="75">SUM(Z322:Z354)</f>
        <v>17773</v>
      </c>
      <c r="AA383" s="174">
        <f t="shared" si="75"/>
        <v>17419</v>
      </c>
      <c r="AB383" s="174">
        <f t="shared" si="75"/>
        <v>1979609</v>
      </c>
      <c r="AC383" s="174">
        <f t="shared" si="75"/>
        <v>299557</v>
      </c>
      <c r="AD383" s="174">
        <f t="shared" si="75"/>
        <v>448369</v>
      </c>
    </row>
    <row r="384" spans="1:30" ht="15.75" thickBot="1">
      <c r="A384" s="214"/>
      <c r="B384" s="215"/>
      <c r="C384" s="215"/>
      <c r="D384" s="216"/>
      <c r="E384" s="216"/>
      <c r="F384" s="216"/>
      <c r="G384" s="216"/>
      <c r="H384" s="216"/>
      <c r="I384" s="216"/>
      <c r="X384" s="216"/>
      <c r="Y384" s="216"/>
      <c r="Z384" s="216"/>
      <c r="AA384" s="216"/>
      <c r="AB384" s="216"/>
      <c r="AC384" s="216"/>
      <c r="AD384" s="216"/>
    </row>
    <row r="385" spans="1:30" ht="15.75" thickBot="1">
      <c r="A385" s="204"/>
      <c r="B385" s="198"/>
      <c r="C385" s="217" t="s">
        <v>799</v>
      </c>
      <c r="D385" s="218">
        <f>SUM(D375:D383)</f>
        <v>22718175</v>
      </c>
      <c r="E385" s="218">
        <f>SUM(E375:E383)</f>
        <v>4002337</v>
      </c>
      <c r="F385" s="218">
        <f t="shared" ref="F385:I385" si="76">SUM(F375:F383)</f>
        <v>26720512</v>
      </c>
      <c r="G385" s="218">
        <f t="shared" si="76"/>
        <v>326642</v>
      </c>
      <c r="H385" s="218">
        <f t="shared" si="76"/>
        <v>26393870</v>
      </c>
      <c r="I385" s="218">
        <f t="shared" si="76"/>
        <v>4008088</v>
      </c>
      <c r="X385" s="218">
        <f t="shared" ref="X385" si="77">SUM(X375:X383)</f>
        <v>26720512</v>
      </c>
      <c r="Y385" s="219"/>
      <c r="Z385" s="218">
        <f t="shared" ref="Z385:AD385" si="78">SUM(Z375:Z383)</f>
        <v>326642</v>
      </c>
      <c r="AA385" s="218">
        <f t="shared" si="78"/>
        <v>320079</v>
      </c>
      <c r="AB385" s="218">
        <f t="shared" si="78"/>
        <v>26400433</v>
      </c>
      <c r="AC385" s="218">
        <f t="shared" si="78"/>
        <v>4008088</v>
      </c>
      <c r="AD385" s="218">
        <f t="shared" si="78"/>
        <v>6060059</v>
      </c>
    </row>
    <row r="386" spans="1:30" ht="15.75" thickBot="1">
      <c r="A386" s="204"/>
      <c r="B386" s="198"/>
      <c r="C386" s="198"/>
      <c r="D386" s="205"/>
      <c r="E386" s="205"/>
      <c r="F386" s="205"/>
      <c r="G386" s="205"/>
      <c r="H386" s="205"/>
      <c r="I386" s="205"/>
      <c r="X386" s="205"/>
      <c r="Y386" s="205"/>
      <c r="Z386" s="205"/>
      <c r="AA386" s="205"/>
      <c r="AB386" s="205"/>
      <c r="AC386" s="205"/>
      <c r="AD386" s="205"/>
    </row>
    <row r="387" spans="1:30" ht="15.75" thickBot="1">
      <c r="A387" s="204"/>
      <c r="B387" s="198"/>
      <c r="C387" s="217" t="s">
        <v>800</v>
      </c>
      <c r="D387" s="218">
        <f>+D385+D369</f>
        <v>22745184</v>
      </c>
      <c r="E387" s="218">
        <f>+E385+E369</f>
        <v>4013720</v>
      </c>
      <c r="F387" s="218">
        <f t="shared" ref="F387:I387" si="79">+F385+F369</f>
        <v>26758904</v>
      </c>
      <c r="G387" s="218">
        <f t="shared" si="79"/>
        <v>326642</v>
      </c>
      <c r="H387" s="218">
        <f t="shared" si="79"/>
        <v>26432262</v>
      </c>
      <c r="I387" s="218">
        <f t="shared" si="79"/>
        <v>4008088</v>
      </c>
      <c r="X387" s="218">
        <f t="shared" ref="X387" si="80">+X385+X369</f>
        <v>26759144</v>
      </c>
      <c r="Y387" s="220"/>
      <c r="Z387" s="218">
        <f t="shared" ref="Z387:AD387" si="81">+Z385+Z369</f>
        <v>326642</v>
      </c>
      <c r="AA387" s="218">
        <f t="shared" si="81"/>
        <v>320079</v>
      </c>
      <c r="AB387" s="218">
        <f t="shared" si="81"/>
        <v>26439065</v>
      </c>
      <c r="AC387" s="218">
        <f t="shared" si="81"/>
        <v>4008088</v>
      </c>
      <c r="AD387" s="218">
        <f t="shared" si="81"/>
        <v>6060059</v>
      </c>
    </row>
    <row r="388" spans="1:30">
      <c r="A388" s="150"/>
      <c r="B388" s="151"/>
      <c r="C388" s="151"/>
      <c r="D388" s="209"/>
      <c r="E388" s="209"/>
      <c r="F388" s="209"/>
      <c r="G388" s="209"/>
      <c r="H388" s="209"/>
      <c r="I388" s="209"/>
      <c r="X388" s="209"/>
      <c r="Y388" s="209"/>
      <c r="Z388" s="209"/>
      <c r="AA388" s="209"/>
      <c r="AB388" s="209"/>
    </row>
    <row r="389" spans="1:30">
      <c r="A389" s="158"/>
      <c r="B389" s="159"/>
      <c r="C389" s="159"/>
      <c r="D389" s="189"/>
      <c r="E389" s="189"/>
      <c r="F389" s="189"/>
      <c r="G389" s="189"/>
      <c r="H389" s="189"/>
      <c r="I389" s="189"/>
      <c r="X389" s="189"/>
      <c r="Y389" s="189"/>
      <c r="Z389" s="189"/>
      <c r="AA389" s="189"/>
      <c r="AB389" s="189"/>
    </row>
    <row r="390" spans="1:30">
      <c r="A390" s="158"/>
      <c r="B390" s="159"/>
      <c r="C390" s="159"/>
      <c r="D390" s="189"/>
      <c r="E390" s="189"/>
      <c r="F390" s="189"/>
      <c r="G390" s="189"/>
      <c r="H390" s="189"/>
      <c r="I390" s="189"/>
      <c r="X390" s="189"/>
      <c r="Y390" s="189"/>
      <c r="Z390" s="189"/>
      <c r="AA390" s="189"/>
      <c r="AB390" s="189"/>
    </row>
    <row r="391" spans="1:30">
      <c r="A391" s="158"/>
      <c r="B391" s="159"/>
      <c r="C391" s="159"/>
      <c r="D391" s="189"/>
      <c r="E391" s="189"/>
      <c r="F391" s="189"/>
      <c r="G391" s="189"/>
      <c r="H391" s="189"/>
      <c r="I391" s="189"/>
      <c r="X391" s="189"/>
      <c r="Y391" s="189"/>
      <c r="Z391" s="189"/>
      <c r="AA391" s="189"/>
      <c r="AB391" s="189"/>
    </row>
    <row r="392" spans="1:30">
      <c r="A392" s="158"/>
      <c r="B392" s="159"/>
      <c r="C392" s="159"/>
      <c r="D392" s="189"/>
      <c r="E392" s="189"/>
      <c r="F392" s="189"/>
      <c r="G392" s="189"/>
      <c r="H392" s="189"/>
      <c r="I392" s="189"/>
      <c r="X392" s="189"/>
      <c r="Y392" s="189"/>
      <c r="Z392" s="189"/>
      <c r="AA392" s="189"/>
      <c r="AB392" s="189"/>
    </row>
    <row r="393" spans="1:30">
      <c r="A393" s="158"/>
      <c r="B393" s="159"/>
      <c r="C393" s="159"/>
      <c r="D393" s="189"/>
      <c r="E393" s="189"/>
      <c r="F393" s="189"/>
      <c r="G393" s="189"/>
      <c r="H393" s="189"/>
      <c r="I393" s="189"/>
      <c r="X393" s="189"/>
      <c r="Y393" s="189"/>
      <c r="Z393" s="189"/>
      <c r="AA393" s="189"/>
      <c r="AB393" s="189"/>
    </row>
    <row r="394" spans="1:30">
      <c r="A394" s="158"/>
      <c r="B394" s="159"/>
      <c r="C394" s="159"/>
      <c r="D394" s="189"/>
      <c r="E394" s="189"/>
      <c r="F394" s="189"/>
      <c r="G394" s="189"/>
      <c r="H394" s="189"/>
      <c r="I394" s="189"/>
      <c r="X394" s="189"/>
      <c r="Y394" s="189"/>
      <c r="Z394" s="189"/>
      <c r="AA394" s="189"/>
      <c r="AB394" s="189"/>
    </row>
    <row r="395" spans="1:30">
      <c r="A395" s="158"/>
      <c r="B395" s="159"/>
      <c r="C395" s="159"/>
      <c r="D395" s="189"/>
      <c r="E395" s="189"/>
      <c r="F395" s="189"/>
      <c r="G395" s="189"/>
      <c r="H395" s="189"/>
      <c r="I395" s="189"/>
      <c r="X395" s="189"/>
      <c r="Y395" s="189"/>
      <c r="Z395" s="189"/>
      <c r="AA395" s="189"/>
      <c r="AB395" s="189"/>
    </row>
    <row r="396" spans="1:30">
      <c r="A396" s="158"/>
      <c r="B396" s="159"/>
      <c r="C396" s="159"/>
      <c r="D396" s="189"/>
      <c r="E396" s="189"/>
      <c r="F396" s="189"/>
      <c r="G396" s="189"/>
      <c r="H396" s="189"/>
      <c r="I396" s="189"/>
      <c r="X396" s="189"/>
      <c r="Y396" s="189"/>
      <c r="Z396" s="189"/>
      <c r="AA396" s="189"/>
      <c r="AB396" s="189"/>
    </row>
    <row r="397" spans="1:30">
      <c r="A397" s="158"/>
      <c r="B397" s="159"/>
      <c r="C397" s="159"/>
      <c r="D397" s="189"/>
      <c r="E397" s="189"/>
      <c r="F397" s="189"/>
      <c r="G397" s="189"/>
      <c r="H397" s="189"/>
      <c r="I397" s="189"/>
      <c r="X397" s="189"/>
      <c r="Y397" s="189"/>
      <c r="Z397" s="189"/>
      <c r="AA397" s="189"/>
      <c r="AB397" s="189"/>
    </row>
    <row r="398" spans="1:30">
      <c r="A398" s="158"/>
      <c r="B398" s="159"/>
      <c r="C398" s="159"/>
      <c r="D398" s="189"/>
      <c r="E398" s="189"/>
      <c r="F398" s="189"/>
      <c r="G398" s="189"/>
      <c r="H398" s="189"/>
      <c r="I398" s="189"/>
      <c r="X398" s="189"/>
      <c r="Y398" s="189"/>
      <c r="Z398" s="189"/>
      <c r="AA398" s="189"/>
      <c r="AB398" s="189"/>
    </row>
    <row r="399" spans="1:30">
      <c r="A399" s="158"/>
      <c r="B399" s="159"/>
      <c r="C399" s="159"/>
      <c r="D399" s="189"/>
      <c r="E399" s="189"/>
      <c r="F399" s="189"/>
      <c r="G399" s="189"/>
      <c r="H399" s="189"/>
      <c r="I399" s="189"/>
      <c r="X399" s="189"/>
      <c r="Y399" s="189"/>
      <c r="Z399" s="189"/>
      <c r="AA399" s="189"/>
      <c r="AB399" s="189"/>
    </row>
    <row r="400" spans="1:30">
      <c r="A400" s="158"/>
      <c r="B400" s="159"/>
      <c r="C400" s="159"/>
      <c r="D400" s="189"/>
      <c r="E400" s="189"/>
      <c r="F400" s="189"/>
      <c r="G400" s="189"/>
      <c r="H400" s="189"/>
      <c r="I400" s="189"/>
      <c r="X400" s="189"/>
      <c r="Y400" s="189"/>
      <c r="Z400" s="189"/>
      <c r="AA400" s="189"/>
      <c r="AB400" s="189"/>
    </row>
    <row r="418" spans="1:8">
      <c r="A418" s="180" t="s">
        <v>218</v>
      </c>
      <c r="B418" s="181" t="s">
        <v>270</v>
      </c>
      <c r="C418" s="181" t="s">
        <v>801</v>
      </c>
      <c r="D418" s="189"/>
      <c r="F418" s="189"/>
      <c r="H418" s="189"/>
    </row>
    <row r="419" spans="1:8">
      <c r="A419" s="221" t="s">
        <v>218</v>
      </c>
      <c r="B419" s="222" t="s">
        <v>802</v>
      </c>
      <c r="C419" s="222" t="s">
        <v>803</v>
      </c>
      <c r="D419" s="196"/>
      <c r="F419" s="196"/>
      <c r="H419" s="196"/>
    </row>
    <row r="420" spans="1:8">
      <c r="A420" s="223"/>
      <c r="B420" s="223"/>
      <c r="C420" s="223"/>
      <c r="D420" s="223"/>
      <c r="F420" s="223"/>
      <c r="H420" s="223"/>
    </row>
    <row r="422" spans="1:8">
      <c r="A422" s="180" t="s">
        <v>528</v>
      </c>
      <c r="B422" s="181" t="s">
        <v>563</v>
      </c>
      <c r="C422" s="181" t="s">
        <v>804</v>
      </c>
      <c r="D422" s="189"/>
      <c r="F422" s="189"/>
      <c r="H422" s="189"/>
    </row>
    <row r="423" spans="1:8">
      <c r="A423" s="180" t="s">
        <v>528</v>
      </c>
      <c r="B423" s="181" t="s">
        <v>805</v>
      </c>
      <c r="C423" s="181" t="s">
        <v>806</v>
      </c>
      <c r="D423" s="189"/>
      <c r="F423" s="189"/>
      <c r="H423" s="189"/>
    </row>
    <row r="424" spans="1:8">
      <c r="A424" s="223"/>
      <c r="B424" s="223"/>
      <c r="C424" s="223"/>
      <c r="D424" s="223"/>
      <c r="F424" s="223"/>
      <c r="H424" s="223"/>
    </row>
    <row r="426" spans="1:8">
      <c r="A426" s="180" t="s">
        <v>697</v>
      </c>
      <c r="B426" s="181" t="s">
        <v>700</v>
      </c>
      <c r="C426" s="181" t="s">
        <v>807</v>
      </c>
      <c r="D426" s="189"/>
      <c r="F426" s="189"/>
      <c r="H426" s="189"/>
    </row>
    <row r="427" spans="1:8">
      <c r="A427" s="180" t="s">
        <v>697</v>
      </c>
      <c r="B427" s="181" t="s">
        <v>808</v>
      </c>
      <c r="C427" s="181" t="s">
        <v>809</v>
      </c>
      <c r="D427" s="189"/>
      <c r="F427" s="189"/>
      <c r="H427" s="189"/>
    </row>
    <row r="428" spans="1:8">
      <c r="A428" s="223"/>
      <c r="B428" s="223"/>
      <c r="C428" s="223"/>
      <c r="D428" s="223"/>
      <c r="F428" s="223"/>
      <c r="H428" s="2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selection activeCell="B27" sqref="B27"/>
    </sheetView>
  </sheetViews>
  <sheetFormatPr defaultRowHeight="15"/>
  <cols>
    <col min="2" max="2" width="145.28515625" bestFit="1" customWidth="1"/>
  </cols>
  <sheetData>
    <row r="1" spans="1:2" ht="15.75" thickBot="1">
      <c r="A1" s="300" t="s">
        <v>837</v>
      </c>
      <c r="B1" s="300" t="s">
        <v>838</v>
      </c>
    </row>
    <row r="2" spans="1:2" ht="15.75" thickBot="1">
      <c r="A2" s="237" t="s">
        <v>0</v>
      </c>
      <c r="B2" s="240" t="s">
        <v>814</v>
      </c>
    </row>
    <row r="3" spans="1:2" ht="15.75" thickBot="1">
      <c r="A3" s="1" t="s">
        <v>1</v>
      </c>
      <c r="B3" s="240" t="s">
        <v>815</v>
      </c>
    </row>
    <row r="4" spans="1:2" ht="15.75" thickBot="1">
      <c r="A4" s="1" t="s">
        <v>2</v>
      </c>
      <c r="B4" s="240" t="s">
        <v>52</v>
      </c>
    </row>
    <row r="5" spans="1:2" ht="15.75" thickBot="1">
      <c r="A5" s="1" t="s">
        <v>8</v>
      </c>
      <c r="B5" s="240" t="s">
        <v>822</v>
      </c>
    </row>
    <row r="6" spans="1:2" ht="15.75" thickBot="1">
      <c r="A6" s="255" t="s">
        <v>9</v>
      </c>
      <c r="B6" s="289" t="s">
        <v>823</v>
      </c>
    </row>
    <row r="7" spans="1:2" ht="15.75" thickBot="1">
      <c r="A7" s="253" t="s">
        <v>10</v>
      </c>
      <c r="B7" s="291" t="s">
        <v>824</v>
      </c>
    </row>
    <row r="8" spans="1:2" ht="15.75" thickBot="1">
      <c r="A8" s="256" t="s">
        <v>11</v>
      </c>
      <c r="B8" s="292" t="s">
        <v>825</v>
      </c>
    </row>
    <row r="9" spans="1:2" ht="15.75" thickBot="1">
      <c r="A9" s="273" t="s">
        <v>12</v>
      </c>
      <c r="B9" s="293" t="s">
        <v>826</v>
      </c>
    </row>
    <row r="10" spans="1:2" ht="15.75" thickBot="1">
      <c r="A10" s="241" t="s">
        <v>13</v>
      </c>
      <c r="B10" s="290" t="s">
        <v>827</v>
      </c>
    </row>
    <row r="12" spans="1:2" ht="15.75" thickBot="1"/>
    <row r="13" spans="1:2">
      <c r="B13" s="286" t="s">
        <v>828</v>
      </c>
    </row>
    <row r="14" spans="1:2">
      <c r="B14" s="287" t="s">
        <v>829</v>
      </c>
    </row>
    <row r="15" spans="1:2">
      <c r="B15" s="287" t="s">
        <v>830</v>
      </c>
    </row>
    <row r="16" spans="1:2">
      <c r="B16" s="287" t="s">
        <v>842</v>
      </c>
    </row>
    <row r="17" spans="2:2">
      <c r="B17" s="287" t="s">
        <v>843</v>
      </c>
    </row>
    <row r="18" spans="2:2" ht="15.75" thickBot="1">
      <c r="B18" s="288"/>
    </row>
    <row r="19" spans="2:2">
      <c r="B19" s="283" t="s">
        <v>839</v>
      </c>
    </row>
    <row r="20" spans="2:2">
      <c r="B20" s="284" t="s">
        <v>840</v>
      </c>
    </row>
    <row r="21" spans="2:2">
      <c r="B21" s="284" t="s">
        <v>841</v>
      </c>
    </row>
    <row r="22" spans="2:2" ht="15.75" thickBot="1">
      <c r="B22" s="285" t="s">
        <v>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60"/>
  <sheetViews>
    <sheetView topLeftCell="A139" workbookViewId="0">
      <selection activeCell="M163" sqref="M163"/>
    </sheetView>
  </sheetViews>
  <sheetFormatPr defaultRowHeight="15"/>
  <cols>
    <col min="3" max="3" width="61.42578125" bestFit="1" customWidth="1"/>
    <col min="4" max="4" width="7.85546875" hidden="1" customWidth="1"/>
    <col min="5" max="5" width="14" hidden="1" customWidth="1"/>
    <col min="6" max="6" width="2.5703125" hidden="1" customWidth="1"/>
    <col min="7" max="7" width="9.140625" hidden="1" customWidth="1"/>
    <col min="8" max="8" width="15" hidden="1" customWidth="1"/>
    <col min="9" max="9" width="2.7109375" customWidth="1"/>
    <col min="10" max="10" width="18.85546875" customWidth="1"/>
    <col min="11" max="11" width="18.28515625" customWidth="1"/>
    <col min="12" max="12" width="17.5703125" style="121" customWidth="1"/>
    <col min="13" max="13" width="15.85546875" style="121" bestFit="1" customWidth="1"/>
    <col min="14" max="14" width="16.140625" customWidth="1"/>
    <col min="15" max="15" width="3.5703125" customWidth="1"/>
    <col min="16" max="27" width="15.140625" customWidth="1"/>
    <col min="28" max="28" width="4.28515625" bestFit="1" customWidth="1"/>
    <col min="29" max="29" width="8" bestFit="1" customWidth="1"/>
    <col min="30" max="30" width="66" bestFit="1" customWidth="1"/>
  </cols>
  <sheetData>
    <row r="1" spans="1:33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55" t="s">
        <v>9</v>
      </c>
      <c r="K1" s="253" t="s">
        <v>10</v>
      </c>
      <c r="L1" s="256" t="s">
        <v>11</v>
      </c>
      <c r="M1" s="273" t="s">
        <v>12</v>
      </c>
      <c r="N1" s="241" t="s">
        <v>13</v>
      </c>
    </row>
    <row r="2" spans="1:33" ht="52.5" thickBot="1">
      <c r="A2" s="2" t="s">
        <v>14</v>
      </c>
      <c r="B2" s="2" t="s">
        <v>15</v>
      </c>
      <c r="C2" s="2" t="s">
        <v>16</v>
      </c>
      <c r="D2" s="3" t="s">
        <v>17</v>
      </c>
      <c r="E2" s="4" t="s">
        <v>18</v>
      </c>
      <c r="F2" s="5"/>
      <c r="G2" s="6" t="s">
        <v>19</v>
      </c>
      <c r="H2" s="6" t="s">
        <v>20</v>
      </c>
      <c r="I2" s="7"/>
      <c r="J2" s="8" t="s">
        <v>21</v>
      </c>
      <c r="K2" s="9" t="s">
        <v>22</v>
      </c>
      <c r="L2" s="257" t="s">
        <v>23</v>
      </c>
      <c r="M2" s="274" t="s">
        <v>24</v>
      </c>
      <c r="N2" s="3" t="s">
        <v>25</v>
      </c>
    </row>
    <row r="3" spans="1:33" ht="18">
      <c r="A3" s="10"/>
      <c r="B3" s="10"/>
      <c r="C3" s="10" t="s">
        <v>26</v>
      </c>
      <c r="D3" s="11"/>
      <c r="E3" s="12" t="s">
        <v>27</v>
      </c>
      <c r="F3" s="5"/>
      <c r="G3" s="13"/>
      <c r="H3" s="14" t="s">
        <v>27</v>
      </c>
      <c r="I3" s="7"/>
      <c r="J3" s="15" t="s">
        <v>27</v>
      </c>
      <c r="K3" s="16" t="s">
        <v>27</v>
      </c>
      <c r="L3" s="258"/>
      <c r="M3" s="275" t="s">
        <v>28</v>
      </c>
      <c r="N3" s="266" t="s">
        <v>29</v>
      </c>
      <c r="P3" s="17" t="s">
        <v>30</v>
      </c>
      <c r="Q3" s="17"/>
      <c r="R3" s="18"/>
      <c r="AB3" s="19" t="s">
        <v>0</v>
      </c>
      <c r="AC3" s="19" t="s">
        <v>1</v>
      </c>
      <c r="AD3" s="19" t="s">
        <v>2</v>
      </c>
      <c r="AE3" s="19" t="s">
        <v>3</v>
      </c>
      <c r="AF3" s="20" t="s">
        <v>4</v>
      </c>
      <c r="AG3" s="19" t="s">
        <v>5</v>
      </c>
    </row>
    <row r="4" spans="1:33" ht="15.75" thickBot="1">
      <c r="A4" s="21"/>
      <c r="B4" s="21"/>
      <c r="C4" s="21"/>
      <c r="D4" s="22"/>
      <c r="E4" s="23"/>
      <c r="F4" s="5"/>
      <c r="G4" s="24"/>
      <c r="H4" s="25"/>
      <c r="I4" s="7"/>
      <c r="J4" s="26" t="s">
        <v>31</v>
      </c>
      <c r="K4" s="27" t="s">
        <v>31</v>
      </c>
      <c r="L4" s="259"/>
      <c r="M4" s="276" t="s">
        <v>32</v>
      </c>
      <c r="N4" s="267" t="s">
        <v>33</v>
      </c>
      <c r="P4" s="17" t="s">
        <v>34</v>
      </c>
      <c r="Q4" s="18"/>
      <c r="R4" s="18"/>
      <c r="AB4" s="28"/>
      <c r="AC4" s="28"/>
      <c r="AD4" s="28" t="s">
        <v>35</v>
      </c>
      <c r="AE4" s="29" t="s">
        <v>36</v>
      </c>
      <c r="AF4" s="30" t="s">
        <v>37</v>
      </c>
      <c r="AG4" s="31" t="s">
        <v>31</v>
      </c>
    </row>
    <row r="5" spans="1:33" ht="16.5" thickBot="1">
      <c r="A5" s="32"/>
      <c r="B5" s="33"/>
      <c r="C5" s="34" t="s">
        <v>38</v>
      </c>
      <c r="D5" s="35"/>
      <c r="E5" s="36">
        <v>3933320</v>
      </c>
      <c r="F5" s="5"/>
      <c r="G5" s="37"/>
      <c r="H5" s="38">
        <v>22288812</v>
      </c>
      <c r="I5" s="7"/>
      <c r="J5" s="39">
        <f>+H5+E5</f>
        <v>26222132</v>
      </c>
      <c r="K5" s="40">
        <v>26720512</v>
      </c>
      <c r="L5" s="260"/>
      <c r="M5" s="277"/>
      <c r="N5" s="268" t="s">
        <v>39</v>
      </c>
      <c r="P5" s="41" t="s">
        <v>40</v>
      </c>
      <c r="Q5" s="41"/>
      <c r="R5" s="41"/>
      <c r="AB5" s="42"/>
      <c r="AC5" s="42"/>
      <c r="AD5" s="42" t="s">
        <v>41</v>
      </c>
      <c r="AE5" s="43" t="s">
        <v>42</v>
      </c>
      <c r="AF5" s="44" t="s">
        <v>42</v>
      </c>
      <c r="AG5" s="45" t="s">
        <v>43</v>
      </c>
    </row>
    <row r="6" spans="1:33">
      <c r="A6" s="46"/>
      <c r="B6" s="47"/>
      <c r="C6" s="47" t="s">
        <v>44</v>
      </c>
      <c r="D6" s="48"/>
      <c r="E6" s="49"/>
      <c r="F6" s="5"/>
      <c r="G6" s="50"/>
      <c r="H6" s="51"/>
      <c r="I6" s="7"/>
      <c r="J6" s="52"/>
      <c r="K6" s="53"/>
      <c r="L6" s="261"/>
      <c r="M6" s="278"/>
      <c r="N6" s="269" t="s">
        <v>45</v>
      </c>
      <c r="P6" s="41" t="s">
        <v>46</v>
      </c>
      <c r="Q6" s="41"/>
      <c r="R6" s="41"/>
      <c r="AB6" s="42" t="s">
        <v>14</v>
      </c>
      <c r="AC6" s="42" t="s">
        <v>47</v>
      </c>
      <c r="AD6" s="54">
        <v>41030</v>
      </c>
      <c r="AE6" s="43" t="s">
        <v>27</v>
      </c>
      <c r="AF6" s="44" t="s">
        <v>27</v>
      </c>
      <c r="AG6" s="45" t="s">
        <v>27</v>
      </c>
    </row>
    <row r="7" spans="1:33" ht="15.75" thickBot="1">
      <c r="A7" s="55"/>
      <c r="B7" s="33"/>
      <c r="C7" s="33"/>
      <c r="D7" s="35"/>
      <c r="E7" s="56"/>
      <c r="F7" s="5"/>
      <c r="G7" s="37"/>
      <c r="H7" s="57"/>
      <c r="I7" s="7"/>
      <c r="J7" s="58" t="s">
        <v>48</v>
      </c>
      <c r="K7" s="59" t="s">
        <v>49</v>
      </c>
      <c r="L7" s="262"/>
      <c r="M7" s="279"/>
      <c r="N7" s="270"/>
      <c r="AB7" s="60" t="s">
        <v>50</v>
      </c>
      <c r="AC7" s="60" t="s">
        <v>51</v>
      </c>
      <c r="AD7" s="60" t="s">
        <v>52</v>
      </c>
      <c r="AE7" s="61" t="s">
        <v>49</v>
      </c>
      <c r="AF7" s="62" t="s">
        <v>49</v>
      </c>
      <c r="AG7" s="63" t="s">
        <v>49</v>
      </c>
    </row>
    <row r="8" spans="1:33" ht="15.75" thickBot="1">
      <c r="A8" s="64" t="s">
        <v>0</v>
      </c>
      <c r="B8" s="65" t="s">
        <v>1</v>
      </c>
      <c r="C8" s="65" t="s">
        <v>2</v>
      </c>
      <c r="D8" s="65" t="s">
        <v>3</v>
      </c>
      <c r="E8" s="66" t="s">
        <v>4</v>
      </c>
      <c r="F8" s="67" t="s">
        <v>5</v>
      </c>
      <c r="G8" s="65" t="s">
        <v>6</v>
      </c>
      <c r="H8" s="66" t="s">
        <v>7</v>
      </c>
      <c r="I8" s="67" t="s">
        <v>8</v>
      </c>
      <c r="J8" s="66" t="s">
        <v>9</v>
      </c>
      <c r="K8" s="66" t="s">
        <v>10</v>
      </c>
      <c r="L8" s="68"/>
      <c r="M8" s="68"/>
      <c r="N8" s="66"/>
      <c r="AB8" s="69"/>
      <c r="AC8" s="69"/>
      <c r="AD8" s="69"/>
      <c r="AE8" s="70"/>
      <c r="AF8" s="71"/>
      <c r="AG8" s="72"/>
    </row>
    <row r="9" spans="1:33">
      <c r="A9" s="73" t="s">
        <v>53</v>
      </c>
      <c r="B9" s="73" t="s">
        <v>54</v>
      </c>
      <c r="C9" s="74" t="s">
        <v>55</v>
      </c>
      <c r="D9" s="75">
        <v>2.7260000000000001E-3</v>
      </c>
      <c r="E9" s="76">
        <v>10722</v>
      </c>
      <c r="F9" s="5"/>
      <c r="G9" s="77">
        <v>2.6619999999999999E-3</v>
      </c>
      <c r="H9" s="78">
        <v>59332</v>
      </c>
      <c r="I9" s="7"/>
      <c r="J9" s="79">
        <v>70054</v>
      </c>
      <c r="K9" s="80">
        <v>69714</v>
      </c>
      <c r="L9" s="263" t="str">
        <f>IF(K9-J9&lt;1," ",K9-J9)</f>
        <v xml:space="preserve"> </v>
      </c>
      <c r="M9" s="280" t="str">
        <f>IF(L9=" "," ",round+K9*0.15)</f>
        <v xml:space="preserve"> </v>
      </c>
      <c r="N9" s="81">
        <f>ROUND((+K9*0.15),0)</f>
        <v>10457</v>
      </c>
      <c r="Z9" s="82">
        <f>+K9-J9</f>
        <v>-340</v>
      </c>
      <c r="AA9" s="82">
        <f>+Z9*0.5</f>
        <v>-170</v>
      </c>
      <c r="AB9" t="s">
        <v>53</v>
      </c>
      <c r="AC9" t="s">
        <v>54</v>
      </c>
      <c r="AD9" t="s">
        <v>55</v>
      </c>
      <c r="AE9">
        <v>59093</v>
      </c>
      <c r="AF9">
        <v>10621</v>
      </c>
      <c r="AG9">
        <v>69714</v>
      </c>
    </row>
    <row r="10" spans="1:33">
      <c r="A10" s="83" t="s">
        <v>53</v>
      </c>
      <c r="B10" s="83" t="s">
        <v>56</v>
      </c>
      <c r="C10" s="84" t="s">
        <v>57</v>
      </c>
      <c r="D10" s="85">
        <v>9.1200000000000005E-4</v>
      </c>
      <c r="E10" s="86">
        <v>3587</v>
      </c>
      <c r="F10" s="5"/>
      <c r="G10" s="77">
        <v>9.5100000000000002E-4</v>
      </c>
      <c r="H10" s="87">
        <v>21197</v>
      </c>
      <c r="I10" s="7"/>
      <c r="J10" s="88">
        <v>24784</v>
      </c>
      <c r="K10" s="89">
        <v>25262</v>
      </c>
      <c r="L10" s="263">
        <f t="shared" ref="L10:L73" si="0">IF(K10-J10&lt;1," ",K10-J10)</f>
        <v>478</v>
      </c>
      <c r="M10" s="231">
        <f>IF(L10=" "," ",ROUND((L10*0.5),0))</f>
        <v>239</v>
      </c>
      <c r="N10" s="271">
        <f t="shared" ref="N10:N73" si="1">ROUND((+K10*0.15),0)</f>
        <v>3789</v>
      </c>
      <c r="Z10" s="82">
        <f t="shared" ref="Z10:Z73" si="2">+K10-J10</f>
        <v>478</v>
      </c>
      <c r="AA10" s="82">
        <f t="shared" ref="AA10:AA73" si="3">+Z10*0.5</f>
        <v>239</v>
      </c>
      <c r="AB10" t="s">
        <v>53</v>
      </c>
      <c r="AC10" t="s">
        <v>56</v>
      </c>
      <c r="AD10" t="s">
        <v>57</v>
      </c>
      <c r="AE10">
        <v>21449</v>
      </c>
      <c r="AF10">
        <v>3813</v>
      </c>
      <c r="AG10">
        <v>25262</v>
      </c>
    </row>
    <row r="11" spans="1:33">
      <c r="A11" s="83" t="s">
        <v>53</v>
      </c>
      <c r="B11" s="83" t="s">
        <v>58</v>
      </c>
      <c r="C11" s="84" t="s">
        <v>59</v>
      </c>
      <c r="D11" s="85">
        <v>2.3029999999999999E-3</v>
      </c>
      <c r="E11" s="86">
        <v>9059</v>
      </c>
      <c r="F11" s="5"/>
      <c r="G11" s="77">
        <v>3.0490000000000001E-3</v>
      </c>
      <c r="H11" s="87">
        <v>67958</v>
      </c>
      <c r="I11" s="7"/>
      <c r="J11" s="88">
        <v>77017</v>
      </c>
      <c r="K11" s="89">
        <v>76065</v>
      </c>
      <c r="L11" s="263" t="str">
        <f t="shared" si="0"/>
        <v xml:space="preserve"> </v>
      </c>
      <c r="M11" s="231" t="str">
        <f t="shared" ref="M11:M74" si="4">IF(L11=" "," ",ROUND((L11*0.5),0))</f>
        <v xml:space="preserve"> </v>
      </c>
      <c r="N11" s="271">
        <f t="shared" si="1"/>
        <v>11410</v>
      </c>
      <c r="Z11" s="82">
        <f t="shared" si="2"/>
        <v>-952</v>
      </c>
      <c r="AA11" s="82">
        <f t="shared" si="3"/>
        <v>-476</v>
      </c>
      <c r="AB11" t="s">
        <v>53</v>
      </c>
      <c r="AC11" t="s">
        <v>58</v>
      </c>
      <c r="AD11" t="s">
        <v>59</v>
      </c>
      <c r="AE11">
        <v>67828</v>
      </c>
      <c r="AF11">
        <v>8237</v>
      </c>
      <c r="AG11">
        <v>76065</v>
      </c>
    </row>
    <row r="12" spans="1:33">
      <c r="A12" s="91" t="s">
        <v>53</v>
      </c>
      <c r="B12" s="91" t="s">
        <v>60</v>
      </c>
      <c r="C12" s="107" t="s">
        <v>61</v>
      </c>
      <c r="D12" s="85">
        <v>2.1604000000000002E-2</v>
      </c>
      <c r="E12" s="86">
        <v>84976</v>
      </c>
      <c r="F12" s="5"/>
      <c r="G12" s="77">
        <v>2.435E-2</v>
      </c>
      <c r="H12" s="87">
        <v>542729</v>
      </c>
      <c r="I12" s="7"/>
      <c r="J12" s="88">
        <v>627705</v>
      </c>
      <c r="K12" s="89">
        <v>633819</v>
      </c>
      <c r="L12" s="263">
        <f t="shared" si="0"/>
        <v>6114</v>
      </c>
      <c r="M12" s="305">
        <f t="shared" si="4"/>
        <v>3057</v>
      </c>
      <c r="N12" s="304">
        <f t="shared" si="1"/>
        <v>95073</v>
      </c>
      <c r="Z12" s="82">
        <f t="shared" si="2"/>
        <v>6114</v>
      </c>
      <c r="AA12" s="82">
        <f t="shared" si="3"/>
        <v>3057</v>
      </c>
      <c r="AB12" t="s">
        <v>53</v>
      </c>
      <c r="AC12" t="s">
        <v>60</v>
      </c>
      <c r="AD12" t="s">
        <v>61</v>
      </c>
      <c r="AE12">
        <v>549241</v>
      </c>
      <c r="AF12">
        <v>84578</v>
      </c>
      <c r="AG12">
        <v>633819</v>
      </c>
    </row>
    <row r="13" spans="1:33">
      <c r="A13" s="91" t="s">
        <v>53</v>
      </c>
      <c r="B13" s="91" t="s">
        <v>62</v>
      </c>
      <c r="C13" s="92" t="s">
        <v>63</v>
      </c>
      <c r="D13" s="85">
        <v>7.3399999999999995E-4</v>
      </c>
      <c r="E13" s="86">
        <v>2887</v>
      </c>
      <c r="F13" s="5"/>
      <c r="G13" s="77">
        <v>7.9199999999999995E-4</v>
      </c>
      <c r="H13" s="87">
        <v>17653</v>
      </c>
      <c r="I13" s="7"/>
      <c r="J13" s="88">
        <v>20540</v>
      </c>
      <c r="K13" s="89">
        <v>20473</v>
      </c>
      <c r="L13" s="263" t="str">
        <f t="shared" si="0"/>
        <v xml:space="preserve"> </v>
      </c>
      <c r="M13" s="280" t="str">
        <f t="shared" si="4"/>
        <v xml:space="preserve"> </v>
      </c>
      <c r="N13" s="271">
        <f t="shared" si="1"/>
        <v>3071</v>
      </c>
      <c r="Z13" s="82">
        <f t="shared" si="2"/>
        <v>-67</v>
      </c>
      <c r="AA13" s="82">
        <f t="shared" si="3"/>
        <v>-33.5</v>
      </c>
      <c r="AB13" t="s">
        <v>53</v>
      </c>
      <c r="AC13" t="s">
        <v>62</v>
      </c>
      <c r="AD13" t="s">
        <v>63</v>
      </c>
      <c r="AE13">
        <v>17310</v>
      </c>
      <c r="AF13">
        <v>3163</v>
      </c>
      <c r="AG13">
        <v>20473</v>
      </c>
    </row>
    <row r="14" spans="1:33">
      <c r="A14" s="83" t="s">
        <v>53</v>
      </c>
      <c r="B14" s="83" t="s">
        <v>64</v>
      </c>
      <c r="C14" s="84" t="s">
        <v>65</v>
      </c>
      <c r="D14" s="85">
        <v>1.2459999999999999E-3</v>
      </c>
      <c r="E14" s="86">
        <v>4901</v>
      </c>
      <c r="F14" s="5"/>
      <c r="G14" s="77">
        <v>9.7099999999999997E-4</v>
      </c>
      <c r="H14" s="87">
        <v>21642</v>
      </c>
      <c r="I14" s="7"/>
      <c r="J14" s="88">
        <v>26543</v>
      </c>
      <c r="K14" s="89">
        <v>25644</v>
      </c>
      <c r="L14" s="263" t="str">
        <f t="shared" si="0"/>
        <v xml:space="preserve"> </v>
      </c>
      <c r="M14" s="231" t="str">
        <f t="shared" si="4"/>
        <v xml:space="preserve"> </v>
      </c>
      <c r="N14" s="271">
        <f t="shared" si="1"/>
        <v>3847</v>
      </c>
      <c r="Z14" s="82">
        <f t="shared" si="2"/>
        <v>-899</v>
      </c>
      <c r="AA14" s="82">
        <f t="shared" si="3"/>
        <v>-449.5</v>
      </c>
      <c r="AB14" t="s">
        <v>53</v>
      </c>
      <c r="AC14" t="s">
        <v>64</v>
      </c>
      <c r="AD14" t="s">
        <v>65</v>
      </c>
      <c r="AE14">
        <v>21654</v>
      </c>
      <c r="AF14">
        <v>3990</v>
      </c>
      <c r="AG14">
        <v>25644</v>
      </c>
    </row>
    <row r="15" spans="1:33">
      <c r="A15" s="91" t="s">
        <v>53</v>
      </c>
      <c r="B15" s="91" t="s">
        <v>66</v>
      </c>
      <c r="C15" s="92" t="s">
        <v>67</v>
      </c>
      <c r="D15" s="85">
        <v>5.6700000000000001E-4</v>
      </c>
      <c r="E15" s="86">
        <v>2230</v>
      </c>
      <c r="F15" s="5"/>
      <c r="G15" s="77">
        <v>5.1999999999999995E-4</v>
      </c>
      <c r="H15" s="87">
        <v>11590</v>
      </c>
      <c r="I15" s="7"/>
      <c r="J15" s="88">
        <v>13820</v>
      </c>
      <c r="K15" s="89">
        <v>13457</v>
      </c>
      <c r="L15" s="263" t="str">
        <f t="shared" si="0"/>
        <v xml:space="preserve"> </v>
      </c>
      <c r="M15" s="280" t="str">
        <f t="shared" si="4"/>
        <v xml:space="preserve"> </v>
      </c>
      <c r="N15" s="271">
        <f t="shared" si="1"/>
        <v>2019</v>
      </c>
      <c r="Z15" s="82">
        <f t="shared" si="2"/>
        <v>-363</v>
      </c>
      <c r="AA15" s="82">
        <f t="shared" si="3"/>
        <v>-181.5</v>
      </c>
      <c r="AB15" t="s">
        <v>53</v>
      </c>
      <c r="AC15" t="s">
        <v>66</v>
      </c>
      <c r="AD15" t="s">
        <v>67</v>
      </c>
      <c r="AE15">
        <v>11418</v>
      </c>
      <c r="AF15">
        <v>2039</v>
      </c>
      <c r="AG15">
        <v>13457</v>
      </c>
    </row>
    <row r="16" spans="1:33">
      <c r="A16" s="91" t="s">
        <v>53</v>
      </c>
      <c r="B16" s="91" t="s">
        <v>68</v>
      </c>
      <c r="C16" s="92" t="s">
        <v>69</v>
      </c>
      <c r="D16" s="85">
        <v>1.0790000000000001E-3</v>
      </c>
      <c r="E16" s="86">
        <v>4244</v>
      </c>
      <c r="F16" s="5"/>
      <c r="G16" s="77">
        <v>1.4250000000000001E-3</v>
      </c>
      <c r="H16" s="87">
        <v>31761</v>
      </c>
      <c r="I16" s="7"/>
      <c r="J16" s="88">
        <v>36005</v>
      </c>
      <c r="K16" s="89">
        <v>36579</v>
      </c>
      <c r="L16" s="263">
        <f t="shared" si="0"/>
        <v>574</v>
      </c>
      <c r="M16" s="280">
        <f t="shared" si="4"/>
        <v>287</v>
      </c>
      <c r="N16" s="271">
        <f t="shared" si="1"/>
        <v>5487</v>
      </c>
      <c r="Z16" s="82">
        <f t="shared" si="2"/>
        <v>574</v>
      </c>
      <c r="AA16" s="82">
        <f t="shared" si="3"/>
        <v>287</v>
      </c>
      <c r="AB16" t="s">
        <v>53</v>
      </c>
      <c r="AC16" t="s">
        <v>68</v>
      </c>
      <c r="AD16" t="s">
        <v>69</v>
      </c>
      <c r="AE16">
        <v>32549</v>
      </c>
      <c r="AF16">
        <v>4030</v>
      </c>
      <c r="AG16">
        <v>36579</v>
      </c>
    </row>
    <row r="17" spans="1:33">
      <c r="A17" s="91" t="s">
        <v>53</v>
      </c>
      <c r="B17" s="91" t="s">
        <v>70</v>
      </c>
      <c r="C17" s="92" t="s">
        <v>71</v>
      </c>
      <c r="D17" s="85">
        <v>2.97E-3</v>
      </c>
      <c r="E17" s="86">
        <v>11682</v>
      </c>
      <c r="F17" s="5"/>
      <c r="G17" s="77">
        <v>3.0339999999999998E-3</v>
      </c>
      <c r="H17" s="87">
        <v>67624</v>
      </c>
      <c r="I17" s="7"/>
      <c r="J17" s="88">
        <v>79306</v>
      </c>
      <c r="K17" s="89">
        <v>80161</v>
      </c>
      <c r="L17" s="263">
        <f t="shared" si="0"/>
        <v>855</v>
      </c>
      <c r="M17" s="280">
        <f t="shared" si="4"/>
        <v>428</v>
      </c>
      <c r="N17" s="271">
        <f t="shared" si="1"/>
        <v>12024</v>
      </c>
      <c r="Z17" s="82">
        <f t="shared" si="2"/>
        <v>855</v>
      </c>
      <c r="AA17" s="82">
        <f t="shared" si="3"/>
        <v>427.5</v>
      </c>
      <c r="AB17" t="s">
        <v>53</v>
      </c>
      <c r="AC17" t="s">
        <v>70</v>
      </c>
      <c r="AD17" t="s">
        <v>71</v>
      </c>
      <c r="AE17">
        <v>67373</v>
      </c>
      <c r="AF17">
        <v>12788</v>
      </c>
      <c r="AG17">
        <v>80161</v>
      </c>
    </row>
    <row r="18" spans="1:33">
      <c r="A18" s="91" t="s">
        <v>53</v>
      </c>
      <c r="B18" s="91" t="s">
        <v>72</v>
      </c>
      <c r="C18" s="92" t="s">
        <v>73</v>
      </c>
      <c r="D18" s="85">
        <v>1.446E-3</v>
      </c>
      <c r="E18" s="86">
        <v>5688</v>
      </c>
      <c r="F18" s="5"/>
      <c r="G18" s="77">
        <v>1.5200000000000001E-3</v>
      </c>
      <c r="H18" s="87">
        <v>33879</v>
      </c>
      <c r="I18" s="7"/>
      <c r="J18" s="88">
        <v>39567</v>
      </c>
      <c r="K18" s="89">
        <v>39528</v>
      </c>
      <c r="L18" s="263" t="str">
        <f t="shared" si="0"/>
        <v xml:space="preserve"> </v>
      </c>
      <c r="M18" s="280" t="str">
        <f t="shared" si="4"/>
        <v xml:space="preserve"> </v>
      </c>
      <c r="N18" s="271">
        <f t="shared" si="1"/>
        <v>5929</v>
      </c>
      <c r="Z18" s="82">
        <f t="shared" si="2"/>
        <v>-39</v>
      </c>
      <c r="AA18" s="82">
        <f t="shared" si="3"/>
        <v>-19.5</v>
      </c>
      <c r="AB18" t="s">
        <v>53</v>
      </c>
      <c r="AC18" t="s">
        <v>72</v>
      </c>
      <c r="AD18" t="s">
        <v>73</v>
      </c>
      <c r="AE18">
        <v>33937</v>
      </c>
      <c r="AF18">
        <v>5591</v>
      </c>
      <c r="AG18">
        <v>39528</v>
      </c>
    </row>
    <row r="19" spans="1:33">
      <c r="A19" s="91" t="s">
        <v>53</v>
      </c>
      <c r="B19" s="91" t="s">
        <v>74</v>
      </c>
      <c r="C19" s="92" t="s">
        <v>75</v>
      </c>
      <c r="D19" s="85">
        <v>1.98E-3</v>
      </c>
      <c r="E19" s="86">
        <v>7788</v>
      </c>
      <c r="F19" s="5"/>
      <c r="G19" s="77">
        <v>1.578E-3</v>
      </c>
      <c r="H19" s="87">
        <v>35172</v>
      </c>
      <c r="I19" s="7"/>
      <c r="J19" s="88">
        <v>42960</v>
      </c>
      <c r="K19" s="89">
        <v>44378</v>
      </c>
      <c r="L19" s="263">
        <f t="shared" si="0"/>
        <v>1418</v>
      </c>
      <c r="M19" s="280">
        <f t="shared" si="4"/>
        <v>709</v>
      </c>
      <c r="N19" s="271">
        <f t="shared" si="1"/>
        <v>6657</v>
      </c>
      <c r="Z19" s="82">
        <f t="shared" si="2"/>
        <v>1418</v>
      </c>
      <c r="AA19" s="82">
        <f t="shared" si="3"/>
        <v>709</v>
      </c>
      <c r="AB19" t="s">
        <v>53</v>
      </c>
      <c r="AC19" t="s">
        <v>74</v>
      </c>
      <c r="AD19" t="s">
        <v>75</v>
      </c>
      <c r="AE19">
        <v>36575</v>
      </c>
      <c r="AF19">
        <v>7803</v>
      </c>
      <c r="AG19">
        <v>44378</v>
      </c>
    </row>
    <row r="20" spans="1:33">
      <c r="A20" s="91" t="s">
        <v>53</v>
      </c>
      <c r="B20" s="91" t="s">
        <v>76</v>
      </c>
      <c r="C20" s="92" t="s">
        <v>77</v>
      </c>
      <c r="D20" s="85">
        <v>1.402E-3</v>
      </c>
      <c r="E20" s="86">
        <v>5515</v>
      </c>
      <c r="F20" s="5"/>
      <c r="G20" s="77">
        <v>2.366E-3</v>
      </c>
      <c r="H20" s="87">
        <v>52735</v>
      </c>
      <c r="I20" s="7"/>
      <c r="J20" s="88">
        <v>58250</v>
      </c>
      <c r="K20" s="89">
        <v>58693</v>
      </c>
      <c r="L20" s="263">
        <f t="shared" si="0"/>
        <v>443</v>
      </c>
      <c r="M20" s="280">
        <f t="shared" si="4"/>
        <v>222</v>
      </c>
      <c r="N20" s="271">
        <f t="shared" si="1"/>
        <v>8804</v>
      </c>
      <c r="Z20" s="82">
        <f t="shared" si="2"/>
        <v>443</v>
      </c>
      <c r="AA20" s="82">
        <f t="shared" si="3"/>
        <v>221.5</v>
      </c>
      <c r="AB20" t="s">
        <v>53</v>
      </c>
      <c r="AC20" t="s">
        <v>76</v>
      </c>
      <c r="AD20" t="s">
        <v>77</v>
      </c>
      <c r="AE20">
        <v>52929</v>
      </c>
      <c r="AF20">
        <v>5764</v>
      </c>
      <c r="AG20">
        <v>58693</v>
      </c>
    </row>
    <row r="21" spans="1:33">
      <c r="A21" s="91" t="s">
        <v>53</v>
      </c>
      <c r="B21" s="91" t="s">
        <v>78</v>
      </c>
      <c r="C21" s="92" t="s">
        <v>79</v>
      </c>
      <c r="D21" s="85">
        <v>1.402E-3</v>
      </c>
      <c r="E21" s="86">
        <v>5515</v>
      </c>
      <c r="F21" s="5"/>
      <c r="G21" s="77">
        <v>1.7340000000000001E-3</v>
      </c>
      <c r="H21" s="87">
        <v>38649</v>
      </c>
      <c r="I21" s="7"/>
      <c r="J21" s="88">
        <v>44164</v>
      </c>
      <c r="K21" s="89">
        <v>44340</v>
      </c>
      <c r="L21" s="263">
        <f t="shared" si="0"/>
        <v>176</v>
      </c>
      <c r="M21" s="280">
        <f t="shared" si="4"/>
        <v>88</v>
      </c>
      <c r="N21" s="271">
        <f t="shared" si="1"/>
        <v>6651</v>
      </c>
      <c r="Z21" s="82">
        <f t="shared" si="2"/>
        <v>176</v>
      </c>
      <c r="AA21" s="82">
        <f t="shared" si="3"/>
        <v>88</v>
      </c>
      <c r="AB21" t="s">
        <v>53</v>
      </c>
      <c r="AC21" t="s">
        <v>78</v>
      </c>
      <c r="AD21" t="s">
        <v>79</v>
      </c>
      <c r="AE21">
        <v>38054</v>
      </c>
      <c r="AF21">
        <v>6286</v>
      </c>
      <c r="AG21">
        <v>44340</v>
      </c>
    </row>
    <row r="22" spans="1:33">
      <c r="A22" s="83" t="s">
        <v>53</v>
      </c>
      <c r="B22" s="83" t="s">
        <v>80</v>
      </c>
      <c r="C22" s="84" t="s">
        <v>81</v>
      </c>
      <c r="D22" s="85">
        <v>4.6700000000000002E-4</v>
      </c>
      <c r="E22" s="86">
        <v>1837</v>
      </c>
      <c r="F22" s="5"/>
      <c r="G22" s="77">
        <v>5.5500000000000005E-4</v>
      </c>
      <c r="H22" s="87">
        <v>12370</v>
      </c>
      <c r="I22" s="7"/>
      <c r="J22" s="88">
        <v>14207</v>
      </c>
      <c r="K22" s="89">
        <v>15075</v>
      </c>
      <c r="L22" s="263">
        <f t="shared" si="0"/>
        <v>868</v>
      </c>
      <c r="M22" s="231">
        <f t="shared" si="4"/>
        <v>434</v>
      </c>
      <c r="N22" s="271">
        <f t="shared" si="1"/>
        <v>2261</v>
      </c>
      <c r="Z22" s="82">
        <f t="shared" si="2"/>
        <v>868</v>
      </c>
      <c r="AA22" s="82">
        <f t="shared" si="3"/>
        <v>434</v>
      </c>
      <c r="AB22" t="s">
        <v>53</v>
      </c>
      <c r="AC22" t="s">
        <v>80</v>
      </c>
      <c r="AD22" t="s">
        <v>81</v>
      </c>
      <c r="AE22">
        <v>13124</v>
      </c>
      <c r="AF22">
        <v>1951</v>
      </c>
      <c r="AG22">
        <v>15075</v>
      </c>
    </row>
    <row r="23" spans="1:33">
      <c r="A23" s="83" t="s">
        <v>53</v>
      </c>
      <c r="B23" s="83" t="s">
        <v>82</v>
      </c>
      <c r="C23" s="84" t="s">
        <v>83</v>
      </c>
      <c r="D23" s="85">
        <v>3.4819999999999999E-3</v>
      </c>
      <c r="E23" s="86">
        <v>13696</v>
      </c>
      <c r="F23" s="5"/>
      <c r="G23" s="77">
        <v>2.748E-3</v>
      </c>
      <c r="H23" s="87">
        <v>61249</v>
      </c>
      <c r="I23" s="7"/>
      <c r="J23" s="88">
        <v>74945</v>
      </c>
      <c r="K23" s="89">
        <v>77288</v>
      </c>
      <c r="L23" s="263">
        <f t="shared" si="0"/>
        <v>2343</v>
      </c>
      <c r="M23" s="231">
        <f t="shared" si="4"/>
        <v>1172</v>
      </c>
      <c r="N23" s="271">
        <f t="shared" si="1"/>
        <v>11593</v>
      </c>
      <c r="Z23" s="82">
        <f t="shared" si="2"/>
        <v>2343</v>
      </c>
      <c r="AA23" s="82">
        <f t="shared" si="3"/>
        <v>1171.5</v>
      </c>
      <c r="AB23" t="s">
        <v>53</v>
      </c>
      <c r="AC23" t="s">
        <v>82</v>
      </c>
      <c r="AD23" t="s">
        <v>83</v>
      </c>
      <c r="AE23">
        <v>63938</v>
      </c>
      <c r="AF23">
        <v>13350</v>
      </c>
      <c r="AG23">
        <v>77288</v>
      </c>
    </row>
    <row r="24" spans="1:33">
      <c r="A24" s="91" t="s">
        <v>53</v>
      </c>
      <c r="B24" s="91" t="s">
        <v>84</v>
      </c>
      <c r="C24" s="92" t="s">
        <v>85</v>
      </c>
      <c r="D24" s="85">
        <v>2.258E-3</v>
      </c>
      <c r="E24" s="86">
        <v>8882</v>
      </c>
      <c r="F24" s="5"/>
      <c r="G24" s="77">
        <v>1.1540000000000001E-3</v>
      </c>
      <c r="H24" s="87">
        <v>25721</v>
      </c>
      <c r="I24" s="7"/>
      <c r="J24" s="88">
        <v>34603</v>
      </c>
      <c r="K24" s="89">
        <v>34682</v>
      </c>
      <c r="L24" s="263">
        <f t="shared" si="0"/>
        <v>79</v>
      </c>
      <c r="M24" s="280">
        <f t="shared" si="4"/>
        <v>40</v>
      </c>
      <c r="N24" s="271">
        <f t="shared" si="1"/>
        <v>5202</v>
      </c>
      <c r="Z24" s="82">
        <f t="shared" si="2"/>
        <v>79</v>
      </c>
      <c r="AA24" s="82">
        <f t="shared" si="3"/>
        <v>39.5</v>
      </c>
      <c r="AB24" t="s">
        <v>53</v>
      </c>
      <c r="AC24" t="s">
        <v>84</v>
      </c>
      <c r="AD24" t="s">
        <v>85</v>
      </c>
      <c r="AE24">
        <v>25839</v>
      </c>
      <c r="AF24">
        <v>8843</v>
      </c>
      <c r="AG24">
        <v>34682</v>
      </c>
    </row>
    <row r="25" spans="1:33">
      <c r="A25" s="91" t="s">
        <v>53</v>
      </c>
      <c r="B25" s="91" t="s">
        <v>86</v>
      </c>
      <c r="C25" s="92" t="s">
        <v>87</v>
      </c>
      <c r="D25" s="85">
        <v>4.3399999999999998E-4</v>
      </c>
      <c r="E25" s="86">
        <v>1707</v>
      </c>
      <c r="F25" s="5"/>
      <c r="G25" s="77">
        <v>5.4199999999999995E-4</v>
      </c>
      <c r="H25" s="87">
        <v>12080</v>
      </c>
      <c r="I25" s="7"/>
      <c r="J25" s="88">
        <v>13787</v>
      </c>
      <c r="K25" s="89">
        <v>14174</v>
      </c>
      <c r="L25" s="263">
        <f t="shared" si="0"/>
        <v>387</v>
      </c>
      <c r="M25" s="280">
        <f t="shared" si="4"/>
        <v>194</v>
      </c>
      <c r="N25" s="271">
        <f t="shared" si="1"/>
        <v>2126</v>
      </c>
      <c r="Z25" s="82">
        <f t="shared" si="2"/>
        <v>387</v>
      </c>
      <c r="AA25" s="82">
        <f t="shared" si="3"/>
        <v>193.5</v>
      </c>
      <c r="AB25" t="s">
        <v>53</v>
      </c>
      <c r="AC25" t="s">
        <v>86</v>
      </c>
      <c r="AD25" t="s">
        <v>87</v>
      </c>
      <c r="AE25">
        <v>12396</v>
      </c>
      <c r="AF25">
        <v>1778</v>
      </c>
      <c r="AG25">
        <v>14174</v>
      </c>
    </row>
    <row r="26" spans="1:33">
      <c r="A26" s="91" t="s">
        <v>53</v>
      </c>
      <c r="B26" s="91" t="s">
        <v>88</v>
      </c>
      <c r="C26" s="92" t="s">
        <v>89</v>
      </c>
      <c r="D26" s="85">
        <v>7.45E-4</v>
      </c>
      <c r="E26" s="86">
        <v>2930</v>
      </c>
      <c r="F26" s="5"/>
      <c r="G26" s="77">
        <v>1.536E-3</v>
      </c>
      <c r="H26" s="87">
        <v>34235</v>
      </c>
      <c r="I26" s="7"/>
      <c r="J26" s="88">
        <v>37165</v>
      </c>
      <c r="K26" s="89">
        <v>37369</v>
      </c>
      <c r="L26" s="263">
        <f t="shared" si="0"/>
        <v>204</v>
      </c>
      <c r="M26" s="280">
        <f t="shared" si="4"/>
        <v>102</v>
      </c>
      <c r="N26" s="271">
        <f t="shared" si="1"/>
        <v>5605</v>
      </c>
      <c r="Z26" s="82">
        <f t="shared" si="2"/>
        <v>204</v>
      </c>
      <c r="AA26" s="82">
        <f t="shared" si="3"/>
        <v>102</v>
      </c>
      <c r="AB26" t="s">
        <v>53</v>
      </c>
      <c r="AC26" t="s">
        <v>88</v>
      </c>
      <c r="AD26" t="s">
        <v>89</v>
      </c>
      <c r="AE26">
        <v>34551</v>
      </c>
      <c r="AF26">
        <v>2818</v>
      </c>
      <c r="AG26">
        <v>37369</v>
      </c>
    </row>
    <row r="27" spans="1:33">
      <c r="A27" s="91" t="s">
        <v>53</v>
      </c>
      <c r="B27" s="91" t="s">
        <v>90</v>
      </c>
      <c r="C27" s="92" t="s">
        <v>91</v>
      </c>
      <c r="D27" s="85">
        <v>1.268E-3</v>
      </c>
      <c r="E27" s="86">
        <v>4988</v>
      </c>
      <c r="F27" s="5"/>
      <c r="G27" s="77">
        <v>1.2769999999999999E-3</v>
      </c>
      <c r="H27" s="87">
        <v>28463</v>
      </c>
      <c r="I27" s="7"/>
      <c r="J27" s="88">
        <v>33451</v>
      </c>
      <c r="K27" s="89">
        <v>33625</v>
      </c>
      <c r="L27" s="263">
        <f t="shared" si="0"/>
        <v>174</v>
      </c>
      <c r="M27" s="280">
        <f t="shared" si="4"/>
        <v>87</v>
      </c>
      <c r="N27" s="271">
        <f t="shared" si="1"/>
        <v>5044</v>
      </c>
      <c r="Z27" s="82">
        <f t="shared" si="2"/>
        <v>174</v>
      </c>
      <c r="AA27" s="82">
        <f t="shared" si="3"/>
        <v>87</v>
      </c>
      <c r="AB27" t="s">
        <v>53</v>
      </c>
      <c r="AC27" t="s">
        <v>90</v>
      </c>
      <c r="AD27" t="s">
        <v>91</v>
      </c>
      <c r="AE27">
        <v>28250</v>
      </c>
      <c r="AF27">
        <v>5375</v>
      </c>
      <c r="AG27">
        <v>33625</v>
      </c>
    </row>
    <row r="28" spans="1:33">
      <c r="A28" s="91" t="s">
        <v>53</v>
      </c>
      <c r="B28" s="91" t="s">
        <v>92</v>
      </c>
      <c r="C28" s="92" t="s">
        <v>93</v>
      </c>
      <c r="D28" s="85">
        <v>3.5599999999999998E-4</v>
      </c>
      <c r="E28" s="86">
        <v>1400</v>
      </c>
      <c r="F28" s="5"/>
      <c r="G28" s="77">
        <v>9.1600000000000004E-4</v>
      </c>
      <c r="H28" s="87">
        <v>20416</v>
      </c>
      <c r="I28" s="7"/>
      <c r="J28" s="88">
        <v>21816</v>
      </c>
      <c r="K28" s="89">
        <v>20838</v>
      </c>
      <c r="L28" s="263" t="str">
        <f t="shared" si="0"/>
        <v xml:space="preserve"> </v>
      </c>
      <c r="M28" s="280" t="str">
        <f t="shared" si="4"/>
        <v xml:space="preserve"> </v>
      </c>
      <c r="N28" s="271">
        <f t="shared" si="1"/>
        <v>3126</v>
      </c>
      <c r="Z28" s="82">
        <f t="shared" si="2"/>
        <v>-978</v>
      </c>
      <c r="AA28" s="82">
        <f t="shared" si="3"/>
        <v>-489</v>
      </c>
      <c r="AB28" t="s">
        <v>53</v>
      </c>
      <c r="AC28" t="s">
        <v>92</v>
      </c>
      <c r="AD28" t="s">
        <v>93</v>
      </c>
      <c r="AE28">
        <v>19493</v>
      </c>
      <c r="AF28">
        <v>1345</v>
      </c>
      <c r="AG28">
        <v>20838</v>
      </c>
    </row>
    <row r="29" spans="1:33">
      <c r="A29" s="91" t="s">
        <v>53</v>
      </c>
      <c r="B29" s="91" t="s">
        <v>94</v>
      </c>
      <c r="C29" s="92" t="s">
        <v>95</v>
      </c>
      <c r="D29" s="85">
        <v>7.45E-4</v>
      </c>
      <c r="E29" s="86">
        <v>2930</v>
      </c>
      <c r="F29" s="5"/>
      <c r="G29" s="77">
        <v>8.8400000000000002E-4</v>
      </c>
      <c r="H29" s="87">
        <v>19703</v>
      </c>
      <c r="I29" s="7"/>
      <c r="J29" s="88">
        <v>22633</v>
      </c>
      <c r="K29" s="89">
        <v>22961</v>
      </c>
      <c r="L29" s="263">
        <f t="shared" si="0"/>
        <v>328</v>
      </c>
      <c r="M29" s="280">
        <f t="shared" si="4"/>
        <v>164</v>
      </c>
      <c r="N29" s="271">
        <f t="shared" si="1"/>
        <v>3444</v>
      </c>
      <c r="Z29" s="82">
        <f t="shared" si="2"/>
        <v>328</v>
      </c>
      <c r="AA29" s="82">
        <f t="shared" si="3"/>
        <v>164</v>
      </c>
      <c r="AB29" t="s">
        <v>53</v>
      </c>
      <c r="AC29" t="s">
        <v>94</v>
      </c>
      <c r="AD29" t="s">
        <v>95</v>
      </c>
      <c r="AE29">
        <v>19971</v>
      </c>
      <c r="AF29">
        <v>2990</v>
      </c>
      <c r="AG29">
        <v>22961</v>
      </c>
    </row>
    <row r="30" spans="1:33">
      <c r="A30" s="91" t="s">
        <v>53</v>
      </c>
      <c r="B30" s="91" t="s">
        <v>96</v>
      </c>
      <c r="C30" s="92" t="s">
        <v>97</v>
      </c>
      <c r="D30" s="85">
        <v>5.4500000000000002E-4</v>
      </c>
      <c r="E30" s="86">
        <v>2144</v>
      </c>
      <c r="F30" s="5"/>
      <c r="G30" s="77">
        <v>5.8600000000000004E-4</v>
      </c>
      <c r="H30" s="87">
        <v>13061</v>
      </c>
      <c r="I30" s="7"/>
      <c r="J30" s="88">
        <v>15205</v>
      </c>
      <c r="K30" s="89">
        <v>15130</v>
      </c>
      <c r="L30" s="263" t="str">
        <f t="shared" si="0"/>
        <v xml:space="preserve"> </v>
      </c>
      <c r="M30" s="280" t="str">
        <f t="shared" si="4"/>
        <v xml:space="preserve"> </v>
      </c>
      <c r="N30" s="271">
        <f t="shared" si="1"/>
        <v>2270</v>
      </c>
      <c r="Z30" s="82">
        <f t="shared" si="2"/>
        <v>-75</v>
      </c>
      <c r="AA30" s="82">
        <f t="shared" si="3"/>
        <v>-37.5</v>
      </c>
      <c r="AB30" t="s">
        <v>53</v>
      </c>
      <c r="AC30" t="s">
        <v>96</v>
      </c>
      <c r="AD30" t="s">
        <v>97</v>
      </c>
      <c r="AE30">
        <v>12874</v>
      </c>
      <c r="AF30">
        <v>2256</v>
      </c>
      <c r="AG30">
        <v>15130</v>
      </c>
    </row>
    <row r="31" spans="1:33">
      <c r="A31" s="91" t="s">
        <v>53</v>
      </c>
      <c r="B31" s="91" t="s">
        <v>98</v>
      </c>
      <c r="C31" s="92" t="s">
        <v>99</v>
      </c>
      <c r="D31" s="85">
        <v>2.7030000000000001E-3</v>
      </c>
      <c r="E31" s="86">
        <v>10632</v>
      </c>
      <c r="F31" s="5"/>
      <c r="G31" s="77">
        <v>3.4489999999999998E-3</v>
      </c>
      <c r="H31" s="87">
        <v>76874</v>
      </c>
      <c r="I31" s="7"/>
      <c r="J31" s="88">
        <v>87506</v>
      </c>
      <c r="K31" s="89">
        <v>89213</v>
      </c>
      <c r="L31" s="263">
        <f t="shared" si="0"/>
        <v>1707</v>
      </c>
      <c r="M31" s="280">
        <f t="shared" si="4"/>
        <v>854</v>
      </c>
      <c r="N31" s="271">
        <f t="shared" si="1"/>
        <v>13382</v>
      </c>
      <c r="Z31" s="82">
        <f t="shared" si="2"/>
        <v>1707</v>
      </c>
      <c r="AA31" s="82">
        <f t="shared" si="3"/>
        <v>853.5</v>
      </c>
      <c r="AB31" t="s">
        <v>53</v>
      </c>
      <c r="AC31" t="s">
        <v>98</v>
      </c>
      <c r="AD31" t="s">
        <v>99</v>
      </c>
      <c r="AE31">
        <v>77336</v>
      </c>
      <c r="AF31">
        <v>11877</v>
      </c>
      <c r="AG31">
        <v>89213</v>
      </c>
    </row>
    <row r="32" spans="1:33" ht="15.75" thickBot="1">
      <c r="A32" s="93" t="s">
        <v>53</v>
      </c>
      <c r="B32" s="93" t="s">
        <v>100</v>
      </c>
      <c r="C32" s="94" t="s">
        <v>101</v>
      </c>
      <c r="D32" s="95">
        <v>4.3610000000000003E-3</v>
      </c>
      <c r="E32" s="96">
        <v>17153</v>
      </c>
      <c r="F32" s="97"/>
      <c r="G32" s="98">
        <v>8.6650000000000008E-3</v>
      </c>
      <c r="H32" s="99">
        <v>193131</v>
      </c>
      <c r="I32" s="7"/>
      <c r="J32" s="100">
        <v>210284</v>
      </c>
      <c r="K32" s="101">
        <v>213130</v>
      </c>
      <c r="L32" s="264">
        <f t="shared" si="0"/>
        <v>2846</v>
      </c>
      <c r="M32" s="281">
        <f t="shared" si="4"/>
        <v>1423</v>
      </c>
      <c r="N32" s="102">
        <f t="shared" si="1"/>
        <v>31970</v>
      </c>
      <c r="Z32" s="82">
        <f t="shared" si="2"/>
        <v>2846</v>
      </c>
      <c r="AA32" s="82">
        <f t="shared" si="3"/>
        <v>1423</v>
      </c>
      <c r="AB32" t="s">
        <v>53</v>
      </c>
      <c r="AC32" t="s">
        <v>100</v>
      </c>
      <c r="AD32" t="s">
        <v>101</v>
      </c>
      <c r="AE32">
        <v>197046</v>
      </c>
      <c r="AF32">
        <v>16084</v>
      </c>
      <c r="AG32">
        <v>213130</v>
      </c>
    </row>
    <row r="33" spans="1:33">
      <c r="A33" s="73" t="s">
        <v>102</v>
      </c>
      <c r="B33" s="73" t="s">
        <v>103</v>
      </c>
      <c r="C33" s="74" t="s">
        <v>104</v>
      </c>
      <c r="D33" s="75">
        <v>9.5699999999999995E-4</v>
      </c>
      <c r="E33" s="76">
        <v>3764</v>
      </c>
      <c r="F33" s="5"/>
      <c r="G33" s="103">
        <v>1.304E-3</v>
      </c>
      <c r="H33" s="87">
        <v>29064</v>
      </c>
      <c r="I33" s="7"/>
      <c r="J33" s="88">
        <v>32828</v>
      </c>
      <c r="K33" s="89">
        <v>33721</v>
      </c>
      <c r="L33" s="263">
        <f t="shared" si="0"/>
        <v>893</v>
      </c>
      <c r="M33" s="280">
        <f t="shared" si="4"/>
        <v>447</v>
      </c>
      <c r="N33" s="271">
        <f t="shared" si="1"/>
        <v>5058</v>
      </c>
      <c r="Z33" s="82">
        <f t="shared" si="2"/>
        <v>893</v>
      </c>
      <c r="AA33" s="82">
        <f t="shared" si="3"/>
        <v>446.5</v>
      </c>
      <c r="AB33" t="s">
        <v>102</v>
      </c>
      <c r="AC33" t="s">
        <v>103</v>
      </c>
      <c r="AD33" t="s">
        <v>104</v>
      </c>
      <c r="AE33">
        <v>29342</v>
      </c>
      <c r="AF33">
        <v>4379</v>
      </c>
      <c r="AG33">
        <v>33721</v>
      </c>
    </row>
    <row r="34" spans="1:33">
      <c r="A34" s="91" t="s">
        <v>102</v>
      </c>
      <c r="B34" s="91" t="s">
        <v>105</v>
      </c>
      <c r="C34" s="92" t="s">
        <v>106</v>
      </c>
      <c r="D34" s="85">
        <v>9.4600000000000001E-4</v>
      </c>
      <c r="E34" s="86">
        <v>3721</v>
      </c>
      <c r="F34" s="5"/>
      <c r="G34" s="77">
        <v>5.2999999999999998E-4</v>
      </c>
      <c r="H34" s="87">
        <v>11813</v>
      </c>
      <c r="I34" s="7"/>
      <c r="J34" s="88">
        <v>15534</v>
      </c>
      <c r="K34" s="89">
        <v>15709</v>
      </c>
      <c r="L34" s="263">
        <f t="shared" si="0"/>
        <v>175</v>
      </c>
      <c r="M34" s="280">
        <f t="shared" si="4"/>
        <v>88</v>
      </c>
      <c r="N34" s="271">
        <f t="shared" si="1"/>
        <v>2356</v>
      </c>
      <c r="Z34" s="82">
        <f t="shared" si="2"/>
        <v>175</v>
      </c>
      <c r="AA34" s="82">
        <f t="shared" si="3"/>
        <v>87.5</v>
      </c>
      <c r="AB34" t="s">
        <v>102</v>
      </c>
      <c r="AC34" t="s">
        <v>105</v>
      </c>
      <c r="AD34" t="s">
        <v>106</v>
      </c>
      <c r="AE34">
        <v>11896</v>
      </c>
      <c r="AF34">
        <v>3813</v>
      </c>
      <c r="AG34">
        <v>15709</v>
      </c>
    </row>
    <row r="35" spans="1:33">
      <c r="A35" s="302" t="s">
        <v>102</v>
      </c>
      <c r="B35" s="302" t="s">
        <v>107</v>
      </c>
      <c r="C35" s="303" t="s">
        <v>108</v>
      </c>
      <c r="D35" s="85">
        <v>8.4500000000000005E-4</v>
      </c>
      <c r="E35" s="86">
        <v>3324</v>
      </c>
      <c r="F35" s="5"/>
      <c r="G35" s="77">
        <v>1.16E-3</v>
      </c>
      <c r="H35" s="87">
        <v>25855</v>
      </c>
      <c r="I35" s="7"/>
      <c r="J35" s="88">
        <v>29179</v>
      </c>
      <c r="K35" s="89">
        <v>31223</v>
      </c>
      <c r="L35" s="263">
        <f t="shared" si="0"/>
        <v>2044</v>
      </c>
      <c r="M35" s="280">
        <f t="shared" si="4"/>
        <v>1022</v>
      </c>
      <c r="N35" s="271">
        <f t="shared" si="1"/>
        <v>4683</v>
      </c>
      <c r="Z35" s="82">
        <f t="shared" si="2"/>
        <v>2044</v>
      </c>
      <c r="AA35" s="82">
        <f t="shared" si="3"/>
        <v>1022</v>
      </c>
      <c r="AB35" t="s">
        <v>102</v>
      </c>
      <c r="AC35" t="s">
        <v>107</v>
      </c>
      <c r="AD35" t="s">
        <v>108</v>
      </c>
      <c r="AE35">
        <v>26976</v>
      </c>
      <c r="AF35">
        <v>4247</v>
      </c>
      <c r="AG35">
        <v>31223</v>
      </c>
    </row>
    <row r="36" spans="1:33">
      <c r="A36" s="91" t="s">
        <v>102</v>
      </c>
      <c r="B36" s="91" t="s">
        <v>109</v>
      </c>
      <c r="C36" s="92" t="s">
        <v>110</v>
      </c>
      <c r="D36" s="85">
        <v>1.457E-3</v>
      </c>
      <c r="E36" s="86">
        <v>5731</v>
      </c>
      <c r="F36" s="5"/>
      <c r="G36" s="77">
        <v>1.5900000000000001E-3</v>
      </c>
      <c r="H36" s="87">
        <v>35439</v>
      </c>
      <c r="I36" s="7"/>
      <c r="J36" s="88">
        <v>41170</v>
      </c>
      <c r="K36" s="89">
        <v>44120</v>
      </c>
      <c r="L36" s="263">
        <f t="shared" si="0"/>
        <v>2950</v>
      </c>
      <c r="M36" s="280">
        <f t="shared" si="4"/>
        <v>1475</v>
      </c>
      <c r="N36" s="271">
        <f t="shared" si="1"/>
        <v>6618</v>
      </c>
      <c r="Z36" s="82">
        <f t="shared" si="2"/>
        <v>2950</v>
      </c>
      <c r="AA36" s="82">
        <f t="shared" si="3"/>
        <v>1475</v>
      </c>
      <c r="AB36" t="s">
        <v>102</v>
      </c>
      <c r="AC36" t="s">
        <v>109</v>
      </c>
      <c r="AD36" t="s">
        <v>110</v>
      </c>
      <c r="AE36">
        <v>37963</v>
      </c>
      <c r="AF36">
        <v>6157</v>
      </c>
      <c r="AG36">
        <v>44120</v>
      </c>
    </row>
    <row r="37" spans="1:33">
      <c r="A37" s="83" t="s">
        <v>102</v>
      </c>
      <c r="B37" s="83" t="s">
        <v>111</v>
      </c>
      <c r="C37" s="84" t="s">
        <v>112</v>
      </c>
      <c r="D37" s="85">
        <v>8.8999999999999995E-4</v>
      </c>
      <c r="E37" s="86">
        <v>3501</v>
      </c>
      <c r="F37" s="5"/>
      <c r="G37" s="77">
        <v>1.175E-3</v>
      </c>
      <c r="H37" s="87">
        <v>26189</v>
      </c>
      <c r="I37" s="7"/>
      <c r="J37" s="88">
        <v>29690</v>
      </c>
      <c r="K37" s="89">
        <v>30820</v>
      </c>
      <c r="L37" s="263">
        <f t="shared" si="0"/>
        <v>1130</v>
      </c>
      <c r="M37" s="231">
        <f t="shared" si="4"/>
        <v>565</v>
      </c>
      <c r="N37" s="271">
        <f t="shared" si="1"/>
        <v>4623</v>
      </c>
      <c r="Z37" s="82">
        <f t="shared" si="2"/>
        <v>1130</v>
      </c>
      <c r="AA37" s="82">
        <f t="shared" si="3"/>
        <v>565</v>
      </c>
      <c r="AB37" t="s">
        <v>102</v>
      </c>
      <c r="AC37" t="s">
        <v>111</v>
      </c>
      <c r="AD37" t="s">
        <v>112</v>
      </c>
      <c r="AE37">
        <v>26613</v>
      </c>
      <c r="AF37">
        <v>4207</v>
      </c>
      <c r="AG37">
        <v>30820</v>
      </c>
    </row>
    <row r="38" spans="1:33">
      <c r="A38" s="91" t="s">
        <v>102</v>
      </c>
      <c r="B38" s="91" t="s">
        <v>113</v>
      </c>
      <c r="C38" s="92" t="s">
        <v>114</v>
      </c>
      <c r="D38" s="85">
        <v>1.8799999999999999E-3</v>
      </c>
      <c r="E38" s="86">
        <v>7395</v>
      </c>
      <c r="F38" s="5"/>
      <c r="G38" s="77">
        <v>1.444E-3</v>
      </c>
      <c r="H38" s="87">
        <v>32185</v>
      </c>
      <c r="I38" s="7"/>
      <c r="J38" s="88">
        <v>39580</v>
      </c>
      <c r="K38" s="89">
        <v>41276</v>
      </c>
      <c r="L38" s="263">
        <f t="shared" si="0"/>
        <v>1696</v>
      </c>
      <c r="M38" s="280">
        <f t="shared" si="4"/>
        <v>848</v>
      </c>
      <c r="N38" s="271">
        <f t="shared" si="1"/>
        <v>6191</v>
      </c>
      <c r="Z38" s="82">
        <f t="shared" si="2"/>
        <v>1696</v>
      </c>
      <c r="AA38" s="82">
        <f t="shared" si="3"/>
        <v>848</v>
      </c>
      <c r="AB38" t="s">
        <v>102</v>
      </c>
      <c r="AC38" t="s">
        <v>113</v>
      </c>
      <c r="AD38" t="s">
        <v>114</v>
      </c>
      <c r="AE38">
        <v>33300</v>
      </c>
      <c r="AF38">
        <v>7976</v>
      </c>
      <c r="AG38">
        <v>41276</v>
      </c>
    </row>
    <row r="39" spans="1:33">
      <c r="A39" s="91" t="s">
        <v>102</v>
      </c>
      <c r="B39" s="91" t="s">
        <v>115</v>
      </c>
      <c r="C39" s="92" t="s">
        <v>116</v>
      </c>
      <c r="D39" s="85">
        <v>1.4679999999999999E-3</v>
      </c>
      <c r="E39" s="86">
        <v>5774</v>
      </c>
      <c r="F39" s="5"/>
      <c r="G39" s="77">
        <v>1.279E-3</v>
      </c>
      <c r="H39" s="87">
        <v>28507</v>
      </c>
      <c r="I39" s="7"/>
      <c r="J39" s="88">
        <v>34281</v>
      </c>
      <c r="K39" s="89">
        <v>35786</v>
      </c>
      <c r="L39" s="263">
        <f t="shared" si="0"/>
        <v>1505</v>
      </c>
      <c r="M39" s="280">
        <f t="shared" si="4"/>
        <v>753</v>
      </c>
      <c r="N39" s="271">
        <f t="shared" si="1"/>
        <v>5368</v>
      </c>
      <c r="Z39" s="82">
        <f t="shared" si="2"/>
        <v>1505</v>
      </c>
      <c r="AA39" s="82">
        <f t="shared" si="3"/>
        <v>752.5</v>
      </c>
      <c r="AB39" t="s">
        <v>102</v>
      </c>
      <c r="AC39" t="s">
        <v>115</v>
      </c>
      <c r="AD39" t="s">
        <v>116</v>
      </c>
      <c r="AE39">
        <v>29456</v>
      </c>
      <c r="AF39">
        <v>6330</v>
      </c>
      <c r="AG39">
        <v>35786</v>
      </c>
    </row>
    <row r="40" spans="1:33">
      <c r="A40" s="91" t="s">
        <v>102</v>
      </c>
      <c r="B40" s="91" t="s">
        <v>117</v>
      </c>
      <c r="C40" s="92" t="s">
        <v>118</v>
      </c>
      <c r="D40" s="85">
        <v>8.6799999999999996E-4</v>
      </c>
      <c r="E40" s="86">
        <v>3414</v>
      </c>
      <c r="F40" s="5"/>
      <c r="G40" s="77">
        <v>1.0920000000000001E-3</v>
      </c>
      <c r="H40" s="87">
        <v>24339</v>
      </c>
      <c r="I40" s="7"/>
      <c r="J40" s="88">
        <v>27753</v>
      </c>
      <c r="K40" s="89">
        <v>28091</v>
      </c>
      <c r="L40" s="263">
        <f t="shared" si="0"/>
        <v>338</v>
      </c>
      <c r="M40" s="280">
        <f t="shared" si="4"/>
        <v>169</v>
      </c>
      <c r="N40" s="271">
        <f t="shared" si="1"/>
        <v>4214</v>
      </c>
      <c r="Z40" s="82">
        <f t="shared" si="2"/>
        <v>338</v>
      </c>
      <c r="AA40" s="82">
        <f t="shared" si="3"/>
        <v>169</v>
      </c>
      <c r="AB40" t="s">
        <v>102</v>
      </c>
      <c r="AC40" t="s">
        <v>117</v>
      </c>
      <c r="AD40" t="s">
        <v>118</v>
      </c>
      <c r="AE40">
        <v>23929</v>
      </c>
      <c r="AF40">
        <v>4162</v>
      </c>
      <c r="AG40">
        <v>28091</v>
      </c>
    </row>
    <row r="41" spans="1:33">
      <c r="A41" s="91" t="s">
        <v>102</v>
      </c>
      <c r="B41" s="91" t="s">
        <v>119</v>
      </c>
      <c r="C41" s="92" t="s">
        <v>120</v>
      </c>
      <c r="D41" s="85">
        <v>8.8999999999999995E-4</v>
      </c>
      <c r="E41" s="86">
        <v>3501</v>
      </c>
      <c r="F41" s="5"/>
      <c r="G41" s="77">
        <v>9.8299999999999993E-4</v>
      </c>
      <c r="H41" s="87">
        <v>21910</v>
      </c>
      <c r="I41" s="7"/>
      <c r="J41" s="88">
        <v>25411</v>
      </c>
      <c r="K41" s="89">
        <v>24572</v>
      </c>
      <c r="L41" s="263" t="str">
        <f t="shared" si="0"/>
        <v xml:space="preserve"> </v>
      </c>
      <c r="M41" s="280" t="str">
        <f t="shared" si="4"/>
        <v xml:space="preserve"> </v>
      </c>
      <c r="N41" s="271">
        <f t="shared" si="1"/>
        <v>3686</v>
      </c>
      <c r="Z41" s="82">
        <f t="shared" si="2"/>
        <v>-839</v>
      </c>
      <c r="AA41" s="82">
        <f t="shared" si="3"/>
        <v>-419.5</v>
      </c>
      <c r="AB41" t="s">
        <v>102</v>
      </c>
      <c r="AC41" t="s">
        <v>119</v>
      </c>
      <c r="AD41" t="s">
        <v>120</v>
      </c>
      <c r="AE41">
        <v>21449</v>
      </c>
      <c r="AF41">
        <v>3123</v>
      </c>
      <c r="AG41">
        <v>24572</v>
      </c>
    </row>
    <row r="42" spans="1:33">
      <c r="A42" s="91" t="s">
        <v>102</v>
      </c>
      <c r="B42" s="91" t="s">
        <v>121</v>
      </c>
      <c r="C42" s="92" t="s">
        <v>122</v>
      </c>
      <c r="D42" s="85">
        <v>6.2299999999999996E-4</v>
      </c>
      <c r="E42" s="86">
        <v>2450</v>
      </c>
      <c r="F42" s="5"/>
      <c r="G42" s="77">
        <v>5.5900000000000004E-4</v>
      </c>
      <c r="H42" s="87">
        <v>12459</v>
      </c>
      <c r="I42" s="7"/>
      <c r="J42" s="88">
        <v>14909</v>
      </c>
      <c r="K42" s="89">
        <v>15540</v>
      </c>
      <c r="L42" s="263">
        <f t="shared" si="0"/>
        <v>631</v>
      </c>
      <c r="M42" s="280">
        <f t="shared" si="4"/>
        <v>316</v>
      </c>
      <c r="N42" s="271">
        <f t="shared" si="1"/>
        <v>2331</v>
      </c>
      <c r="Z42" s="82">
        <f t="shared" si="2"/>
        <v>631</v>
      </c>
      <c r="AA42" s="82">
        <f t="shared" si="3"/>
        <v>315.5</v>
      </c>
      <c r="AB42" t="s">
        <v>102</v>
      </c>
      <c r="AC42" t="s">
        <v>121</v>
      </c>
      <c r="AD42" t="s">
        <v>122</v>
      </c>
      <c r="AE42">
        <v>12851</v>
      </c>
      <c r="AF42">
        <v>2689</v>
      </c>
      <c r="AG42">
        <v>15540</v>
      </c>
    </row>
    <row r="43" spans="1:33">
      <c r="A43" s="91" t="s">
        <v>102</v>
      </c>
      <c r="B43" s="91" t="s">
        <v>123</v>
      </c>
      <c r="C43" s="92" t="s">
        <v>124</v>
      </c>
      <c r="D43" s="85">
        <v>5.2950000000000002E-3</v>
      </c>
      <c r="E43" s="86">
        <v>20827</v>
      </c>
      <c r="F43" s="5"/>
      <c r="G43" s="77">
        <v>9.9330000000000009E-3</v>
      </c>
      <c r="H43" s="87">
        <v>221394</v>
      </c>
      <c r="I43" s="7"/>
      <c r="J43" s="88">
        <v>242221</v>
      </c>
      <c r="K43" s="89">
        <v>248709</v>
      </c>
      <c r="L43" s="263">
        <f t="shared" si="0"/>
        <v>6488</v>
      </c>
      <c r="M43" s="280">
        <f t="shared" si="4"/>
        <v>3244</v>
      </c>
      <c r="N43" s="271">
        <f t="shared" si="1"/>
        <v>37306</v>
      </c>
      <c r="Z43" s="82">
        <f t="shared" si="2"/>
        <v>6488</v>
      </c>
      <c r="AA43" s="82">
        <f t="shared" si="3"/>
        <v>3244</v>
      </c>
      <c r="AB43" t="s">
        <v>102</v>
      </c>
      <c r="AC43" t="s">
        <v>123</v>
      </c>
      <c r="AD43" t="s">
        <v>124</v>
      </c>
      <c r="AE43">
        <v>227162</v>
      </c>
      <c r="AF43">
        <v>21547</v>
      </c>
      <c r="AG43">
        <v>248709</v>
      </c>
    </row>
    <row r="44" spans="1:33">
      <c r="A44" s="91" t="s">
        <v>102</v>
      </c>
      <c r="B44" s="91" t="s">
        <v>125</v>
      </c>
      <c r="C44" s="92" t="s">
        <v>126</v>
      </c>
      <c r="D44" s="85">
        <v>3.7160000000000001E-3</v>
      </c>
      <c r="E44" s="86">
        <v>14616</v>
      </c>
      <c r="F44" s="5"/>
      <c r="G44" s="77">
        <v>3.3409999999999998E-3</v>
      </c>
      <c r="H44" s="87">
        <v>74466</v>
      </c>
      <c r="I44" s="7"/>
      <c r="J44" s="88">
        <v>89082</v>
      </c>
      <c r="K44" s="89">
        <v>92179</v>
      </c>
      <c r="L44" s="263">
        <f t="shared" si="0"/>
        <v>3097</v>
      </c>
      <c r="M44" s="280">
        <f t="shared" si="4"/>
        <v>1549</v>
      </c>
      <c r="N44" s="271">
        <f t="shared" si="1"/>
        <v>13827</v>
      </c>
      <c r="Z44" s="82">
        <f t="shared" si="2"/>
        <v>3097</v>
      </c>
      <c r="AA44" s="82">
        <f t="shared" si="3"/>
        <v>1548.5</v>
      </c>
      <c r="AB44" t="s">
        <v>102</v>
      </c>
      <c r="AC44" t="s">
        <v>125</v>
      </c>
      <c r="AD44" t="s">
        <v>126</v>
      </c>
      <c r="AE44">
        <v>76790</v>
      </c>
      <c r="AF44">
        <v>15389</v>
      </c>
      <c r="AG44">
        <v>92179</v>
      </c>
    </row>
    <row r="45" spans="1:33">
      <c r="A45" s="91" t="s">
        <v>102</v>
      </c>
      <c r="B45" s="91" t="s">
        <v>127</v>
      </c>
      <c r="C45" s="92" t="s">
        <v>128</v>
      </c>
      <c r="D45" s="85">
        <v>6.2299999999999996E-4</v>
      </c>
      <c r="E45" s="86">
        <v>2450</v>
      </c>
      <c r="F45" s="5"/>
      <c r="G45" s="77">
        <v>7.1599999999999995E-4</v>
      </c>
      <c r="H45" s="87">
        <v>15959</v>
      </c>
      <c r="I45" s="7"/>
      <c r="J45" s="88">
        <v>18409</v>
      </c>
      <c r="K45" s="89">
        <v>18433</v>
      </c>
      <c r="L45" s="263">
        <f t="shared" si="0"/>
        <v>24</v>
      </c>
      <c r="M45" s="280">
        <f t="shared" si="4"/>
        <v>12</v>
      </c>
      <c r="N45" s="271">
        <f t="shared" si="1"/>
        <v>2765</v>
      </c>
      <c r="Z45" s="82">
        <f t="shared" si="2"/>
        <v>24</v>
      </c>
      <c r="AA45" s="82">
        <f t="shared" si="3"/>
        <v>12</v>
      </c>
      <c r="AB45" t="s">
        <v>102</v>
      </c>
      <c r="AC45" t="s">
        <v>127</v>
      </c>
      <c r="AD45" t="s">
        <v>128</v>
      </c>
      <c r="AE45">
        <v>16354</v>
      </c>
      <c r="AF45">
        <v>2079</v>
      </c>
      <c r="AG45">
        <v>18433</v>
      </c>
    </row>
    <row r="46" spans="1:33">
      <c r="A46" s="91" t="s">
        <v>102</v>
      </c>
      <c r="B46" s="91" t="s">
        <v>129</v>
      </c>
      <c r="C46" s="92" t="s">
        <v>130</v>
      </c>
      <c r="D46" s="85">
        <v>2.1359999999999999E-3</v>
      </c>
      <c r="E46" s="86">
        <v>8402</v>
      </c>
      <c r="F46" s="5"/>
      <c r="G46" s="77">
        <v>2.6020000000000001E-3</v>
      </c>
      <c r="H46" s="87">
        <v>57995</v>
      </c>
      <c r="I46" s="7"/>
      <c r="J46" s="88">
        <v>66397</v>
      </c>
      <c r="K46" s="89">
        <v>67464</v>
      </c>
      <c r="L46" s="263">
        <f t="shared" si="0"/>
        <v>1067</v>
      </c>
      <c r="M46" s="280">
        <f t="shared" si="4"/>
        <v>534</v>
      </c>
      <c r="N46" s="271">
        <f t="shared" si="1"/>
        <v>10120</v>
      </c>
      <c r="Z46" s="82">
        <f t="shared" si="2"/>
        <v>1067</v>
      </c>
      <c r="AA46" s="82">
        <f t="shared" si="3"/>
        <v>533.5</v>
      </c>
      <c r="AB46" t="s">
        <v>102</v>
      </c>
      <c r="AC46" t="s">
        <v>129</v>
      </c>
      <c r="AD46" t="s">
        <v>130</v>
      </c>
      <c r="AE46">
        <v>59617</v>
      </c>
      <c r="AF46">
        <v>7847</v>
      </c>
      <c r="AG46">
        <v>67464</v>
      </c>
    </row>
    <row r="47" spans="1:33">
      <c r="A47" s="91" t="s">
        <v>102</v>
      </c>
      <c r="B47" s="91" t="s">
        <v>131</v>
      </c>
      <c r="C47" s="92" t="s">
        <v>132</v>
      </c>
      <c r="D47" s="85">
        <v>0</v>
      </c>
      <c r="E47" s="86">
        <v>0</v>
      </c>
      <c r="F47" s="5"/>
      <c r="G47" s="77">
        <v>3.0899999999999998E-4</v>
      </c>
      <c r="H47" s="87">
        <v>6887</v>
      </c>
      <c r="I47" s="7"/>
      <c r="J47" s="88">
        <v>6887</v>
      </c>
      <c r="K47" s="89">
        <v>6414</v>
      </c>
      <c r="L47" s="263" t="str">
        <f t="shared" si="0"/>
        <v xml:space="preserve"> </v>
      </c>
      <c r="M47" s="280" t="str">
        <f t="shared" si="4"/>
        <v xml:space="preserve"> </v>
      </c>
      <c r="N47" s="271">
        <f t="shared" si="1"/>
        <v>962</v>
      </c>
      <c r="Z47" s="82">
        <f t="shared" si="2"/>
        <v>-473</v>
      </c>
      <c r="AA47" s="82">
        <f t="shared" si="3"/>
        <v>-236.5</v>
      </c>
      <c r="AB47" t="s">
        <v>102</v>
      </c>
      <c r="AC47" t="s">
        <v>131</v>
      </c>
      <c r="AD47" t="s">
        <v>132</v>
      </c>
      <c r="AE47">
        <v>6414</v>
      </c>
      <c r="AF47">
        <v>0</v>
      </c>
      <c r="AG47">
        <v>6414</v>
      </c>
    </row>
    <row r="48" spans="1:33">
      <c r="A48" s="91" t="s">
        <v>102</v>
      </c>
      <c r="B48" s="91" t="s">
        <v>133</v>
      </c>
      <c r="C48" s="92" t="s">
        <v>134</v>
      </c>
      <c r="D48" s="85">
        <v>5.3399999999999997E-4</v>
      </c>
      <c r="E48" s="86">
        <v>2100</v>
      </c>
      <c r="F48" s="5"/>
      <c r="G48" s="77">
        <v>1.4289999999999999E-3</v>
      </c>
      <c r="H48" s="87">
        <v>31851</v>
      </c>
      <c r="I48" s="7"/>
      <c r="J48" s="88">
        <v>33951</v>
      </c>
      <c r="K48" s="89">
        <v>35185</v>
      </c>
      <c r="L48" s="263">
        <f t="shared" si="0"/>
        <v>1234</v>
      </c>
      <c r="M48" s="280">
        <f t="shared" si="4"/>
        <v>617</v>
      </c>
      <c r="N48" s="271">
        <f t="shared" si="1"/>
        <v>5278</v>
      </c>
      <c r="Z48" s="82">
        <f t="shared" si="2"/>
        <v>1234</v>
      </c>
      <c r="AA48" s="82">
        <f t="shared" si="3"/>
        <v>617</v>
      </c>
      <c r="AB48" t="s">
        <v>102</v>
      </c>
      <c r="AC48" t="s">
        <v>133</v>
      </c>
      <c r="AD48" t="s">
        <v>134</v>
      </c>
      <c r="AE48">
        <v>33323</v>
      </c>
      <c r="AF48">
        <v>1862</v>
      </c>
      <c r="AG48">
        <v>35185</v>
      </c>
    </row>
    <row r="49" spans="1:33">
      <c r="A49" s="83" t="s">
        <v>102</v>
      </c>
      <c r="B49" s="83" t="s">
        <v>135</v>
      </c>
      <c r="C49" s="84" t="s">
        <v>136</v>
      </c>
      <c r="D49" s="85">
        <v>9.5699999999999995E-4</v>
      </c>
      <c r="E49" s="86">
        <v>3764</v>
      </c>
      <c r="F49" s="5"/>
      <c r="G49" s="77">
        <v>1.572E-3</v>
      </c>
      <c r="H49" s="87">
        <v>35038</v>
      </c>
      <c r="I49" s="7"/>
      <c r="J49" s="88">
        <v>38802</v>
      </c>
      <c r="K49" s="89">
        <v>40410</v>
      </c>
      <c r="L49" s="263">
        <f t="shared" si="0"/>
        <v>1608</v>
      </c>
      <c r="M49" s="231">
        <f t="shared" si="4"/>
        <v>804</v>
      </c>
      <c r="N49" s="271">
        <f t="shared" si="1"/>
        <v>6062</v>
      </c>
      <c r="Z49" s="82">
        <f t="shared" si="2"/>
        <v>1608</v>
      </c>
      <c r="AA49" s="82">
        <f t="shared" si="3"/>
        <v>804</v>
      </c>
      <c r="AB49" t="s">
        <v>102</v>
      </c>
      <c r="AC49" t="s">
        <v>135</v>
      </c>
      <c r="AD49" t="s">
        <v>136</v>
      </c>
      <c r="AE49">
        <v>37030</v>
      </c>
      <c r="AF49">
        <v>3380</v>
      </c>
      <c r="AG49">
        <v>40410</v>
      </c>
    </row>
    <row r="50" spans="1:33">
      <c r="A50" s="91" t="s">
        <v>102</v>
      </c>
      <c r="B50" s="91" t="s">
        <v>137</v>
      </c>
      <c r="C50" s="92" t="s">
        <v>138</v>
      </c>
      <c r="D50" s="85">
        <v>3.5599999999999998E-4</v>
      </c>
      <c r="E50" s="86">
        <v>1400</v>
      </c>
      <c r="F50" s="5"/>
      <c r="G50" s="77">
        <v>2.7399999999999999E-4</v>
      </c>
      <c r="H50" s="87">
        <v>6107</v>
      </c>
      <c r="I50" s="7"/>
      <c r="J50" s="88">
        <v>7507</v>
      </c>
      <c r="K50" s="89">
        <v>7259</v>
      </c>
      <c r="L50" s="263" t="str">
        <f t="shared" si="0"/>
        <v xml:space="preserve"> </v>
      </c>
      <c r="M50" s="280" t="str">
        <f t="shared" si="4"/>
        <v xml:space="preserve"> </v>
      </c>
      <c r="N50" s="271">
        <f t="shared" si="1"/>
        <v>1089</v>
      </c>
      <c r="Z50" s="82">
        <f t="shared" si="2"/>
        <v>-248</v>
      </c>
      <c r="AA50" s="82">
        <f t="shared" si="3"/>
        <v>-124</v>
      </c>
      <c r="AB50" t="s">
        <v>102</v>
      </c>
      <c r="AC50" t="s">
        <v>137</v>
      </c>
      <c r="AD50" t="s">
        <v>138</v>
      </c>
      <c r="AE50">
        <v>5914</v>
      </c>
      <c r="AF50">
        <v>1345</v>
      </c>
      <c r="AG50">
        <v>7259</v>
      </c>
    </row>
    <row r="51" spans="1:33">
      <c r="A51" s="91" t="s">
        <v>102</v>
      </c>
      <c r="B51" s="91" t="s">
        <v>139</v>
      </c>
      <c r="C51" s="92" t="s">
        <v>140</v>
      </c>
      <c r="D51" s="85">
        <v>1.168E-3</v>
      </c>
      <c r="E51" s="86">
        <v>4594</v>
      </c>
      <c r="F51" s="5"/>
      <c r="G51" s="77">
        <v>9.7300000000000002E-4</v>
      </c>
      <c r="H51" s="87">
        <v>21687</v>
      </c>
      <c r="I51" s="7"/>
      <c r="J51" s="88">
        <v>26281</v>
      </c>
      <c r="K51" s="89">
        <v>25304</v>
      </c>
      <c r="L51" s="263" t="str">
        <f t="shared" si="0"/>
        <v xml:space="preserve"> </v>
      </c>
      <c r="M51" s="280" t="str">
        <f t="shared" si="4"/>
        <v xml:space="preserve"> </v>
      </c>
      <c r="N51" s="271">
        <f t="shared" si="1"/>
        <v>3796</v>
      </c>
      <c r="Z51" s="82">
        <f t="shared" si="2"/>
        <v>-977</v>
      </c>
      <c r="AA51" s="82">
        <f t="shared" si="3"/>
        <v>-488.5</v>
      </c>
      <c r="AB51" t="s">
        <v>102</v>
      </c>
      <c r="AC51" t="s">
        <v>139</v>
      </c>
      <c r="AD51" t="s">
        <v>140</v>
      </c>
      <c r="AE51">
        <v>21836</v>
      </c>
      <c r="AF51">
        <v>3468</v>
      </c>
      <c r="AG51">
        <v>25304</v>
      </c>
    </row>
    <row r="52" spans="1:33">
      <c r="A52" s="91" t="s">
        <v>102</v>
      </c>
      <c r="B52" s="91" t="s">
        <v>141</v>
      </c>
      <c r="C52" s="92" t="s">
        <v>142</v>
      </c>
      <c r="D52" s="85">
        <v>1.0009999999999999E-3</v>
      </c>
      <c r="E52" s="86">
        <v>3937</v>
      </c>
      <c r="F52" s="5"/>
      <c r="G52" s="77">
        <v>1.0579999999999999E-3</v>
      </c>
      <c r="H52" s="87">
        <v>23581</v>
      </c>
      <c r="I52" s="7"/>
      <c r="J52" s="88">
        <v>27518</v>
      </c>
      <c r="K52" s="89">
        <v>29261</v>
      </c>
      <c r="L52" s="263">
        <f t="shared" si="0"/>
        <v>1743</v>
      </c>
      <c r="M52" s="280">
        <f t="shared" si="4"/>
        <v>872</v>
      </c>
      <c r="N52" s="271">
        <f t="shared" si="1"/>
        <v>4389</v>
      </c>
      <c r="Z52" s="82">
        <f t="shared" si="2"/>
        <v>1743</v>
      </c>
      <c r="AA52" s="82">
        <f t="shared" si="3"/>
        <v>871.5</v>
      </c>
      <c r="AB52" t="s">
        <v>102</v>
      </c>
      <c r="AC52" t="s">
        <v>141</v>
      </c>
      <c r="AD52" t="s">
        <v>142</v>
      </c>
      <c r="AE52">
        <v>25271</v>
      </c>
      <c r="AF52">
        <v>3990</v>
      </c>
      <c r="AG52">
        <v>29261</v>
      </c>
    </row>
    <row r="53" spans="1:33">
      <c r="A53" s="91" t="s">
        <v>102</v>
      </c>
      <c r="B53" s="91" t="s">
        <v>143</v>
      </c>
      <c r="C53" s="92" t="s">
        <v>144</v>
      </c>
      <c r="D53" s="85">
        <v>1.8799999999999999E-3</v>
      </c>
      <c r="E53" s="86">
        <v>7395</v>
      </c>
      <c r="F53" s="5"/>
      <c r="G53" s="77">
        <v>1.3749999999999999E-3</v>
      </c>
      <c r="H53" s="87">
        <v>30647</v>
      </c>
      <c r="I53" s="7"/>
      <c r="J53" s="88">
        <v>38042</v>
      </c>
      <c r="K53" s="89">
        <v>36606</v>
      </c>
      <c r="L53" s="263" t="str">
        <f t="shared" si="0"/>
        <v xml:space="preserve"> </v>
      </c>
      <c r="M53" s="280" t="str">
        <f t="shared" si="4"/>
        <v xml:space="preserve"> </v>
      </c>
      <c r="N53" s="271">
        <f t="shared" si="1"/>
        <v>5491</v>
      </c>
      <c r="Z53" s="82">
        <f t="shared" si="2"/>
        <v>-1436</v>
      </c>
      <c r="AA53" s="82">
        <f t="shared" si="3"/>
        <v>-718</v>
      </c>
      <c r="AB53" t="s">
        <v>102</v>
      </c>
      <c r="AC53" t="s">
        <v>143</v>
      </c>
      <c r="AD53" t="s">
        <v>144</v>
      </c>
      <c r="AE53">
        <v>29842</v>
      </c>
      <c r="AF53">
        <v>6764</v>
      </c>
      <c r="AG53">
        <v>36606</v>
      </c>
    </row>
    <row r="54" spans="1:33">
      <c r="A54" s="83" t="s">
        <v>102</v>
      </c>
      <c r="B54" s="83" t="s">
        <v>145</v>
      </c>
      <c r="C54" s="84" t="s">
        <v>146</v>
      </c>
      <c r="D54" s="85">
        <v>1.2570000000000001E-3</v>
      </c>
      <c r="E54" s="86">
        <v>4944</v>
      </c>
      <c r="F54" s="5"/>
      <c r="G54" s="77">
        <v>1.291E-3</v>
      </c>
      <c r="H54" s="87">
        <v>28775</v>
      </c>
      <c r="I54" s="7"/>
      <c r="J54" s="88">
        <v>33719</v>
      </c>
      <c r="K54" s="89">
        <v>33916</v>
      </c>
      <c r="L54" s="263">
        <f t="shared" si="0"/>
        <v>197</v>
      </c>
      <c r="M54" s="231">
        <f t="shared" si="4"/>
        <v>99</v>
      </c>
      <c r="N54" s="271">
        <f t="shared" si="1"/>
        <v>5087</v>
      </c>
      <c r="Z54" s="82">
        <f t="shared" si="2"/>
        <v>197</v>
      </c>
      <c r="AA54" s="82">
        <f t="shared" si="3"/>
        <v>98.5</v>
      </c>
      <c r="AB54" t="s">
        <v>102</v>
      </c>
      <c r="AC54" t="s">
        <v>145</v>
      </c>
      <c r="AD54" t="s">
        <v>146</v>
      </c>
      <c r="AE54">
        <v>28887</v>
      </c>
      <c r="AF54">
        <v>5029</v>
      </c>
      <c r="AG54">
        <v>33916</v>
      </c>
    </row>
    <row r="55" spans="1:33">
      <c r="A55" s="91" t="s">
        <v>102</v>
      </c>
      <c r="B55" s="91" t="s">
        <v>147</v>
      </c>
      <c r="C55" s="92" t="s">
        <v>148</v>
      </c>
      <c r="D55" s="85">
        <v>1.7910000000000001E-3</v>
      </c>
      <c r="E55" s="86">
        <v>7045</v>
      </c>
      <c r="F55" s="5"/>
      <c r="G55" s="77">
        <v>2.166E-3</v>
      </c>
      <c r="H55" s="87">
        <v>48277</v>
      </c>
      <c r="I55" s="7"/>
      <c r="J55" s="88">
        <v>55322</v>
      </c>
      <c r="K55" s="89">
        <v>55750</v>
      </c>
      <c r="L55" s="263">
        <f t="shared" si="0"/>
        <v>428</v>
      </c>
      <c r="M55" s="280">
        <f t="shared" si="4"/>
        <v>214</v>
      </c>
      <c r="N55" s="271">
        <f t="shared" si="1"/>
        <v>8363</v>
      </c>
      <c r="Z55" s="82">
        <f t="shared" si="2"/>
        <v>428</v>
      </c>
      <c r="AA55" s="82">
        <f t="shared" si="3"/>
        <v>214</v>
      </c>
      <c r="AB55" t="s">
        <v>102</v>
      </c>
      <c r="AC55" t="s">
        <v>147</v>
      </c>
      <c r="AD55" t="s">
        <v>148</v>
      </c>
      <c r="AE55">
        <v>47425</v>
      </c>
      <c r="AF55">
        <v>8325</v>
      </c>
      <c r="AG55">
        <v>55750</v>
      </c>
    </row>
    <row r="56" spans="1:33">
      <c r="A56" s="91" t="s">
        <v>102</v>
      </c>
      <c r="B56" s="91" t="s">
        <v>149</v>
      </c>
      <c r="C56" s="92" t="s">
        <v>150</v>
      </c>
      <c r="D56" s="85">
        <v>1.302E-3</v>
      </c>
      <c r="E56" s="86">
        <v>5121</v>
      </c>
      <c r="F56" s="5"/>
      <c r="G56" s="77">
        <v>1.531E-3</v>
      </c>
      <c r="H56" s="87">
        <v>34124</v>
      </c>
      <c r="I56" s="7"/>
      <c r="J56" s="88">
        <v>39245</v>
      </c>
      <c r="K56" s="89">
        <v>40217</v>
      </c>
      <c r="L56" s="263">
        <f t="shared" si="0"/>
        <v>972</v>
      </c>
      <c r="M56" s="280">
        <f t="shared" si="4"/>
        <v>486</v>
      </c>
      <c r="N56" s="271">
        <f t="shared" si="1"/>
        <v>6033</v>
      </c>
      <c r="Z56" s="82">
        <f t="shared" si="2"/>
        <v>972</v>
      </c>
      <c r="AA56" s="82">
        <f t="shared" si="3"/>
        <v>486</v>
      </c>
      <c r="AB56" t="s">
        <v>102</v>
      </c>
      <c r="AC56" t="s">
        <v>149</v>
      </c>
      <c r="AD56" t="s">
        <v>150</v>
      </c>
      <c r="AE56">
        <v>34710</v>
      </c>
      <c r="AF56">
        <v>5507</v>
      </c>
      <c r="AG56">
        <v>40217</v>
      </c>
    </row>
    <row r="57" spans="1:33">
      <c r="A57" s="91" t="s">
        <v>102</v>
      </c>
      <c r="B57" s="91" t="s">
        <v>151</v>
      </c>
      <c r="C57" s="92" t="s">
        <v>152</v>
      </c>
      <c r="D57" s="85">
        <v>6.4499999999999996E-4</v>
      </c>
      <c r="E57" s="86">
        <v>2537</v>
      </c>
      <c r="F57" s="5"/>
      <c r="G57" s="77">
        <v>1.286E-3</v>
      </c>
      <c r="H57" s="87">
        <v>28663</v>
      </c>
      <c r="I57" s="7"/>
      <c r="J57" s="88">
        <v>31200</v>
      </c>
      <c r="K57" s="89">
        <v>31352</v>
      </c>
      <c r="L57" s="263">
        <f t="shared" si="0"/>
        <v>152</v>
      </c>
      <c r="M57" s="280">
        <f t="shared" si="4"/>
        <v>76</v>
      </c>
      <c r="N57" s="271">
        <f t="shared" si="1"/>
        <v>4703</v>
      </c>
      <c r="Z57" s="82">
        <f t="shared" si="2"/>
        <v>152</v>
      </c>
      <c r="AA57" s="82">
        <f t="shared" si="3"/>
        <v>76</v>
      </c>
      <c r="AB57" t="s">
        <v>102</v>
      </c>
      <c r="AC57" t="s">
        <v>151</v>
      </c>
      <c r="AD57" t="s">
        <v>152</v>
      </c>
      <c r="AE57">
        <v>28273</v>
      </c>
      <c r="AF57">
        <v>3079</v>
      </c>
      <c r="AG57">
        <v>31352</v>
      </c>
    </row>
    <row r="58" spans="1:33">
      <c r="A58" s="83" t="s">
        <v>102</v>
      </c>
      <c r="B58" s="83" t="s">
        <v>153</v>
      </c>
      <c r="C58" s="84" t="s">
        <v>154</v>
      </c>
      <c r="D58" s="85">
        <v>8.34E-4</v>
      </c>
      <c r="E58" s="86">
        <v>3280</v>
      </c>
      <c r="F58" s="5"/>
      <c r="G58" s="77">
        <v>6.4899999999999995E-4</v>
      </c>
      <c r="H58" s="87">
        <v>14465</v>
      </c>
      <c r="I58" s="7"/>
      <c r="J58" s="88">
        <v>17745</v>
      </c>
      <c r="K58" s="89">
        <v>17821</v>
      </c>
      <c r="L58" s="263">
        <f t="shared" si="0"/>
        <v>76</v>
      </c>
      <c r="M58" s="231">
        <f t="shared" si="4"/>
        <v>38</v>
      </c>
      <c r="N58" s="271">
        <f t="shared" si="1"/>
        <v>2673</v>
      </c>
      <c r="Z58" s="82">
        <f t="shared" si="2"/>
        <v>76</v>
      </c>
      <c r="AA58" s="82">
        <f t="shared" si="3"/>
        <v>38</v>
      </c>
      <c r="AB58" t="s">
        <v>102</v>
      </c>
      <c r="AC58" t="s">
        <v>153</v>
      </c>
      <c r="AD58" t="s">
        <v>154</v>
      </c>
      <c r="AE58">
        <v>14353</v>
      </c>
      <c r="AF58">
        <v>3468</v>
      </c>
      <c r="AG58">
        <v>17821</v>
      </c>
    </row>
    <row r="59" spans="1:33">
      <c r="A59" s="91" t="s">
        <v>102</v>
      </c>
      <c r="B59" s="91" t="s">
        <v>155</v>
      </c>
      <c r="C59" s="92" t="s">
        <v>156</v>
      </c>
      <c r="D59" s="85">
        <v>3.5929999999999998E-3</v>
      </c>
      <c r="E59" s="86">
        <v>14133</v>
      </c>
      <c r="F59" s="5"/>
      <c r="G59" s="77">
        <v>3.441E-3</v>
      </c>
      <c r="H59" s="87">
        <v>76695</v>
      </c>
      <c r="I59" s="7"/>
      <c r="J59" s="88">
        <v>90828</v>
      </c>
      <c r="K59" s="89">
        <v>94153</v>
      </c>
      <c r="L59" s="263">
        <f t="shared" si="0"/>
        <v>3325</v>
      </c>
      <c r="M59" s="280">
        <f t="shared" si="4"/>
        <v>1663</v>
      </c>
      <c r="N59" s="271">
        <f t="shared" si="1"/>
        <v>14123</v>
      </c>
      <c r="Z59" s="82">
        <f t="shared" si="2"/>
        <v>3325</v>
      </c>
      <c r="AA59" s="82">
        <f t="shared" si="3"/>
        <v>1662.5</v>
      </c>
      <c r="AB59" t="s">
        <v>102</v>
      </c>
      <c r="AC59" t="s">
        <v>155</v>
      </c>
      <c r="AD59" t="s">
        <v>156</v>
      </c>
      <c r="AE59">
        <v>79542</v>
      </c>
      <c r="AF59">
        <v>14611</v>
      </c>
      <c r="AG59">
        <v>94153</v>
      </c>
    </row>
    <row r="60" spans="1:33">
      <c r="A60" s="91" t="s">
        <v>102</v>
      </c>
      <c r="B60" s="91" t="s">
        <v>157</v>
      </c>
      <c r="C60" s="92" t="s">
        <v>158</v>
      </c>
      <c r="D60" s="85">
        <v>9.5699999999999995E-4</v>
      </c>
      <c r="E60" s="86">
        <v>3764</v>
      </c>
      <c r="F60" s="5"/>
      <c r="G60" s="77">
        <v>1.248E-3</v>
      </c>
      <c r="H60" s="87">
        <v>27816</v>
      </c>
      <c r="I60" s="7"/>
      <c r="J60" s="88">
        <v>31580</v>
      </c>
      <c r="K60" s="89">
        <v>33382</v>
      </c>
      <c r="L60" s="263">
        <f t="shared" si="0"/>
        <v>1802</v>
      </c>
      <c r="M60" s="280">
        <f t="shared" si="4"/>
        <v>901</v>
      </c>
      <c r="N60" s="271">
        <f t="shared" si="1"/>
        <v>5007</v>
      </c>
      <c r="Z60" s="82">
        <f t="shared" si="2"/>
        <v>1802</v>
      </c>
      <c r="AA60" s="82">
        <f t="shared" si="3"/>
        <v>901</v>
      </c>
      <c r="AB60" t="s">
        <v>102</v>
      </c>
      <c r="AC60" t="s">
        <v>157</v>
      </c>
      <c r="AD60" t="s">
        <v>158</v>
      </c>
      <c r="AE60">
        <v>29569</v>
      </c>
      <c r="AF60">
        <v>3813</v>
      </c>
      <c r="AG60">
        <v>33382</v>
      </c>
    </row>
    <row r="61" spans="1:33">
      <c r="A61" s="91" t="s">
        <v>102</v>
      </c>
      <c r="B61" s="91" t="s">
        <v>159</v>
      </c>
      <c r="C61" s="92" t="s">
        <v>160</v>
      </c>
      <c r="D61" s="85">
        <v>3.3709999999999999E-3</v>
      </c>
      <c r="E61" s="86">
        <v>13259</v>
      </c>
      <c r="F61" s="5"/>
      <c r="G61" s="77">
        <v>2.343E-3</v>
      </c>
      <c r="H61" s="87">
        <v>52222</v>
      </c>
      <c r="I61" s="7"/>
      <c r="J61" s="88">
        <v>65481</v>
      </c>
      <c r="K61" s="89">
        <v>66117</v>
      </c>
      <c r="L61" s="263">
        <f t="shared" si="0"/>
        <v>636</v>
      </c>
      <c r="M61" s="280">
        <f t="shared" si="4"/>
        <v>318</v>
      </c>
      <c r="N61" s="271">
        <f t="shared" si="1"/>
        <v>9918</v>
      </c>
      <c r="Z61" s="82">
        <f t="shared" si="2"/>
        <v>636</v>
      </c>
      <c r="AA61" s="82">
        <f t="shared" si="3"/>
        <v>318</v>
      </c>
      <c r="AB61" t="s">
        <v>102</v>
      </c>
      <c r="AC61" t="s">
        <v>159</v>
      </c>
      <c r="AD61" t="s">
        <v>160</v>
      </c>
      <c r="AE61">
        <v>52634</v>
      </c>
      <c r="AF61">
        <v>13483</v>
      </c>
      <c r="AG61">
        <v>66117</v>
      </c>
    </row>
    <row r="62" spans="1:33">
      <c r="A62" s="83" t="s">
        <v>102</v>
      </c>
      <c r="B62" s="83" t="s">
        <v>161</v>
      </c>
      <c r="C62" s="84" t="s">
        <v>162</v>
      </c>
      <c r="D62" s="85">
        <v>1.0790000000000001E-3</v>
      </c>
      <c r="E62" s="86">
        <v>4244</v>
      </c>
      <c r="F62" s="5"/>
      <c r="G62" s="77">
        <v>7.8899999999999999E-4</v>
      </c>
      <c r="H62" s="87">
        <v>17586</v>
      </c>
      <c r="I62" s="7"/>
      <c r="J62" s="88">
        <v>21830</v>
      </c>
      <c r="K62" s="89">
        <v>22111</v>
      </c>
      <c r="L62" s="263">
        <f t="shared" si="0"/>
        <v>281</v>
      </c>
      <c r="M62" s="231">
        <f t="shared" si="4"/>
        <v>141</v>
      </c>
      <c r="N62" s="271">
        <f t="shared" si="1"/>
        <v>3317</v>
      </c>
      <c r="Z62" s="82">
        <f t="shared" si="2"/>
        <v>281</v>
      </c>
      <c r="AA62" s="82">
        <f t="shared" si="3"/>
        <v>140.5</v>
      </c>
      <c r="AB62" t="s">
        <v>102</v>
      </c>
      <c r="AC62" t="s">
        <v>161</v>
      </c>
      <c r="AD62" t="s">
        <v>162</v>
      </c>
      <c r="AE62">
        <v>18037</v>
      </c>
      <c r="AF62">
        <v>4074</v>
      </c>
      <c r="AG62">
        <v>22111</v>
      </c>
    </row>
    <row r="63" spans="1:33">
      <c r="A63" s="83" t="s">
        <v>102</v>
      </c>
      <c r="B63" s="83" t="s">
        <v>163</v>
      </c>
      <c r="C63" s="84" t="s">
        <v>164</v>
      </c>
      <c r="D63" s="85">
        <v>7.5600000000000005E-4</v>
      </c>
      <c r="E63" s="86">
        <v>2974</v>
      </c>
      <c r="F63" s="5"/>
      <c r="G63" s="77">
        <v>1.3550000000000001E-3</v>
      </c>
      <c r="H63" s="87">
        <v>30201</v>
      </c>
      <c r="I63" s="7"/>
      <c r="J63" s="88">
        <v>33175</v>
      </c>
      <c r="K63" s="89">
        <v>33196</v>
      </c>
      <c r="L63" s="263">
        <f t="shared" si="0"/>
        <v>21</v>
      </c>
      <c r="M63" s="231">
        <f t="shared" si="4"/>
        <v>11</v>
      </c>
      <c r="N63" s="271">
        <f t="shared" si="1"/>
        <v>4979</v>
      </c>
      <c r="Z63" s="82">
        <f t="shared" si="2"/>
        <v>21</v>
      </c>
      <c r="AA63" s="82">
        <f t="shared" si="3"/>
        <v>10.5</v>
      </c>
      <c r="AB63" t="s">
        <v>102</v>
      </c>
      <c r="AC63" t="s">
        <v>163</v>
      </c>
      <c r="AD63" t="s">
        <v>164</v>
      </c>
      <c r="AE63">
        <v>30161</v>
      </c>
      <c r="AF63">
        <v>3035</v>
      </c>
      <c r="AG63">
        <v>33196</v>
      </c>
    </row>
    <row r="64" spans="1:33">
      <c r="A64" s="91" t="s">
        <v>102</v>
      </c>
      <c r="B64" s="91" t="s">
        <v>165</v>
      </c>
      <c r="C64" s="92" t="s">
        <v>166</v>
      </c>
      <c r="D64" s="85">
        <v>2.5590000000000001E-3</v>
      </c>
      <c r="E64" s="86">
        <v>10065</v>
      </c>
      <c r="F64" s="5"/>
      <c r="G64" s="77">
        <v>2.9359999999999998E-3</v>
      </c>
      <c r="H64" s="87">
        <v>65440</v>
      </c>
      <c r="I64" s="7"/>
      <c r="J64" s="88">
        <v>75505</v>
      </c>
      <c r="K64" s="89">
        <v>78497</v>
      </c>
      <c r="L64" s="263">
        <f t="shared" si="0"/>
        <v>2992</v>
      </c>
      <c r="M64" s="280">
        <f t="shared" si="4"/>
        <v>1496</v>
      </c>
      <c r="N64" s="271">
        <f t="shared" si="1"/>
        <v>11775</v>
      </c>
      <c r="Z64" s="82">
        <f t="shared" si="2"/>
        <v>2992</v>
      </c>
      <c r="AA64" s="82">
        <f t="shared" si="3"/>
        <v>1496</v>
      </c>
      <c r="AB64" t="s">
        <v>102</v>
      </c>
      <c r="AC64" t="s">
        <v>165</v>
      </c>
      <c r="AD64" t="s">
        <v>166</v>
      </c>
      <c r="AE64">
        <v>67487</v>
      </c>
      <c r="AF64">
        <v>11010</v>
      </c>
      <c r="AG64">
        <v>78497</v>
      </c>
    </row>
    <row r="65" spans="1:33">
      <c r="A65" s="91" t="s">
        <v>102</v>
      </c>
      <c r="B65" s="91" t="s">
        <v>167</v>
      </c>
      <c r="C65" s="92" t="s">
        <v>168</v>
      </c>
      <c r="D65" s="85">
        <v>1.9469999999999999E-3</v>
      </c>
      <c r="E65" s="86">
        <v>7658</v>
      </c>
      <c r="F65" s="5"/>
      <c r="G65" s="77">
        <v>2.0720000000000001E-3</v>
      </c>
      <c r="H65" s="87">
        <v>46182</v>
      </c>
      <c r="I65" s="7"/>
      <c r="J65" s="88">
        <v>53840</v>
      </c>
      <c r="K65" s="89">
        <v>56377</v>
      </c>
      <c r="L65" s="263">
        <f t="shared" si="0"/>
        <v>2537</v>
      </c>
      <c r="M65" s="280">
        <f t="shared" si="4"/>
        <v>1269</v>
      </c>
      <c r="N65" s="271">
        <f t="shared" si="1"/>
        <v>8457</v>
      </c>
      <c r="Z65" s="82">
        <f t="shared" si="2"/>
        <v>2537</v>
      </c>
      <c r="AA65" s="82">
        <f t="shared" si="3"/>
        <v>1268.5</v>
      </c>
      <c r="AB65" t="s">
        <v>102</v>
      </c>
      <c r="AC65" t="s">
        <v>167</v>
      </c>
      <c r="AD65" t="s">
        <v>168</v>
      </c>
      <c r="AE65">
        <v>48835</v>
      </c>
      <c r="AF65">
        <v>7542</v>
      </c>
      <c r="AG65">
        <v>56377</v>
      </c>
    </row>
    <row r="66" spans="1:33">
      <c r="A66" s="91" t="s">
        <v>102</v>
      </c>
      <c r="B66" s="91" t="s">
        <v>169</v>
      </c>
      <c r="C66" s="92" t="s">
        <v>170</v>
      </c>
      <c r="D66" s="85">
        <v>3.3399999999999999E-4</v>
      </c>
      <c r="E66" s="86">
        <v>1314</v>
      </c>
      <c r="F66" s="5"/>
      <c r="G66" s="77">
        <v>7.5500000000000003E-4</v>
      </c>
      <c r="H66" s="87">
        <v>16828</v>
      </c>
      <c r="I66" s="7"/>
      <c r="J66" s="88">
        <v>18142</v>
      </c>
      <c r="K66" s="89">
        <v>17958</v>
      </c>
      <c r="L66" s="263" t="str">
        <f t="shared" si="0"/>
        <v xml:space="preserve"> </v>
      </c>
      <c r="M66" s="280" t="str">
        <f t="shared" si="4"/>
        <v xml:space="preserve"> </v>
      </c>
      <c r="N66" s="271">
        <f t="shared" si="1"/>
        <v>2694</v>
      </c>
      <c r="Z66" s="82">
        <f t="shared" si="2"/>
        <v>-184</v>
      </c>
      <c r="AA66" s="82">
        <f t="shared" si="3"/>
        <v>-92</v>
      </c>
      <c r="AB66" t="s">
        <v>102</v>
      </c>
      <c r="AC66" t="s">
        <v>169</v>
      </c>
      <c r="AD66" t="s">
        <v>170</v>
      </c>
      <c r="AE66">
        <v>16786</v>
      </c>
      <c r="AF66">
        <v>1172</v>
      </c>
      <c r="AG66">
        <v>17958</v>
      </c>
    </row>
    <row r="67" spans="1:33">
      <c r="A67" s="91" t="s">
        <v>102</v>
      </c>
      <c r="B67" s="91" t="s">
        <v>171</v>
      </c>
      <c r="C67" s="92" t="s">
        <v>172</v>
      </c>
      <c r="D67" s="85">
        <v>1.3910000000000001E-3</v>
      </c>
      <c r="E67" s="86">
        <v>5471</v>
      </c>
      <c r="F67" s="5"/>
      <c r="G67" s="77">
        <v>1.9940000000000001E-3</v>
      </c>
      <c r="H67" s="87">
        <v>44444</v>
      </c>
      <c r="I67" s="7"/>
      <c r="J67" s="88">
        <v>49915</v>
      </c>
      <c r="K67" s="89">
        <v>51136</v>
      </c>
      <c r="L67" s="263">
        <f t="shared" si="0"/>
        <v>1221</v>
      </c>
      <c r="M67" s="280">
        <f t="shared" si="4"/>
        <v>611</v>
      </c>
      <c r="N67" s="271">
        <f t="shared" si="1"/>
        <v>7670</v>
      </c>
      <c r="Z67" s="82">
        <f t="shared" si="2"/>
        <v>1221</v>
      </c>
      <c r="AA67" s="82">
        <f t="shared" si="3"/>
        <v>610.5</v>
      </c>
      <c r="AB67" t="s">
        <v>102</v>
      </c>
      <c r="AC67" t="s">
        <v>171</v>
      </c>
      <c r="AD67" t="s">
        <v>172</v>
      </c>
      <c r="AE67">
        <v>45673</v>
      </c>
      <c r="AF67">
        <v>5463</v>
      </c>
      <c r="AG67">
        <v>51136</v>
      </c>
    </row>
    <row r="68" spans="1:33">
      <c r="A68" s="91" t="s">
        <v>102</v>
      </c>
      <c r="B68" s="91" t="s">
        <v>173</v>
      </c>
      <c r="C68" s="92" t="s">
        <v>174</v>
      </c>
      <c r="D68" s="85">
        <v>1.0460000000000001E-3</v>
      </c>
      <c r="E68" s="86">
        <v>4114</v>
      </c>
      <c r="F68" s="5"/>
      <c r="G68" s="77">
        <v>1.1739999999999999E-3</v>
      </c>
      <c r="H68" s="87">
        <v>26167</v>
      </c>
      <c r="I68" s="7"/>
      <c r="J68" s="88">
        <v>30281</v>
      </c>
      <c r="K68" s="89">
        <v>31143</v>
      </c>
      <c r="L68" s="263">
        <f t="shared" si="0"/>
        <v>862</v>
      </c>
      <c r="M68" s="280">
        <f t="shared" si="4"/>
        <v>431</v>
      </c>
      <c r="N68" s="271">
        <f t="shared" si="1"/>
        <v>4671</v>
      </c>
      <c r="Z68" s="82">
        <f t="shared" si="2"/>
        <v>862</v>
      </c>
      <c r="AA68" s="82">
        <f t="shared" si="3"/>
        <v>431</v>
      </c>
      <c r="AB68" t="s">
        <v>102</v>
      </c>
      <c r="AC68" t="s">
        <v>173</v>
      </c>
      <c r="AD68" t="s">
        <v>174</v>
      </c>
      <c r="AE68">
        <v>26635</v>
      </c>
      <c r="AF68">
        <v>4508</v>
      </c>
      <c r="AG68">
        <v>31143</v>
      </c>
    </row>
    <row r="69" spans="1:33">
      <c r="A69" s="83" t="s">
        <v>102</v>
      </c>
      <c r="B69" s="83" t="s">
        <v>175</v>
      </c>
      <c r="C69" s="84" t="s">
        <v>176</v>
      </c>
      <c r="D69" s="85">
        <v>1.7698999999999999E-2</v>
      </c>
      <c r="E69" s="86">
        <v>69617</v>
      </c>
      <c r="F69" s="5"/>
      <c r="G69" s="77">
        <v>1.0558E-2</v>
      </c>
      <c r="H69" s="87">
        <v>235324</v>
      </c>
      <c r="I69" s="7"/>
      <c r="J69" s="88">
        <v>304941</v>
      </c>
      <c r="K69" s="89">
        <v>314807</v>
      </c>
      <c r="L69" s="263">
        <f t="shared" si="0"/>
        <v>9866</v>
      </c>
      <c r="M69" s="231">
        <f t="shared" si="4"/>
        <v>4933</v>
      </c>
      <c r="N69" s="271">
        <f t="shared" si="1"/>
        <v>47221</v>
      </c>
      <c r="Z69" s="82">
        <f t="shared" si="2"/>
        <v>9866</v>
      </c>
      <c r="AA69" s="82">
        <f t="shared" si="3"/>
        <v>4933</v>
      </c>
      <c r="AB69" t="s">
        <v>102</v>
      </c>
      <c r="AC69" t="s">
        <v>175</v>
      </c>
      <c r="AD69" t="s">
        <v>176</v>
      </c>
      <c r="AE69">
        <v>245313</v>
      </c>
      <c r="AF69">
        <v>69494</v>
      </c>
      <c r="AG69">
        <v>314807</v>
      </c>
    </row>
    <row r="70" spans="1:33">
      <c r="A70" s="91" t="s">
        <v>102</v>
      </c>
      <c r="B70" s="91" t="s">
        <v>177</v>
      </c>
      <c r="C70" s="92" t="s">
        <v>178</v>
      </c>
      <c r="D70" s="85">
        <v>1.0602E-2</v>
      </c>
      <c r="E70" s="86">
        <v>41702</v>
      </c>
      <c r="F70" s="5"/>
      <c r="G70" s="77">
        <v>8.5789999999999998E-3</v>
      </c>
      <c r="H70" s="87">
        <v>191215</v>
      </c>
      <c r="I70" s="7"/>
      <c r="J70" s="88">
        <v>232917</v>
      </c>
      <c r="K70" s="89">
        <v>234878</v>
      </c>
      <c r="L70" s="263">
        <f t="shared" si="0"/>
        <v>1961</v>
      </c>
      <c r="M70" s="280">
        <f t="shared" si="4"/>
        <v>981</v>
      </c>
      <c r="N70" s="271">
        <f t="shared" si="1"/>
        <v>35232</v>
      </c>
      <c r="Z70" s="82">
        <f t="shared" si="2"/>
        <v>1961</v>
      </c>
      <c r="AA70" s="82">
        <f t="shared" si="3"/>
        <v>980.5</v>
      </c>
      <c r="AB70" t="s">
        <v>102</v>
      </c>
      <c r="AC70" t="s">
        <v>177</v>
      </c>
      <c r="AD70" t="s">
        <v>178</v>
      </c>
      <c r="AE70">
        <v>192133</v>
      </c>
      <c r="AF70">
        <v>42745</v>
      </c>
      <c r="AG70">
        <v>234878</v>
      </c>
    </row>
    <row r="71" spans="1:33">
      <c r="A71" s="91" t="s">
        <v>102</v>
      </c>
      <c r="B71" s="91" t="s">
        <v>179</v>
      </c>
      <c r="C71" s="92" t="s">
        <v>180</v>
      </c>
      <c r="D71" s="85">
        <v>9.1200000000000005E-4</v>
      </c>
      <c r="E71" s="86">
        <v>3587</v>
      </c>
      <c r="F71" s="5"/>
      <c r="G71" s="77">
        <v>1.044E-3</v>
      </c>
      <c r="H71" s="87">
        <v>23269</v>
      </c>
      <c r="I71" s="7"/>
      <c r="J71" s="88">
        <v>26856</v>
      </c>
      <c r="K71" s="89">
        <v>28129</v>
      </c>
      <c r="L71" s="263">
        <f t="shared" si="0"/>
        <v>1273</v>
      </c>
      <c r="M71" s="280">
        <f t="shared" si="4"/>
        <v>637</v>
      </c>
      <c r="N71" s="271">
        <f t="shared" si="1"/>
        <v>4219</v>
      </c>
      <c r="Z71" s="82">
        <f t="shared" si="2"/>
        <v>1273</v>
      </c>
      <c r="AA71" s="82">
        <f t="shared" si="3"/>
        <v>636.5</v>
      </c>
      <c r="AB71" t="s">
        <v>102</v>
      </c>
      <c r="AC71" t="s">
        <v>179</v>
      </c>
      <c r="AD71" t="s">
        <v>180</v>
      </c>
      <c r="AE71">
        <v>23838</v>
      </c>
      <c r="AF71">
        <v>4291</v>
      </c>
      <c r="AG71">
        <v>28129</v>
      </c>
    </row>
    <row r="72" spans="1:33">
      <c r="A72" s="91" t="s">
        <v>102</v>
      </c>
      <c r="B72" s="91" t="s">
        <v>181</v>
      </c>
      <c r="C72" s="92" t="s">
        <v>182</v>
      </c>
      <c r="D72" s="85">
        <v>1.2459999999999999E-3</v>
      </c>
      <c r="E72" s="86">
        <v>4901</v>
      </c>
      <c r="F72" s="5"/>
      <c r="G72" s="77">
        <v>1.3500000000000001E-3</v>
      </c>
      <c r="H72" s="87">
        <v>30090</v>
      </c>
      <c r="I72" s="7"/>
      <c r="J72" s="88">
        <v>34991</v>
      </c>
      <c r="K72" s="89">
        <v>33267</v>
      </c>
      <c r="L72" s="263" t="str">
        <f t="shared" si="0"/>
        <v xml:space="preserve"> </v>
      </c>
      <c r="M72" s="280" t="str">
        <f t="shared" si="4"/>
        <v xml:space="preserve"> </v>
      </c>
      <c r="N72" s="271">
        <f t="shared" si="1"/>
        <v>4990</v>
      </c>
      <c r="Z72" s="82">
        <f t="shared" si="2"/>
        <v>-1724</v>
      </c>
      <c r="AA72" s="82">
        <f t="shared" si="3"/>
        <v>-862</v>
      </c>
      <c r="AB72" t="s">
        <v>102</v>
      </c>
      <c r="AC72" t="s">
        <v>181</v>
      </c>
      <c r="AD72" t="s">
        <v>182</v>
      </c>
      <c r="AE72">
        <v>29410</v>
      </c>
      <c r="AF72">
        <v>3857</v>
      </c>
      <c r="AG72">
        <v>33267</v>
      </c>
    </row>
    <row r="73" spans="1:33">
      <c r="A73" s="302" t="s">
        <v>102</v>
      </c>
      <c r="B73" s="302" t="s">
        <v>183</v>
      </c>
      <c r="C73" s="303" t="s">
        <v>184</v>
      </c>
      <c r="D73" s="85">
        <v>1.279E-3</v>
      </c>
      <c r="E73" s="86">
        <v>5031</v>
      </c>
      <c r="F73" s="5"/>
      <c r="G73" s="77">
        <v>1.7960000000000001E-3</v>
      </c>
      <c r="H73" s="87">
        <v>40030</v>
      </c>
      <c r="I73" s="7"/>
      <c r="J73" s="88">
        <v>45061</v>
      </c>
      <c r="K73" s="89">
        <v>45641</v>
      </c>
      <c r="L73" s="263">
        <f t="shared" si="0"/>
        <v>580</v>
      </c>
      <c r="M73" s="280">
        <f t="shared" si="4"/>
        <v>290</v>
      </c>
      <c r="N73" s="271">
        <f t="shared" si="1"/>
        <v>6846</v>
      </c>
      <c r="Z73" s="82">
        <f t="shared" si="2"/>
        <v>580</v>
      </c>
      <c r="AA73" s="82">
        <f t="shared" si="3"/>
        <v>290</v>
      </c>
      <c r="AB73" t="s">
        <v>102</v>
      </c>
      <c r="AC73" t="s">
        <v>183</v>
      </c>
      <c r="AD73" t="s">
        <v>184</v>
      </c>
      <c r="AE73">
        <v>40351</v>
      </c>
      <c r="AF73">
        <v>5290</v>
      </c>
      <c r="AG73">
        <v>45641</v>
      </c>
    </row>
    <row r="74" spans="1:33">
      <c r="A74" s="83" t="s">
        <v>102</v>
      </c>
      <c r="B74" s="83" t="s">
        <v>185</v>
      </c>
      <c r="C74" s="84" t="s">
        <v>186</v>
      </c>
      <c r="D74" s="85">
        <v>7.2300000000000001E-4</v>
      </c>
      <c r="E74" s="86">
        <v>2844</v>
      </c>
      <c r="F74" s="5"/>
      <c r="G74" s="77">
        <v>1.042E-3</v>
      </c>
      <c r="H74" s="87">
        <v>23225</v>
      </c>
      <c r="I74" s="7"/>
      <c r="J74" s="88">
        <v>26069</v>
      </c>
      <c r="K74" s="89">
        <v>26418</v>
      </c>
      <c r="L74" s="263">
        <f t="shared" ref="L74:L137" si="5">IF(K74-J74&lt;1," ",K74-J74)</f>
        <v>349</v>
      </c>
      <c r="M74" s="231">
        <f t="shared" si="4"/>
        <v>175</v>
      </c>
      <c r="N74" s="271">
        <f t="shared" ref="N74:N137" si="6">ROUND((+K74*0.15),0)</f>
        <v>3963</v>
      </c>
      <c r="Z74" s="82">
        <f t="shared" ref="Z74:Z137" si="7">+K74-J74</f>
        <v>349</v>
      </c>
      <c r="AA74" s="82">
        <f t="shared" ref="AA74:AA137" si="8">+Z74*0.5</f>
        <v>174.5</v>
      </c>
      <c r="AB74" t="s">
        <v>102</v>
      </c>
      <c r="AC74" t="s">
        <v>185</v>
      </c>
      <c r="AD74" t="s">
        <v>186</v>
      </c>
      <c r="AE74">
        <v>23383</v>
      </c>
      <c r="AF74">
        <v>3035</v>
      </c>
      <c r="AG74">
        <v>26418</v>
      </c>
    </row>
    <row r="75" spans="1:33">
      <c r="A75" s="91" t="s">
        <v>102</v>
      </c>
      <c r="B75" s="91" t="s">
        <v>187</v>
      </c>
      <c r="C75" s="92" t="s">
        <v>188</v>
      </c>
      <c r="D75" s="85">
        <v>9.01E-4</v>
      </c>
      <c r="E75" s="86">
        <v>3544</v>
      </c>
      <c r="F75" s="5"/>
      <c r="G75" s="77">
        <v>1.018E-3</v>
      </c>
      <c r="H75" s="87">
        <v>22690</v>
      </c>
      <c r="I75" s="7"/>
      <c r="J75" s="88">
        <v>26234</v>
      </c>
      <c r="K75" s="89">
        <v>25783</v>
      </c>
      <c r="L75" s="263" t="str">
        <f t="shared" si="5"/>
        <v xml:space="preserve"> </v>
      </c>
      <c r="M75" s="280" t="str">
        <f t="shared" ref="M75:M138" si="9">IF(L75=" "," ",ROUND((L75*0.5),0))</f>
        <v xml:space="preserve"> </v>
      </c>
      <c r="N75" s="271">
        <f t="shared" si="6"/>
        <v>3867</v>
      </c>
      <c r="Z75" s="82">
        <f t="shared" si="7"/>
        <v>-451</v>
      </c>
      <c r="AA75" s="82">
        <f t="shared" si="8"/>
        <v>-225.5</v>
      </c>
      <c r="AB75" t="s">
        <v>102</v>
      </c>
      <c r="AC75" t="s">
        <v>187</v>
      </c>
      <c r="AD75" t="s">
        <v>188</v>
      </c>
      <c r="AE75">
        <v>22359</v>
      </c>
      <c r="AF75">
        <v>3424</v>
      </c>
      <c r="AG75">
        <v>25783</v>
      </c>
    </row>
    <row r="76" spans="1:33">
      <c r="A76" s="91" t="s">
        <v>102</v>
      </c>
      <c r="B76" s="91" t="s">
        <v>189</v>
      </c>
      <c r="C76" s="92" t="s">
        <v>190</v>
      </c>
      <c r="D76" s="85">
        <v>1.4239999999999999E-3</v>
      </c>
      <c r="E76" s="86">
        <v>5601</v>
      </c>
      <c r="F76" s="5"/>
      <c r="G76" s="77">
        <v>1.941E-3</v>
      </c>
      <c r="H76" s="87">
        <v>43262</v>
      </c>
      <c r="I76" s="7"/>
      <c r="J76" s="88">
        <v>48863</v>
      </c>
      <c r="K76" s="89">
        <v>49396</v>
      </c>
      <c r="L76" s="263">
        <f t="shared" si="5"/>
        <v>533</v>
      </c>
      <c r="M76" s="280">
        <f t="shared" si="9"/>
        <v>267</v>
      </c>
      <c r="N76" s="271">
        <f t="shared" si="6"/>
        <v>7409</v>
      </c>
      <c r="Z76" s="82">
        <f t="shared" si="7"/>
        <v>533</v>
      </c>
      <c r="AA76" s="82">
        <f t="shared" si="8"/>
        <v>266.5</v>
      </c>
      <c r="AB76" t="s">
        <v>102</v>
      </c>
      <c r="AC76" t="s">
        <v>189</v>
      </c>
      <c r="AD76" t="s">
        <v>190</v>
      </c>
      <c r="AE76">
        <v>43672</v>
      </c>
      <c r="AF76">
        <v>5724</v>
      </c>
      <c r="AG76">
        <v>49396</v>
      </c>
    </row>
    <row r="77" spans="1:33">
      <c r="A77" s="91" t="s">
        <v>102</v>
      </c>
      <c r="B77" s="91" t="s">
        <v>191</v>
      </c>
      <c r="C77" s="92" t="s">
        <v>192</v>
      </c>
      <c r="D77" s="85">
        <v>8.0099999999999995E-4</v>
      </c>
      <c r="E77" s="86">
        <v>3151</v>
      </c>
      <c r="F77" s="5"/>
      <c r="G77" s="77">
        <v>9.7300000000000002E-4</v>
      </c>
      <c r="H77" s="87">
        <v>21687</v>
      </c>
      <c r="I77" s="7"/>
      <c r="J77" s="88">
        <v>24838</v>
      </c>
      <c r="K77" s="89">
        <v>24334</v>
      </c>
      <c r="L77" s="263" t="str">
        <f t="shared" si="5"/>
        <v xml:space="preserve"> </v>
      </c>
      <c r="M77" s="280" t="str">
        <f t="shared" si="9"/>
        <v xml:space="preserve"> </v>
      </c>
      <c r="N77" s="271">
        <f t="shared" si="6"/>
        <v>3650</v>
      </c>
      <c r="Z77" s="82">
        <f t="shared" si="7"/>
        <v>-504</v>
      </c>
      <c r="AA77" s="82">
        <f t="shared" si="8"/>
        <v>-252</v>
      </c>
      <c r="AB77" t="s">
        <v>102</v>
      </c>
      <c r="AC77" t="s">
        <v>191</v>
      </c>
      <c r="AD77" t="s">
        <v>192</v>
      </c>
      <c r="AE77">
        <v>20994</v>
      </c>
      <c r="AF77">
        <v>3340</v>
      </c>
      <c r="AG77">
        <v>24334</v>
      </c>
    </row>
    <row r="78" spans="1:33">
      <c r="A78" s="91" t="s">
        <v>102</v>
      </c>
      <c r="B78" s="91" t="s">
        <v>193</v>
      </c>
      <c r="C78" s="92" t="s">
        <v>194</v>
      </c>
      <c r="D78" s="85">
        <v>1.0460000000000001E-3</v>
      </c>
      <c r="E78" s="86">
        <v>4114</v>
      </c>
      <c r="F78" s="5"/>
      <c r="G78" s="77">
        <v>1.2750000000000001E-3</v>
      </c>
      <c r="H78" s="87">
        <v>28418</v>
      </c>
      <c r="I78" s="7"/>
      <c r="J78" s="88">
        <v>32532</v>
      </c>
      <c r="K78" s="89">
        <v>32482</v>
      </c>
      <c r="L78" s="263" t="str">
        <f t="shared" si="5"/>
        <v xml:space="preserve"> </v>
      </c>
      <c r="M78" s="280" t="str">
        <f t="shared" si="9"/>
        <v xml:space="preserve"> </v>
      </c>
      <c r="N78" s="271">
        <f t="shared" si="6"/>
        <v>4872</v>
      </c>
      <c r="Z78" s="82">
        <f t="shared" si="7"/>
        <v>-50</v>
      </c>
      <c r="AA78" s="82">
        <f t="shared" si="8"/>
        <v>-25</v>
      </c>
      <c r="AB78" t="s">
        <v>102</v>
      </c>
      <c r="AC78" t="s">
        <v>193</v>
      </c>
      <c r="AD78" t="s">
        <v>194</v>
      </c>
      <c r="AE78">
        <v>28364</v>
      </c>
      <c r="AF78">
        <v>4118</v>
      </c>
      <c r="AG78">
        <v>32482</v>
      </c>
    </row>
    <row r="79" spans="1:33">
      <c r="A79" s="302" t="s">
        <v>102</v>
      </c>
      <c r="B79" s="302" t="s">
        <v>195</v>
      </c>
      <c r="C79" s="303" t="s">
        <v>196</v>
      </c>
      <c r="D79" s="85">
        <v>1.1349999999999999E-3</v>
      </c>
      <c r="E79" s="86">
        <v>4464</v>
      </c>
      <c r="F79" s="5"/>
      <c r="G79" s="77">
        <v>1.549E-3</v>
      </c>
      <c r="H79" s="87">
        <v>34525</v>
      </c>
      <c r="I79" s="7"/>
      <c r="J79" s="88">
        <v>38989</v>
      </c>
      <c r="K79" s="89">
        <v>38570</v>
      </c>
      <c r="L79" s="263" t="str">
        <f t="shared" si="5"/>
        <v xml:space="preserve"> </v>
      </c>
      <c r="M79" s="280" t="str">
        <f t="shared" si="9"/>
        <v xml:space="preserve"> </v>
      </c>
      <c r="N79" s="271">
        <f t="shared" si="6"/>
        <v>5786</v>
      </c>
      <c r="Z79" s="82">
        <f t="shared" si="7"/>
        <v>-419</v>
      </c>
      <c r="AA79" s="82">
        <f t="shared" si="8"/>
        <v>-209.5</v>
      </c>
      <c r="AB79" t="s">
        <v>102</v>
      </c>
      <c r="AC79" t="s">
        <v>195</v>
      </c>
      <c r="AD79" t="s">
        <v>197</v>
      </c>
      <c r="AE79">
        <v>33368</v>
      </c>
      <c r="AF79">
        <v>5202</v>
      </c>
      <c r="AG79">
        <v>38570</v>
      </c>
    </row>
    <row r="80" spans="1:33">
      <c r="A80" s="91" t="s">
        <v>102</v>
      </c>
      <c r="B80" s="91" t="s">
        <v>198</v>
      </c>
      <c r="C80" s="92" t="s">
        <v>199</v>
      </c>
      <c r="D80" s="85">
        <v>3.1819999999999999E-3</v>
      </c>
      <c r="E80" s="86">
        <v>12516</v>
      </c>
      <c r="F80" s="5"/>
      <c r="G80" s="77">
        <v>2.9949999999999998E-3</v>
      </c>
      <c r="H80" s="87">
        <v>66755</v>
      </c>
      <c r="I80" s="7"/>
      <c r="J80" s="88">
        <v>79271</v>
      </c>
      <c r="K80" s="89">
        <v>79937</v>
      </c>
      <c r="L80" s="263">
        <f t="shared" si="5"/>
        <v>666</v>
      </c>
      <c r="M80" s="280">
        <f t="shared" si="9"/>
        <v>333</v>
      </c>
      <c r="N80" s="271">
        <f t="shared" si="6"/>
        <v>11991</v>
      </c>
      <c r="Z80" s="82">
        <f t="shared" si="7"/>
        <v>666</v>
      </c>
      <c r="AA80" s="82">
        <f t="shared" si="8"/>
        <v>333</v>
      </c>
      <c r="AB80" t="s">
        <v>102</v>
      </c>
      <c r="AC80" t="s">
        <v>198</v>
      </c>
      <c r="AD80" t="s">
        <v>199</v>
      </c>
      <c r="AE80">
        <v>65326</v>
      </c>
      <c r="AF80">
        <v>14611</v>
      </c>
      <c r="AG80">
        <v>79937</v>
      </c>
    </row>
    <row r="81" spans="1:33">
      <c r="A81" s="83" t="s">
        <v>102</v>
      </c>
      <c r="B81" s="83" t="s">
        <v>200</v>
      </c>
      <c r="C81" s="84" t="s">
        <v>201</v>
      </c>
      <c r="D81" s="85">
        <v>5.4500000000000002E-4</v>
      </c>
      <c r="E81" s="86">
        <v>2144</v>
      </c>
      <c r="F81" s="5"/>
      <c r="G81" s="77">
        <v>1.1379999999999999E-3</v>
      </c>
      <c r="H81" s="87">
        <v>25365</v>
      </c>
      <c r="I81" s="7"/>
      <c r="J81" s="88">
        <v>27509</v>
      </c>
      <c r="K81" s="89">
        <v>27988</v>
      </c>
      <c r="L81" s="263">
        <f t="shared" si="5"/>
        <v>479</v>
      </c>
      <c r="M81" s="231">
        <f t="shared" si="9"/>
        <v>240</v>
      </c>
      <c r="N81" s="271">
        <f t="shared" si="6"/>
        <v>4198</v>
      </c>
      <c r="Z81" s="82">
        <f t="shared" si="7"/>
        <v>479</v>
      </c>
      <c r="AA81" s="82">
        <f t="shared" si="8"/>
        <v>239.5</v>
      </c>
      <c r="AB81" t="s">
        <v>102</v>
      </c>
      <c r="AC81" t="s">
        <v>200</v>
      </c>
      <c r="AD81" t="s">
        <v>201</v>
      </c>
      <c r="AE81">
        <v>25475</v>
      </c>
      <c r="AF81">
        <v>2513</v>
      </c>
      <c r="AG81">
        <v>27988</v>
      </c>
    </row>
    <row r="82" spans="1:33">
      <c r="A82" s="83" t="s">
        <v>102</v>
      </c>
      <c r="B82" s="83" t="s">
        <v>202</v>
      </c>
      <c r="C82" s="84" t="s">
        <v>203</v>
      </c>
      <c r="D82" s="85">
        <v>6.8999999999999997E-4</v>
      </c>
      <c r="E82" s="86">
        <v>2714</v>
      </c>
      <c r="F82" s="5"/>
      <c r="G82" s="77">
        <v>9.3400000000000004E-4</v>
      </c>
      <c r="H82" s="87">
        <v>20818</v>
      </c>
      <c r="I82" s="7"/>
      <c r="J82" s="88">
        <v>23532</v>
      </c>
      <c r="K82" s="89">
        <v>23428</v>
      </c>
      <c r="L82" s="263" t="str">
        <f t="shared" si="5"/>
        <v xml:space="preserve"> </v>
      </c>
      <c r="M82" s="90" t="str">
        <f t="shared" si="9"/>
        <v xml:space="preserve"> </v>
      </c>
      <c r="N82" s="271">
        <f t="shared" si="6"/>
        <v>3514</v>
      </c>
      <c r="Z82" s="82">
        <f t="shared" si="7"/>
        <v>-104</v>
      </c>
      <c r="AA82" s="82">
        <f t="shared" si="8"/>
        <v>-52</v>
      </c>
      <c r="AB82" t="s">
        <v>102</v>
      </c>
      <c r="AC82" t="s">
        <v>202</v>
      </c>
      <c r="AD82" t="s">
        <v>203</v>
      </c>
      <c r="AE82">
        <v>20699</v>
      </c>
      <c r="AF82">
        <v>2729</v>
      </c>
      <c r="AG82">
        <v>23428</v>
      </c>
    </row>
    <row r="83" spans="1:33">
      <c r="A83" s="91" t="s">
        <v>102</v>
      </c>
      <c r="B83" s="91" t="s">
        <v>204</v>
      </c>
      <c r="C83" s="92" t="s">
        <v>205</v>
      </c>
      <c r="D83" s="85">
        <v>1.9250000000000001E-3</v>
      </c>
      <c r="E83" s="86">
        <v>7572</v>
      </c>
      <c r="F83" s="5"/>
      <c r="G83" s="77">
        <v>2.5049999999999998E-3</v>
      </c>
      <c r="H83" s="87">
        <v>55833</v>
      </c>
      <c r="I83" s="7"/>
      <c r="J83" s="88">
        <v>63405</v>
      </c>
      <c r="K83" s="89">
        <v>63596</v>
      </c>
      <c r="L83" s="263">
        <f t="shared" si="5"/>
        <v>191</v>
      </c>
      <c r="M83" s="280">
        <f t="shared" si="9"/>
        <v>96</v>
      </c>
      <c r="N83" s="271">
        <f t="shared" si="6"/>
        <v>9539</v>
      </c>
      <c r="Z83" s="82">
        <f t="shared" si="7"/>
        <v>191</v>
      </c>
      <c r="AA83" s="82">
        <f t="shared" si="8"/>
        <v>95.5</v>
      </c>
      <c r="AB83" t="s">
        <v>102</v>
      </c>
      <c r="AC83" t="s">
        <v>204</v>
      </c>
      <c r="AD83" t="s">
        <v>205</v>
      </c>
      <c r="AE83">
        <v>56182</v>
      </c>
      <c r="AF83">
        <v>7414</v>
      </c>
      <c r="AG83">
        <v>63596</v>
      </c>
    </row>
    <row r="84" spans="1:33">
      <c r="A84" s="91" t="s">
        <v>102</v>
      </c>
      <c r="B84" s="91" t="s">
        <v>206</v>
      </c>
      <c r="C84" s="92" t="s">
        <v>207</v>
      </c>
      <c r="D84" s="85">
        <v>4.0000000000000002E-4</v>
      </c>
      <c r="E84" s="86">
        <v>1573</v>
      </c>
      <c r="F84" s="5"/>
      <c r="G84" s="77">
        <v>5.31E-4</v>
      </c>
      <c r="H84" s="87">
        <v>11835</v>
      </c>
      <c r="I84" s="7"/>
      <c r="J84" s="88">
        <v>13408</v>
      </c>
      <c r="K84" s="89">
        <v>13531</v>
      </c>
      <c r="L84" s="263">
        <f t="shared" si="5"/>
        <v>123</v>
      </c>
      <c r="M84" s="280">
        <f t="shared" si="9"/>
        <v>62</v>
      </c>
      <c r="N84" s="271">
        <f t="shared" si="6"/>
        <v>2030</v>
      </c>
      <c r="Z84" s="82">
        <f t="shared" si="7"/>
        <v>123</v>
      </c>
      <c r="AA84" s="82">
        <f t="shared" si="8"/>
        <v>61.5</v>
      </c>
      <c r="AB84" t="s">
        <v>102</v>
      </c>
      <c r="AC84" t="s">
        <v>206</v>
      </c>
      <c r="AD84" t="s">
        <v>207</v>
      </c>
      <c r="AE84">
        <v>11669</v>
      </c>
      <c r="AF84">
        <v>1862</v>
      </c>
      <c r="AG84">
        <v>13531</v>
      </c>
    </row>
    <row r="85" spans="1:33">
      <c r="A85" s="83" t="s">
        <v>102</v>
      </c>
      <c r="B85" s="83" t="s">
        <v>208</v>
      </c>
      <c r="C85" s="84" t="s">
        <v>209</v>
      </c>
      <c r="D85" s="85">
        <v>7.0100000000000002E-4</v>
      </c>
      <c r="E85" s="86">
        <v>2757</v>
      </c>
      <c r="F85" s="5"/>
      <c r="G85" s="77">
        <v>1.4760000000000001E-3</v>
      </c>
      <c r="H85" s="87">
        <v>32898</v>
      </c>
      <c r="I85" s="7"/>
      <c r="J85" s="88">
        <v>35655</v>
      </c>
      <c r="K85" s="89">
        <v>34935</v>
      </c>
      <c r="L85" s="263" t="str">
        <f t="shared" si="5"/>
        <v xml:space="preserve"> </v>
      </c>
      <c r="M85" s="90" t="str">
        <f t="shared" si="9"/>
        <v xml:space="preserve"> </v>
      </c>
      <c r="N85" s="271">
        <f t="shared" si="6"/>
        <v>5240</v>
      </c>
      <c r="Z85" s="82">
        <f t="shared" si="7"/>
        <v>-720</v>
      </c>
      <c r="AA85" s="82">
        <f t="shared" si="8"/>
        <v>-360</v>
      </c>
      <c r="AB85" t="s">
        <v>102</v>
      </c>
      <c r="AC85" t="s">
        <v>208</v>
      </c>
      <c r="AD85" t="s">
        <v>209</v>
      </c>
      <c r="AE85">
        <v>32595</v>
      </c>
      <c r="AF85">
        <v>2340</v>
      </c>
      <c r="AG85">
        <v>34935</v>
      </c>
    </row>
    <row r="86" spans="1:33">
      <c r="A86" s="91" t="s">
        <v>102</v>
      </c>
      <c r="B86" s="91" t="s">
        <v>210</v>
      </c>
      <c r="C86" s="107" t="s">
        <v>211</v>
      </c>
      <c r="D86" s="85">
        <v>3.61E-2</v>
      </c>
      <c r="E86" s="86">
        <v>141995</v>
      </c>
      <c r="F86" s="5"/>
      <c r="G86" s="77">
        <v>2.3633000000000001E-2</v>
      </c>
      <c r="H86" s="87">
        <v>526748</v>
      </c>
      <c r="I86" s="7"/>
      <c r="J86" s="88">
        <v>668743</v>
      </c>
      <c r="K86" s="89">
        <v>686179</v>
      </c>
      <c r="L86" s="263">
        <f t="shared" si="5"/>
        <v>17436</v>
      </c>
      <c r="M86" s="232">
        <f t="shared" si="9"/>
        <v>8718</v>
      </c>
      <c r="N86" s="108">
        <f t="shared" si="6"/>
        <v>102927</v>
      </c>
      <c r="Z86" s="82">
        <f t="shared" si="7"/>
        <v>17436</v>
      </c>
      <c r="AA86" s="82">
        <f t="shared" si="8"/>
        <v>8718</v>
      </c>
      <c r="AB86" t="s">
        <v>102</v>
      </c>
      <c r="AC86" t="s">
        <v>210</v>
      </c>
      <c r="AD86" t="s">
        <v>211</v>
      </c>
      <c r="AE86">
        <v>542600</v>
      </c>
      <c r="AF86">
        <v>143579</v>
      </c>
      <c r="AG86">
        <v>686179</v>
      </c>
    </row>
    <row r="87" spans="1:33">
      <c r="A87" s="91" t="s">
        <v>102</v>
      </c>
      <c r="B87" s="91" t="s">
        <v>212</v>
      </c>
      <c r="C87" s="92" t="s">
        <v>213</v>
      </c>
      <c r="D87" s="85">
        <v>2.4810000000000001E-3</v>
      </c>
      <c r="E87" s="86">
        <v>9759</v>
      </c>
      <c r="F87" s="5"/>
      <c r="G87" s="77">
        <v>3.9830000000000004E-3</v>
      </c>
      <c r="H87" s="87">
        <v>88776</v>
      </c>
      <c r="I87" s="7"/>
      <c r="J87" s="88">
        <v>98535</v>
      </c>
      <c r="K87" s="89">
        <v>98777</v>
      </c>
      <c r="L87" s="263">
        <f t="shared" si="5"/>
        <v>242</v>
      </c>
      <c r="M87" s="280">
        <f t="shared" si="9"/>
        <v>121</v>
      </c>
      <c r="N87" s="271">
        <f t="shared" si="6"/>
        <v>14817</v>
      </c>
      <c r="Z87" s="82">
        <f t="shared" si="7"/>
        <v>242</v>
      </c>
      <c r="AA87" s="82">
        <f t="shared" si="8"/>
        <v>121</v>
      </c>
      <c r="AB87" t="s">
        <v>102</v>
      </c>
      <c r="AC87" t="s">
        <v>212</v>
      </c>
      <c r="AD87" t="s">
        <v>213</v>
      </c>
      <c r="AE87">
        <v>89846</v>
      </c>
      <c r="AF87">
        <v>8931</v>
      </c>
      <c r="AG87">
        <v>98777</v>
      </c>
    </row>
    <row r="88" spans="1:33">
      <c r="A88" s="83" t="s">
        <v>102</v>
      </c>
      <c r="B88" s="83" t="s">
        <v>214</v>
      </c>
      <c r="C88" s="84" t="s">
        <v>215</v>
      </c>
      <c r="D88" s="85">
        <v>1.268E-3</v>
      </c>
      <c r="E88" s="86">
        <v>4988</v>
      </c>
      <c r="F88" s="5"/>
      <c r="G88" s="77">
        <v>1.709E-3</v>
      </c>
      <c r="H88" s="87">
        <v>38091</v>
      </c>
      <c r="I88" s="7"/>
      <c r="J88" s="88">
        <v>43079</v>
      </c>
      <c r="K88" s="89">
        <v>44902</v>
      </c>
      <c r="L88" s="263">
        <f t="shared" si="5"/>
        <v>1823</v>
      </c>
      <c r="M88" s="231">
        <f t="shared" si="9"/>
        <v>912</v>
      </c>
      <c r="N88" s="271">
        <f t="shared" si="6"/>
        <v>6735</v>
      </c>
      <c r="Z88" s="82">
        <f t="shared" si="7"/>
        <v>1823</v>
      </c>
      <c r="AA88" s="82">
        <f t="shared" si="8"/>
        <v>911.5</v>
      </c>
      <c r="AB88" t="s">
        <v>102</v>
      </c>
      <c r="AC88" t="s">
        <v>214</v>
      </c>
      <c r="AD88" t="s">
        <v>215</v>
      </c>
      <c r="AE88">
        <v>39828</v>
      </c>
      <c r="AF88">
        <v>5074</v>
      </c>
      <c r="AG88">
        <v>44902</v>
      </c>
    </row>
    <row r="89" spans="1:33" ht="15.75" thickBot="1">
      <c r="A89" s="83" t="s">
        <v>102</v>
      </c>
      <c r="B89" s="83" t="s">
        <v>216</v>
      </c>
      <c r="C89" s="84" t="s">
        <v>217</v>
      </c>
      <c r="D89" s="95">
        <v>4.3999999999999999E-5</v>
      </c>
      <c r="E89" s="96">
        <v>173</v>
      </c>
      <c r="F89" s="97"/>
      <c r="G89" s="98">
        <v>2.6600000000000001E-4</v>
      </c>
      <c r="H89" s="99">
        <v>5929</v>
      </c>
      <c r="I89" s="7"/>
      <c r="J89" s="100">
        <v>6102</v>
      </c>
      <c r="K89" s="101">
        <v>5463</v>
      </c>
      <c r="L89" s="264" t="str">
        <f t="shared" si="5"/>
        <v xml:space="preserve"> </v>
      </c>
      <c r="M89" s="90" t="str">
        <f t="shared" si="9"/>
        <v xml:space="preserve"> </v>
      </c>
      <c r="N89" s="102">
        <f t="shared" si="6"/>
        <v>819</v>
      </c>
      <c r="Z89" s="82">
        <f t="shared" si="7"/>
        <v>-639</v>
      </c>
      <c r="AA89" s="82">
        <f t="shared" si="8"/>
        <v>-319.5</v>
      </c>
      <c r="AB89" t="s">
        <v>102</v>
      </c>
      <c r="AC89" t="s">
        <v>216</v>
      </c>
      <c r="AD89" t="s">
        <v>217</v>
      </c>
      <c r="AE89">
        <v>5118</v>
      </c>
      <c r="AF89">
        <v>345</v>
      </c>
      <c r="AG89">
        <v>5463</v>
      </c>
    </row>
    <row r="90" spans="1:33">
      <c r="A90" s="91" t="s">
        <v>218</v>
      </c>
      <c r="B90" s="91" t="s">
        <v>219</v>
      </c>
      <c r="C90" s="92" t="s">
        <v>220</v>
      </c>
      <c r="D90" s="85">
        <v>2.8899999999999998E-4</v>
      </c>
      <c r="E90" s="86">
        <v>1137</v>
      </c>
      <c r="F90" s="5"/>
      <c r="G90" s="103">
        <v>4.2299999999999998E-4</v>
      </c>
      <c r="H90" s="78">
        <v>9428</v>
      </c>
      <c r="I90" s="7"/>
      <c r="J90" s="79">
        <v>10565</v>
      </c>
      <c r="K90" s="80">
        <v>11108</v>
      </c>
      <c r="L90" s="263">
        <f t="shared" si="5"/>
        <v>543</v>
      </c>
      <c r="M90" s="280">
        <f t="shared" si="9"/>
        <v>272</v>
      </c>
      <c r="N90" s="81">
        <f t="shared" si="6"/>
        <v>1666</v>
      </c>
      <c r="Z90" s="82">
        <f t="shared" si="7"/>
        <v>543</v>
      </c>
      <c r="AA90" s="82">
        <f t="shared" si="8"/>
        <v>271.5</v>
      </c>
      <c r="AB90" t="s">
        <v>218</v>
      </c>
      <c r="AC90" t="s">
        <v>219</v>
      </c>
      <c r="AD90" t="s">
        <v>220</v>
      </c>
      <c r="AE90">
        <v>9462</v>
      </c>
      <c r="AF90">
        <v>1646</v>
      </c>
      <c r="AG90">
        <v>11108</v>
      </c>
    </row>
    <row r="91" spans="1:33">
      <c r="A91" s="109" t="s">
        <v>218</v>
      </c>
      <c r="B91" s="109" t="s">
        <v>221</v>
      </c>
      <c r="C91" s="107" t="s">
        <v>222</v>
      </c>
      <c r="D91" s="85">
        <v>2.1689999999999999E-3</v>
      </c>
      <c r="E91" s="86">
        <v>8531</v>
      </c>
      <c r="F91" s="5"/>
      <c r="G91" s="77">
        <v>3.199E-3</v>
      </c>
      <c r="H91" s="87">
        <v>71302</v>
      </c>
      <c r="I91" s="7"/>
      <c r="J91" s="88">
        <v>79833</v>
      </c>
      <c r="K91" s="89">
        <v>81082</v>
      </c>
      <c r="L91" s="263">
        <f t="shared" si="5"/>
        <v>1249</v>
      </c>
      <c r="M91" s="232">
        <f t="shared" si="9"/>
        <v>625</v>
      </c>
      <c r="N91" s="108">
        <f t="shared" si="6"/>
        <v>12162</v>
      </c>
      <c r="Z91" s="82">
        <f t="shared" si="7"/>
        <v>1249</v>
      </c>
      <c r="AA91" s="82">
        <f t="shared" si="8"/>
        <v>624.5</v>
      </c>
      <c r="AB91" t="s">
        <v>218</v>
      </c>
      <c r="AC91" t="s">
        <v>221</v>
      </c>
      <c r="AD91" t="s">
        <v>222</v>
      </c>
      <c r="AE91">
        <v>72673</v>
      </c>
      <c r="AF91">
        <v>8409</v>
      </c>
      <c r="AG91">
        <v>81082</v>
      </c>
    </row>
    <row r="92" spans="1:33">
      <c r="A92" s="91" t="s">
        <v>218</v>
      </c>
      <c r="B92" s="91" t="s">
        <v>223</v>
      </c>
      <c r="C92" s="92" t="s">
        <v>224</v>
      </c>
      <c r="D92" s="85">
        <v>1.1349999999999999E-3</v>
      </c>
      <c r="E92" s="86">
        <v>4464</v>
      </c>
      <c r="F92" s="5"/>
      <c r="G92" s="77">
        <v>1.018E-3</v>
      </c>
      <c r="H92" s="87">
        <v>22690</v>
      </c>
      <c r="I92" s="7"/>
      <c r="J92" s="88">
        <v>27154</v>
      </c>
      <c r="K92" s="89">
        <v>27486</v>
      </c>
      <c r="L92" s="263">
        <f t="shared" si="5"/>
        <v>332</v>
      </c>
      <c r="M92" s="280">
        <f t="shared" si="9"/>
        <v>166</v>
      </c>
      <c r="N92" s="271">
        <f t="shared" si="6"/>
        <v>4123</v>
      </c>
      <c r="Z92" s="82">
        <f t="shared" si="7"/>
        <v>332</v>
      </c>
      <c r="AA92" s="82">
        <f t="shared" si="8"/>
        <v>166</v>
      </c>
      <c r="AB92" t="s">
        <v>218</v>
      </c>
      <c r="AC92" t="s">
        <v>223</v>
      </c>
      <c r="AD92" t="s">
        <v>224</v>
      </c>
      <c r="AE92">
        <v>23496</v>
      </c>
      <c r="AF92">
        <v>3990</v>
      </c>
      <c r="AG92">
        <v>27486</v>
      </c>
    </row>
    <row r="93" spans="1:33">
      <c r="A93" s="83" t="s">
        <v>218</v>
      </c>
      <c r="B93" s="83" t="s">
        <v>225</v>
      </c>
      <c r="C93" s="84" t="s">
        <v>226</v>
      </c>
      <c r="D93" s="85">
        <v>5.7799999999999995E-4</v>
      </c>
      <c r="E93" s="86">
        <v>2273</v>
      </c>
      <c r="F93" s="5"/>
      <c r="G93" s="77">
        <v>5.9900000000000003E-4</v>
      </c>
      <c r="H93" s="87">
        <v>13351</v>
      </c>
      <c r="I93" s="7"/>
      <c r="J93" s="88">
        <v>15624</v>
      </c>
      <c r="K93" s="89">
        <v>15781</v>
      </c>
      <c r="L93" s="263">
        <f t="shared" si="5"/>
        <v>157</v>
      </c>
      <c r="M93" s="231">
        <f t="shared" si="9"/>
        <v>79</v>
      </c>
      <c r="N93" s="271">
        <f t="shared" si="6"/>
        <v>2367</v>
      </c>
      <c r="Z93" s="82">
        <f t="shared" si="7"/>
        <v>157</v>
      </c>
      <c r="AA93" s="82">
        <f t="shared" si="8"/>
        <v>78.5</v>
      </c>
      <c r="AB93" t="s">
        <v>218</v>
      </c>
      <c r="AC93" t="s">
        <v>225</v>
      </c>
      <c r="AD93" t="s">
        <v>226</v>
      </c>
      <c r="AE93">
        <v>13397</v>
      </c>
      <c r="AF93">
        <v>2384</v>
      </c>
      <c r="AG93">
        <v>15781</v>
      </c>
    </row>
    <row r="94" spans="1:33">
      <c r="A94" s="91" t="s">
        <v>218</v>
      </c>
      <c r="B94" s="91" t="s">
        <v>227</v>
      </c>
      <c r="C94" s="92" t="s">
        <v>228</v>
      </c>
      <c r="D94" s="85">
        <v>1.691E-3</v>
      </c>
      <c r="E94" s="86">
        <v>6651</v>
      </c>
      <c r="F94" s="5"/>
      <c r="G94" s="77">
        <v>1.565E-3</v>
      </c>
      <c r="H94" s="87">
        <v>34882</v>
      </c>
      <c r="I94" s="7"/>
      <c r="J94" s="88">
        <v>41533</v>
      </c>
      <c r="K94" s="89">
        <v>41076</v>
      </c>
      <c r="L94" s="263" t="str">
        <f t="shared" si="5"/>
        <v xml:space="preserve"> </v>
      </c>
      <c r="M94" s="280" t="str">
        <f t="shared" si="9"/>
        <v xml:space="preserve"> </v>
      </c>
      <c r="N94" s="271">
        <f t="shared" si="6"/>
        <v>6161</v>
      </c>
      <c r="Z94" s="82">
        <f t="shared" si="7"/>
        <v>-457</v>
      </c>
      <c r="AA94" s="82">
        <f t="shared" si="8"/>
        <v>-228.5</v>
      </c>
      <c r="AB94" t="s">
        <v>218</v>
      </c>
      <c r="AC94" t="s">
        <v>227</v>
      </c>
      <c r="AD94" t="s">
        <v>228</v>
      </c>
      <c r="AE94">
        <v>35051</v>
      </c>
      <c r="AF94">
        <v>6025</v>
      </c>
      <c r="AG94">
        <v>41076</v>
      </c>
    </row>
    <row r="95" spans="1:33">
      <c r="A95" s="83" t="s">
        <v>218</v>
      </c>
      <c r="B95" s="83" t="s">
        <v>229</v>
      </c>
      <c r="C95" s="84" t="s">
        <v>230</v>
      </c>
      <c r="D95" s="85">
        <v>8.2299999999999995E-4</v>
      </c>
      <c r="E95" s="86">
        <v>3237</v>
      </c>
      <c r="F95" s="5"/>
      <c r="G95" s="77">
        <v>7.7200000000000001E-4</v>
      </c>
      <c r="H95" s="87">
        <v>17207</v>
      </c>
      <c r="I95" s="7"/>
      <c r="J95" s="88">
        <v>20444</v>
      </c>
      <c r="K95" s="89">
        <v>20830</v>
      </c>
      <c r="L95" s="263">
        <f t="shared" si="5"/>
        <v>386</v>
      </c>
      <c r="M95" s="231">
        <f t="shared" si="9"/>
        <v>193</v>
      </c>
      <c r="N95" s="271">
        <f t="shared" si="6"/>
        <v>3125</v>
      </c>
      <c r="Z95" s="82">
        <f t="shared" si="7"/>
        <v>386</v>
      </c>
      <c r="AA95" s="82">
        <f t="shared" si="8"/>
        <v>193</v>
      </c>
      <c r="AB95" t="s">
        <v>218</v>
      </c>
      <c r="AC95" t="s">
        <v>229</v>
      </c>
      <c r="AD95" t="s">
        <v>230</v>
      </c>
      <c r="AE95">
        <v>17924</v>
      </c>
      <c r="AF95">
        <v>2906</v>
      </c>
      <c r="AG95">
        <v>20830</v>
      </c>
    </row>
    <row r="96" spans="1:33">
      <c r="A96" s="91" t="s">
        <v>218</v>
      </c>
      <c r="B96" s="91" t="s">
        <v>231</v>
      </c>
      <c r="C96" s="92" t="s">
        <v>232</v>
      </c>
      <c r="D96" s="85">
        <v>1.98E-3</v>
      </c>
      <c r="E96" s="86">
        <v>7788</v>
      </c>
      <c r="F96" s="5"/>
      <c r="G96" s="77">
        <v>1.598E-3</v>
      </c>
      <c r="H96" s="87">
        <v>35617</v>
      </c>
      <c r="I96" s="7"/>
      <c r="J96" s="88">
        <v>43405</v>
      </c>
      <c r="K96" s="89">
        <v>45780</v>
      </c>
      <c r="L96" s="263">
        <f t="shared" si="5"/>
        <v>2375</v>
      </c>
      <c r="M96" s="280">
        <f t="shared" si="9"/>
        <v>1188</v>
      </c>
      <c r="N96" s="271">
        <f t="shared" si="6"/>
        <v>6867</v>
      </c>
      <c r="Z96" s="82">
        <f t="shared" si="7"/>
        <v>2375</v>
      </c>
      <c r="AA96" s="82">
        <f t="shared" si="8"/>
        <v>1187.5</v>
      </c>
      <c r="AB96" t="s">
        <v>218</v>
      </c>
      <c r="AC96" t="s">
        <v>231</v>
      </c>
      <c r="AD96" t="s">
        <v>232</v>
      </c>
      <c r="AE96">
        <v>37371</v>
      </c>
      <c r="AF96">
        <v>8409</v>
      </c>
      <c r="AG96">
        <v>45780</v>
      </c>
    </row>
    <row r="97" spans="1:33">
      <c r="A97" s="91" t="s">
        <v>218</v>
      </c>
      <c r="B97" s="91" t="s">
        <v>233</v>
      </c>
      <c r="C97" s="92" t="s">
        <v>234</v>
      </c>
      <c r="D97" s="85">
        <v>8.6799999999999996E-4</v>
      </c>
      <c r="E97" s="86">
        <v>3414</v>
      </c>
      <c r="F97" s="5"/>
      <c r="G97" s="77">
        <v>6.6799999999999997E-4</v>
      </c>
      <c r="H97" s="87">
        <v>14889</v>
      </c>
      <c r="I97" s="7"/>
      <c r="J97" s="88">
        <v>18303</v>
      </c>
      <c r="K97" s="89">
        <v>18067</v>
      </c>
      <c r="L97" s="263" t="str">
        <f t="shared" si="5"/>
        <v xml:space="preserve"> </v>
      </c>
      <c r="M97" s="280" t="str">
        <f t="shared" si="9"/>
        <v xml:space="preserve"> </v>
      </c>
      <c r="N97" s="271">
        <f t="shared" si="6"/>
        <v>2710</v>
      </c>
      <c r="Z97" s="82">
        <f t="shared" si="7"/>
        <v>-236</v>
      </c>
      <c r="AA97" s="82">
        <f t="shared" si="8"/>
        <v>-118</v>
      </c>
      <c r="AB97" t="s">
        <v>218</v>
      </c>
      <c r="AC97" t="s">
        <v>233</v>
      </c>
      <c r="AD97" t="s">
        <v>234</v>
      </c>
      <c r="AE97">
        <v>14944</v>
      </c>
      <c r="AF97">
        <v>3123</v>
      </c>
      <c r="AG97">
        <v>18067</v>
      </c>
    </row>
    <row r="98" spans="1:33">
      <c r="A98" s="91" t="s">
        <v>218</v>
      </c>
      <c r="B98" s="91" t="s">
        <v>235</v>
      </c>
      <c r="C98" s="92" t="s">
        <v>236</v>
      </c>
      <c r="D98" s="85">
        <v>1.5460000000000001E-3</v>
      </c>
      <c r="E98" s="86">
        <v>6081</v>
      </c>
      <c r="F98" s="5"/>
      <c r="G98" s="77">
        <v>1.529E-3</v>
      </c>
      <c r="H98" s="87">
        <v>34079</v>
      </c>
      <c r="I98" s="7"/>
      <c r="J98" s="88">
        <v>40160</v>
      </c>
      <c r="K98" s="89">
        <v>38855</v>
      </c>
      <c r="L98" s="263" t="str">
        <f t="shared" si="5"/>
        <v xml:space="preserve"> </v>
      </c>
      <c r="M98" s="280" t="str">
        <f t="shared" si="9"/>
        <v xml:space="preserve"> </v>
      </c>
      <c r="N98" s="271">
        <f t="shared" si="6"/>
        <v>5828</v>
      </c>
      <c r="Z98" s="82">
        <f t="shared" si="7"/>
        <v>-1305</v>
      </c>
      <c r="AA98" s="82">
        <f t="shared" si="8"/>
        <v>-652.5</v>
      </c>
      <c r="AB98" t="s">
        <v>218</v>
      </c>
      <c r="AC98" t="s">
        <v>235</v>
      </c>
      <c r="AD98" t="s">
        <v>236</v>
      </c>
      <c r="AE98">
        <v>33436</v>
      </c>
      <c r="AF98">
        <v>5419</v>
      </c>
      <c r="AG98">
        <v>38855</v>
      </c>
    </row>
    <row r="99" spans="1:33">
      <c r="A99" s="91" t="s">
        <v>218</v>
      </c>
      <c r="B99" s="91" t="s">
        <v>237</v>
      </c>
      <c r="C99" s="92" t="s">
        <v>238</v>
      </c>
      <c r="D99" s="85">
        <v>3.1259999999999999E-3</v>
      </c>
      <c r="E99" s="86">
        <v>12296</v>
      </c>
      <c r="F99" s="5"/>
      <c r="G99" s="77">
        <v>2.6749999999999999E-3</v>
      </c>
      <c r="H99" s="87">
        <v>59622</v>
      </c>
      <c r="I99" s="7"/>
      <c r="J99" s="88">
        <v>71918</v>
      </c>
      <c r="K99" s="89">
        <v>73291</v>
      </c>
      <c r="L99" s="263">
        <f t="shared" si="5"/>
        <v>1373</v>
      </c>
      <c r="M99" s="280">
        <f t="shared" si="9"/>
        <v>687</v>
      </c>
      <c r="N99" s="271">
        <f t="shared" si="6"/>
        <v>10994</v>
      </c>
      <c r="Z99" s="82">
        <f t="shared" si="7"/>
        <v>1373</v>
      </c>
      <c r="AA99" s="82">
        <f t="shared" si="8"/>
        <v>686.5</v>
      </c>
      <c r="AB99" t="s">
        <v>218</v>
      </c>
      <c r="AC99" t="s">
        <v>237</v>
      </c>
      <c r="AD99" t="s">
        <v>238</v>
      </c>
      <c r="AE99">
        <v>60936</v>
      </c>
      <c r="AF99">
        <v>12355</v>
      </c>
      <c r="AG99">
        <v>73291</v>
      </c>
    </row>
    <row r="100" spans="1:33">
      <c r="A100" s="91" t="s">
        <v>218</v>
      </c>
      <c r="B100" s="91" t="s">
        <v>239</v>
      </c>
      <c r="C100" s="92" t="s">
        <v>240</v>
      </c>
      <c r="D100" s="85">
        <v>1.0413E-2</v>
      </c>
      <c r="E100" s="86">
        <v>40958</v>
      </c>
      <c r="F100" s="5"/>
      <c r="G100" s="77">
        <v>9.0369999999999999E-3</v>
      </c>
      <c r="H100" s="87">
        <v>201423</v>
      </c>
      <c r="I100" s="7"/>
      <c r="J100" s="88">
        <v>242381</v>
      </c>
      <c r="K100" s="89">
        <v>242775</v>
      </c>
      <c r="L100" s="263">
        <f t="shared" si="5"/>
        <v>394</v>
      </c>
      <c r="M100" s="280">
        <f t="shared" si="9"/>
        <v>197</v>
      </c>
      <c r="N100" s="271">
        <f t="shared" si="6"/>
        <v>36416</v>
      </c>
      <c r="Z100" s="82">
        <f t="shared" si="7"/>
        <v>394</v>
      </c>
      <c r="AA100" s="82">
        <f t="shared" si="8"/>
        <v>197</v>
      </c>
      <c r="AB100" t="s">
        <v>218</v>
      </c>
      <c r="AC100" t="s">
        <v>239</v>
      </c>
      <c r="AD100" t="s">
        <v>240</v>
      </c>
      <c r="AE100">
        <v>200163</v>
      </c>
      <c r="AF100">
        <v>42612</v>
      </c>
      <c r="AG100">
        <v>242775</v>
      </c>
    </row>
    <row r="101" spans="1:33">
      <c r="A101" s="91" t="s">
        <v>218</v>
      </c>
      <c r="B101" s="91" t="s">
        <v>241</v>
      </c>
      <c r="C101" s="92" t="s">
        <v>242</v>
      </c>
      <c r="D101" s="85">
        <v>5.4500000000000002E-4</v>
      </c>
      <c r="E101" s="86">
        <v>2144</v>
      </c>
      <c r="F101" s="5"/>
      <c r="G101" s="77">
        <v>2.5399999999999999E-4</v>
      </c>
      <c r="H101" s="87">
        <v>5661</v>
      </c>
      <c r="I101" s="7"/>
      <c r="J101" s="88">
        <v>7805</v>
      </c>
      <c r="K101" s="89">
        <v>7169</v>
      </c>
      <c r="L101" s="263" t="str">
        <f t="shared" si="5"/>
        <v xml:space="preserve"> </v>
      </c>
      <c r="M101" s="280" t="str">
        <f t="shared" si="9"/>
        <v xml:space="preserve"> </v>
      </c>
      <c r="N101" s="271">
        <f t="shared" si="6"/>
        <v>1075</v>
      </c>
      <c r="Z101" s="82">
        <f t="shared" si="7"/>
        <v>-636</v>
      </c>
      <c r="AA101" s="82">
        <f t="shared" si="8"/>
        <v>-318</v>
      </c>
      <c r="AB101" t="s">
        <v>218</v>
      </c>
      <c r="AC101" t="s">
        <v>241</v>
      </c>
      <c r="AD101" t="s">
        <v>242</v>
      </c>
      <c r="AE101">
        <v>5868</v>
      </c>
      <c r="AF101">
        <v>1301</v>
      </c>
      <c r="AG101">
        <v>7169</v>
      </c>
    </row>
    <row r="102" spans="1:33">
      <c r="A102" s="91" t="s">
        <v>218</v>
      </c>
      <c r="B102" s="91" t="s">
        <v>243</v>
      </c>
      <c r="C102" s="110" t="s">
        <v>244</v>
      </c>
      <c r="D102" s="85">
        <v>7.0100000000000002E-4</v>
      </c>
      <c r="E102" s="86">
        <v>2757</v>
      </c>
      <c r="F102" s="5"/>
      <c r="G102" s="77">
        <v>7.3099999999999999E-4</v>
      </c>
      <c r="H102" s="87">
        <v>16293</v>
      </c>
      <c r="I102" s="7"/>
      <c r="J102" s="88">
        <v>19050</v>
      </c>
      <c r="K102" s="89">
        <v>19093</v>
      </c>
      <c r="L102" s="263">
        <f t="shared" si="5"/>
        <v>43</v>
      </c>
      <c r="M102" s="280">
        <f t="shared" si="9"/>
        <v>22</v>
      </c>
      <c r="N102" s="271">
        <f t="shared" si="6"/>
        <v>2864</v>
      </c>
      <c r="Z102" s="82">
        <f t="shared" si="7"/>
        <v>43</v>
      </c>
      <c r="AA102" s="82">
        <f t="shared" si="8"/>
        <v>21.5</v>
      </c>
      <c r="AB102" t="s">
        <v>218</v>
      </c>
      <c r="AC102" t="s">
        <v>243</v>
      </c>
      <c r="AD102" t="s">
        <v>245</v>
      </c>
      <c r="AE102">
        <v>16536</v>
      </c>
      <c r="AF102">
        <v>2557</v>
      </c>
      <c r="AG102">
        <v>19093</v>
      </c>
    </row>
    <row r="103" spans="1:33">
      <c r="A103" s="83" t="s">
        <v>218</v>
      </c>
      <c r="B103" s="83" t="s">
        <v>246</v>
      </c>
      <c r="C103" s="84" t="s">
        <v>247</v>
      </c>
      <c r="D103" s="85">
        <v>5.9000000000000003E-4</v>
      </c>
      <c r="E103" s="86">
        <v>2321</v>
      </c>
      <c r="F103" s="5"/>
      <c r="G103" s="77">
        <v>5.9100000000000005E-4</v>
      </c>
      <c r="H103" s="87">
        <v>13173</v>
      </c>
      <c r="I103" s="7"/>
      <c r="J103" s="88">
        <v>15494</v>
      </c>
      <c r="K103" s="89">
        <v>16050</v>
      </c>
      <c r="L103" s="263">
        <f t="shared" si="5"/>
        <v>556</v>
      </c>
      <c r="M103" s="231">
        <f t="shared" si="9"/>
        <v>278</v>
      </c>
      <c r="N103" s="271">
        <f t="shared" si="6"/>
        <v>2408</v>
      </c>
      <c r="Z103" s="82">
        <f t="shared" si="7"/>
        <v>556</v>
      </c>
      <c r="AA103" s="82">
        <f t="shared" si="8"/>
        <v>278</v>
      </c>
      <c r="AB103" t="s">
        <v>218</v>
      </c>
      <c r="AC103" t="s">
        <v>246</v>
      </c>
      <c r="AD103" t="s">
        <v>247</v>
      </c>
      <c r="AE103">
        <v>14011</v>
      </c>
      <c r="AF103">
        <v>2039</v>
      </c>
      <c r="AG103">
        <v>16050</v>
      </c>
    </row>
    <row r="104" spans="1:33">
      <c r="A104" s="91" t="s">
        <v>218</v>
      </c>
      <c r="B104" s="91" t="s">
        <v>248</v>
      </c>
      <c r="C104" s="92" t="s">
        <v>249</v>
      </c>
      <c r="D104" s="85">
        <v>2.1580000000000002E-3</v>
      </c>
      <c r="E104" s="86">
        <v>8488</v>
      </c>
      <c r="F104" s="5"/>
      <c r="G104" s="77">
        <v>2.5200000000000001E-3</v>
      </c>
      <c r="H104" s="87">
        <v>56167</v>
      </c>
      <c r="I104" s="7"/>
      <c r="J104" s="88">
        <v>64655</v>
      </c>
      <c r="K104" s="89">
        <v>68578</v>
      </c>
      <c r="L104" s="263">
        <f t="shared" si="5"/>
        <v>3923</v>
      </c>
      <c r="M104" s="280">
        <f t="shared" si="9"/>
        <v>1962</v>
      </c>
      <c r="N104" s="271">
        <f t="shared" si="6"/>
        <v>10287</v>
      </c>
      <c r="Z104" s="82">
        <f t="shared" si="7"/>
        <v>3923</v>
      </c>
      <c r="AA104" s="82">
        <f t="shared" si="8"/>
        <v>1961.5</v>
      </c>
      <c r="AB104" t="s">
        <v>218</v>
      </c>
      <c r="AC104" t="s">
        <v>248</v>
      </c>
      <c r="AD104" t="s">
        <v>249</v>
      </c>
      <c r="AE104">
        <v>58479</v>
      </c>
      <c r="AF104">
        <v>10099</v>
      </c>
      <c r="AG104">
        <v>68578</v>
      </c>
    </row>
    <row r="105" spans="1:33">
      <c r="A105" s="91" t="s">
        <v>218</v>
      </c>
      <c r="B105" s="91" t="s">
        <v>250</v>
      </c>
      <c r="C105" s="92" t="s">
        <v>251</v>
      </c>
      <c r="D105" s="85">
        <v>2.7810000000000001E-3</v>
      </c>
      <c r="E105" s="86">
        <v>10939</v>
      </c>
      <c r="F105" s="5"/>
      <c r="G105" s="77">
        <v>1.993E-3</v>
      </c>
      <c r="H105" s="87">
        <v>44421</v>
      </c>
      <c r="I105" s="7"/>
      <c r="J105" s="88">
        <v>55360</v>
      </c>
      <c r="K105" s="89">
        <v>56580</v>
      </c>
      <c r="L105" s="263">
        <f t="shared" si="5"/>
        <v>1220</v>
      </c>
      <c r="M105" s="280">
        <f t="shared" si="9"/>
        <v>610</v>
      </c>
      <c r="N105" s="271">
        <f t="shared" si="6"/>
        <v>8487</v>
      </c>
      <c r="Z105" s="82">
        <f t="shared" si="7"/>
        <v>1220</v>
      </c>
      <c r="AA105" s="82">
        <f t="shared" si="8"/>
        <v>610</v>
      </c>
      <c r="AB105" t="s">
        <v>218</v>
      </c>
      <c r="AC105" t="s">
        <v>250</v>
      </c>
      <c r="AD105" t="s">
        <v>251</v>
      </c>
      <c r="AE105">
        <v>45742</v>
      </c>
      <c r="AF105">
        <v>10838</v>
      </c>
      <c r="AG105">
        <v>56580</v>
      </c>
    </row>
    <row r="106" spans="1:33">
      <c r="A106" s="91" t="s">
        <v>218</v>
      </c>
      <c r="B106" s="91" t="s">
        <v>252</v>
      </c>
      <c r="C106" s="92" t="s">
        <v>253</v>
      </c>
      <c r="D106" s="85">
        <v>6.1200000000000002E-4</v>
      </c>
      <c r="E106" s="86">
        <v>2407</v>
      </c>
      <c r="F106" s="5"/>
      <c r="G106" s="77">
        <v>6.7400000000000001E-4</v>
      </c>
      <c r="H106" s="87">
        <v>15023</v>
      </c>
      <c r="I106" s="7"/>
      <c r="J106" s="88">
        <v>17430</v>
      </c>
      <c r="K106" s="89">
        <v>17782</v>
      </c>
      <c r="L106" s="263">
        <f t="shared" si="5"/>
        <v>352</v>
      </c>
      <c r="M106" s="280">
        <f t="shared" si="9"/>
        <v>176</v>
      </c>
      <c r="N106" s="271">
        <f t="shared" si="6"/>
        <v>2667</v>
      </c>
      <c r="Z106" s="82">
        <f t="shared" si="7"/>
        <v>352</v>
      </c>
      <c r="AA106" s="82">
        <f t="shared" si="8"/>
        <v>176</v>
      </c>
      <c r="AB106" t="s">
        <v>218</v>
      </c>
      <c r="AC106" t="s">
        <v>252</v>
      </c>
      <c r="AD106" t="s">
        <v>253</v>
      </c>
      <c r="AE106">
        <v>14876</v>
      </c>
      <c r="AF106">
        <v>2906</v>
      </c>
      <c r="AG106">
        <v>17782</v>
      </c>
    </row>
    <row r="107" spans="1:33">
      <c r="A107" s="91" t="s">
        <v>218</v>
      </c>
      <c r="B107" s="91" t="s">
        <v>254</v>
      </c>
      <c r="C107" s="92" t="s">
        <v>255</v>
      </c>
      <c r="D107" s="85">
        <v>4.5600000000000003E-4</v>
      </c>
      <c r="E107" s="86">
        <v>1794</v>
      </c>
      <c r="F107" s="5"/>
      <c r="G107" s="77">
        <v>1.4200000000000001E-4</v>
      </c>
      <c r="H107" s="87">
        <v>3165</v>
      </c>
      <c r="I107" s="7"/>
      <c r="J107" s="88">
        <v>4959</v>
      </c>
      <c r="K107" s="89">
        <v>5622</v>
      </c>
      <c r="L107" s="263">
        <f t="shared" si="5"/>
        <v>663</v>
      </c>
      <c r="M107" s="280">
        <f t="shared" si="9"/>
        <v>332</v>
      </c>
      <c r="N107" s="271">
        <f t="shared" si="6"/>
        <v>843</v>
      </c>
      <c r="Z107" s="82">
        <f t="shared" si="7"/>
        <v>663</v>
      </c>
      <c r="AA107" s="82">
        <f t="shared" si="8"/>
        <v>331.5</v>
      </c>
      <c r="AB107" t="s">
        <v>218</v>
      </c>
      <c r="AC107" t="s">
        <v>254</v>
      </c>
      <c r="AD107" t="s">
        <v>255</v>
      </c>
      <c r="AE107">
        <v>3366</v>
      </c>
      <c r="AF107">
        <v>2256</v>
      </c>
      <c r="AG107">
        <v>5622</v>
      </c>
    </row>
    <row r="108" spans="1:33">
      <c r="A108" s="91" t="s">
        <v>218</v>
      </c>
      <c r="B108" s="91" t="s">
        <v>256</v>
      </c>
      <c r="C108" s="92" t="s">
        <v>257</v>
      </c>
      <c r="D108" s="85">
        <v>1.0679999999999999E-3</v>
      </c>
      <c r="E108" s="86">
        <v>4201</v>
      </c>
      <c r="F108" s="5"/>
      <c r="G108" s="77">
        <v>1.3749999999999999E-3</v>
      </c>
      <c r="H108" s="87">
        <v>30647</v>
      </c>
      <c r="I108" s="7"/>
      <c r="J108" s="88">
        <v>34848</v>
      </c>
      <c r="K108" s="89">
        <v>34164</v>
      </c>
      <c r="L108" s="263" t="str">
        <f t="shared" si="5"/>
        <v xml:space="preserve"> </v>
      </c>
      <c r="M108" s="280" t="str">
        <f t="shared" si="9"/>
        <v xml:space="preserve"> </v>
      </c>
      <c r="N108" s="271">
        <f t="shared" si="6"/>
        <v>5125</v>
      </c>
      <c r="Z108" s="82">
        <f t="shared" si="7"/>
        <v>-684</v>
      </c>
      <c r="AA108" s="82">
        <f t="shared" si="8"/>
        <v>-342</v>
      </c>
      <c r="AB108" t="s">
        <v>218</v>
      </c>
      <c r="AC108" t="s">
        <v>256</v>
      </c>
      <c r="AD108" t="s">
        <v>257</v>
      </c>
      <c r="AE108">
        <v>30002</v>
      </c>
      <c r="AF108">
        <v>4162</v>
      </c>
      <c r="AG108">
        <v>34164</v>
      </c>
    </row>
    <row r="109" spans="1:33">
      <c r="A109" s="91" t="s">
        <v>218</v>
      </c>
      <c r="B109" s="91" t="s">
        <v>258</v>
      </c>
      <c r="C109" s="92" t="s">
        <v>259</v>
      </c>
      <c r="D109" s="85">
        <v>9.4600000000000001E-4</v>
      </c>
      <c r="E109" s="86">
        <v>3721</v>
      </c>
      <c r="F109" s="5"/>
      <c r="G109" s="77">
        <v>9.2400000000000002E-4</v>
      </c>
      <c r="H109" s="87">
        <v>20595</v>
      </c>
      <c r="I109" s="7"/>
      <c r="J109" s="88">
        <v>24316</v>
      </c>
      <c r="K109" s="89">
        <v>25725</v>
      </c>
      <c r="L109" s="263">
        <f t="shared" si="5"/>
        <v>1409</v>
      </c>
      <c r="M109" s="280">
        <f t="shared" si="9"/>
        <v>705</v>
      </c>
      <c r="N109" s="271">
        <f t="shared" si="6"/>
        <v>3859</v>
      </c>
      <c r="Z109" s="82">
        <f t="shared" si="7"/>
        <v>1409</v>
      </c>
      <c r="AA109" s="82">
        <f t="shared" si="8"/>
        <v>704.5</v>
      </c>
      <c r="AB109" t="s">
        <v>218</v>
      </c>
      <c r="AC109" t="s">
        <v>258</v>
      </c>
      <c r="AD109" t="s">
        <v>259</v>
      </c>
      <c r="AE109">
        <v>21085</v>
      </c>
      <c r="AF109">
        <v>4640</v>
      </c>
      <c r="AG109">
        <v>25725</v>
      </c>
    </row>
    <row r="110" spans="1:33">
      <c r="A110" s="91" t="s">
        <v>218</v>
      </c>
      <c r="B110" s="91" t="s">
        <v>260</v>
      </c>
      <c r="C110" s="92" t="s">
        <v>261</v>
      </c>
      <c r="D110" s="85">
        <v>4.4499999999999997E-4</v>
      </c>
      <c r="E110" s="86">
        <v>1750</v>
      </c>
      <c r="F110" s="5"/>
      <c r="G110" s="77">
        <v>5.1400000000000003E-4</v>
      </c>
      <c r="H110" s="87">
        <v>11456</v>
      </c>
      <c r="I110" s="7"/>
      <c r="J110" s="88">
        <v>13206</v>
      </c>
      <c r="K110" s="89">
        <v>12268</v>
      </c>
      <c r="L110" s="263" t="str">
        <f t="shared" si="5"/>
        <v xml:space="preserve"> </v>
      </c>
      <c r="M110" s="280" t="str">
        <f t="shared" si="9"/>
        <v xml:space="preserve"> </v>
      </c>
      <c r="N110" s="271">
        <f t="shared" si="6"/>
        <v>1840</v>
      </c>
      <c r="Z110" s="82">
        <f t="shared" si="7"/>
        <v>-938</v>
      </c>
      <c r="AA110" s="82">
        <f t="shared" si="8"/>
        <v>-469</v>
      </c>
      <c r="AB110" t="s">
        <v>218</v>
      </c>
      <c r="AC110" t="s">
        <v>260</v>
      </c>
      <c r="AD110" t="s">
        <v>261</v>
      </c>
      <c r="AE110">
        <v>10145</v>
      </c>
      <c r="AF110">
        <v>2123</v>
      </c>
      <c r="AG110">
        <v>12268</v>
      </c>
    </row>
    <row r="111" spans="1:33">
      <c r="A111" s="91" t="s">
        <v>218</v>
      </c>
      <c r="B111" s="91" t="s">
        <v>262</v>
      </c>
      <c r="C111" s="92" t="s">
        <v>263</v>
      </c>
      <c r="D111" s="85">
        <v>5.2300000000000003E-4</v>
      </c>
      <c r="E111" s="86">
        <v>2057</v>
      </c>
      <c r="F111" s="5"/>
      <c r="G111" s="77">
        <v>6.8400000000000004E-4</v>
      </c>
      <c r="H111" s="87">
        <v>15245</v>
      </c>
      <c r="I111" s="7"/>
      <c r="J111" s="88">
        <v>17302</v>
      </c>
      <c r="K111" s="89">
        <v>17532</v>
      </c>
      <c r="L111" s="263">
        <f t="shared" si="5"/>
        <v>230</v>
      </c>
      <c r="M111" s="280">
        <f t="shared" si="9"/>
        <v>115</v>
      </c>
      <c r="N111" s="271">
        <f t="shared" si="6"/>
        <v>2630</v>
      </c>
      <c r="Z111" s="82">
        <f t="shared" si="7"/>
        <v>230</v>
      </c>
      <c r="AA111" s="82">
        <f t="shared" si="8"/>
        <v>115</v>
      </c>
      <c r="AB111" t="s">
        <v>218</v>
      </c>
      <c r="AC111" t="s">
        <v>262</v>
      </c>
      <c r="AD111" t="s">
        <v>263</v>
      </c>
      <c r="AE111">
        <v>15581</v>
      </c>
      <c r="AF111">
        <v>1951</v>
      </c>
      <c r="AG111">
        <v>17532</v>
      </c>
    </row>
    <row r="112" spans="1:33">
      <c r="A112" s="83" t="s">
        <v>218</v>
      </c>
      <c r="B112" s="83" t="s">
        <v>264</v>
      </c>
      <c r="C112" s="84" t="s">
        <v>265</v>
      </c>
      <c r="D112" s="85">
        <v>8.12E-4</v>
      </c>
      <c r="E112" s="86">
        <v>3194</v>
      </c>
      <c r="F112" s="5"/>
      <c r="G112" s="77">
        <v>6.6600000000000003E-4</v>
      </c>
      <c r="H112" s="87">
        <v>14844</v>
      </c>
      <c r="I112" s="7"/>
      <c r="J112" s="88">
        <v>18038</v>
      </c>
      <c r="K112" s="89">
        <v>18615</v>
      </c>
      <c r="L112" s="263">
        <f t="shared" si="5"/>
        <v>577</v>
      </c>
      <c r="M112" s="231">
        <f t="shared" si="9"/>
        <v>289</v>
      </c>
      <c r="N112" s="271">
        <f t="shared" si="6"/>
        <v>2792</v>
      </c>
      <c r="Z112" s="82">
        <f t="shared" si="7"/>
        <v>577</v>
      </c>
      <c r="AA112" s="82">
        <f t="shared" si="8"/>
        <v>288.5</v>
      </c>
      <c r="AB112" t="s">
        <v>218</v>
      </c>
      <c r="AC112" t="s">
        <v>264</v>
      </c>
      <c r="AD112" t="s">
        <v>265</v>
      </c>
      <c r="AE112">
        <v>15103</v>
      </c>
      <c r="AF112">
        <v>3512</v>
      </c>
      <c r="AG112">
        <v>18615</v>
      </c>
    </row>
    <row r="113" spans="1:33">
      <c r="A113" s="91" t="s">
        <v>218</v>
      </c>
      <c r="B113" s="91" t="s">
        <v>266</v>
      </c>
      <c r="C113" s="92" t="s">
        <v>267</v>
      </c>
      <c r="D113" s="85">
        <v>1.379E-3</v>
      </c>
      <c r="E113" s="86">
        <v>5424</v>
      </c>
      <c r="F113" s="5"/>
      <c r="G113" s="77">
        <v>1.7179999999999999E-3</v>
      </c>
      <c r="H113" s="87">
        <v>38292</v>
      </c>
      <c r="I113" s="7"/>
      <c r="J113" s="88">
        <v>43716</v>
      </c>
      <c r="K113" s="89">
        <v>46617</v>
      </c>
      <c r="L113" s="263">
        <f t="shared" si="5"/>
        <v>2901</v>
      </c>
      <c r="M113" s="280">
        <f t="shared" si="9"/>
        <v>1451</v>
      </c>
      <c r="N113" s="271">
        <f t="shared" si="6"/>
        <v>6993</v>
      </c>
      <c r="Z113" s="82">
        <f t="shared" si="7"/>
        <v>2901</v>
      </c>
      <c r="AA113" s="82">
        <f t="shared" si="8"/>
        <v>1450.5</v>
      </c>
      <c r="AB113" t="s">
        <v>218</v>
      </c>
      <c r="AC113" t="s">
        <v>266</v>
      </c>
      <c r="AD113" t="s">
        <v>267</v>
      </c>
      <c r="AE113">
        <v>39942</v>
      </c>
      <c r="AF113">
        <v>6675</v>
      </c>
      <c r="AG113">
        <v>46617</v>
      </c>
    </row>
    <row r="114" spans="1:33">
      <c r="A114" s="91" t="s">
        <v>218</v>
      </c>
      <c r="B114" s="91" t="s">
        <v>268</v>
      </c>
      <c r="C114" s="92" t="s">
        <v>269</v>
      </c>
      <c r="D114" s="85">
        <v>4.0000000000000002E-4</v>
      </c>
      <c r="E114" s="86">
        <v>1573</v>
      </c>
      <c r="F114" s="5"/>
      <c r="G114" s="77">
        <v>3.6600000000000001E-4</v>
      </c>
      <c r="H114" s="87">
        <v>8158</v>
      </c>
      <c r="I114" s="7"/>
      <c r="J114" s="88">
        <v>9731</v>
      </c>
      <c r="K114" s="89">
        <v>10119</v>
      </c>
      <c r="L114" s="263">
        <f t="shared" si="5"/>
        <v>388</v>
      </c>
      <c r="M114" s="280">
        <f t="shared" si="9"/>
        <v>194</v>
      </c>
      <c r="N114" s="271">
        <f t="shared" si="6"/>
        <v>1518</v>
      </c>
      <c r="Z114" s="82">
        <f t="shared" si="7"/>
        <v>388</v>
      </c>
      <c r="AA114" s="82">
        <f t="shared" si="8"/>
        <v>194</v>
      </c>
      <c r="AB114" t="s">
        <v>218</v>
      </c>
      <c r="AC114" t="s">
        <v>268</v>
      </c>
      <c r="AD114" t="s">
        <v>269</v>
      </c>
      <c r="AE114">
        <v>8257</v>
      </c>
      <c r="AF114">
        <v>1862</v>
      </c>
      <c r="AG114">
        <v>10119</v>
      </c>
    </row>
    <row r="115" spans="1:33">
      <c r="A115" s="91" t="s">
        <v>218</v>
      </c>
      <c r="B115" s="91" t="s">
        <v>270</v>
      </c>
      <c r="C115" s="92" t="s">
        <v>271</v>
      </c>
      <c r="D115" s="85">
        <v>1.168E-3</v>
      </c>
      <c r="E115" s="86">
        <v>4594</v>
      </c>
      <c r="F115" s="5"/>
      <c r="G115" s="77">
        <v>1.083E-3</v>
      </c>
      <c r="H115" s="87">
        <v>24139</v>
      </c>
      <c r="I115" s="7"/>
      <c r="J115" s="88">
        <f>28733+11420</f>
        <v>40153</v>
      </c>
      <c r="K115" s="89">
        <v>40508</v>
      </c>
      <c r="L115" s="263">
        <f t="shared" si="5"/>
        <v>355</v>
      </c>
      <c r="M115" s="280">
        <f t="shared" si="9"/>
        <v>178</v>
      </c>
      <c r="N115" s="271">
        <f t="shared" si="6"/>
        <v>6076</v>
      </c>
      <c r="Z115" s="82">
        <f t="shared" si="7"/>
        <v>355</v>
      </c>
      <c r="AA115" s="82">
        <f t="shared" si="8"/>
        <v>177.5</v>
      </c>
      <c r="AB115" t="s">
        <v>218</v>
      </c>
      <c r="AC115" t="s">
        <v>270</v>
      </c>
      <c r="AD115" t="s">
        <v>272</v>
      </c>
      <c r="AE115">
        <v>34483</v>
      </c>
      <c r="AF115">
        <v>6025</v>
      </c>
      <c r="AG115">
        <v>40508</v>
      </c>
    </row>
    <row r="116" spans="1:33">
      <c r="A116" s="83" t="s">
        <v>218</v>
      </c>
      <c r="B116" s="83" t="s">
        <v>273</v>
      </c>
      <c r="C116" s="84" t="s">
        <v>274</v>
      </c>
      <c r="D116" s="85">
        <v>1.513E-3</v>
      </c>
      <c r="E116" s="86">
        <v>5951</v>
      </c>
      <c r="F116" s="5"/>
      <c r="G116" s="77">
        <v>1.305E-3</v>
      </c>
      <c r="H116" s="87">
        <v>29087</v>
      </c>
      <c r="I116" s="7"/>
      <c r="J116" s="88">
        <v>35038</v>
      </c>
      <c r="K116" s="89">
        <v>34666</v>
      </c>
      <c r="L116" s="263" t="str">
        <f t="shared" si="5"/>
        <v xml:space="preserve"> </v>
      </c>
      <c r="M116" s="231" t="str">
        <f t="shared" si="9"/>
        <v xml:space="preserve"> </v>
      </c>
      <c r="N116" s="271">
        <f t="shared" si="6"/>
        <v>5200</v>
      </c>
      <c r="Z116" s="82">
        <f t="shared" si="7"/>
        <v>-372</v>
      </c>
      <c r="AA116" s="82">
        <f t="shared" si="8"/>
        <v>-186</v>
      </c>
      <c r="AB116" t="s">
        <v>218</v>
      </c>
      <c r="AC116" t="s">
        <v>273</v>
      </c>
      <c r="AD116" t="s">
        <v>274</v>
      </c>
      <c r="AE116">
        <v>29592</v>
      </c>
      <c r="AF116">
        <v>5074</v>
      </c>
      <c r="AG116">
        <v>34666</v>
      </c>
    </row>
    <row r="117" spans="1:33">
      <c r="A117" s="91" t="s">
        <v>218</v>
      </c>
      <c r="B117" s="91" t="s">
        <v>275</v>
      </c>
      <c r="C117" s="92" t="s">
        <v>276</v>
      </c>
      <c r="D117" s="85">
        <v>9.68E-4</v>
      </c>
      <c r="E117" s="86">
        <v>3807</v>
      </c>
      <c r="F117" s="5"/>
      <c r="G117" s="77">
        <v>9.3199999999999999E-4</v>
      </c>
      <c r="H117" s="87">
        <v>20773</v>
      </c>
      <c r="I117" s="7"/>
      <c r="J117" s="88">
        <v>24580</v>
      </c>
      <c r="K117" s="89">
        <v>25823</v>
      </c>
      <c r="L117" s="263">
        <f t="shared" si="5"/>
        <v>1243</v>
      </c>
      <c r="M117" s="280">
        <f t="shared" si="9"/>
        <v>622</v>
      </c>
      <c r="N117" s="271">
        <f t="shared" si="6"/>
        <v>3873</v>
      </c>
      <c r="Z117" s="82">
        <f t="shared" si="7"/>
        <v>1243</v>
      </c>
      <c r="AA117" s="82">
        <f t="shared" si="8"/>
        <v>621.5</v>
      </c>
      <c r="AB117" t="s">
        <v>218</v>
      </c>
      <c r="AC117" t="s">
        <v>275</v>
      </c>
      <c r="AD117" t="s">
        <v>276</v>
      </c>
      <c r="AE117">
        <v>20926</v>
      </c>
      <c r="AF117">
        <v>4897</v>
      </c>
      <c r="AG117">
        <v>25823</v>
      </c>
    </row>
    <row r="118" spans="1:33">
      <c r="A118" s="91" t="s">
        <v>218</v>
      </c>
      <c r="B118" s="91" t="s">
        <v>277</v>
      </c>
      <c r="C118" s="92" t="s">
        <v>278</v>
      </c>
      <c r="D118" s="85">
        <v>5.3399999999999997E-4</v>
      </c>
      <c r="E118" s="86">
        <v>2100</v>
      </c>
      <c r="F118" s="5"/>
      <c r="G118" s="77">
        <v>5.3399999999999997E-4</v>
      </c>
      <c r="H118" s="87">
        <v>11902</v>
      </c>
      <c r="I118" s="7"/>
      <c r="J118" s="88">
        <v>14002</v>
      </c>
      <c r="K118" s="89">
        <v>13424</v>
      </c>
      <c r="L118" s="263" t="str">
        <f t="shared" si="5"/>
        <v xml:space="preserve"> </v>
      </c>
      <c r="M118" s="280" t="str">
        <f t="shared" si="9"/>
        <v xml:space="preserve"> </v>
      </c>
      <c r="N118" s="271">
        <f t="shared" si="6"/>
        <v>2014</v>
      </c>
      <c r="Z118" s="82">
        <f t="shared" si="7"/>
        <v>-578</v>
      </c>
      <c r="AA118" s="82">
        <f t="shared" si="8"/>
        <v>-289</v>
      </c>
      <c r="AB118" t="s">
        <v>218</v>
      </c>
      <c r="AC118" t="s">
        <v>277</v>
      </c>
      <c r="AD118" t="s">
        <v>278</v>
      </c>
      <c r="AE118">
        <v>11646</v>
      </c>
      <c r="AF118">
        <v>1778</v>
      </c>
      <c r="AG118">
        <v>13424</v>
      </c>
    </row>
    <row r="119" spans="1:33">
      <c r="A119" s="91" t="s">
        <v>218</v>
      </c>
      <c r="B119" s="91" t="s">
        <v>279</v>
      </c>
      <c r="C119" s="92" t="s">
        <v>280</v>
      </c>
      <c r="D119" s="85">
        <v>7.45E-4</v>
      </c>
      <c r="E119" s="86">
        <v>2930</v>
      </c>
      <c r="F119" s="5"/>
      <c r="G119" s="77">
        <v>7.7899999999999996E-4</v>
      </c>
      <c r="H119" s="87">
        <v>17363</v>
      </c>
      <c r="I119" s="7"/>
      <c r="J119" s="88">
        <v>20293</v>
      </c>
      <c r="K119" s="89">
        <v>20604</v>
      </c>
      <c r="L119" s="263">
        <f t="shared" si="5"/>
        <v>311</v>
      </c>
      <c r="M119" s="280">
        <f t="shared" si="9"/>
        <v>156</v>
      </c>
      <c r="N119" s="271">
        <f t="shared" si="6"/>
        <v>3091</v>
      </c>
      <c r="Z119" s="82">
        <f t="shared" si="7"/>
        <v>311</v>
      </c>
      <c r="AA119" s="82">
        <f t="shared" si="8"/>
        <v>155.5</v>
      </c>
      <c r="AB119" t="s">
        <v>218</v>
      </c>
      <c r="AC119" t="s">
        <v>279</v>
      </c>
      <c r="AD119" t="s">
        <v>280</v>
      </c>
      <c r="AE119">
        <v>17264</v>
      </c>
      <c r="AF119">
        <v>3340</v>
      </c>
      <c r="AG119">
        <v>20604</v>
      </c>
    </row>
    <row r="120" spans="1:33">
      <c r="A120" s="91" t="s">
        <v>218</v>
      </c>
      <c r="B120" s="91" t="s">
        <v>281</v>
      </c>
      <c r="C120" s="92" t="s">
        <v>282</v>
      </c>
      <c r="D120" s="85">
        <v>5.3399999999999997E-4</v>
      </c>
      <c r="E120" s="86">
        <v>2100</v>
      </c>
      <c r="F120" s="5"/>
      <c r="G120" s="77">
        <v>3.4299999999999999E-4</v>
      </c>
      <c r="H120" s="87">
        <v>7645</v>
      </c>
      <c r="I120" s="7"/>
      <c r="J120" s="88">
        <v>9745</v>
      </c>
      <c r="K120" s="89">
        <v>9671</v>
      </c>
      <c r="L120" s="263" t="str">
        <f t="shared" si="5"/>
        <v xml:space="preserve"> </v>
      </c>
      <c r="M120" s="280" t="str">
        <f t="shared" si="9"/>
        <v xml:space="preserve"> </v>
      </c>
      <c r="N120" s="271">
        <f t="shared" si="6"/>
        <v>1451</v>
      </c>
      <c r="Z120" s="82">
        <f t="shared" si="7"/>
        <v>-74</v>
      </c>
      <c r="AA120" s="82">
        <f t="shared" si="8"/>
        <v>-37</v>
      </c>
      <c r="AB120" t="s">
        <v>218</v>
      </c>
      <c r="AC120" t="s">
        <v>281</v>
      </c>
      <c r="AD120" t="s">
        <v>282</v>
      </c>
      <c r="AE120">
        <v>7415</v>
      </c>
      <c r="AF120">
        <v>2256</v>
      </c>
      <c r="AG120">
        <v>9671</v>
      </c>
    </row>
    <row r="121" spans="1:33">
      <c r="A121" s="91" t="s">
        <v>218</v>
      </c>
      <c r="B121" s="91" t="s">
        <v>283</v>
      </c>
      <c r="C121" s="110" t="s">
        <v>284</v>
      </c>
      <c r="D121" s="85">
        <v>1.0679999999999999E-3</v>
      </c>
      <c r="E121" s="86">
        <v>4201</v>
      </c>
      <c r="F121" s="5"/>
      <c r="G121" s="77">
        <v>1.0189999999999999E-3</v>
      </c>
      <c r="H121" s="87">
        <v>22712</v>
      </c>
      <c r="I121" s="7"/>
      <c r="J121" s="88">
        <v>26913</v>
      </c>
      <c r="K121" s="89">
        <v>26486</v>
      </c>
      <c r="L121" s="263" t="str">
        <f t="shared" si="5"/>
        <v xml:space="preserve"> </v>
      </c>
      <c r="M121" s="280" t="str">
        <f t="shared" si="9"/>
        <v xml:space="preserve"> </v>
      </c>
      <c r="N121" s="271">
        <f t="shared" si="6"/>
        <v>3973</v>
      </c>
      <c r="Z121" s="82">
        <f t="shared" si="7"/>
        <v>-427</v>
      </c>
      <c r="AA121" s="82">
        <f t="shared" si="8"/>
        <v>-213.5</v>
      </c>
      <c r="AB121" t="s">
        <v>218</v>
      </c>
      <c r="AC121" t="s">
        <v>283</v>
      </c>
      <c r="AD121" t="s">
        <v>284</v>
      </c>
      <c r="AE121">
        <v>22496</v>
      </c>
      <c r="AF121">
        <v>3990</v>
      </c>
      <c r="AG121">
        <v>26486</v>
      </c>
    </row>
    <row r="122" spans="1:33">
      <c r="A122" s="83" t="s">
        <v>218</v>
      </c>
      <c r="B122" s="83" t="s">
        <v>285</v>
      </c>
      <c r="C122" s="84" t="s">
        <v>286</v>
      </c>
      <c r="D122" s="85">
        <v>9.3400000000000004E-4</v>
      </c>
      <c r="E122" s="86">
        <v>3674</v>
      </c>
      <c r="F122" s="5"/>
      <c r="G122" s="77">
        <v>9.8499999999999998E-4</v>
      </c>
      <c r="H122" s="87">
        <v>21954</v>
      </c>
      <c r="I122" s="7"/>
      <c r="J122" s="88">
        <v>25628</v>
      </c>
      <c r="K122" s="89">
        <v>25391</v>
      </c>
      <c r="L122" s="263" t="str">
        <f t="shared" si="5"/>
        <v xml:space="preserve"> </v>
      </c>
      <c r="M122" s="106" t="str">
        <f t="shared" si="9"/>
        <v xml:space="preserve"> </v>
      </c>
      <c r="N122" s="271">
        <f t="shared" si="6"/>
        <v>3809</v>
      </c>
      <c r="Z122" s="82">
        <f t="shared" si="7"/>
        <v>-237</v>
      </c>
      <c r="AA122" s="82">
        <f t="shared" si="8"/>
        <v>-118.5</v>
      </c>
      <c r="AB122" t="s">
        <v>218</v>
      </c>
      <c r="AC122" t="s">
        <v>285</v>
      </c>
      <c r="AD122" t="s">
        <v>286</v>
      </c>
      <c r="AE122">
        <v>22746</v>
      </c>
      <c r="AF122">
        <v>2645</v>
      </c>
      <c r="AG122">
        <v>25391</v>
      </c>
    </row>
    <row r="123" spans="1:33">
      <c r="A123" s="91" t="s">
        <v>218</v>
      </c>
      <c r="B123" s="91" t="s">
        <v>287</v>
      </c>
      <c r="C123" s="110" t="s">
        <v>288</v>
      </c>
      <c r="D123" s="85">
        <v>1.1349999999999999E-3</v>
      </c>
      <c r="E123" s="86">
        <v>4464</v>
      </c>
      <c r="F123" s="5"/>
      <c r="G123" s="77">
        <v>1.354E-3</v>
      </c>
      <c r="H123" s="87">
        <v>30179</v>
      </c>
      <c r="I123" s="7"/>
      <c r="J123" s="88">
        <v>34643</v>
      </c>
      <c r="K123" s="89">
        <v>34504</v>
      </c>
      <c r="L123" s="263" t="str">
        <f t="shared" si="5"/>
        <v xml:space="preserve"> </v>
      </c>
      <c r="M123" s="280" t="str">
        <f t="shared" si="9"/>
        <v xml:space="preserve"> </v>
      </c>
      <c r="N123" s="271">
        <f t="shared" si="6"/>
        <v>5176</v>
      </c>
      <c r="Z123" s="82">
        <f t="shared" si="7"/>
        <v>-139</v>
      </c>
      <c r="AA123" s="82">
        <f t="shared" si="8"/>
        <v>-69.5</v>
      </c>
      <c r="AB123" t="s">
        <v>218</v>
      </c>
      <c r="AC123" t="s">
        <v>287</v>
      </c>
      <c r="AD123" t="s">
        <v>288</v>
      </c>
      <c r="AE123">
        <v>30297</v>
      </c>
      <c r="AF123">
        <v>4207</v>
      </c>
      <c r="AG123">
        <v>34504</v>
      </c>
    </row>
    <row r="124" spans="1:33">
      <c r="A124" s="91" t="s">
        <v>218</v>
      </c>
      <c r="B124" s="91" t="s">
        <v>289</v>
      </c>
      <c r="C124" s="110" t="s">
        <v>290</v>
      </c>
      <c r="D124" s="85">
        <v>1.2570000000000001E-3</v>
      </c>
      <c r="E124" s="86">
        <v>4944</v>
      </c>
      <c r="F124" s="5"/>
      <c r="G124" s="77">
        <v>1.0839999999999999E-3</v>
      </c>
      <c r="H124" s="87">
        <v>24161</v>
      </c>
      <c r="I124" s="7"/>
      <c r="J124" s="88">
        <v>29105</v>
      </c>
      <c r="K124" s="89">
        <v>28991</v>
      </c>
      <c r="L124" s="263" t="str">
        <f t="shared" si="5"/>
        <v xml:space="preserve"> </v>
      </c>
      <c r="M124" s="280" t="str">
        <f t="shared" si="9"/>
        <v xml:space="preserve"> </v>
      </c>
      <c r="N124" s="271">
        <f t="shared" si="6"/>
        <v>4349</v>
      </c>
      <c r="Z124" s="82">
        <f t="shared" si="7"/>
        <v>-114</v>
      </c>
      <c r="AA124" s="82">
        <f t="shared" si="8"/>
        <v>-57</v>
      </c>
      <c r="AB124" t="s">
        <v>218</v>
      </c>
      <c r="AC124" t="s">
        <v>289</v>
      </c>
      <c r="AD124" t="s">
        <v>290</v>
      </c>
      <c r="AE124">
        <v>24656</v>
      </c>
      <c r="AF124">
        <v>4335</v>
      </c>
      <c r="AG124">
        <v>28991</v>
      </c>
    </row>
    <row r="125" spans="1:33">
      <c r="A125" s="91" t="s">
        <v>218</v>
      </c>
      <c r="B125" s="91" t="s">
        <v>291</v>
      </c>
      <c r="C125" s="110" t="s">
        <v>292</v>
      </c>
      <c r="D125" s="85">
        <v>4.0940000000000004E-3</v>
      </c>
      <c r="E125" s="86">
        <v>16103</v>
      </c>
      <c r="F125" s="5"/>
      <c r="G125" s="77">
        <v>4.1110000000000001E-3</v>
      </c>
      <c r="H125" s="87">
        <v>91629</v>
      </c>
      <c r="I125" s="7"/>
      <c r="J125" s="88">
        <v>107732</v>
      </c>
      <c r="K125" s="89">
        <v>110277</v>
      </c>
      <c r="L125" s="263">
        <f t="shared" si="5"/>
        <v>2545</v>
      </c>
      <c r="M125" s="280">
        <f t="shared" si="9"/>
        <v>1273</v>
      </c>
      <c r="N125" s="271">
        <f t="shared" si="6"/>
        <v>16542</v>
      </c>
      <c r="Z125" s="82">
        <f t="shared" si="7"/>
        <v>2545</v>
      </c>
      <c r="AA125" s="82">
        <f t="shared" si="8"/>
        <v>1272.5</v>
      </c>
      <c r="AB125" t="s">
        <v>218</v>
      </c>
      <c r="AC125" t="s">
        <v>291</v>
      </c>
      <c r="AD125" t="s">
        <v>292</v>
      </c>
      <c r="AE125">
        <v>93326</v>
      </c>
      <c r="AF125">
        <v>16951</v>
      </c>
      <c r="AG125">
        <v>110277</v>
      </c>
    </row>
    <row r="126" spans="1:33">
      <c r="A126" s="83" t="s">
        <v>218</v>
      </c>
      <c r="B126" s="83" t="s">
        <v>293</v>
      </c>
      <c r="C126" s="84" t="s">
        <v>294</v>
      </c>
      <c r="D126" s="85">
        <v>1.5460000000000001E-3</v>
      </c>
      <c r="E126" s="86">
        <v>6081</v>
      </c>
      <c r="F126" s="5"/>
      <c r="G126" s="77">
        <v>2.3259999999999999E-3</v>
      </c>
      <c r="H126" s="87">
        <v>51843</v>
      </c>
      <c r="I126" s="7"/>
      <c r="J126" s="88">
        <v>57924</v>
      </c>
      <c r="K126" s="89">
        <v>58689</v>
      </c>
      <c r="L126" s="263">
        <f t="shared" si="5"/>
        <v>765</v>
      </c>
      <c r="M126" s="231">
        <f t="shared" si="9"/>
        <v>383</v>
      </c>
      <c r="N126" s="271">
        <f t="shared" si="6"/>
        <v>8803</v>
      </c>
      <c r="Z126" s="82">
        <f t="shared" si="7"/>
        <v>765</v>
      </c>
      <c r="AA126" s="82">
        <f t="shared" si="8"/>
        <v>382.5</v>
      </c>
      <c r="AB126" t="s">
        <v>218</v>
      </c>
      <c r="AC126" t="s">
        <v>293</v>
      </c>
      <c r="AD126" t="s">
        <v>294</v>
      </c>
      <c r="AE126">
        <v>53748</v>
      </c>
      <c r="AF126">
        <v>4941</v>
      </c>
      <c r="AG126">
        <v>58689</v>
      </c>
    </row>
    <row r="127" spans="1:33">
      <c r="A127" s="91" t="s">
        <v>218</v>
      </c>
      <c r="B127" s="91" t="s">
        <v>295</v>
      </c>
      <c r="C127" s="92" t="s">
        <v>296</v>
      </c>
      <c r="D127" s="85">
        <v>7.7539999999999996E-3</v>
      </c>
      <c r="E127" s="86">
        <v>30499</v>
      </c>
      <c r="F127" s="5"/>
      <c r="G127" s="77">
        <v>4.529E-3</v>
      </c>
      <c r="H127" s="87">
        <v>100945</v>
      </c>
      <c r="I127" s="7"/>
      <c r="J127" s="88">
        <v>131444</v>
      </c>
      <c r="K127" s="89">
        <v>140932</v>
      </c>
      <c r="L127" s="263">
        <f t="shared" si="5"/>
        <v>9488</v>
      </c>
      <c r="M127" s="280">
        <f t="shared" si="9"/>
        <v>4744</v>
      </c>
      <c r="N127" s="271">
        <f t="shared" si="6"/>
        <v>21140</v>
      </c>
      <c r="Z127" s="82">
        <f t="shared" si="7"/>
        <v>9488</v>
      </c>
      <c r="AA127" s="82">
        <f t="shared" si="8"/>
        <v>4744</v>
      </c>
      <c r="AB127" t="s">
        <v>218</v>
      </c>
      <c r="AC127" t="s">
        <v>295</v>
      </c>
      <c r="AD127" t="s">
        <v>296</v>
      </c>
      <c r="AE127">
        <v>107769</v>
      </c>
      <c r="AF127">
        <v>33163</v>
      </c>
      <c r="AG127">
        <v>140932</v>
      </c>
    </row>
    <row r="128" spans="1:33">
      <c r="A128" s="91" t="s">
        <v>218</v>
      </c>
      <c r="B128" s="91" t="s">
        <v>297</v>
      </c>
      <c r="C128" s="92" t="s">
        <v>298</v>
      </c>
      <c r="D128" s="85">
        <v>1.56E-4</v>
      </c>
      <c r="E128" s="86">
        <v>614</v>
      </c>
      <c r="F128" s="5"/>
      <c r="G128" s="77">
        <v>3.5E-4</v>
      </c>
      <c r="H128" s="87">
        <v>7801</v>
      </c>
      <c r="I128" s="7"/>
      <c r="J128" s="88">
        <v>8415</v>
      </c>
      <c r="K128" s="89">
        <v>8193</v>
      </c>
      <c r="L128" s="263" t="str">
        <f t="shared" si="5"/>
        <v xml:space="preserve"> </v>
      </c>
      <c r="M128" s="280" t="str">
        <f t="shared" si="9"/>
        <v xml:space="preserve"> </v>
      </c>
      <c r="N128" s="271">
        <f t="shared" si="6"/>
        <v>1229</v>
      </c>
      <c r="Z128" s="82">
        <f t="shared" si="7"/>
        <v>-222</v>
      </c>
      <c r="AA128" s="82">
        <f t="shared" si="8"/>
        <v>-111</v>
      </c>
      <c r="AB128" t="s">
        <v>218</v>
      </c>
      <c r="AC128" t="s">
        <v>297</v>
      </c>
      <c r="AD128" t="s">
        <v>298</v>
      </c>
      <c r="AE128">
        <v>7370</v>
      </c>
      <c r="AF128">
        <v>823</v>
      </c>
      <c r="AG128">
        <v>8193</v>
      </c>
    </row>
    <row r="129" spans="1:33">
      <c r="A129" s="91" t="s">
        <v>218</v>
      </c>
      <c r="B129" s="91" t="s">
        <v>299</v>
      </c>
      <c r="C129" s="92" t="s">
        <v>300</v>
      </c>
      <c r="D129" s="85">
        <v>4.4499999999999997E-4</v>
      </c>
      <c r="E129" s="86">
        <v>1750</v>
      </c>
      <c r="F129" s="5"/>
      <c r="G129" s="77">
        <v>3.0299999999999999E-4</v>
      </c>
      <c r="H129" s="87">
        <v>6753</v>
      </c>
      <c r="I129" s="7"/>
      <c r="J129" s="88">
        <v>8503</v>
      </c>
      <c r="K129" s="89">
        <v>7585</v>
      </c>
      <c r="L129" s="263" t="str">
        <f t="shared" si="5"/>
        <v xml:space="preserve"> </v>
      </c>
      <c r="M129" s="280" t="str">
        <f t="shared" si="9"/>
        <v xml:space="preserve"> </v>
      </c>
      <c r="N129" s="271">
        <f t="shared" si="6"/>
        <v>1138</v>
      </c>
      <c r="Z129" s="82">
        <f t="shared" si="7"/>
        <v>-918</v>
      </c>
      <c r="AA129" s="82">
        <f t="shared" si="8"/>
        <v>-459</v>
      </c>
      <c r="AB129" t="s">
        <v>218</v>
      </c>
      <c r="AC129" t="s">
        <v>299</v>
      </c>
      <c r="AD129" t="s">
        <v>300</v>
      </c>
      <c r="AE129">
        <v>6846</v>
      </c>
      <c r="AF129">
        <v>739</v>
      </c>
      <c r="AG129">
        <v>7585</v>
      </c>
    </row>
    <row r="130" spans="1:33">
      <c r="A130" s="91" t="s">
        <v>218</v>
      </c>
      <c r="B130" s="91" t="s">
        <v>301</v>
      </c>
      <c r="C130" s="92" t="s">
        <v>302</v>
      </c>
      <c r="D130" s="85">
        <v>2.4499999999999999E-4</v>
      </c>
      <c r="E130" s="86">
        <v>964</v>
      </c>
      <c r="F130" s="5"/>
      <c r="G130" s="77">
        <v>3.9199999999999999E-4</v>
      </c>
      <c r="H130" s="87">
        <v>8737</v>
      </c>
      <c r="I130" s="7"/>
      <c r="J130" s="88">
        <v>9701</v>
      </c>
      <c r="K130" s="89">
        <v>9542</v>
      </c>
      <c r="L130" s="263" t="str">
        <f t="shared" si="5"/>
        <v xml:space="preserve"> </v>
      </c>
      <c r="M130" s="280" t="str">
        <f t="shared" si="9"/>
        <v xml:space="preserve"> </v>
      </c>
      <c r="N130" s="271">
        <f t="shared" si="6"/>
        <v>1431</v>
      </c>
      <c r="Z130" s="82">
        <f t="shared" si="7"/>
        <v>-159</v>
      </c>
      <c r="AA130" s="82">
        <f t="shared" si="8"/>
        <v>-79.5</v>
      </c>
      <c r="AB130" t="s">
        <v>218</v>
      </c>
      <c r="AC130" t="s">
        <v>301</v>
      </c>
      <c r="AD130" t="s">
        <v>302</v>
      </c>
      <c r="AE130">
        <v>8370</v>
      </c>
      <c r="AF130">
        <v>1172</v>
      </c>
      <c r="AG130">
        <v>9542</v>
      </c>
    </row>
    <row r="131" spans="1:33">
      <c r="A131" s="302" t="s">
        <v>218</v>
      </c>
      <c r="B131" s="302" t="s">
        <v>303</v>
      </c>
      <c r="C131" s="303" t="s">
        <v>304</v>
      </c>
      <c r="D131" s="303">
        <v>1.691E-3</v>
      </c>
      <c r="E131" s="86">
        <v>6651</v>
      </c>
      <c r="F131" s="5"/>
      <c r="G131" s="77">
        <v>1.9189999999999999E-3</v>
      </c>
      <c r="H131" s="87">
        <v>42772</v>
      </c>
      <c r="I131" s="7"/>
      <c r="J131" s="88">
        <v>49423</v>
      </c>
      <c r="K131" s="89">
        <v>50252</v>
      </c>
      <c r="L131" s="263">
        <f t="shared" si="5"/>
        <v>829</v>
      </c>
      <c r="M131" s="280">
        <f t="shared" si="9"/>
        <v>415</v>
      </c>
      <c r="N131" s="271">
        <f t="shared" si="6"/>
        <v>7538</v>
      </c>
      <c r="Z131" s="82">
        <f t="shared" si="7"/>
        <v>829</v>
      </c>
      <c r="AA131" s="82">
        <f t="shared" si="8"/>
        <v>414.5</v>
      </c>
      <c r="AB131" t="s">
        <v>218</v>
      </c>
      <c r="AC131" t="s">
        <v>303</v>
      </c>
      <c r="AD131" t="s">
        <v>304</v>
      </c>
      <c r="AE131">
        <v>43444</v>
      </c>
      <c r="AF131">
        <v>6808</v>
      </c>
      <c r="AG131">
        <v>50252</v>
      </c>
    </row>
    <row r="132" spans="1:33">
      <c r="A132" s="91" t="s">
        <v>218</v>
      </c>
      <c r="B132" s="91" t="s">
        <v>305</v>
      </c>
      <c r="C132" s="92" t="s">
        <v>306</v>
      </c>
      <c r="D132" s="85">
        <v>3.771E-3</v>
      </c>
      <c r="E132" s="86">
        <v>14833</v>
      </c>
      <c r="F132" s="5"/>
      <c r="G132" s="77">
        <v>3.2699999999999999E-3</v>
      </c>
      <c r="H132" s="87">
        <v>72884</v>
      </c>
      <c r="I132" s="7"/>
      <c r="J132" s="88">
        <v>87717</v>
      </c>
      <c r="K132" s="89">
        <v>88274</v>
      </c>
      <c r="L132" s="263">
        <f t="shared" si="5"/>
        <v>557</v>
      </c>
      <c r="M132" s="280">
        <f t="shared" si="9"/>
        <v>279</v>
      </c>
      <c r="N132" s="271">
        <f t="shared" si="6"/>
        <v>13241</v>
      </c>
      <c r="Z132" s="82">
        <f t="shared" si="7"/>
        <v>557</v>
      </c>
      <c r="AA132" s="82">
        <f t="shared" si="8"/>
        <v>278.5</v>
      </c>
      <c r="AB132" t="s">
        <v>218</v>
      </c>
      <c r="AC132" t="s">
        <v>305</v>
      </c>
      <c r="AD132" t="s">
        <v>306</v>
      </c>
      <c r="AE132">
        <v>73446</v>
      </c>
      <c r="AF132">
        <v>14828</v>
      </c>
      <c r="AG132">
        <v>88274</v>
      </c>
    </row>
    <row r="133" spans="1:33" ht="15.75" thickBot="1">
      <c r="A133" s="93" t="s">
        <v>218</v>
      </c>
      <c r="B133" s="93" t="s">
        <v>307</v>
      </c>
      <c r="C133" s="94" t="s">
        <v>308</v>
      </c>
      <c r="D133" s="95">
        <v>3.2299999999999999E-4</v>
      </c>
      <c r="E133" s="96">
        <v>1270</v>
      </c>
      <c r="F133" s="97"/>
      <c r="G133" s="98">
        <v>6.6399999999999999E-4</v>
      </c>
      <c r="H133" s="99">
        <v>14800</v>
      </c>
      <c r="I133" s="7"/>
      <c r="J133" s="100">
        <v>16070</v>
      </c>
      <c r="K133" s="101">
        <v>17336</v>
      </c>
      <c r="L133" s="264">
        <f t="shared" si="5"/>
        <v>1266</v>
      </c>
      <c r="M133" s="281">
        <f t="shared" si="9"/>
        <v>633</v>
      </c>
      <c r="N133" s="102">
        <f t="shared" si="6"/>
        <v>2600</v>
      </c>
      <c r="Z133" s="82">
        <f t="shared" si="7"/>
        <v>1266</v>
      </c>
      <c r="AA133" s="82">
        <f t="shared" si="8"/>
        <v>633</v>
      </c>
      <c r="AB133" t="s">
        <v>218</v>
      </c>
      <c r="AC133" t="s">
        <v>307</v>
      </c>
      <c r="AD133" t="s">
        <v>308</v>
      </c>
      <c r="AE133">
        <v>15558</v>
      </c>
      <c r="AF133">
        <v>1778</v>
      </c>
      <c r="AG133">
        <v>17336</v>
      </c>
    </row>
    <row r="134" spans="1:33">
      <c r="A134" s="91" t="s">
        <v>309</v>
      </c>
      <c r="B134" s="91" t="s">
        <v>310</v>
      </c>
      <c r="C134" s="92" t="s">
        <v>311</v>
      </c>
      <c r="D134" s="85">
        <v>6.0099999999999997E-4</v>
      </c>
      <c r="E134" s="86">
        <v>2364</v>
      </c>
      <c r="F134" s="5"/>
      <c r="G134" s="103">
        <v>5.6700000000000001E-4</v>
      </c>
      <c r="H134" s="87">
        <v>12638</v>
      </c>
      <c r="I134" s="7"/>
      <c r="J134" s="88">
        <v>15002</v>
      </c>
      <c r="K134" s="89">
        <v>16182</v>
      </c>
      <c r="L134" s="263">
        <f t="shared" si="5"/>
        <v>1180</v>
      </c>
      <c r="M134" s="280">
        <f t="shared" si="9"/>
        <v>590</v>
      </c>
      <c r="N134" s="271">
        <f t="shared" si="6"/>
        <v>2427</v>
      </c>
      <c r="Z134" s="82">
        <f t="shared" si="7"/>
        <v>1180</v>
      </c>
      <c r="AA134" s="82">
        <f t="shared" si="8"/>
        <v>590</v>
      </c>
      <c r="AB134" t="s">
        <v>309</v>
      </c>
      <c r="AC134" t="s">
        <v>310</v>
      </c>
      <c r="AD134" t="s">
        <v>311</v>
      </c>
      <c r="AE134">
        <v>13147</v>
      </c>
      <c r="AF134">
        <v>3035</v>
      </c>
      <c r="AG134">
        <v>16182</v>
      </c>
    </row>
    <row r="135" spans="1:33">
      <c r="A135" s="91" t="s">
        <v>309</v>
      </c>
      <c r="B135" s="91" t="s">
        <v>312</v>
      </c>
      <c r="C135" s="92" t="s">
        <v>313</v>
      </c>
      <c r="D135" s="85">
        <v>7.5600000000000005E-4</v>
      </c>
      <c r="E135" s="86">
        <v>2974</v>
      </c>
      <c r="F135" s="5"/>
      <c r="G135" s="77">
        <v>1.488E-3</v>
      </c>
      <c r="H135" s="87">
        <v>33166</v>
      </c>
      <c r="I135" s="7"/>
      <c r="J135" s="88">
        <v>36140</v>
      </c>
      <c r="K135" s="89">
        <v>35073</v>
      </c>
      <c r="L135" s="263" t="str">
        <f t="shared" si="5"/>
        <v xml:space="preserve"> </v>
      </c>
      <c r="M135" s="280" t="str">
        <f t="shared" si="9"/>
        <v xml:space="preserve"> </v>
      </c>
      <c r="N135" s="271">
        <f t="shared" si="6"/>
        <v>5261</v>
      </c>
      <c r="Z135" s="82">
        <f t="shared" si="7"/>
        <v>-1067</v>
      </c>
      <c r="AA135" s="82">
        <f t="shared" si="8"/>
        <v>-533.5</v>
      </c>
      <c r="AB135" t="s">
        <v>309</v>
      </c>
      <c r="AC135" t="s">
        <v>312</v>
      </c>
      <c r="AD135" t="s">
        <v>313</v>
      </c>
      <c r="AE135">
        <v>32777</v>
      </c>
      <c r="AF135">
        <v>2296</v>
      </c>
      <c r="AG135">
        <v>35073</v>
      </c>
    </row>
    <row r="136" spans="1:33">
      <c r="A136" s="91" t="s">
        <v>309</v>
      </c>
      <c r="B136" s="91" t="s">
        <v>314</v>
      </c>
      <c r="C136" s="92" t="s">
        <v>315</v>
      </c>
      <c r="D136" s="85">
        <v>2.5599999999999999E-4</v>
      </c>
      <c r="E136" s="86">
        <v>1007</v>
      </c>
      <c r="F136" s="5"/>
      <c r="G136" s="77">
        <v>3.8099999999999999E-4</v>
      </c>
      <c r="H136" s="87">
        <v>8492</v>
      </c>
      <c r="I136" s="7"/>
      <c r="J136" s="88">
        <v>9499</v>
      </c>
      <c r="K136" s="89">
        <v>9421</v>
      </c>
      <c r="L136" s="263" t="str">
        <f t="shared" si="5"/>
        <v xml:space="preserve"> </v>
      </c>
      <c r="M136" s="280" t="str">
        <f t="shared" si="9"/>
        <v xml:space="preserve"> </v>
      </c>
      <c r="N136" s="271">
        <f t="shared" si="6"/>
        <v>1413</v>
      </c>
      <c r="Z136" s="82">
        <f t="shared" si="7"/>
        <v>-78</v>
      </c>
      <c r="AA136" s="82">
        <f t="shared" si="8"/>
        <v>-39</v>
      </c>
      <c r="AB136" t="s">
        <v>309</v>
      </c>
      <c r="AC136" t="s">
        <v>314</v>
      </c>
      <c r="AD136" t="s">
        <v>315</v>
      </c>
      <c r="AE136">
        <v>8598</v>
      </c>
      <c r="AF136">
        <v>823</v>
      </c>
      <c r="AG136">
        <v>9421</v>
      </c>
    </row>
    <row r="137" spans="1:33">
      <c r="A137" s="91" t="s">
        <v>309</v>
      </c>
      <c r="B137" s="91" t="s">
        <v>316</v>
      </c>
      <c r="C137" s="107" t="s">
        <v>317</v>
      </c>
      <c r="D137" s="85">
        <v>6.7749999999999998E-3</v>
      </c>
      <c r="E137" s="86">
        <v>26649</v>
      </c>
      <c r="F137" s="5"/>
      <c r="G137" s="77">
        <v>8.3949999999999997E-3</v>
      </c>
      <c r="H137" s="87">
        <v>187114</v>
      </c>
      <c r="I137" s="7"/>
      <c r="J137" s="88">
        <v>213763</v>
      </c>
      <c r="K137" s="89">
        <v>221103</v>
      </c>
      <c r="L137" s="263">
        <f t="shared" si="5"/>
        <v>7340</v>
      </c>
      <c r="M137" s="232">
        <f t="shared" si="9"/>
        <v>3670</v>
      </c>
      <c r="N137" s="108">
        <f t="shared" si="6"/>
        <v>33165</v>
      </c>
      <c r="Z137" s="82">
        <f t="shared" si="7"/>
        <v>7340</v>
      </c>
      <c r="AA137" s="82">
        <f t="shared" si="8"/>
        <v>3670</v>
      </c>
      <c r="AB137" t="s">
        <v>309</v>
      </c>
      <c r="AC137" t="s">
        <v>316</v>
      </c>
      <c r="AD137" t="s">
        <v>317</v>
      </c>
      <c r="AE137">
        <v>193748</v>
      </c>
      <c r="AF137">
        <v>27355</v>
      </c>
      <c r="AG137">
        <v>221103</v>
      </c>
    </row>
    <row r="138" spans="1:33">
      <c r="A138" s="91" t="s">
        <v>309</v>
      </c>
      <c r="B138" s="91" t="s">
        <v>318</v>
      </c>
      <c r="C138" s="92" t="s">
        <v>319</v>
      </c>
      <c r="D138" s="85">
        <v>9.8999999999999999E-4</v>
      </c>
      <c r="E138" s="86">
        <v>3894</v>
      </c>
      <c r="F138" s="5"/>
      <c r="G138" s="77">
        <v>9.5100000000000002E-4</v>
      </c>
      <c r="H138" s="87">
        <v>21197</v>
      </c>
      <c r="I138" s="7"/>
      <c r="J138" s="88">
        <v>25091</v>
      </c>
      <c r="K138" s="89">
        <v>23566</v>
      </c>
      <c r="L138" s="263" t="str">
        <f t="shared" ref="L138:L201" si="10">IF(K138-J138&lt;1," ",K138-J138)</f>
        <v xml:space="preserve"> </v>
      </c>
      <c r="M138" s="280" t="str">
        <f t="shared" si="9"/>
        <v xml:space="preserve"> </v>
      </c>
      <c r="N138" s="271">
        <f t="shared" ref="N138:N201" si="11">ROUND((+K138*0.15),0)</f>
        <v>3535</v>
      </c>
      <c r="Z138" s="82">
        <f t="shared" ref="Z138:Z201" si="12">+K138-J138</f>
        <v>-1525</v>
      </c>
      <c r="AA138" s="82">
        <f t="shared" ref="AA138:AA201" si="13">+Z138*0.5</f>
        <v>-762.5</v>
      </c>
      <c r="AB138" t="s">
        <v>309</v>
      </c>
      <c r="AC138" t="s">
        <v>318</v>
      </c>
      <c r="AD138" t="s">
        <v>319</v>
      </c>
      <c r="AE138">
        <v>20403</v>
      </c>
      <c r="AF138">
        <v>3163</v>
      </c>
      <c r="AG138">
        <v>23566</v>
      </c>
    </row>
    <row r="139" spans="1:33">
      <c r="A139" s="91" t="s">
        <v>309</v>
      </c>
      <c r="B139" s="91" t="s">
        <v>320</v>
      </c>
      <c r="C139" s="92" t="s">
        <v>321</v>
      </c>
      <c r="D139" s="85">
        <v>2.0579999999999999E-3</v>
      </c>
      <c r="E139" s="86">
        <v>8095</v>
      </c>
      <c r="F139" s="5"/>
      <c r="G139" s="77">
        <v>1.8400000000000001E-3</v>
      </c>
      <c r="H139" s="87">
        <v>41011</v>
      </c>
      <c r="I139" s="7"/>
      <c r="J139" s="88">
        <v>49106</v>
      </c>
      <c r="K139" s="89">
        <v>50228</v>
      </c>
      <c r="L139" s="263">
        <f t="shared" si="10"/>
        <v>1122</v>
      </c>
      <c r="M139" s="280">
        <f t="shared" ref="M139:M202" si="14">IF(L139=" "," ",ROUND((L139*0.5),0))</f>
        <v>561</v>
      </c>
      <c r="N139" s="271">
        <f t="shared" si="11"/>
        <v>7534</v>
      </c>
      <c r="Z139" s="82">
        <f t="shared" si="12"/>
        <v>1122</v>
      </c>
      <c r="AA139" s="82">
        <f t="shared" si="13"/>
        <v>561</v>
      </c>
      <c r="AB139" t="s">
        <v>309</v>
      </c>
      <c r="AC139" t="s">
        <v>320</v>
      </c>
      <c r="AD139" t="s">
        <v>321</v>
      </c>
      <c r="AE139">
        <v>41602</v>
      </c>
      <c r="AF139">
        <v>8626</v>
      </c>
      <c r="AG139">
        <v>50228</v>
      </c>
    </row>
    <row r="140" spans="1:33">
      <c r="A140" s="91" t="s">
        <v>309</v>
      </c>
      <c r="B140" s="91" t="s">
        <v>322</v>
      </c>
      <c r="C140" s="92" t="s">
        <v>323</v>
      </c>
      <c r="D140" s="85">
        <v>2.3029999999999999E-3</v>
      </c>
      <c r="E140" s="86">
        <v>9059</v>
      </c>
      <c r="F140" s="5"/>
      <c r="G140" s="77">
        <v>3.408E-3</v>
      </c>
      <c r="H140" s="87">
        <v>75960</v>
      </c>
      <c r="I140" s="7"/>
      <c r="J140" s="88">
        <v>85019</v>
      </c>
      <c r="K140" s="89">
        <v>84035</v>
      </c>
      <c r="L140" s="263" t="str">
        <f t="shared" si="10"/>
        <v xml:space="preserve"> </v>
      </c>
      <c r="M140" s="280" t="str">
        <f t="shared" si="14"/>
        <v xml:space="preserve"> </v>
      </c>
      <c r="N140" s="271">
        <f t="shared" si="11"/>
        <v>12605</v>
      </c>
      <c r="Z140" s="82">
        <f t="shared" si="12"/>
        <v>-984</v>
      </c>
      <c r="AA140" s="82">
        <f t="shared" si="13"/>
        <v>-492</v>
      </c>
      <c r="AB140" t="s">
        <v>309</v>
      </c>
      <c r="AC140" t="s">
        <v>322</v>
      </c>
      <c r="AD140" t="s">
        <v>323</v>
      </c>
      <c r="AE140">
        <v>75971</v>
      </c>
      <c r="AF140">
        <v>8064</v>
      </c>
      <c r="AG140">
        <v>84035</v>
      </c>
    </row>
    <row r="141" spans="1:33">
      <c r="A141" s="91" t="s">
        <v>309</v>
      </c>
      <c r="B141" s="91" t="s">
        <v>324</v>
      </c>
      <c r="C141" s="92" t="s">
        <v>325</v>
      </c>
      <c r="D141" s="85">
        <v>1.1346999999999999E-2</v>
      </c>
      <c r="E141" s="86">
        <v>44632</v>
      </c>
      <c r="F141" s="5"/>
      <c r="G141" s="77">
        <v>8.4340000000000005E-3</v>
      </c>
      <c r="H141" s="87">
        <v>187983</v>
      </c>
      <c r="I141" s="7"/>
      <c r="J141" s="88">
        <v>232615</v>
      </c>
      <c r="K141" s="89">
        <v>233633</v>
      </c>
      <c r="L141" s="263">
        <f t="shared" si="10"/>
        <v>1018</v>
      </c>
      <c r="M141" s="280">
        <f t="shared" si="14"/>
        <v>509</v>
      </c>
      <c r="N141" s="271">
        <f t="shared" si="11"/>
        <v>35045</v>
      </c>
      <c r="Z141" s="82">
        <f t="shared" si="12"/>
        <v>1018</v>
      </c>
      <c r="AA141" s="82">
        <f t="shared" si="13"/>
        <v>509</v>
      </c>
      <c r="AB141" t="s">
        <v>309</v>
      </c>
      <c r="AC141" t="s">
        <v>324</v>
      </c>
      <c r="AD141" t="s">
        <v>325</v>
      </c>
      <c r="AE141">
        <v>189199</v>
      </c>
      <c r="AF141">
        <v>44434</v>
      </c>
      <c r="AG141">
        <v>233633</v>
      </c>
    </row>
    <row r="142" spans="1:33">
      <c r="A142" s="83" t="s">
        <v>309</v>
      </c>
      <c r="B142" s="83" t="s">
        <v>326</v>
      </c>
      <c r="C142" s="84" t="s">
        <v>327</v>
      </c>
      <c r="D142" s="85">
        <v>3.0040000000000002E-3</v>
      </c>
      <c r="E142" s="86">
        <v>11816</v>
      </c>
      <c r="F142" s="5"/>
      <c r="G142" s="77">
        <v>1.8550000000000001E-3</v>
      </c>
      <c r="H142" s="87">
        <v>41346</v>
      </c>
      <c r="I142" s="7"/>
      <c r="J142" s="88">
        <v>53162</v>
      </c>
      <c r="K142" s="89">
        <v>51859</v>
      </c>
      <c r="L142" s="263" t="str">
        <f t="shared" si="10"/>
        <v xml:space="preserve"> </v>
      </c>
      <c r="M142" s="106" t="str">
        <f t="shared" si="14"/>
        <v xml:space="preserve"> </v>
      </c>
      <c r="N142" s="271">
        <f t="shared" si="11"/>
        <v>7779</v>
      </c>
      <c r="Z142" s="82">
        <f t="shared" si="12"/>
        <v>-1303</v>
      </c>
      <c r="AA142" s="82">
        <f t="shared" si="13"/>
        <v>-651.5</v>
      </c>
      <c r="AB142" t="s">
        <v>309</v>
      </c>
      <c r="AC142" t="s">
        <v>326</v>
      </c>
      <c r="AD142" t="s">
        <v>327</v>
      </c>
      <c r="AE142">
        <v>40283</v>
      </c>
      <c r="AF142">
        <v>11576</v>
      </c>
      <c r="AG142">
        <v>51859</v>
      </c>
    </row>
    <row r="143" spans="1:33">
      <c r="A143" s="91" t="s">
        <v>309</v>
      </c>
      <c r="B143" s="91" t="s">
        <v>328</v>
      </c>
      <c r="C143" s="92" t="s">
        <v>329</v>
      </c>
      <c r="D143" s="85">
        <v>4.9382000000000002E-2</v>
      </c>
      <c r="E143" s="86">
        <v>194241</v>
      </c>
      <c r="F143" s="5"/>
      <c r="G143" s="77">
        <v>3.5324000000000001E-2</v>
      </c>
      <c r="H143" s="87">
        <v>787326</v>
      </c>
      <c r="I143" s="7"/>
      <c r="J143" s="88">
        <v>981567</v>
      </c>
      <c r="K143" s="89">
        <v>1003015</v>
      </c>
      <c r="L143" s="263">
        <f t="shared" si="10"/>
        <v>21448</v>
      </c>
      <c r="M143" s="280">
        <f t="shared" si="14"/>
        <v>10724</v>
      </c>
      <c r="N143" s="271">
        <f t="shared" si="11"/>
        <v>150452</v>
      </c>
      <c r="Z143" s="82">
        <f t="shared" si="12"/>
        <v>21448</v>
      </c>
      <c r="AA143" s="82">
        <f t="shared" si="13"/>
        <v>10724</v>
      </c>
      <c r="AB143" t="s">
        <v>309</v>
      </c>
      <c r="AC143" t="s">
        <v>328</v>
      </c>
      <c r="AD143" t="s">
        <v>329</v>
      </c>
      <c r="AE143">
        <v>801173</v>
      </c>
      <c r="AF143">
        <v>201842</v>
      </c>
      <c r="AG143">
        <v>1003015</v>
      </c>
    </row>
    <row r="144" spans="1:33">
      <c r="A144" s="91" t="s">
        <v>309</v>
      </c>
      <c r="B144" s="91" t="s">
        <v>330</v>
      </c>
      <c r="C144" s="92" t="s">
        <v>331</v>
      </c>
      <c r="D144" s="85">
        <v>4.7800000000000002E-4</v>
      </c>
      <c r="E144" s="86">
        <v>1880</v>
      </c>
      <c r="F144" s="5"/>
      <c r="G144" s="77">
        <v>4.5399999999999998E-4</v>
      </c>
      <c r="H144" s="87">
        <v>10119</v>
      </c>
      <c r="I144" s="7"/>
      <c r="J144" s="88">
        <v>11999</v>
      </c>
      <c r="K144" s="89">
        <v>11694</v>
      </c>
      <c r="L144" s="263" t="str">
        <f t="shared" si="10"/>
        <v xml:space="preserve"> </v>
      </c>
      <c r="M144" s="280" t="str">
        <f t="shared" si="14"/>
        <v xml:space="preserve"> </v>
      </c>
      <c r="N144" s="271">
        <f t="shared" si="11"/>
        <v>1754</v>
      </c>
      <c r="Z144" s="82">
        <f t="shared" si="12"/>
        <v>-305</v>
      </c>
      <c r="AA144" s="82">
        <f t="shared" si="13"/>
        <v>-152.5</v>
      </c>
      <c r="AB144" t="s">
        <v>309</v>
      </c>
      <c r="AC144" t="s">
        <v>330</v>
      </c>
      <c r="AD144" t="s">
        <v>331</v>
      </c>
      <c r="AE144">
        <v>9872</v>
      </c>
      <c r="AF144">
        <v>1822</v>
      </c>
      <c r="AG144">
        <v>11694</v>
      </c>
    </row>
    <row r="145" spans="1:33">
      <c r="A145" s="83" t="s">
        <v>309</v>
      </c>
      <c r="B145" s="83" t="s">
        <v>332</v>
      </c>
      <c r="C145" s="84" t="s">
        <v>333</v>
      </c>
      <c r="D145" s="85">
        <v>8.4500000000000005E-4</v>
      </c>
      <c r="E145" s="86">
        <v>3324</v>
      </c>
      <c r="F145" s="5"/>
      <c r="G145" s="77">
        <v>1.158E-3</v>
      </c>
      <c r="H145" s="87">
        <v>25810</v>
      </c>
      <c r="I145" s="7"/>
      <c r="J145" s="88">
        <v>29134</v>
      </c>
      <c r="K145" s="89">
        <v>30128</v>
      </c>
      <c r="L145" s="263">
        <f t="shared" si="10"/>
        <v>994</v>
      </c>
      <c r="M145" s="231">
        <f t="shared" si="14"/>
        <v>497</v>
      </c>
      <c r="N145" s="271">
        <f t="shared" si="11"/>
        <v>4519</v>
      </c>
      <c r="Z145" s="82">
        <f t="shared" si="12"/>
        <v>994</v>
      </c>
      <c r="AA145" s="82">
        <f t="shared" si="13"/>
        <v>497</v>
      </c>
      <c r="AB145" t="s">
        <v>309</v>
      </c>
      <c r="AC145" t="s">
        <v>332</v>
      </c>
      <c r="AD145" t="s">
        <v>333</v>
      </c>
      <c r="AE145">
        <v>26271</v>
      </c>
      <c r="AF145">
        <v>3857</v>
      </c>
      <c r="AG145">
        <v>30128</v>
      </c>
    </row>
    <row r="146" spans="1:33">
      <c r="A146" s="91" t="s">
        <v>309</v>
      </c>
      <c r="B146" s="91" t="s">
        <v>334</v>
      </c>
      <c r="C146" s="92" t="s">
        <v>335</v>
      </c>
      <c r="D146" s="85">
        <v>5.2300000000000003E-4</v>
      </c>
      <c r="E146" s="86">
        <v>2057</v>
      </c>
      <c r="F146" s="5"/>
      <c r="G146" s="77">
        <v>7.2900000000000005E-4</v>
      </c>
      <c r="H146" s="87">
        <v>16248</v>
      </c>
      <c r="I146" s="7"/>
      <c r="J146" s="88">
        <v>18305</v>
      </c>
      <c r="K146" s="89">
        <v>17506</v>
      </c>
      <c r="L146" s="263" t="str">
        <f t="shared" si="10"/>
        <v xml:space="preserve"> </v>
      </c>
      <c r="M146" s="280" t="str">
        <f t="shared" si="14"/>
        <v xml:space="preserve"> </v>
      </c>
      <c r="N146" s="271">
        <f t="shared" si="11"/>
        <v>2626</v>
      </c>
      <c r="Z146" s="82">
        <f t="shared" si="12"/>
        <v>-799</v>
      </c>
      <c r="AA146" s="82">
        <f t="shared" si="13"/>
        <v>-399.5</v>
      </c>
      <c r="AB146" t="s">
        <v>309</v>
      </c>
      <c r="AC146" t="s">
        <v>334</v>
      </c>
      <c r="AD146" t="s">
        <v>335</v>
      </c>
      <c r="AE146">
        <v>15467</v>
      </c>
      <c r="AF146">
        <v>2039</v>
      </c>
      <c r="AG146">
        <v>17506</v>
      </c>
    </row>
    <row r="147" spans="1:33">
      <c r="A147" s="91" t="s">
        <v>309</v>
      </c>
      <c r="B147" s="91" t="s">
        <v>336</v>
      </c>
      <c r="C147" s="92" t="s">
        <v>337</v>
      </c>
      <c r="D147" s="85">
        <v>1.913E-3</v>
      </c>
      <c r="E147" s="86">
        <v>7525</v>
      </c>
      <c r="F147" s="5"/>
      <c r="G147" s="77">
        <v>1.5449999999999999E-3</v>
      </c>
      <c r="H147" s="87">
        <v>34436</v>
      </c>
      <c r="I147" s="7"/>
      <c r="J147" s="88">
        <v>41961</v>
      </c>
      <c r="K147" s="89">
        <v>41491</v>
      </c>
      <c r="L147" s="263" t="str">
        <f t="shared" si="10"/>
        <v xml:space="preserve"> </v>
      </c>
      <c r="M147" s="280" t="str">
        <f t="shared" si="14"/>
        <v xml:space="preserve"> </v>
      </c>
      <c r="N147" s="271">
        <f t="shared" si="11"/>
        <v>6224</v>
      </c>
      <c r="Z147" s="82">
        <f t="shared" si="12"/>
        <v>-470</v>
      </c>
      <c r="AA147" s="82">
        <f t="shared" si="13"/>
        <v>-235</v>
      </c>
      <c r="AB147" t="s">
        <v>309</v>
      </c>
      <c r="AC147" t="s">
        <v>336</v>
      </c>
      <c r="AD147" t="s">
        <v>337</v>
      </c>
      <c r="AE147">
        <v>34210</v>
      </c>
      <c r="AF147">
        <v>7281</v>
      </c>
      <c r="AG147">
        <v>41491</v>
      </c>
    </row>
    <row r="148" spans="1:33">
      <c r="A148" s="91" t="s">
        <v>309</v>
      </c>
      <c r="B148" s="91" t="s">
        <v>338</v>
      </c>
      <c r="C148" s="92" t="s">
        <v>339</v>
      </c>
      <c r="D148" s="85">
        <v>3.9830000000000004E-3</v>
      </c>
      <c r="E148" s="86">
        <v>15667</v>
      </c>
      <c r="F148" s="5"/>
      <c r="G148" s="77">
        <v>2.9559999999999999E-3</v>
      </c>
      <c r="H148" s="87">
        <v>65885</v>
      </c>
      <c r="I148" s="7"/>
      <c r="J148" s="88">
        <v>81552</v>
      </c>
      <c r="K148" s="89">
        <v>81634</v>
      </c>
      <c r="L148" s="263">
        <f t="shared" si="10"/>
        <v>82</v>
      </c>
      <c r="M148" s="280">
        <f t="shared" si="14"/>
        <v>41</v>
      </c>
      <c r="N148" s="271">
        <f t="shared" si="11"/>
        <v>12245</v>
      </c>
      <c r="Z148" s="82">
        <f t="shared" si="12"/>
        <v>82</v>
      </c>
      <c r="AA148" s="82">
        <f t="shared" si="13"/>
        <v>41</v>
      </c>
      <c r="AB148" t="s">
        <v>309</v>
      </c>
      <c r="AC148" t="s">
        <v>338</v>
      </c>
      <c r="AD148" t="s">
        <v>339</v>
      </c>
      <c r="AE148">
        <v>66895</v>
      </c>
      <c r="AF148">
        <v>14739</v>
      </c>
      <c r="AG148">
        <v>81634</v>
      </c>
    </row>
    <row r="149" spans="1:33">
      <c r="A149" s="91" t="s">
        <v>309</v>
      </c>
      <c r="B149" s="91" t="s">
        <v>340</v>
      </c>
      <c r="C149" s="92" t="s">
        <v>341</v>
      </c>
      <c r="D149" s="85">
        <v>1.3572000000000001E-2</v>
      </c>
      <c r="E149" s="86">
        <v>53384</v>
      </c>
      <c r="F149" s="5"/>
      <c r="G149" s="77">
        <v>1.0588999999999999E-2</v>
      </c>
      <c r="H149" s="87">
        <v>236015</v>
      </c>
      <c r="I149" s="7"/>
      <c r="J149" s="88">
        <v>289399</v>
      </c>
      <c r="K149" s="89">
        <v>298816</v>
      </c>
      <c r="L149" s="263">
        <f t="shared" si="10"/>
        <v>9417</v>
      </c>
      <c r="M149" s="280">
        <f t="shared" si="14"/>
        <v>4709</v>
      </c>
      <c r="N149" s="271">
        <f t="shared" si="11"/>
        <v>44822</v>
      </c>
      <c r="Z149" s="82">
        <f t="shared" si="12"/>
        <v>9417</v>
      </c>
      <c r="AA149" s="82">
        <f t="shared" si="13"/>
        <v>4708.5</v>
      </c>
      <c r="AB149" t="s">
        <v>309</v>
      </c>
      <c r="AC149" t="s">
        <v>340</v>
      </c>
      <c r="AD149" t="s">
        <v>341</v>
      </c>
      <c r="AE149">
        <v>241810</v>
      </c>
      <c r="AF149">
        <v>57006</v>
      </c>
      <c r="AG149">
        <v>298816</v>
      </c>
    </row>
    <row r="150" spans="1:33">
      <c r="A150" s="91" t="s">
        <v>309</v>
      </c>
      <c r="B150" s="91" t="s">
        <v>342</v>
      </c>
      <c r="C150" s="92" t="s">
        <v>343</v>
      </c>
      <c r="D150" s="85">
        <v>8.34E-4</v>
      </c>
      <c r="E150" s="86">
        <v>3280</v>
      </c>
      <c r="F150" s="5"/>
      <c r="G150" s="77">
        <v>1.093E-3</v>
      </c>
      <c r="H150" s="87">
        <v>24362</v>
      </c>
      <c r="I150" s="7"/>
      <c r="J150" s="88">
        <v>27642</v>
      </c>
      <c r="K150" s="89">
        <v>27760</v>
      </c>
      <c r="L150" s="263">
        <f t="shared" si="10"/>
        <v>118</v>
      </c>
      <c r="M150" s="280">
        <f t="shared" si="14"/>
        <v>59</v>
      </c>
      <c r="N150" s="271">
        <f t="shared" si="11"/>
        <v>4164</v>
      </c>
      <c r="Z150" s="82">
        <f t="shared" si="12"/>
        <v>118</v>
      </c>
      <c r="AA150" s="82">
        <f t="shared" si="13"/>
        <v>59</v>
      </c>
      <c r="AB150" t="s">
        <v>309</v>
      </c>
      <c r="AC150" t="s">
        <v>342</v>
      </c>
      <c r="AD150" t="s">
        <v>343</v>
      </c>
      <c r="AE150">
        <v>24292</v>
      </c>
      <c r="AF150">
        <v>3468</v>
      </c>
      <c r="AG150">
        <v>27760</v>
      </c>
    </row>
    <row r="151" spans="1:33">
      <c r="A151" s="83" t="s">
        <v>309</v>
      </c>
      <c r="B151" s="83" t="s">
        <v>344</v>
      </c>
      <c r="C151" s="84" t="s">
        <v>345</v>
      </c>
      <c r="D151" s="85">
        <v>3.96E-3</v>
      </c>
      <c r="E151" s="86">
        <v>15576</v>
      </c>
      <c r="F151" s="5"/>
      <c r="G151" s="77">
        <v>5.9379999999999997E-3</v>
      </c>
      <c r="H151" s="87">
        <v>132350</v>
      </c>
      <c r="I151" s="7"/>
      <c r="J151" s="88">
        <v>147926</v>
      </c>
      <c r="K151" s="89">
        <v>151809</v>
      </c>
      <c r="L151" s="263">
        <f t="shared" si="10"/>
        <v>3883</v>
      </c>
      <c r="M151" s="231">
        <f t="shared" si="14"/>
        <v>1942</v>
      </c>
      <c r="N151" s="271">
        <f t="shared" si="11"/>
        <v>22771</v>
      </c>
      <c r="Z151" s="82">
        <f t="shared" si="12"/>
        <v>3883</v>
      </c>
      <c r="AA151" s="82">
        <f t="shared" si="13"/>
        <v>1941.5</v>
      </c>
      <c r="AB151" t="s">
        <v>309</v>
      </c>
      <c r="AC151" t="s">
        <v>344</v>
      </c>
      <c r="AD151" t="s">
        <v>345</v>
      </c>
      <c r="AE151">
        <v>135769</v>
      </c>
      <c r="AF151">
        <v>16040</v>
      </c>
      <c r="AG151">
        <v>151809</v>
      </c>
    </row>
    <row r="152" spans="1:33">
      <c r="A152" s="91" t="s">
        <v>309</v>
      </c>
      <c r="B152" s="91" t="s">
        <v>346</v>
      </c>
      <c r="C152" s="92" t="s">
        <v>347</v>
      </c>
      <c r="D152" s="85">
        <v>1.9689999999999998E-3</v>
      </c>
      <c r="E152" s="86">
        <v>7745</v>
      </c>
      <c r="F152" s="5"/>
      <c r="G152" s="77">
        <v>7.6449999999999999E-3</v>
      </c>
      <c r="H152" s="87">
        <v>170397</v>
      </c>
      <c r="I152" s="7"/>
      <c r="J152" s="88">
        <v>178142</v>
      </c>
      <c r="K152" s="89">
        <v>189291</v>
      </c>
      <c r="L152" s="263">
        <f t="shared" si="10"/>
        <v>11149</v>
      </c>
      <c r="M152" s="280">
        <f t="shared" si="14"/>
        <v>5575</v>
      </c>
      <c r="N152" s="271">
        <f t="shared" si="11"/>
        <v>28394</v>
      </c>
      <c r="Z152" s="82">
        <f t="shared" si="12"/>
        <v>11149</v>
      </c>
      <c r="AA152" s="82">
        <f t="shared" si="13"/>
        <v>5574.5</v>
      </c>
      <c r="AB152" t="s">
        <v>309</v>
      </c>
      <c r="AC152" t="s">
        <v>346</v>
      </c>
      <c r="AD152" t="s">
        <v>347</v>
      </c>
      <c r="AE152">
        <v>181966</v>
      </c>
      <c r="AF152">
        <v>7325</v>
      </c>
      <c r="AG152">
        <v>189291</v>
      </c>
    </row>
    <row r="153" spans="1:33">
      <c r="A153" s="91" t="s">
        <v>309</v>
      </c>
      <c r="B153" s="91" t="s">
        <v>348</v>
      </c>
      <c r="C153" s="92" t="s">
        <v>349</v>
      </c>
      <c r="D153" s="85">
        <v>3.2299999999999999E-4</v>
      </c>
      <c r="E153" s="86">
        <v>1270</v>
      </c>
      <c r="F153" s="5"/>
      <c r="G153" s="77">
        <v>6.7100000000000005E-4</v>
      </c>
      <c r="H153" s="87">
        <v>14956</v>
      </c>
      <c r="I153" s="7"/>
      <c r="J153" s="88">
        <v>16226</v>
      </c>
      <c r="K153" s="89">
        <v>17884</v>
      </c>
      <c r="L153" s="263">
        <f t="shared" si="10"/>
        <v>1658</v>
      </c>
      <c r="M153" s="280">
        <f t="shared" si="14"/>
        <v>829</v>
      </c>
      <c r="N153" s="271">
        <f t="shared" si="11"/>
        <v>2683</v>
      </c>
      <c r="Z153" s="82">
        <f t="shared" si="12"/>
        <v>1658</v>
      </c>
      <c r="AA153" s="82">
        <f t="shared" si="13"/>
        <v>829</v>
      </c>
      <c r="AB153" t="s">
        <v>309</v>
      </c>
      <c r="AC153" t="s">
        <v>348</v>
      </c>
      <c r="AD153" t="s">
        <v>349</v>
      </c>
      <c r="AE153">
        <v>15672</v>
      </c>
      <c r="AF153">
        <v>2212</v>
      </c>
      <c r="AG153">
        <v>17884</v>
      </c>
    </row>
    <row r="154" spans="1:33">
      <c r="A154" s="83" t="s">
        <v>309</v>
      </c>
      <c r="B154" s="83" t="s">
        <v>350</v>
      </c>
      <c r="C154" s="84" t="s">
        <v>351</v>
      </c>
      <c r="D154" s="85">
        <v>3.5379999999999999E-3</v>
      </c>
      <c r="E154" s="86">
        <v>13916</v>
      </c>
      <c r="F154" s="5"/>
      <c r="G154" s="77">
        <v>2.4020000000000001E-3</v>
      </c>
      <c r="H154" s="87">
        <v>53537</v>
      </c>
      <c r="I154" s="7"/>
      <c r="J154" s="88">
        <v>67453</v>
      </c>
      <c r="K154" s="89">
        <v>70455</v>
      </c>
      <c r="L154" s="263">
        <f t="shared" si="10"/>
        <v>3002</v>
      </c>
      <c r="M154" s="231">
        <f t="shared" si="14"/>
        <v>1501</v>
      </c>
      <c r="N154" s="271">
        <f t="shared" si="11"/>
        <v>10568</v>
      </c>
      <c r="Z154" s="82">
        <f t="shared" si="12"/>
        <v>3002</v>
      </c>
      <c r="AA154" s="82">
        <f t="shared" si="13"/>
        <v>1501</v>
      </c>
      <c r="AB154" t="s">
        <v>309</v>
      </c>
      <c r="AC154" t="s">
        <v>350</v>
      </c>
      <c r="AD154" t="s">
        <v>351</v>
      </c>
      <c r="AE154">
        <v>55977</v>
      </c>
      <c r="AF154">
        <v>14478</v>
      </c>
      <c r="AG154">
        <v>70455</v>
      </c>
    </row>
    <row r="155" spans="1:33" ht="15.75" thickBot="1">
      <c r="A155" s="93" t="s">
        <v>309</v>
      </c>
      <c r="B155" s="93" t="s">
        <v>352</v>
      </c>
      <c r="C155" s="94" t="s">
        <v>353</v>
      </c>
      <c r="D155" s="95">
        <v>1.2130000000000001E-3</v>
      </c>
      <c r="E155" s="96">
        <v>4771</v>
      </c>
      <c r="F155" s="97"/>
      <c r="G155" s="98">
        <v>1.557E-3</v>
      </c>
      <c r="H155" s="99">
        <v>34703</v>
      </c>
      <c r="I155" s="7"/>
      <c r="J155" s="100">
        <v>39474</v>
      </c>
      <c r="K155" s="101">
        <v>40512</v>
      </c>
      <c r="L155" s="264">
        <f t="shared" si="10"/>
        <v>1038</v>
      </c>
      <c r="M155" s="281">
        <f t="shared" si="14"/>
        <v>519</v>
      </c>
      <c r="N155" s="102">
        <f t="shared" si="11"/>
        <v>6077</v>
      </c>
      <c r="Z155" s="82">
        <f t="shared" si="12"/>
        <v>1038</v>
      </c>
      <c r="AA155" s="82">
        <f t="shared" si="13"/>
        <v>519</v>
      </c>
      <c r="AB155" t="s">
        <v>309</v>
      </c>
      <c r="AC155" t="s">
        <v>352</v>
      </c>
      <c r="AD155" t="s">
        <v>353</v>
      </c>
      <c r="AE155">
        <v>35483</v>
      </c>
      <c r="AF155">
        <v>5029</v>
      </c>
      <c r="AG155">
        <v>40512</v>
      </c>
    </row>
    <row r="156" spans="1:33">
      <c r="A156" s="91" t="s">
        <v>354</v>
      </c>
      <c r="B156" s="91" t="s">
        <v>355</v>
      </c>
      <c r="C156" s="92" t="s">
        <v>356</v>
      </c>
      <c r="D156" s="85">
        <v>4.1199999999999999E-4</v>
      </c>
      <c r="E156" s="86">
        <v>1621</v>
      </c>
      <c r="F156" s="5"/>
      <c r="G156" s="103">
        <v>1.139E-3</v>
      </c>
      <c r="H156" s="78">
        <v>25387</v>
      </c>
      <c r="I156" s="7"/>
      <c r="J156" s="79">
        <v>27008</v>
      </c>
      <c r="K156" s="80">
        <v>28646</v>
      </c>
      <c r="L156" s="263">
        <f t="shared" si="10"/>
        <v>1638</v>
      </c>
      <c r="M156" s="280">
        <f t="shared" si="14"/>
        <v>819</v>
      </c>
      <c r="N156" s="81">
        <f t="shared" si="11"/>
        <v>4297</v>
      </c>
      <c r="Z156" s="82">
        <f t="shared" si="12"/>
        <v>1638</v>
      </c>
      <c r="AA156" s="82">
        <f t="shared" si="13"/>
        <v>819</v>
      </c>
      <c r="AB156" t="s">
        <v>354</v>
      </c>
      <c r="AC156" t="s">
        <v>355</v>
      </c>
      <c r="AD156" t="s">
        <v>356</v>
      </c>
      <c r="AE156">
        <v>26089</v>
      </c>
      <c r="AF156">
        <v>2557</v>
      </c>
      <c r="AG156">
        <v>28646</v>
      </c>
    </row>
    <row r="157" spans="1:33">
      <c r="A157" s="91" t="s">
        <v>354</v>
      </c>
      <c r="B157" s="91" t="s">
        <v>357</v>
      </c>
      <c r="C157" s="92" t="s">
        <v>358</v>
      </c>
      <c r="D157" s="85">
        <v>2.2030000000000001E-3</v>
      </c>
      <c r="E157" s="86">
        <v>8665</v>
      </c>
      <c r="F157" s="5"/>
      <c r="G157" s="77">
        <v>2.686E-3</v>
      </c>
      <c r="H157" s="87">
        <v>59867</v>
      </c>
      <c r="I157" s="7"/>
      <c r="J157" s="88">
        <v>68532</v>
      </c>
      <c r="K157" s="89">
        <v>66192</v>
      </c>
      <c r="L157" s="263" t="str">
        <f t="shared" si="10"/>
        <v xml:space="preserve"> </v>
      </c>
      <c r="M157" s="280" t="str">
        <f t="shared" si="14"/>
        <v xml:space="preserve"> </v>
      </c>
      <c r="N157" s="271">
        <f t="shared" si="11"/>
        <v>9929</v>
      </c>
      <c r="Z157" s="82">
        <f t="shared" si="12"/>
        <v>-2340</v>
      </c>
      <c r="AA157" s="82">
        <f t="shared" si="13"/>
        <v>-1170</v>
      </c>
      <c r="AB157" t="s">
        <v>354</v>
      </c>
      <c r="AC157" t="s">
        <v>357</v>
      </c>
      <c r="AD157" t="s">
        <v>358</v>
      </c>
      <c r="AE157">
        <v>57911</v>
      </c>
      <c r="AF157">
        <v>8281</v>
      </c>
      <c r="AG157">
        <v>66192</v>
      </c>
    </row>
    <row r="158" spans="1:33">
      <c r="A158" s="83" t="s">
        <v>354</v>
      </c>
      <c r="B158" s="83" t="s">
        <v>359</v>
      </c>
      <c r="C158" s="84" t="s">
        <v>360</v>
      </c>
      <c r="D158" s="85">
        <v>9.8999999999999999E-4</v>
      </c>
      <c r="E158" s="86">
        <v>3894</v>
      </c>
      <c r="F158" s="5"/>
      <c r="G158" s="77">
        <v>1.1509999999999999E-3</v>
      </c>
      <c r="H158" s="87">
        <v>25654</v>
      </c>
      <c r="I158" s="7"/>
      <c r="J158" s="88">
        <v>29548</v>
      </c>
      <c r="K158" s="89">
        <v>31983</v>
      </c>
      <c r="L158" s="263">
        <f t="shared" si="10"/>
        <v>2435</v>
      </c>
      <c r="M158" s="231">
        <f t="shared" si="14"/>
        <v>1218</v>
      </c>
      <c r="N158" s="271">
        <f t="shared" si="11"/>
        <v>4797</v>
      </c>
      <c r="Z158" s="82">
        <f t="shared" si="12"/>
        <v>2435</v>
      </c>
      <c r="AA158" s="82">
        <f t="shared" si="13"/>
        <v>1217.5</v>
      </c>
      <c r="AB158" t="s">
        <v>354</v>
      </c>
      <c r="AC158" t="s">
        <v>359</v>
      </c>
      <c r="AD158" t="s">
        <v>360</v>
      </c>
      <c r="AE158">
        <v>26476</v>
      </c>
      <c r="AF158">
        <v>5507</v>
      </c>
      <c r="AG158">
        <v>31983</v>
      </c>
    </row>
    <row r="159" spans="1:33">
      <c r="A159" s="91" t="s">
        <v>354</v>
      </c>
      <c r="B159" s="91" t="s">
        <v>361</v>
      </c>
      <c r="C159" s="92" t="s">
        <v>362</v>
      </c>
      <c r="D159" s="85">
        <v>1.7910000000000001E-3</v>
      </c>
      <c r="E159" s="86">
        <v>7045</v>
      </c>
      <c r="F159" s="5"/>
      <c r="G159" s="77">
        <v>3.4030000000000002E-3</v>
      </c>
      <c r="H159" s="87">
        <v>75848</v>
      </c>
      <c r="I159" s="7"/>
      <c r="J159" s="88">
        <v>82893</v>
      </c>
      <c r="K159" s="89">
        <v>81465</v>
      </c>
      <c r="L159" s="263" t="str">
        <f t="shared" si="10"/>
        <v xml:space="preserve"> </v>
      </c>
      <c r="M159" s="280" t="str">
        <f t="shared" si="14"/>
        <v xml:space="preserve"> </v>
      </c>
      <c r="N159" s="271">
        <f t="shared" si="11"/>
        <v>12220</v>
      </c>
      <c r="Z159" s="82">
        <f t="shared" si="12"/>
        <v>-1428</v>
      </c>
      <c r="AA159" s="82">
        <f t="shared" si="13"/>
        <v>-714</v>
      </c>
      <c r="AB159" t="s">
        <v>354</v>
      </c>
      <c r="AC159" t="s">
        <v>361</v>
      </c>
      <c r="AD159" t="s">
        <v>362</v>
      </c>
      <c r="AE159">
        <v>74834</v>
      </c>
      <c r="AF159">
        <v>6631</v>
      </c>
      <c r="AG159">
        <v>81465</v>
      </c>
    </row>
    <row r="160" spans="1:33">
      <c r="A160" s="83" t="s">
        <v>354</v>
      </c>
      <c r="B160" s="83" t="s">
        <v>363</v>
      </c>
      <c r="C160" s="84" t="s">
        <v>364</v>
      </c>
      <c r="D160" s="85">
        <v>4.0027E-2</v>
      </c>
      <c r="E160" s="86">
        <v>157441</v>
      </c>
      <c r="F160" s="5"/>
      <c r="G160" s="77">
        <v>3.7560999999999997E-2</v>
      </c>
      <c r="H160" s="87">
        <v>837185</v>
      </c>
      <c r="I160" s="7"/>
      <c r="J160" s="88">
        <v>994626</v>
      </c>
      <c r="K160" s="89">
        <v>1008502</v>
      </c>
      <c r="L160" s="263">
        <f t="shared" si="10"/>
        <v>13876</v>
      </c>
      <c r="M160" s="231">
        <f t="shared" si="14"/>
        <v>6938</v>
      </c>
      <c r="N160" s="271">
        <f t="shared" si="11"/>
        <v>151275</v>
      </c>
      <c r="Z160" s="82">
        <f t="shared" si="12"/>
        <v>13876</v>
      </c>
      <c r="AA160" s="82">
        <f t="shared" si="13"/>
        <v>6938</v>
      </c>
      <c r="AB160" t="s">
        <v>354</v>
      </c>
      <c r="AC160" t="s">
        <v>363</v>
      </c>
      <c r="AD160" t="s">
        <v>364</v>
      </c>
      <c r="AE160">
        <v>853307</v>
      </c>
      <c r="AF160">
        <v>155195</v>
      </c>
      <c r="AG160">
        <v>1008502</v>
      </c>
    </row>
    <row r="161" spans="1:33">
      <c r="A161" s="91" t="s">
        <v>354</v>
      </c>
      <c r="B161" s="91" t="s">
        <v>365</v>
      </c>
      <c r="C161" s="92" t="s">
        <v>366</v>
      </c>
      <c r="D161" s="85">
        <v>1.157E-3</v>
      </c>
      <c r="E161" s="86">
        <v>4551</v>
      </c>
      <c r="F161" s="5"/>
      <c r="G161" s="77">
        <v>2.627E-3</v>
      </c>
      <c r="H161" s="87">
        <v>58552</v>
      </c>
      <c r="I161" s="7"/>
      <c r="J161" s="88">
        <v>63103</v>
      </c>
      <c r="K161" s="89">
        <v>63579</v>
      </c>
      <c r="L161" s="263">
        <f t="shared" si="10"/>
        <v>476</v>
      </c>
      <c r="M161" s="280">
        <f t="shared" si="14"/>
        <v>238</v>
      </c>
      <c r="N161" s="271">
        <f t="shared" si="11"/>
        <v>9537</v>
      </c>
      <c r="Z161" s="82">
        <f t="shared" si="12"/>
        <v>476</v>
      </c>
      <c r="AA161" s="82">
        <f t="shared" si="13"/>
        <v>238</v>
      </c>
      <c r="AB161" t="s">
        <v>354</v>
      </c>
      <c r="AC161" t="s">
        <v>365</v>
      </c>
      <c r="AD161" t="s">
        <v>366</v>
      </c>
      <c r="AE161">
        <v>59071</v>
      </c>
      <c r="AF161">
        <v>4508</v>
      </c>
      <c r="AG161">
        <v>63579</v>
      </c>
    </row>
    <row r="162" spans="1:33">
      <c r="A162" s="91" t="s">
        <v>354</v>
      </c>
      <c r="B162" s="91" t="s">
        <v>367</v>
      </c>
      <c r="C162" s="92" t="s">
        <v>368</v>
      </c>
      <c r="D162" s="85">
        <v>8.0099999999999995E-4</v>
      </c>
      <c r="E162" s="86">
        <v>3151</v>
      </c>
      <c r="F162" s="5"/>
      <c r="G162" s="77">
        <v>9.6599999999999995E-4</v>
      </c>
      <c r="H162" s="87">
        <v>21531</v>
      </c>
      <c r="I162" s="7"/>
      <c r="J162" s="88">
        <v>24682</v>
      </c>
      <c r="K162" s="89">
        <v>25654</v>
      </c>
      <c r="L162" s="263">
        <f t="shared" si="10"/>
        <v>972</v>
      </c>
      <c r="M162" s="280">
        <f t="shared" si="14"/>
        <v>486</v>
      </c>
      <c r="N162" s="271">
        <f t="shared" si="11"/>
        <v>3848</v>
      </c>
      <c r="Z162" s="82">
        <f t="shared" si="12"/>
        <v>972</v>
      </c>
      <c r="AA162" s="82">
        <f t="shared" si="13"/>
        <v>486</v>
      </c>
      <c r="AB162" t="s">
        <v>354</v>
      </c>
      <c r="AC162" t="s">
        <v>367</v>
      </c>
      <c r="AD162" t="s">
        <v>368</v>
      </c>
      <c r="AE162">
        <v>21881</v>
      </c>
      <c r="AF162">
        <v>3773</v>
      </c>
      <c r="AG162">
        <v>25654</v>
      </c>
    </row>
    <row r="163" spans="1:33">
      <c r="A163" s="83" t="s">
        <v>354</v>
      </c>
      <c r="B163" s="83" t="s">
        <v>369</v>
      </c>
      <c r="C163" s="107" t="s">
        <v>370</v>
      </c>
      <c r="D163" s="85">
        <v>1.8580000000000001E-3</v>
      </c>
      <c r="E163" s="86">
        <v>7308</v>
      </c>
      <c r="F163" s="5"/>
      <c r="G163" s="77">
        <v>3.1319999999999998E-3</v>
      </c>
      <c r="H163" s="87">
        <v>69808</v>
      </c>
      <c r="I163" s="7"/>
      <c r="J163" s="88">
        <v>77116</v>
      </c>
      <c r="K163" s="89">
        <v>79746</v>
      </c>
      <c r="L163" s="263">
        <f t="shared" si="10"/>
        <v>2630</v>
      </c>
      <c r="M163" s="232">
        <f t="shared" si="14"/>
        <v>1315</v>
      </c>
      <c r="N163" s="108">
        <f t="shared" si="11"/>
        <v>11962</v>
      </c>
      <c r="Z163" s="82">
        <f t="shared" si="12"/>
        <v>2630</v>
      </c>
      <c r="AA163" s="82">
        <f t="shared" si="13"/>
        <v>1315</v>
      </c>
      <c r="AB163" t="s">
        <v>354</v>
      </c>
      <c r="AC163" t="s">
        <v>369</v>
      </c>
      <c r="AD163" t="s">
        <v>371</v>
      </c>
      <c r="AE163">
        <v>71899</v>
      </c>
      <c r="AF163">
        <v>7847</v>
      </c>
      <c r="AG163">
        <v>79746</v>
      </c>
    </row>
    <row r="164" spans="1:33">
      <c r="A164" s="91" t="s">
        <v>354</v>
      </c>
      <c r="B164" s="91" t="s">
        <v>372</v>
      </c>
      <c r="C164" s="92" t="s">
        <v>373</v>
      </c>
      <c r="D164" s="85">
        <v>7.4089999999999998E-3</v>
      </c>
      <c r="E164" s="86">
        <v>29142</v>
      </c>
      <c r="F164" s="5"/>
      <c r="G164" s="77">
        <v>8.8880000000000001E-3</v>
      </c>
      <c r="H164" s="87">
        <v>198102</v>
      </c>
      <c r="I164" s="7"/>
      <c r="J164" s="88">
        <v>227244</v>
      </c>
      <c r="K164" s="89">
        <v>236771</v>
      </c>
      <c r="L164" s="263">
        <f t="shared" si="10"/>
        <v>9527</v>
      </c>
      <c r="M164" s="280">
        <f t="shared" si="14"/>
        <v>4764</v>
      </c>
      <c r="N164" s="271">
        <f t="shared" si="11"/>
        <v>35516</v>
      </c>
      <c r="Z164" s="82">
        <f t="shared" si="12"/>
        <v>9527</v>
      </c>
      <c r="AA164" s="82">
        <f t="shared" si="13"/>
        <v>4763.5</v>
      </c>
      <c r="AB164" t="s">
        <v>354</v>
      </c>
      <c r="AC164" t="s">
        <v>372</v>
      </c>
      <c r="AD164" t="s">
        <v>373</v>
      </c>
      <c r="AE164">
        <v>207509</v>
      </c>
      <c r="AF164">
        <v>29262</v>
      </c>
      <c r="AG164">
        <v>236771</v>
      </c>
    </row>
    <row r="165" spans="1:33">
      <c r="A165" s="91" t="s">
        <v>354</v>
      </c>
      <c r="B165" s="91" t="s">
        <v>374</v>
      </c>
      <c r="C165" s="92" t="s">
        <v>375</v>
      </c>
      <c r="D165" s="85">
        <v>7.6800000000000002E-4</v>
      </c>
      <c r="E165" s="86">
        <v>3021</v>
      </c>
      <c r="F165" s="5"/>
      <c r="G165" s="77">
        <v>1.072E-3</v>
      </c>
      <c r="H165" s="87">
        <v>23893</v>
      </c>
      <c r="I165" s="7"/>
      <c r="J165" s="88">
        <v>26914</v>
      </c>
      <c r="K165" s="89">
        <v>25778</v>
      </c>
      <c r="L165" s="263" t="str">
        <f t="shared" si="10"/>
        <v xml:space="preserve"> </v>
      </c>
      <c r="M165" s="280" t="str">
        <f t="shared" si="14"/>
        <v xml:space="preserve"> </v>
      </c>
      <c r="N165" s="271">
        <f t="shared" si="11"/>
        <v>3867</v>
      </c>
      <c r="Z165" s="82">
        <f t="shared" si="12"/>
        <v>-1136</v>
      </c>
      <c r="AA165" s="82">
        <f t="shared" si="13"/>
        <v>-568</v>
      </c>
      <c r="AB165" t="s">
        <v>354</v>
      </c>
      <c r="AC165" t="s">
        <v>374</v>
      </c>
      <c r="AD165" t="s">
        <v>375</v>
      </c>
      <c r="AE165">
        <v>22655</v>
      </c>
      <c r="AF165">
        <v>3123</v>
      </c>
      <c r="AG165">
        <v>25778</v>
      </c>
    </row>
    <row r="166" spans="1:33">
      <c r="A166" s="91" t="s">
        <v>354</v>
      </c>
      <c r="B166" s="91" t="s">
        <v>376</v>
      </c>
      <c r="C166" s="92" t="s">
        <v>377</v>
      </c>
      <c r="D166" s="85">
        <v>5.5599999999999996E-4</v>
      </c>
      <c r="E166" s="86">
        <v>2187</v>
      </c>
      <c r="F166" s="5"/>
      <c r="G166" s="77">
        <v>7.0600000000000003E-4</v>
      </c>
      <c r="H166" s="87">
        <v>15736</v>
      </c>
      <c r="I166" s="7"/>
      <c r="J166" s="88">
        <v>17923</v>
      </c>
      <c r="K166" s="89">
        <v>17033</v>
      </c>
      <c r="L166" s="263" t="str">
        <f t="shared" si="10"/>
        <v xml:space="preserve"> </v>
      </c>
      <c r="M166" s="280" t="str">
        <f t="shared" si="14"/>
        <v xml:space="preserve"> </v>
      </c>
      <c r="N166" s="271">
        <f t="shared" si="11"/>
        <v>2555</v>
      </c>
      <c r="Z166" s="82">
        <f t="shared" si="12"/>
        <v>-890</v>
      </c>
      <c r="AA166" s="82">
        <f t="shared" si="13"/>
        <v>-445</v>
      </c>
      <c r="AB166" t="s">
        <v>354</v>
      </c>
      <c r="AC166" t="s">
        <v>376</v>
      </c>
      <c r="AD166" t="s">
        <v>377</v>
      </c>
      <c r="AE166">
        <v>15171</v>
      </c>
      <c r="AF166">
        <v>1862</v>
      </c>
      <c r="AG166">
        <v>17033</v>
      </c>
    </row>
    <row r="167" spans="1:33">
      <c r="A167" s="83" t="s">
        <v>354</v>
      </c>
      <c r="B167" s="83" t="s">
        <v>378</v>
      </c>
      <c r="C167" s="84" t="s">
        <v>379</v>
      </c>
      <c r="D167" s="85">
        <v>9.4600000000000001E-4</v>
      </c>
      <c r="E167" s="86">
        <v>3721</v>
      </c>
      <c r="F167" s="5"/>
      <c r="G167" s="77">
        <v>1.3129999999999999E-3</v>
      </c>
      <c r="H167" s="87">
        <v>29265</v>
      </c>
      <c r="I167" s="7"/>
      <c r="J167" s="88">
        <v>32986</v>
      </c>
      <c r="K167" s="89">
        <v>33325</v>
      </c>
      <c r="L167" s="263">
        <f t="shared" si="10"/>
        <v>339</v>
      </c>
      <c r="M167" s="231">
        <f t="shared" si="14"/>
        <v>170</v>
      </c>
      <c r="N167" s="271">
        <f t="shared" si="11"/>
        <v>4999</v>
      </c>
      <c r="Z167" s="82">
        <f t="shared" si="12"/>
        <v>339</v>
      </c>
      <c r="AA167" s="82">
        <f t="shared" si="13"/>
        <v>169.5</v>
      </c>
      <c r="AB167" t="s">
        <v>354</v>
      </c>
      <c r="AC167" t="s">
        <v>378</v>
      </c>
      <c r="AD167" t="s">
        <v>379</v>
      </c>
      <c r="AE167">
        <v>29251</v>
      </c>
      <c r="AF167">
        <v>4074</v>
      </c>
      <c r="AG167">
        <v>33325</v>
      </c>
    </row>
    <row r="168" spans="1:33">
      <c r="A168" s="83" t="s">
        <v>354</v>
      </c>
      <c r="B168" s="83" t="s">
        <v>380</v>
      </c>
      <c r="C168" s="107" t="s">
        <v>381</v>
      </c>
      <c r="D168" s="85">
        <v>2.0725E-2</v>
      </c>
      <c r="E168" s="86">
        <v>81519</v>
      </c>
      <c r="F168" s="5"/>
      <c r="G168" s="77">
        <v>2.5266E-2</v>
      </c>
      <c r="H168" s="87">
        <v>563146</v>
      </c>
      <c r="I168" s="7"/>
      <c r="J168" s="88">
        <v>644665</v>
      </c>
      <c r="K168" s="89">
        <v>671080</v>
      </c>
      <c r="L168" s="263">
        <f t="shared" si="10"/>
        <v>26415</v>
      </c>
      <c r="M168" s="231">
        <f t="shared" si="14"/>
        <v>13208</v>
      </c>
      <c r="N168" s="108">
        <f t="shared" si="11"/>
        <v>100662</v>
      </c>
      <c r="Z168" s="82">
        <f t="shared" si="12"/>
        <v>26415</v>
      </c>
      <c r="AA168" s="82">
        <f t="shared" si="13"/>
        <v>13207.5</v>
      </c>
      <c r="AB168" t="s">
        <v>354</v>
      </c>
      <c r="AC168" t="s">
        <v>380</v>
      </c>
      <c r="AD168" t="s">
        <v>381</v>
      </c>
      <c r="AE168">
        <v>593960</v>
      </c>
      <c r="AF168">
        <v>77120</v>
      </c>
      <c r="AG168">
        <v>671080</v>
      </c>
    </row>
    <row r="169" spans="1:33">
      <c r="A169" s="91" t="s">
        <v>354</v>
      </c>
      <c r="B169" s="91" t="s">
        <v>382</v>
      </c>
      <c r="C169" s="92" t="s">
        <v>383</v>
      </c>
      <c r="D169" s="85">
        <v>9.8999999999999999E-4</v>
      </c>
      <c r="E169" s="86">
        <v>3894</v>
      </c>
      <c r="F169" s="5"/>
      <c r="G169" s="77">
        <v>1.191E-3</v>
      </c>
      <c r="H169" s="87">
        <v>26546</v>
      </c>
      <c r="I169" s="7"/>
      <c r="J169" s="88">
        <v>30440</v>
      </c>
      <c r="K169" s="89">
        <v>30456</v>
      </c>
      <c r="L169" s="263">
        <f t="shared" si="10"/>
        <v>16</v>
      </c>
      <c r="M169" s="280">
        <f t="shared" si="14"/>
        <v>8</v>
      </c>
      <c r="N169" s="271">
        <f t="shared" si="11"/>
        <v>4568</v>
      </c>
      <c r="Z169" s="82">
        <f t="shared" si="12"/>
        <v>16</v>
      </c>
      <c r="AA169" s="82">
        <f t="shared" si="13"/>
        <v>8</v>
      </c>
      <c r="AB169" t="s">
        <v>354</v>
      </c>
      <c r="AC169" t="s">
        <v>382</v>
      </c>
      <c r="AD169" t="s">
        <v>383</v>
      </c>
      <c r="AE169">
        <v>26249</v>
      </c>
      <c r="AF169">
        <v>4207</v>
      </c>
      <c r="AG169">
        <v>30456</v>
      </c>
    </row>
    <row r="170" spans="1:33">
      <c r="A170" s="91" t="s">
        <v>354</v>
      </c>
      <c r="B170" s="91" t="s">
        <v>384</v>
      </c>
      <c r="C170" s="92" t="s">
        <v>385</v>
      </c>
      <c r="D170" s="85">
        <v>1.379E-3</v>
      </c>
      <c r="E170" s="86">
        <v>5424</v>
      </c>
      <c r="F170" s="5"/>
      <c r="G170" s="77">
        <v>1.743E-3</v>
      </c>
      <c r="H170" s="87">
        <v>38849</v>
      </c>
      <c r="I170" s="7"/>
      <c r="J170" s="88">
        <v>44273</v>
      </c>
      <c r="K170" s="89">
        <v>45656</v>
      </c>
      <c r="L170" s="263">
        <f t="shared" si="10"/>
        <v>1383</v>
      </c>
      <c r="M170" s="280">
        <f t="shared" si="14"/>
        <v>692</v>
      </c>
      <c r="N170" s="271">
        <f t="shared" si="11"/>
        <v>6848</v>
      </c>
      <c r="Z170" s="82">
        <f t="shared" si="12"/>
        <v>1383</v>
      </c>
      <c r="AA170" s="82">
        <f t="shared" si="13"/>
        <v>691.5</v>
      </c>
      <c r="AB170" t="s">
        <v>354</v>
      </c>
      <c r="AC170" t="s">
        <v>384</v>
      </c>
      <c r="AD170" t="s">
        <v>385</v>
      </c>
      <c r="AE170">
        <v>40237</v>
      </c>
      <c r="AF170">
        <v>5419</v>
      </c>
      <c r="AG170">
        <v>45656</v>
      </c>
    </row>
    <row r="171" spans="1:33">
      <c r="A171" s="91" t="s">
        <v>354</v>
      </c>
      <c r="B171" s="91" t="s">
        <v>386</v>
      </c>
      <c r="C171" s="92" t="s">
        <v>387</v>
      </c>
      <c r="D171" s="85">
        <v>6.0740000000000004E-3</v>
      </c>
      <c r="E171" s="86">
        <v>23891</v>
      </c>
      <c r="F171" s="5"/>
      <c r="G171" s="77">
        <v>1.4104999999999999E-2</v>
      </c>
      <c r="H171" s="87">
        <v>314382</v>
      </c>
      <c r="I171" s="7"/>
      <c r="J171" s="88">
        <v>338273</v>
      </c>
      <c r="K171" s="89">
        <v>350770</v>
      </c>
      <c r="L171" s="263">
        <f t="shared" si="10"/>
        <v>12497</v>
      </c>
      <c r="M171" s="280">
        <f t="shared" si="14"/>
        <v>6249</v>
      </c>
      <c r="N171" s="271">
        <f t="shared" si="11"/>
        <v>52616</v>
      </c>
      <c r="Z171" s="82">
        <f t="shared" si="12"/>
        <v>12497</v>
      </c>
      <c r="AA171" s="82">
        <f t="shared" si="13"/>
        <v>6248.5</v>
      </c>
      <c r="AB171" t="s">
        <v>354</v>
      </c>
      <c r="AC171" t="s">
        <v>386</v>
      </c>
      <c r="AD171" t="s">
        <v>387</v>
      </c>
      <c r="AE171">
        <v>322853</v>
      </c>
      <c r="AF171">
        <v>27917</v>
      </c>
      <c r="AG171">
        <v>350770</v>
      </c>
    </row>
    <row r="172" spans="1:33">
      <c r="A172" s="83" t="s">
        <v>354</v>
      </c>
      <c r="B172" s="83" t="s">
        <v>388</v>
      </c>
      <c r="C172" s="84" t="s">
        <v>389</v>
      </c>
      <c r="D172" s="85">
        <v>6.5600000000000001E-4</v>
      </c>
      <c r="E172" s="86">
        <v>2580</v>
      </c>
      <c r="F172" s="5"/>
      <c r="G172" s="77">
        <v>1.3259999999999999E-3</v>
      </c>
      <c r="H172" s="87">
        <v>29555</v>
      </c>
      <c r="I172" s="7"/>
      <c r="J172" s="88">
        <v>32135</v>
      </c>
      <c r="K172" s="89">
        <v>32060</v>
      </c>
      <c r="L172" s="263" t="str">
        <f t="shared" si="10"/>
        <v xml:space="preserve"> </v>
      </c>
      <c r="M172" s="90" t="str">
        <f t="shared" si="14"/>
        <v xml:space="preserve"> </v>
      </c>
      <c r="N172" s="271">
        <f t="shared" si="11"/>
        <v>4809</v>
      </c>
      <c r="Z172" s="82">
        <f t="shared" si="12"/>
        <v>-75</v>
      </c>
      <c r="AA172" s="82">
        <f t="shared" si="13"/>
        <v>-37.5</v>
      </c>
      <c r="AB172" t="s">
        <v>354</v>
      </c>
      <c r="AC172" t="s">
        <v>388</v>
      </c>
      <c r="AD172" t="s">
        <v>389</v>
      </c>
      <c r="AE172">
        <v>29547</v>
      </c>
      <c r="AF172">
        <v>2513</v>
      </c>
      <c r="AG172">
        <v>32060</v>
      </c>
    </row>
    <row r="173" spans="1:33">
      <c r="A173" s="91" t="s">
        <v>354</v>
      </c>
      <c r="B173" s="91" t="s">
        <v>390</v>
      </c>
      <c r="C173" s="92" t="s">
        <v>391</v>
      </c>
      <c r="D173" s="85">
        <v>7.5600000000000005E-4</v>
      </c>
      <c r="E173" s="86">
        <v>2974</v>
      </c>
      <c r="F173" s="5"/>
      <c r="G173" s="77">
        <v>8.3100000000000003E-4</v>
      </c>
      <c r="H173" s="87">
        <v>18522</v>
      </c>
      <c r="I173" s="7"/>
      <c r="J173" s="88">
        <v>21496</v>
      </c>
      <c r="K173" s="89">
        <v>22310</v>
      </c>
      <c r="L173" s="263">
        <f t="shared" si="10"/>
        <v>814</v>
      </c>
      <c r="M173" s="280">
        <f t="shared" si="14"/>
        <v>407</v>
      </c>
      <c r="N173" s="271">
        <f t="shared" si="11"/>
        <v>3347</v>
      </c>
      <c r="Z173" s="82">
        <f t="shared" si="12"/>
        <v>814</v>
      </c>
      <c r="AA173" s="82">
        <f t="shared" si="13"/>
        <v>407</v>
      </c>
      <c r="AB173" t="s">
        <v>354</v>
      </c>
      <c r="AC173" t="s">
        <v>390</v>
      </c>
      <c r="AD173" t="s">
        <v>391</v>
      </c>
      <c r="AE173">
        <v>19015</v>
      </c>
      <c r="AF173">
        <v>3295</v>
      </c>
      <c r="AG173">
        <v>22310</v>
      </c>
    </row>
    <row r="174" spans="1:33">
      <c r="A174" s="91" t="s">
        <v>354</v>
      </c>
      <c r="B174" s="91" t="s">
        <v>392</v>
      </c>
      <c r="C174" s="92" t="s">
        <v>393</v>
      </c>
      <c r="D174" s="85">
        <v>3.0820000000000001E-3</v>
      </c>
      <c r="E174" s="86">
        <v>12123</v>
      </c>
      <c r="F174" s="5"/>
      <c r="G174" s="77">
        <v>3.8300000000000001E-3</v>
      </c>
      <c r="H174" s="87">
        <v>85366</v>
      </c>
      <c r="I174" s="7"/>
      <c r="J174" s="88">
        <v>97489</v>
      </c>
      <c r="K174" s="89">
        <v>98273</v>
      </c>
      <c r="L174" s="263">
        <f t="shared" si="10"/>
        <v>784</v>
      </c>
      <c r="M174" s="280">
        <f t="shared" si="14"/>
        <v>392</v>
      </c>
      <c r="N174" s="271">
        <f t="shared" si="11"/>
        <v>14741</v>
      </c>
      <c r="Z174" s="82">
        <f t="shared" si="12"/>
        <v>784</v>
      </c>
      <c r="AA174" s="82">
        <f t="shared" si="13"/>
        <v>392</v>
      </c>
      <c r="AB174" t="s">
        <v>354</v>
      </c>
      <c r="AC174" t="s">
        <v>392</v>
      </c>
      <c r="AD174" t="s">
        <v>393</v>
      </c>
      <c r="AE174">
        <v>87002</v>
      </c>
      <c r="AF174">
        <v>11271</v>
      </c>
      <c r="AG174">
        <v>98273</v>
      </c>
    </row>
    <row r="175" spans="1:33">
      <c r="A175" s="83" t="s">
        <v>354</v>
      </c>
      <c r="B175" s="83" t="s">
        <v>394</v>
      </c>
      <c r="C175" s="84" t="s">
        <v>395</v>
      </c>
      <c r="D175" s="85">
        <v>1.124E-3</v>
      </c>
      <c r="E175" s="86">
        <v>4421</v>
      </c>
      <c r="F175" s="5"/>
      <c r="G175" s="77">
        <v>1.108E-3</v>
      </c>
      <c r="H175" s="87">
        <v>24696</v>
      </c>
      <c r="I175" s="7"/>
      <c r="J175" s="88">
        <v>29117</v>
      </c>
      <c r="K175" s="89">
        <v>28512</v>
      </c>
      <c r="L175" s="263" t="str">
        <f t="shared" si="10"/>
        <v xml:space="preserve"> </v>
      </c>
      <c r="M175" s="90" t="str">
        <f t="shared" si="14"/>
        <v xml:space="preserve"> </v>
      </c>
      <c r="N175" s="271">
        <f t="shared" si="11"/>
        <v>4277</v>
      </c>
      <c r="Z175" s="82">
        <f t="shared" si="12"/>
        <v>-605</v>
      </c>
      <c r="AA175" s="82">
        <f t="shared" si="13"/>
        <v>-302.5</v>
      </c>
      <c r="AB175" t="s">
        <v>354</v>
      </c>
      <c r="AC175" t="s">
        <v>394</v>
      </c>
      <c r="AD175" t="s">
        <v>395</v>
      </c>
      <c r="AE175">
        <v>24133</v>
      </c>
      <c r="AF175">
        <v>4379</v>
      </c>
      <c r="AG175">
        <v>28512</v>
      </c>
    </row>
    <row r="176" spans="1:33">
      <c r="A176" s="91" t="s">
        <v>354</v>
      </c>
      <c r="B176" s="91" t="s">
        <v>396</v>
      </c>
      <c r="C176" s="92" t="s">
        <v>397</v>
      </c>
      <c r="D176" s="85">
        <v>1.9580000000000001E-3</v>
      </c>
      <c r="E176" s="86">
        <v>7702</v>
      </c>
      <c r="F176" s="5"/>
      <c r="G176" s="77">
        <v>2.4840000000000001E-3</v>
      </c>
      <c r="H176" s="87">
        <v>55365</v>
      </c>
      <c r="I176" s="7"/>
      <c r="J176" s="88">
        <v>63067</v>
      </c>
      <c r="K176" s="89">
        <v>63094</v>
      </c>
      <c r="L176" s="263">
        <f t="shared" si="10"/>
        <v>27</v>
      </c>
      <c r="M176" s="280">
        <f t="shared" si="14"/>
        <v>14</v>
      </c>
      <c r="N176" s="271">
        <f t="shared" si="11"/>
        <v>9464</v>
      </c>
      <c r="Z176" s="82">
        <f t="shared" si="12"/>
        <v>27</v>
      </c>
      <c r="AA176" s="82">
        <f t="shared" si="13"/>
        <v>13.5</v>
      </c>
      <c r="AB176" t="s">
        <v>354</v>
      </c>
      <c r="AC176" t="s">
        <v>396</v>
      </c>
      <c r="AD176" t="s">
        <v>397</v>
      </c>
      <c r="AE176">
        <v>55636</v>
      </c>
      <c r="AF176">
        <v>7458</v>
      </c>
      <c r="AG176">
        <v>63094</v>
      </c>
    </row>
    <row r="177" spans="1:33">
      <c r="A177" s="91" t="s">
        <v>354</v>
      </c>
      <c r="B177" s="91" t="s">
        <v>398</v>
      </c>
      <c r="C177" s="92" t="s">
        <v>399</v>
      </c>
      <c r="D177" s="85">
        <v>1.624E-3</v>
      </c>
      <c r="E177" s="86">
        <v>6388</v>
      </c>
      <c r="F177" s="5"/>
      <c r="G177" s="77">
        <v>2.1580000000000002E-3</v>
      </c>
      <c r="H177" s="87">
        <v>48099</v>
      </c>
      <c r="I177" s="7"/>
      <c r="J177" s="88">
        <v>54487</v>
      </c>
      <c r="K177" s="89">
        <v>56249</v>
      </c>
      <c r="L177" s="263">
        <f t="shared" si="10"/>
        <v>1762</v>
      </c>
      <c r="M177" s="280">
        <f t="shared" si="14"/>
        <v>881</v>
      </c>
      <c r="N177" s="271">
        <f t="shared" si="11"/>
        <v>8437</v>
      </c>
      <c r="Z177" s="82">
        <f t="shared" si="12"/>
        <v>1762</v>
      </c>
      <c r="AA177" s="82">
        <f t="shared" si="13"/>
        <v>881</v>
      </c>
      <c r="AB177" t="s">
        <v>354</v>
      </c>
      <c r="AC177" t="s">
        <v>398</v>
      </c>
      <c r="AD177" t="s">
        <v>399</v>
      </c>
      <c r="AE177">
        <v>49313</v>
      </c>
      <c r="AF177">
        <v>6936</v>
      </c>
      <c r="AG177">
        <v>56249</v>
      </c>
    </row>
    <row r="178" spans="1:33">
      <c r="A178" s="91" t="s">
        <v>354</v>
      </c>
      <c r="B178" s="91" t="s">
        <v>400</v>
      </c>
      <c r="C178" s="92" t="s">
        <v>401</v>
      </c>
      <c r="D178" s="85">
        <v>1.0679999999999999E-3</v>
      </c>
      <c r="E178" s="86">
        <v>4201</v>
      </c>
      <c r="F178" s="5"/>
      <c r="G178" s="77">
        <v>2.14E-3</v>
      </c>
      <c r="H178" s="87">
        <v>47698</v>
      </c>
      <c r="I178" s="7"/>
      <c r="J178" s="88">
        <v>51899</v>
      </c>
      <c r="K178" s="89">
        <v>52594</v>
      </c>
      <c r="L178" s="263">
        <f t="shared" si="10"/>
        <v>695</v>
      </c>
      <c r="M178" s="280">
        <f t="shared" si="14"/>
        <v>348</v>
      </c>
      <c r="N178" s="271">
        <f t="shared" si="11"/>
        <v>7889</v>
      </c>
      <c r="Z178" s="82">
        <f t="shared" si="12"/>
        <v>695</v>
      </c>
      <c r="AA178" s="82">
        <f t="shared" si="13"/>
        <v>347.5</v>
      </c>
      <c r="AB178" t="s">
        <v>354</v>
      </c>
      <c r="AC178" t="s">
        <v>400</v>
      </c>
      <c r="AD178" t="s">
        <v>401</v>
      </c>
      <c r="AE178">
        <v>48130</v>
      </c>
      <c r="AF178">
        <v>4464</v>
      </c>
      <c r="AG178">
        <v>52594</v>
      </c>
    </row>
    <row r="179" spans="1:33">
      <c r="A179" s="91" t="s">
        <v>354</v>
      </c>
      <c r="B179" s="91" t="s">
        <v>402</v>
      </c>
      <c r="C179" s="92" t="s">
        <v>403</v>
      </c>
      <c r="D179" s="85">
        <v>8.6799999999999996E-4</v>
      </c>
      <c r="E179" s="86">
        <v>3414</v>
      </c>
      <c r="F179" s="5"/>
      <c r="G179" s="77">
        <v>1.4790000000000001E-3</v>
      </c>
      <c r="H179" s="87">
        <v>32965</v>
      </c>
      <c r="I179" s="7"/>
      <c r="J179" s="88">
        <v>36379</v>
      </c>
      <c r="K179" s="89">
        <v>35270</v>
      </c>
      <c r="L179" s="263" t="str">
        <f t="shared" si="10"/>
        <v xml:space="preserve"> </v>
      </c>
      <c r="M179" s="280" t="str">
        <f t="shared" si="14"/>
        <v xml:space="preserve"> </v>
      </c>
      <c r="N179" s="271">
        <f t="shared" si="11"/>
        <v>5291</v>
      </c>
      <c r="Z179" s="82">
        <f t="shared" si="12"/>
        <v>-1109</v>
      </c>
      <c r="AA179" s="82">
        <f t="shared" si="13"/>
        <v>-554.5</v>
      </c>
      <c r="AB179" t="s">
        <v>354</v>
      </c>
      <c r="AC179" t="s">
        <v>402</v>
      </c>
      <c r="AD179" t="s">
        <v>403</v>
      </c>
      <c r="AE179">
        <v>31890</v>
      </c>
      <c r="AF179">
        <v>3380</v>
      </c>
      <c r="AG179">
        <v>35270</v>
      </c>
    </row>
    <row r="180" spans="1:33">
      <c r="A180" s="91" t="s">
        <v>354</v>
      </c>
      <c r="B180" s="91" t="s">
        <v>404</v>
      </c>
      <c r="C180" s="92" t="s">
        <v>405</v>
      </c>
      <c r="D180" s="85">
        <v>3.8900000000000002E-4</v>
      </c>
      <c r="E180" s="86">
        <v>1530</v>
      </c>
      <c r="F180" s="5"/>
      <c r="G180" s="77">
        <v>4.55E-4</v>
      </c>
      <c r="H180" s="87">
        <v>10141</v>
      </c>
      <c r="I180" s="7"/>
      <c r="J180" s="88">
        <v>11671</v>
      </c>
      <c r="K180" s="89">
        <v>11267</v>
      </c>
      <c r="L180" s="263" t="str">
        <f t="shared" si="10"/>
        <v xml:space="preserve"> </v>
      </c>
      <c r="M180" s="280" t="str">
        <f t="shared" si="14"/>
        <v xml:space="preserve"> </v>
      </c>
      <c r="N180" s="271">
        <f t="shared" si="11"/>
        <v>1690</v>
      </c>
      <c r="Z180" s="82">
        <f t="shared" si="12"/>
        <v>-404</v>
      </c>
      <c r="AA180" s="82">
        <f t="shared" si="13"/>
        <v>-202</v>
      </c>
      <c r="AB180" t="s">
        <v>354</v>
      </c>
      <c r="AC180" t="s">
        <v>404</v>
      </c>
      <c r="AD180" t="s">
        <v>405</v>
      </c>
      <c r="AE180">
        <v>9621</v>
      </c>
      <c r="AF180">
        <v>1646</v>
      </c>
      <c r="AG180">
        <v>11267</v>
      </c>
    </row>
    <row r="181" spans="1:33">
      <c r="A181" s="83" t="s">
        <v>354</v>
      </c>
      <c r="B181" s="83" t="s">
        <v>406</v>
      </c>
      <c r="C181" s="84" t="s">
        <v>407</v>
      </c>
      <c r="D181" s="85">
        <v>5.7799999999999995E-4</v>
      </c>
      <c r="E181" s="86">
        <v>2273</v>
      </c>
      <c r="F181" s="5"/>
      <c r="G181" s="77">
        <v>2.4889999999999999E-3</v>
      </c>
      <c r="H181" s="87">
        <v>55477</v>
      </c>
      <c r="I181" s="7"/>
      <c r="J181" s="88">
        <v>57750</v>
      </c>
      <c r="K181" s="89">
        <v>58488</v>
      </c>
      <c r="L181" s="263">
        <f t="shared" si="10"/>
        <v>738</v>
      </c>
      <c r="M181" s="231">
        <f t="shared" si="14"/>
        <v>369</v>
      </c>
      <c r="N181" s="271">
        <f t="shared" si="11"/>
        <v>8773</v>
      </c>
      <c r="Z181" s="82">
        <f t="shared" si="12"/>
        <v>738</v>
      </c>
      <c r="AA181" s="82">
        <f t="shared" si="13"/>
        <v>369</v>
      </c>
      <c r="AB181" t="s">
        <v>354</v>
      </c>
      <c r="AC181" t="s">
        <v>406</v>
      </c>
      <c r="AD181" t="s">
        <v>407</v>
      </c>
      <c r="AE181">
        <v>56842</v>
      </c>
      <c r="AF181">
        <v>1646</v>
      </c>
      <c r="AG181">
        <v>58488</v>
      </c>
    </row>
    <row r="182" spans="1:33">
      <c r="A182" s="91" t="s">
        <v>354</v>
      </c>
      <c r="B182" s="91" t="s">
        <v>408</v>
      </c>
      <c r="C182" s="92" t="s">
        <v>409</v>
      </c>
      <c r="D182" s="85">
        <v>5.1199999999999998E-4</v>
      </c>
      <c r="E182" s="86">
        <v>2014</v>
      </c>
      <c r="F182" s="5"/>
      <c r="G182" s="77">
        <v>8.1099999999999998E-4</v>
      </c>
      <c r="H182" s="87">
        <v>18076</v>
      </c>
      <c r="I182" s="7"/>
      <c r="J182" s="88">
        <v>20090</v>
      </c>
      <c r="K182" s="89">
        <v>19427</v>
      </c>
      <c r="L182" s="263" t="str">
        <f t="shared" si="10"/>
        <v xml:space="preserve"> </v>
      </c>
      <c r="M182" s="280" t="str">
        <f t="shared" si="14"/>
        <v xml:space="preserve"> </v>
      </c>
      <c r="N182" s="271">
        <f t="shared" si="11"/>
        <v>2914</v>
      </c>
      <c r="Z182" s="82">
        <f t="shared" si="12"/>
        <v>-663</v>
      </c>
      <c r="AA182" s="82">
        <f t="shared" si="13"/>
        <v>-331.5</v>
      </c>
      <c r="AB182" t="s">
        <v>354</v>
      </c>
      <c r="AC182" t="s">
        <v>408</v>
      </c>
      <c r="AD182" t="s">
        <v>409</v>
      </c>
      <c r="AE182">
        <v>17605</v>
      </c>
      <c r="AF182">
        <v>1822</v>
      </c>
      <c r="AG182">
        <v>19427</v>
      </c>
    </row>
    <row r="183" spans="1:33">
      <c r="A183" s="83" t="s">
        <v>354</v>
      </c>
      <c r="B183" s="83" t="s">
        <v>410</v>
      </c>
      <c r="C183" s="84" t="s">
        <v>411</v>
      </c>
      <c r="D183" s="85">
        <v>1.402E-3</v>
      </c>
      <c r="E183" s="86">
        <v>5515</v>
      </c>
      <c r="F183" s="5"/>
      <c r="G183" s="77">
        <v>1.668E-3</v>
      </c>
      <c r="H183" s="87">
        <v>37178</v>
      </c>
      <c r="I183" s="7"/>
      <c r="J183" s="88">
        <v>42693</v>
      </c>
      <c r="K183" s="89">
        <v>43083</v>
      </c>
      <c r="L183" s="263">
        <f t="shared" si="10"/>
        <v>390</v>
      </c>
      <c r="M183" s="231">
        <f t="shared" si="14"/>
        <v>195</v>
      </c>
      <c r="N183" s="271">
        <f t="shared" si="11"/>
        <v>6462</v>
      </c>
      <c r="Z183" s="82">
        <f t="shared" si="12"/>
        <v>390</v>
      </c>
      <c r="AA183" s="82">
        <f t="shared" si="13"/>
        <v>195</v>
      </c>
      <c r="AB183" t="s">
        <v>354</v>
      </c>
      <c r="AC183" t="s">
        <v>410</v>
      </c>
      <c r="AD183" t="s">
        <v>411</v>
      </c>
      <c r="AE183">
        <v>37576</v>
      </c>
      <c r="AF183">
        <v>5507</v>
      </c>
      <c r="AG183">
        <v>43083</v>
      </c>
    </row>
    <row r="184" spans="1:33">
      <c r="A184" s="91" t="s">
        <v>354</v>
      </c>
      <c r="B184" s="91" t="s">
        <v>412</v>
      </c>
      <c r="C184" s="92" t="s">
        <v>413</v>
      </c>
      <c r="D184" s="85">
        <v>3.0040000000000002E-3</v>
      </c>
      <c r="E184" s="86">
        <v>11816</v>
      </c>
      <c r="F184" s="5"/>
      <c r="G184" s="77">
        <v>3.4610000000000001E-3</v>
      </c>
      <c r="H184" s="87">
        <v>77141</v>
      </c>
      <c r="I184" s="7"/>
      <c r="J184" s="88">
        <v>88957</v>
      </c>
      <c r="K184" s="89">
        <v>88052</v>
      </c>
      <c r="L184" s="263" t="str">
        <f t="shared" si="10"/>
        <v xml:space="preserve"> </v>
      </c>
      <c r="M184" s="280" t="str">
        <f t="shared" si="14"/>
        <v xml:space="preserve"> </v>
      </c>
      <c r="N184" s="271">
        <f t="shared" si="11"/>
        <v>13208</v>
      </c>
      <c r="Z184" s="82">
        <f t="shared" si="12"/>
        <v>-905</v>
      </c>
      <c r="AA184" s="82">
        <f t="shared" si="13"/>
        <v>-452.5</v>
      </c>
      <c r="AB184" t="s">
        <v>354</v>
      </c>
      <c r="AC184" t="s">
        <v>412</v>
      </c>
      <c r="AD184" t="s">
        <v>413</v>
      </c>
      <c r="AE184">
        <v>76608</v>
      </c>
      <c r="AF184">
        <v>11444</v>
      </c>
      <c r="AG184">
        <v>88052</v>
      </c>
    </row>
    <row r="185" spans="1:33">
      <c r="A185" s="91" t="s">
        <v>354</v>
      </c>
      <c r="B185" s="91" t="s">
        <v>414</v>
      </c>
      <c r="C185" s="92" t="s">
        <v>415</v>
      </c>
      <c r="D185" s="85">
        <v>3.9830000000000004E-3</v>
      </c>
      <c r="E185" s="86">
        <v>15667</v>
      </c>
      <c r="F185" s="5"/>
      <c r="G185" s="77">
        <v>3.6380000000000002E-3</v>
      </c>
      <c r="H185" s="87">
        <v>81086</v>
      </c>
      <c r="I185" s="7"/>
      <c r="J185" s="88">
        <v>96753</v>
      </c>
      <c r="K185" s="89">
        <v>98620</v>
      </c>
      <c r="L185" s="263">
        <f t="shared" si="10"/>
        <v>1867</v>
      </c>
      <c r="M185" s="280">
        <f t="shared" si="14"/>
        <v>934</v>
      </c>
      <c r="N185" s="271">
        <f t="shared" si="11"/>
        <v>14793</v>
      </c>
      <c r="Z185" s="82">
        <f t="shared" si="12"/>
        <v>1867</v>
      </c>
      <c r="AA185" s="82">
        <f t="shared" si="13"/>
        <v>933.5</v>
      </c>
      <c r="AB185" t="s">
        <v>354</v>
      </c>
      <c r="AC185" t="s">
        <v>414</v>
      </c>
      <c r="AD185" t="s">
        <v>415</v>
      </c>
      <c r="AE185">
        <v>82408</v>
      </c>
      <c r="AF185">
        <v>16212</v>
      </c>
      <c r="AG185">
        <v>98620</v>
      </c>
    </row>
    <row r="186" spans="1:33">
      <c r="A186" s="91" t="s">
        <v>354</v>
      </c>
      <c r="B186" s="91" t="s">
        <v>416</v>
      </c>
      <c r="C186" s="92" t="s">
        <v>417</v>
      </c>
      <c r="D186" s="85">
        <v>1.0460000000000001E-3</v>
      </c>
      <c r="E186" s="86">
        <v>4114</v>
      </c>
      <c r="F186" s="5"/>
      <c r="G186" s="77">
        <v>1.65E-3</v>
      </c>
      <c r="H186" s="87">
        <v>36776</v>
      </c>
      <c r="I186" s="7"/>
      <c r="J186" s="88">
        <v>40890</v>
      </c>
      <c r="K186" s="89">
        <v>40001</v>
      </c>
      <c r="L186" s="263" t="str">
        <f t="shared" si="10"/>
        <v xml:space="preserve"> </v>
      </c>
      <c r="M186" s="280" t="str">
        <f t="shared" si="14"/>
        <v xml:space="preserve"> </v>
      </c>
      <c r="N186" s="271">
        <f t="shared" si="11"/>
        <v>6000</v>
      </c>
      <c r="Z186" s="82">
        <f t="shared" si="12"/>
        <v>-889</v>
      </c>
      <c r="AA186" s="82">
        <f t="shared" si="13"/>
        <v>-444.5</v>
      </c>
      <c r="AB186" t="s">
        <v>354</v>
      </c>
      <c r="AC186" t="s">
        <v>416</v>
      </c>
      <c r="AD186" t="s">
        <v>417</v>
      </c>
      <c r="AE186">
        <v>36621</v>
      </c>
      <c r="AF186">
        <v>3380</v>
      </c>
      <c r="AG186">
        <v>40001</v>
      </c>
    </row>
    <row r="187" spans="1:33" ht="15.75" thickBot="1">
      <c r="A187" s="93" t="s">
        <v>354</v>
      </c>
      <c r="B187" s="93" t="s">
        <v>418</v>
      </c>
      <c r="C187" s="94" t="s">
        <v>419</v>
      </c>
      <c r="D187" s="95">
        <v>1.658E-3</v>
      </c>
      <c r="E187" s="96">
        <v>6522</v>
      </c>
      <c r="F187" s="97"/>
      <c r="G187" s="98">
        <v>2.4320000000000001E-3</v>
      </c>
      <c r="H187" s="99">
        <v>54206</v>
      </c>
      <c r="I187" s="7"/>
      <c r="J187" s="100">
        <v>60728</v>
      </c>
      <c r="K187" s="101">
        <v>61035</v>
      </c>
      <c r="L187" s="264">
        <f t="shared" si="10"/>
        <v>307</v>
      </c>
      <c r="M187" s="281">
        <f t="shared" si="14"/>
        <v>154</v>
      </c>
      <c r="N187" s="102">
        <f t="shared" si="11"/>
        <v>9155</v>
      </c>
      <c r="Z187" s="82">
        <f t="shared" si="12"/>
        <v>307</v>
      </c>
      <c r="AA187" s="82">
        <f t="shared" si="13"/>
        <v>153.5</v>
      </c>
      <c r="AB187" t="s">
        <v>354</v>
      </c>
      <c r="AC187" t="s">
        <v>418</v>
      </c>
      <c r="AD187" t="s">
        <v>419</v>
      </c>
      <c r="AE187">
        <v>54271</v>
      </c>
      <c r="AF187">
        <v>6764</v>
      </c>
      <c r="AG187">
        <v>61035</v>
      </c>
    </row>
    <row r="188" spans="1:33">
      <c r="A188" s="91" t="s">
        <v>420</v>
      </c>
      <c r="B188" s="91" t="s">
        <v>421</v>
      </c>
      <c r="C188" s="92" t="s">
        <v>422</v>
      </c>
      <c r="D188" s="85">
        <v>6.3400000000000001E-4</v>
      </c>
      <c r="E188" s="86">
        <v>2494</v>
      </c>
      <c r="F188" s="5"/>
      <c r="G188" s="103">
        <v>6.9099999999999999E-4</v>
      </c>
      <c r="H188" s="78">
        <v>15401</v>
      </c>
      <c r="I188" s="7"/>
      <c r="J188" s="79">
        <v>17895</v>
      </c>
      <c r="K188" s="80">
        <v>18739</v>
      </c>
      <c r="L188" s="263">
        <f t="shared" si="10"/>
        <v>844</v>
      </c>
      <c r="M188" s="280">
        <f t="shared" si="14"/>
        <v>422</v>
      </c>
      <c r="N188" s="81">
        <f t="shared" si="11"/>
        <v>2811</v>
      </c>
      <c r="Z188" s="82">
        <f t="shared" si="12"/>
        <v>844</v>
      </c>
      <c r="AA188" s="82">
        <f t="shared" si="13"/>
        <v>422</v>
      </c>
      <c r="AB188" t="s">
        <v>420</v>
      </c>
      <c r="AC188" t="s">
        <v>421</v>
      </c>
      <c r="AD188" t="s">
        <v>422</v>
      </c>
      <c r="AE188">
        <v>15877</v>
      </c>
      <c r="AF188">
        <v>2862</v>
      </c>
      <c r="AG188">
        <v>18739</v>
      </c>
    </row>
    <row r="189" spans="1:33">
      <c r="A189" s="91" t="s">
        <v>420</v>
      </c>
      <c r="B189" s="91" t="s">
        <v>423</v>
      </c>
      <c r="C189" s="92" t="s">
        <v>424</v>
      </c>
      <c r="D189" s="85">
        <v>1.7129999999999999E-3</v>
      </c>
      <c r="E189" s="86">
        <v>6738</v>
      </c>
      <c r="F189" s="5"/>
      <c r="G189" s="77">
        <v>2.8149999999999998E-3</v>
      </c>
      <c r="H189" s="87">
        <v>62743</v>
      </c>
      <c r="I189" s="7"/>
      <c r="J189" s="88">
        <v>69481</v>
      </c>
      <c r="K189" s="89">
        <v>72282</v>
      </c>
      <c r="L189" s="263">
        <f t="shared" si="10"/>
        <v>2801</v>
      </c>
      <c r="M189" s="280">
        <f t="shared" si="14"/>
        <v>1401</v>
      </c>
      <c r="N189" s="271">
        <f t="shared" si="11"/>
        <v>10842</v>
      </c>
      <c r="Z189" s="82">
        <f t="shared" si="12"/>
        <v>2801</v>
      </c>
      <c r="AA189" s="82">
        <f t="shared" si="13"/>
        <v>1400.5</v>
      </c>
      <c r="AB189" t="s">
        <v>420</v>
      </c>
      <c r="AC189" t="s">
        <v>423</v>
      </c>
      <c r="AD189" t="s">
        <v>424</v>
      </c>
      <c r="AE189">
        <v>65258</v>
      </c>
      <c r="AF189">
        <v>7024</v>
      </c>
      <c r="AG189">
        <v>72282</v>
      </c>
    </row>
    <row r="190" spans="1:33">
      <c r="A190" s="91" t="s">
        <v>420</v>
      </c>
      <c r="B190" s="91" t="s">
        <v>425</v>
      </c>
      <c r="C190" s="92" t="s">
        <v>426</v>
      </c>
      <c r="D190" s="85">
        <v>6.0629999999999998E-3</v>
      </c>
      <c r="E190" s="86">
        <v>23848</v>
      </c>
      <c r="F190" s="5"/>
      <c r="G190" s="77">
        <v>8.7419999999999998E-3</v>
      </c>
      <c r="H190" s="87">
        <v>194848</v>
      </c>
      <c r="I190" s="7"/>
      <c r="J190" s="88">
        <v>218696</v>
      </c>
      <c r="K190" s="89">
        <v>224118</v>
      </c>
      <c r="L190" s="263">
        <f t="shared" si="10"/>
        <v>5422</v>
      </c>
      <c r="M190" s="280">
        <f t="shared" si="14"/>
        <v>2711</v>
      </c>
      <c r="N190" s="271">
        <f t="shared" si="11"/>
        <v>33618</v>
      </c>
      <c r="Z190" s="82">
        <f t="shared" si="12"/>
        <v>5422</v>
      </c>
      <c r="AA190" s="82">
        <f t="shared" si="13"/>
        <v>2711</v>
      </c>
      <c r="AB190" t="s">
        <v>420</v>
      </c>
      <c r="AC190" t="s">
        <v>425</v>
      </c>
      <c r="AD190" t="s">
        <v>426</v>
      </c>
      <c r="AE190">
        <v>196546</v>
      </c>
      <c r="AF190">
        <v>27572</v>
      </c>
      <c r="AG190">
        <v>224118</v>
      </c>
    </row>
    <row r="191" spans="1:33">
      <c r="A191" s="91" t="s">
        <v>420</v>
      </c>
      <c r="B191" s="91" t="s">
        <v>427</v>
      </c>
      <c r="C191" s="107" t="s">
        <v>428</v>
      </c>
      <c r="D191" s="85">
        <v>5.8849999999999996E-3</v>
      </c>
      <c r="E191" s="86">
        <v>23148</v>
      </c>
      <c r="F191" s="5"/>
      <c r="G191" s="77">
        <v>1.7680000000000001E-2</v>
      </c>
      <c r="H191" s="87">
        <v>394064</v>
      </c>
      <c r="I191" s="7"/>
      <c r="J191" s="88">
        <v>417212</v>
      </c>
      <c r="K191" s="89">
        <v>445117</v>
      </c>
      <c r="L191" s="263">
        <f t="shared" si="10"/>
        <v>27905</v>
      </c>
      <c r="M191" s="232">
        <f t="shared" si="14"/>
        <v>13953</v>
      </c>
      <c r="N191" s="108">
        <f t="shared" si="11"/>
        <v>66768</v>
      </c>
      <c r="Z191" s="82">
        <f t="shared" si="12"/>
        <v>27905</v>
      </c>
      <c r="AA191" s="82">
        <f t="shared" si="13"/>
        <v>13952.5</v>
      </c>
      <c r="AB191" t="s">
        <v>420</v>
      </c>
      <c r="AC191" t="s">
        <v>427</v>
      </c>
      <c r="AD191" t="s">
        <v>428</v>
      </c>
      <c r="AE191">
        <v>417589</v>
      </c>
      <c r="AF191">
        <v>27528</v>
      </c>
      <c r="AG191">
        <v>445117</v>
      </c>
    </row>
    <row r="192" spans="1:33">
      <c r="A192" s="91" t="s">
        <v>420</v>
      </c>
      <c r="B192" s="91" t="s">
        <v>429</v>
      </c>
      <c r="C192" s="92" t="s">
        <v>430</v>
      </c>
      <c r="D192" s="85">
        <v>9.2299999999999999E-4</v>
      </c>
      <c r="E192" s="86">
        <v>3630</v>
      </c>
      <c r="F192" s="5"/>
      <c r="G192" s="77">
        <v>1.147E-3</v>
      </c>
      <c r="H192" s="87">
        <v>25565</v>
      </c>
      <c r="I192" s="7"/>
      <c r="J192" s="88">
        <v>29195</v>
      </c>
      <c r="K192" s="89">
        <v>28559</v>
      </c>
      <c r="L192" s="263" t="str">
        <f t="shared" si="10"/>
        <v xml:space="preserve"> </v>
      </c>
      <c r="M192" s="280" t="str">
        <f t="shared" si="14"/>
        <v xml:space="preserve"> </v>
      </c>
      <c r="N192" s="271">
        <f t="shared" si="11"/>
        <v>4284</v>
      </c>
      <c r="Z192" s="82">
        <f t="shared" si="12"/>
        <v>-636</v>
      </c>
      <c r="AA192" s="82">
        <f t="shared" si="13"/>
        <v>-318</v>
      </c>
      <c r="AB192" t="s">
        <v>420</v>
      </c>
      <c r="AC192" t="s">
        <v>429</v>
      </c>
      <c r="AD192" t="s">
        <v>430</v>
      </c>
      <c r="AE192">
        <v>24702</v>
      </c>
      <c r="AF192">
        <v>3857</v>
      </c>
      <c r="AG192">
        <v>28559</v>
      </c>
    </row>
    <row r="193" spans="1:33">
      <c r="A193" s="91" t="s">
        <v>420</v>
      </c>
      <c r="B193" s="91" t="s">
        <v>431</v>
      </c>
      <c r="C193" s="92" t="s">
        <v>432</v>
      </c>
      <c r="D193" s="85">
        <v>1.913E-3</v>
      </c>
      <c r="E193" s="86">
        <v>7525</v>
      </c>
      <c r="F193" s="5"/>
      <c r="G193" s="77">
        <v>3.0249999999999999E-3</v>
      </c>
      <c r="H193" s="87">
        <v>67423</v>
      </c>
      <c r="I193" s="7"/>
      <c r="J193" s="88">
        <v>74948</v>
      </c>
      <c r="K193" s="89">
        <v>75812</v>
      </c>
      <c r="L193" s="263">
        <f t="shared" si="10"/>
        <v>864</v>
      </c>
      <c r="M193" s="280">
        <f t="shared" si="14"/>
        <v>432</v>
      </c>
      <c r="N193" s="271">
        <f t="shared" si="11"/>
        <v>11372</v>
      </c>
      <c r="Z193" s="82">
        <f t="shared" si="12"/>
        <v>864</v>
      </c>
      <c r="AA193" s="82">
        <f t="shared" si="13"/>
        <v>432</v>
      </c>
      <c r="AB193" t="s">
        <v>420</v>
      </c>
      <c r="AC193" t="s">
        <v>431</v>
      </c>
      <c r="AD193" t="s">
        <v>432</v>
      </c>
      <c r="AE193">
        <v>68442</v>
      </c>
      <c r="AF193">
        <v>7370</v>
      </c>
      <c r="AG193">
        <v>75812</v>
      </c>
    </row>
    <row r="194" spans="1:33">
      <c r="A194" s="91" t="s">
        <v>420</v>
      </c>
      <c r="B194" s="91" t="s">
        <v>433</v>
      </c>
      <c r="C194" s="92" t="s">
        <v>434</v>
      </c>
      <c r="D194" s="85">
        <v>6.2299999999999996E-4</v>
      </c>
      <c r="E194" s="86">
        <v>2450</v>
      </c>
      <c r="F194" s="5"/>
      <c r="G194" s="77">
        <v>7.9600000000000005E-4</v>
      </c>
      <c r="H194" s="87">
        <v>17742</v>
      </c>
      <c r="I194" s="7"/>
      <c r="J194" s="88">
        <v>20192</v>
      </c>
      <c r="K194" s="89">
        <v>19627</v>
      </c>
      <c r="L194" s="263" t="str">
        <f t="shared" si="10"/>
        <v xml:space="preserve"> </v>
      </c>
      <c r="M194" s="280" t="str">
        <f t="shared" si="14"/>
        <v xml:space="preserve"> </v>
      </c>
      <c r="N194" s="271">
        <f t="shared" si="11"/>
        <v>2944</v>
      </c>
      <c r="Z194" s="82">
        <f t="shared" si="12"/>
        <v>-565</v>
      </c>
      <c r="AA194" s="82">
        <f t="shared" si="13"/>
        <v>-282.5</v>
      </c>
      <c r="AB194" t="s">
        <v>420</v>
      </c>
      <c r="AC194" t="s">
        <v>433</v>
      </c>
      <c r="AD194" t="s">
        <v>434</v>
      </c>
      <c r="AE194">
        <v>17287</v>
      </c>
      <c r="AF194">
        <v>2340</v>
      </c>
      <c r="AG194">
        <v>19627</v>
      </c>
    </row>
    <row r="195" spans="1:33">
      <c r="A195" s="91" t="s">
        <v>420</v>
      </c>
      <c r="B195" s="91" t="s">
        <v>435</v>
      </c>
      <c r="C195" s="92" t="s">
        <v>436</v>
      </c>
      <c r="D195" s="85">
        <v>1.6459999999999999E-3</v>
      </c>
      <c r="E195" s="86">
        <v>6474</v>
      </c>
      <c r="F195" s="5"/>
      <c r="G195" s="77">
        <v>2.6679999999999998E-3</v>
      </c>
      <c r="H195" s="87">
        <v>59466</v>
      </c>
      <c r="I195" s="7"/>
      <c r="J195" s="88">
        <v>65940</v>
      </c>
      <c r="K195" s="89">
        <v>69816</v>
      </c>
      <c r="L195" s="263">
        <f t="shared" si="10"/>
        <v>3876</v>
      </c>
      <c r="M195" s="280">
        <f t="shared" si="14"/>
        <v>1938</v>
      </c>
      <c r="N195" s="271">
        <f t="shared" si="11"/>
        <v>10472</v>
      </c>
      <c r="Z195" s="82">
        <f t="shared" si="12"/>
        <v>3876</v>
      </c>
      <c r="AA195" s="82">
        <f t="shared" si="13"/>
        <v>1938</v>
      </c>
      <c r="AB195" t="s">
        <v>420</v>
      </c>
      <c r="AC195" t="s">
        <v>435</v>
      </c>
      <c r="AD195" t="s">
        <v>436</v>
      </c>
      <c r="AE195">
        <v>63097</v>
      </c>
      <c r="AF195">
        <v>6719</v>
      </c>
      <c r="AG195">
        <v>69816</v>
      </c>
    </row>
    <row r="196" spans="1:33">
      <c r="A196" s="91" t="s">
        <v>420</v>
      </c>
      <c r="B196" s="91" t="s">
        <v>437</v>
      </c>
      <c r="C196" s="92" t="s">
        <v>438</v>
      </c>
      <c r="D196" s="85">
        <v>4.3270000000000001E-3</v>
      </c>
      <c r="E196" s="86">
        <v>17024</v>
      </c>
      <c r="F196" s="5"/>
      <c r="G196" s="77">
        <v>4.6439999999999997E-3</v>
      </c>
      <c r="H196" s="87">
        <v>103509</v>
      </c>
      <c r="I196" s="7"/>
      <c r="J196" s="88">
        <v>120533</v>
      </c>
      <c r="K196" s="89">
        <v>126172</v>
      </c>
      <c r="L196" s="263">
        <f t="shared" si="10"/>
        <v>5639</v>
      </c>
      <c r="M196" s="280">
        <f t="shared" si="14"/>
        <v>2820</v>
      </c>
      <c r="N196" s="271">
        <f t="shared" si="11"/>
        <v>18926</v>
      </c>
      <c r="Z196" s="82">
        <f t="shared" si="12"/>
        <v>5639</v>
      </c>
      <c r="AA196" s="82">
        <f t="shared" si="13"/>
        <v>2819.5</v>
      </c>
      <c r="AB196" t="s">
        <v>420</v>
      </c>
      <c r="AC196" t="s">
        <v>437</v>
      </c>
      <c r="AD196" t="s">
        <v>438</v>
      </c>
      <c r="AE196">
        <v>106837</v>
      </c>
      <c r="AF196">
        <v>19335</v>
      </c>
      <c r="AG196">
        <v>126172</v>
      </c>
    </row>
    <row r="197" spans="1:33">
      <c r="A197" s="91" t="s">
        <v>420</v>
      </c>
      <c r="B197" s="91" t="s">
        <v>439</v>
      </c>
      <c r="C197" s="92" t="s">
        <v>440</v>
      </c>
      <c r="D197" s="85">
        <v>2.3470000000000001E-3</v>
      </c>
      <c r="E197" s="86">
        <v>9232</v>
      </c>
      <c r="F197" s="5"/>
      <c r="G197" s="77">
        <v>3.571E-3</v>
      </c>
      <c r="H197" s="87">
        <v>79593</v>
      </c>
      <c r="I197" s="7"/>
      <c r="J197" s="88">
        <v>88825</v>
      </c>
      <c r="K197" s="89">
        <v>92552</v>
      </c>
      <c r="L197" s="263">
        <f t="shared" si="10"/>
        <v>3727</v>
      </c>
      <c r="M197" s="280">
        <f t="shared" si="14"/>
        <v>1864</v>
      </c>
      <c r="N197" s="271">
        <f t="shared" si="11"/>
        <v>13883</v>
      </c>
      <c r="Z197" s="82">
        <f t="shared" si="12"/>
        <v>3727</v>
      </c>
      <c r="AA197" s="82">
        <f t="shared" si="13"/>
        <v>1863.5</v>
      </c>
      <c r="AB197" t="s">
        <v>420</v>
      </c>
      <c r="AC197" t="s">
        <v>439</v>
      </c>
      <c r="AD197" t="s">
        <v>440</v>
      </c>
      <c r="AE197">
        <v>81453</v>
      </c>
      <c r="AF197">
        <v>11099</v>
      </c>
      <c r="AG197">
        <v>92552</v>
      </c>
    </row>
    <row r="198" spans="1:33">
      <c r="A198" s="91" t="s">
        <v>420</v>
      </c>
      <c r="B198" s="91" t="s">
        <v>441</v>
      </c>
      <c r="C198" s="92" t="s">
        <v>442</v>
      </c>
      <c r="D198" s="85">
        <v>3.0149999999999999E-3</v>
      </c>
      <c r="E198" s="86">
        <v>11859</v>
      </c>
      <c r="F198" s="5"/>
      <c r="G198" s="77">
        <v>5.0769999999999999E-3</v>
      </c>
      <c r="H198" s="87">
        <v>113160</v>
      </c>
      <c r="I198" s="7"/>
      <c r="J198" s="88">
        <v>125019</v>
      </c>
      <c r="K198" s="89">
        <v>128426</v>
      </c>
      <c r="L198" s="263">
        <f t="shared" si="10"/>
        <v>3407</v>
      </c>
      <c r="M198" s="280">
        <f t="shared" si="14"/>
        <v>1704</v>
      </c>
      <c r="N198" s="271">
        <f t="shared" si="11"/>
        <v>19264</v>
      </c>
      <c r="Z198" s="82">
        <f t="shared" si="12"/>
        <v>3407</v>
      </c>
      <c r="AA198" s="82">
        <f t="shared" si="13"/>
        <v>1703.5</v>
      </c>
      <c r="AB198" t="s">
        <v>420</v>
      </c>
      <c r="AC198" t="s">
        <v>441</v>
      </c>
      <c r="AD198" t="s">
        <v>442</v>
      </c>
      <c r="AE198">
        <v>115116</v>
      </c>
      <c r="AF198">
        <v>13310</v>
      </c>
      <c r="AG198">
        <v>128426</v>
      </c>
    </row>
    <row r="199" spans="1:33">
      <c r="A199" s="91" t="s">
        <v>420</v>
      </c>
      <c r="B199" s="91" t="s">
        <v>443</v>
      </c>
      <c r="C199" s="92" t="s">
        <v>444</v>
      </c>
      <c r="D199" s="85">
        <v>1.524E-3</v>
      </c>
      <c r="E199" s="86">
        <v>5994</v>
      </c>
      <c r="F199" s="5"/>
      <c r="G199" s="77">
        <v>1.572E-3</v>
      </c>
      <c r="H199" s="87">
        <v>35038</v>
      </c>
      <c r="I199" s="7"/>
      <c r="J199" s="88">
        <v>41032</v>
      </c>
      <c r="K199" s="89">
        <v>41088</v>
      </c>
      <c r="L199" s="263">
        <f t="shared" si="10"/>
        <v>56</v>
      </c>
      <c r="M199" s="280">
        <f t="shared" si="14"/>
        <v>28</v>
      </c>
      <c r="N199" s="271">
        <f t="shared" si="11"/>
        <v>6163</v>
      </c>
      <c r="Z199" s="82">
        <f t="shared" si="12"/>
        <v>56</v>
      </c>
      <c r="AA199" s="82">
        <f t="shared" si="13"/>
        <v>28</v>
      </c>
      <c r="AB199" t="s">
        <v>420</v>
      </c>
      <c r="AC199" t="s">
        <v>443</v>
      </c>
      <c r="AD199" t="s">
        <v>444</v>
      </c>
      <c r="AE199">
        <v>34846</v>
      </c>
      <c r="AF199">
        <v>6242</v>
      </c>
      <c r="AG199">
        <v>41088</v>
      </c>
    </row>
    <row r="200" spans="1:33">
      <c r="A200" s="83" t="s">
        <v>420</v>
      </c>
      <c r="B200" s="83" t="s">
        <v>445</v>
      </c>
      <c r="C200" s="84" t="s">
        <v>446</v>
      </c>
      <c r="D200" s="85">
        <v>6.1200000000000002E-4</v>
      </c>
      <c r="E200" s="86">
        <v>2407</v>
      </c>
      <c r="F200" s="5"/>
      <c r="G200" s="77">
        <v>1.0059999999999999E-3</v>
      </c>
      <c r="H200" s="87">
        <v>22422</v>
      </c>
      <c r="I200" s="7"/>
      <c r="J200" s="88">
        <v>24829</v>
      </c>
      <c r="K200" s="89">
        <v>25075</v>
      </c>
      <c r="L200" s="263">
        <f t="shared" si="10"/>
        <v>246</v>
      </c>
      <c r="M200" s="231">
        <f t="shared" si="14"/>
        <v>123</v>
      </c>
      <c r="N200" s="271">
        <f t="shared" si="11"/>
        <v>3761</v>
      </c>
      <c r="Z200" s="82">
        <f t="shared" si="12"/>
        <v>246</v>
      </c>
      <c r="AA200" s="82">
        <f t="shared" si="13"/>
        <v>123</v>
      </c>
      <c r="AB200" t="s">
        <v>420</v>
      </c>
      <c r="AC200" t="s">
        <v>445</v>
      </c>
      <c r="AD200" t="s">
        <v>446</v>
      </c>
      <c r="AE200">
        <v>22518</v>
      </c>
      <c r="AF200">
        <v>2557</v>
      </c>
      <c r="AG200">
        <v>25075</v>
      </c>
    </row>
    <row r="201" spans="1:33">
      <c r="A201" s="91" t="s">
        <v>420</v>
      </c>
      <c r="B201" s="91" t="s">
        <v>447</v>
      </c>
      <c r="C201" s="92" t="s">
        <v>448</v>
      </c>
      <c r="D201" s="85">
        <v>7.1199999999999996E-4</v>
      </c>
      <c r="E201" s="86">
        <v>2801</v>
      </c>
      <c r="F201" s="5"/>
      <c r="G201" s="77">
        <v>9.4200000000000002E-4</v>
      </c>
      <c r="H201" s="87">
        <v>20996</v>
      </c>
      <c r="I201" s="7"/>
      <c r="J201" s="88">
        <v>23797</v>
      </c>
      <c r="K201" s="89">
        <v>24765</v>
      </c>
      <c r="L201" s="263">
        <f t="shared" si="10"/>
        <v>968</v>
      </c>
      <c r="M201" s="280">
        <f t="shared" si="14"/>
        <v>484</v>
      </c>
      <c r="N201" s="271">
        <f t="shared" si="11"/>
        <v>3715</v>
      </c>
      <c r="Z201" s="82">
        <f t="shared" si="12"/>
        <v>968</v>
      </c>
      <c r="AA201" s="82">
        <f t="shared" si="13"/>
        <v>484</v>
      </c>
      <c r="AB201" t="s">
        <v>420</v>
      </c>
      <c r="AC201" t="s">
        <v>447</v>
      </c>
      <c r="AD201" t="s">
        <v>449</v>
      </c>
      <c r="AE201">
        <v>21859</v>
      </c>
      <c r="AF201">
        <v>2906</v>
      </c>
      <c r="AG201">
        <v>24765</v>
      </c>
    </row>
    <row r="202" spans="1:33">
      <c r="A202" s="91" t="s">
        <v>420</v>
      </c>
      <c r="B202" s="91" t="s">
        <v>450</v>
      </c>
      <c r="C202" s="92" t="s">
        <v>451</v>
      </c>
      <c r="D202" s="85">
        <v>1.1789999999999999E-3</v>
      </c>
      <c r="E202" s="86">
        <v>4637</v>
      </c>
      <c r="F202" s="5"/>
      <c r="G202" s="77">
        <v>8.6300000000000005E-4</v>
      </c>
      <c r="H202" s="87">
        <v>19235</v>
      </c>
      <c r="I202" s="7"/>
      <c r="J202" s="88">
        <v>23872</v>
      </c>
      <c r="K202" s="89">
        <v>23529</v>
      </c>
      <c r="L202" s="263" t="str">
        <f t="shared" ref="L202:L265" si="15">IF(K202-J202&lt;1," ",K202-J202)</f>
        <v xml:space="preserve"> </v>
      </c>
      <c r="M202" s="280" t="str">
        <f t="shared" si="14"/>
        <v xml:space="preserve"> </v>
      </c>
      <c r="N202" s="271">
        <f t="shared" ref="N202:N265" si="16">ROUND((+K202*0.15),0)</f>
        <v>3529</v>
      </c>
      <c r="Z202" s="82">
        <f t="shared" ref="Z202:Z265" si="17">+K202-J202</f>
        <v>-343</v>
      </c>
      <c r="AA202" s="82">
        <f t="shared" ref="AA202:AA265" si="18">+Z202*0.5</f>
        <v>-171.5</v>
      </c>
      <c r="AB202" t="s">
        <v>420</v>
      </c>
      <c r="AC202" t="s">
        <v>450</v>
      </c>
      <c r="AD202" t="s">
        <v>451</v>
      </c>
      <c r="AE202">
        <v>19106</v>
      </c>
      <c r="AF202">
        <v>4423</v>
      </c>
      <c r="AG202">
        <v>23529</v>
      </c>
    </row>
    <row r="203" spans="1:33">
      <c r="A203" s="91" t="s">
        <v>420</v>
      </c>
      <c r="B203" s="91" t="s">
        <v>452</v>
      </c>
      <c r="C203" s="92" t="s">
        <v>453</v>
      </c>
      <c r="D203" s="85">
        <v>1.936E-3</v>
      </c>
      <c r="E203" s="86">
        <v>7615</v>
      </c>
      <c r="F203" s="5"/>
      <c r="G203" s="77">
        <v>3.9569999999999996E-3</v>
      </c>
      <c r="H203" s="87">
        <v>88196</v>
      </c>
      <c r="I203" s="7"/>
      <c r="J203" s="88">
        <v>95811</v>
      </c>
      <c r="K203" s="89">
        <v>99454</v>
      </c>
      <c r="L203" s="263">
        <f t="shared" si="15"/>
        <v>3643</v>
      </c>
      <c r="M203" s="280">
        <f t="shared" ref="M203:M266" si="19">IF(L203=" "," ",ROUND((L203*0.5),0))</f>
        <v>1822</v>
      </c>
      <c r="N203" s="271">
        <f t="shared" si="16"/>
        <v>14918</v>
      </c>
      <c r="Z203" s="82">
        <f t="shared" si="17"/>
        <v>3643</v>
      </c>
      <c r="AA203" s="82">
        <f t="shared" si="18"/>
        <v>1821.5</v>
      </c>
      <c r="AB203" t="s">
        <v>420</v>
      </c>
      <c r="AC203" t="s">
        <v>452</v>
      </c>
      <c r="AD203" t="s">
        <v>453</v>
      </c>
      <c r="AE203">
        <v>92257</v>
      </c>
      <c r="AF203">
        <v>7197</v>
      </c>
      <c r="AG203">
        <v>99454</v>
      </c>
    </row>
    <row r="204" spans="1:33">
      <c r="A204" s="91" t="s">
        <v>420</v>
      </c>
      <c r="B204" s="91" t="s">
        <v>454</v>
      </c>
      <c r="C204" s="92" t="s">
        <v>455</v>
      </c>
      <c r="D204" s="85">
        <v>0.111358</v>
      </c>
      <c r="E204" s="86">
        <v>438011</v>
      </c>
      <c r="F204" s="5"/>
      <c r="G204" s="77">
        <v>6.5378000000000006E-2</v>
      </c>
      <c r="H204" s="87">
        <v>1457190</v>
      </c>
      <c r="I204" s="7"/>
      <c r="J204" s="88">
        <v>1895201</v>
      </c>
      <c r="K204" s="89">
        <v>1979495</v>
      </c>
      <c r="L204" s="263">
        <f t="shared" si="15"/>
        <v>84294</v>
      </c>
      <c r="M204" s="280">
        <f t="shared" si="19"/>
        <v>42147</v>
      </c>
      <c r="N204" s="271">
        <f t="shared" si="16"/>
        <v>296924</v>
      </c>
      <c r="Z204" s="82">
        <f t="shared" si="17"/>
        <v>84294</v>
      </c>
      <c r="AA204" s="82">
        <f t="shared" si="18"/>
        <v>42147</v>
      </c>
      <c r="AB204" t="s">
        <v>420</v>
      </c>
      <c r="AC204" t="s">
        <v>454</v>
      </c>
      <c r="AD204" t="s">
        <v>455</v>
      </c>
      <c r="AE204">
        <v>1515731</v>
      </c>
      <c r="AF204">
        <v>463764</v>
      </c>
      <c r="AG204">
        <v>1979495</v>
      </c>
    </row>
    <row r="205" spans="1:33">
      <c r="A205" s="91" t="s">
        <v>420</v>
      </c>
      <c r="B205" s="91" t="s">
        <v>456</v>
      </c>
      <c r="C205" s="92" t="s">
        <v>457</v>
      </c>
      <c r="D205" s="85">
        <v>7.5600000000000005E-4</v>
      </c>
      <c r="E205" s="86">
        <v>2974</v>
      </c>
      <c r="F205" s="5"/>
      <c r="G205" s="77">
        <v>1.2830000000000001E-3</v>
      </c>
      <c r="H205" s="87">
        <v>28596</v>
      </c>
      <c r="I205" s="7"/>
      <c r="J205" s="88">
        <v>31570</v>
      </c>
      <c r="K205" s="89">
        <v>30183</v>
      </c>
      <c r="L205" s="263" t="str">
        <f t="shared" si="15"/>
        <v xml:space="preserve"> </v>
      </c>
      <c r="M205" s="280" t="str">
        <f t="shared" si="19"/>
        <v xml:space="preserve"> </v>
      </c>
      <c r="N205" s="271">
        <f t="shared" si="16"/>
        <v>4527</v>
      </c>
      <c r="Z205" s="82">
        <f t="shared" si="17"/>
        <v>-1387</v>
      </c>
      <c r="AA205" s="82">
        <f t="shared" si="18"/>
        <v>-693.5</v>
      </c>
      <c r="AB205" t="s">
        <v>420</v>
      </c>
      <c r="AC205" t="s">
        <v>456</v>
      </c>
      <c r="AD205" t="s">
        <v>457</v>
      </c>
      <c r="AE205">
        <v>27409</v>
      </c>
      <c r="AF205">
        <v>2774</v>
      </c>
      <c r="AG205">
        <v>30183</v>
      </c>
    </row>
    <row r="206" spans="1:33">
      <c r="A206" s="91" t="s">
        <v>420</v>
      </c>
      <c r="B206" s="91" t="s">
        <v>458</v>
      </c>
      <c r="C206" s="92" t="s">
        <v>459</v>
      </c>
      <c r="D206" s="85">
        <v>3.1100000000000002E-4</v>
      </c>
      <c r="E206" s="86">
        <v>1223</v>
      </c>
      <c r="F206" s="5"/>
      <c r="G206" s="77">
        <v>4.8500000000000003E-4</v>
      </c>
      <c r="H206" s="87">
        <v>10810</v>
      </c>
      <c r="I206" s="7"/>
      <c r="J206" s="88">
        <v>12033</v>
      </c>
      <c r="K206" s="89">
        <v>11696</v>
      </c>
      <c r="L206" s="263" t="str">
        <f t="shared" si="15"/>
        <v xml:space="preserve"> </v>
      </c>
      <c r="M206" s="280" t="str">
        <f t="shared" si="19"/>
        <v xml:space="preserve"> </v>
      </c>
      <c r="N206" s="271">
        <f t="shared" si="16"/>
        <v>1754</v>
      </c>
      <c r="Z206" s="82">
        <f t="shared" si="17"/>
        <v>-337</v>
      </c>
      <c r="AA206" s="82">
        <f t="shared" si="18"/>
        <v>-168.5</v>
      </c>
      <c r="AB206" t="s">
        <v>420</v>
      </c>
      <c r="AC206" t="s">
        <v>458</v>
      </c>
      <c r="AD206" t="s">
        <v>459</v>
      </c>
      <c r="AE206">
        <v>10440</v>
      </c>
      <c r="AF206">
        <v>1256</v>
      </c>
      <c r="AG206">
        <v>11696</v>
      </c>
    </row>
    <row r="207" spans="1:33">
      <c r="A207" s="83" t="s">
        <v>420</v>
      </c>
      <c r="B207" s="83" t="s">
        <v>460</v>
      </c>
      <c r="C207" s="84" t="s">
        <v>461</v>
      </c>
      <c r="D207" s="85">
        <v>5.1199999999999998E-4</v>
      </c>
      <c r="E207" s="86">
        <v>2014</v>
      </c>
      <c r="F207" s="5"/>
      <c r="G207" s="77">
        <v>2.4450000000000001E-3</v>
      </c>
      <c r="H207" s="87">
        <v>54496</v>
      </c>
      <c r="I207" s="7"/>
      <c r="J207" s="88">
        <v>56510</v>
      </c>
      <c r="K207" s="89">
        <v>60998</v>
      </c>
      <c r="L207" s="263">
        <f t="shared" si="15"/>
        <v>4488</v>
      </c>
      <c r="M207" s="231">
        <f t="shared" si="19"/>
        <v>2244</v>
      </c>
      <c r="N207" s="271">
        <f t="shared" si="16"/>
        <v>9150</v>
      </c>
      <c r="Z207" s="82">
        <f t="shared" si="17"/>
        <v>4488</v>
      </c>
      <c r="AA207" s="82">
        <f t="shared" si="18"/>
        <v>2244</v>
      </c>
      <c r="AB207" t="s">
        <v>420</v>
      </c>
      <c r="AC207" t="s">
        <v>460</v>
      </c>
      <c r="AD207" t="s">
        <v>461</v>
      </c>
      <c r="AE207">
        <v>58525</v>
      </c>
      <c r="AF207">
        <v>2473</v>
      </c>
      <c r="AG207">
        <v>60998</v>
      </c>
    </row>
    <row r="208" spans="1:33">
      <c r="A208" s="91" t="s">
        <v>420</v>
      </c>
      <c r="B208" s="91" t="s">
        <v>462</v>
      </c>
      <c r="C208" s="92" t="s">
        <v>463</v>
      </c>
      <c r="D208" s="85">
        <v>5.2300000000000003E-4</v>
      </c>
      <c r="E208" s="86">
        <v>2057</v>
      </c>
      <c r="F208" s="5"/>
      <c r="G208" s="77">
        <v>6.78E-4</v>
      </c>
      <c r="H208" s="87">
        <v>15112</v>
      </c>
      <c r="I208" s="7"/>
      <c r="J208" s="88">
        <v>17169</v>
      </c>
      <c r="K208" s="89">
        <v>16305</v>
      </c>
      <c r="L208" s="263" t="str">
        <f t="shared" si="15"/>
        <v xml:space="preserve"> </v>
      </c>
      <c r="M208" s="280" t="str">
        <f t="shared" si="19"/>
        <v xml:space="preserve"> </v>
      </c>
      <c r="N208" s="271">
        <f t="shared" si="16"/>
        <v>2446</v>
      </c>
      <c r="Z208" s="82">
        <f t="shared" si="17"/>
        <v>-864</v>
      </c>
      <c r="AA208" s="82">
        <f t="shared" si="18"/>
        <v>-432</v>
      </c>
      <c r="AB208" t="s">
        <v>420</v>
      </c>
      <c r="AC208" t="s">
        <v>462</v>
      </c>
      <c r="AD208" t="s">
        <v>463</v>
      </c>
      <c r="AE208">
        <v>14876</v>
      </c>
      <c r="AF208">
        <v>1429</v>
      </c>
      <c r="AG208">
        <v>16305</v>
      </c>
    </row>
    <row r="209" spans="1:33">
      <c r="A209" s="83" t="s">
        <v>420</v>
      </c>
      <c r="B209" s="83" t="s">
        <v>464</v>
      </c>
      <c r="C209" s="84" t="s">
        <v>465</v>
      </c>
      <c r="D209" s="85">
        <v>9.7900000000000005E-4</v>
      </c>
      <c r="E209" s="86">
        <v>3851</v>
      </c>
      <c r="F209" s="5"/>
      <c r="G209" s="77">
        <v>9.7199999999999999E-4</v>
      </c>
      <c r="H209" s="87">
        <v>21665</v>
      </c>
      <c r="I209" s="7"/>
      <c r="J209" s="88">
        <v>25516</v>
      </c>
      <c r="K209" s="89">
        <v>25018</v>
      </c>
      <c r="L209" s="263" t="str">
        <f t="shared" si="15"/>
        <v xml:space="preserve"> </v>
      </c>
      <c r="M209" s="280" t="str">
        <f t="shared" si="19"/>
        <v xml:space="preserve"> </v>
      </c>
      <c r="N209" s="271">
        <f t="shared" si="16"/>
        <v>3753</v>
      </c>
      <c r="Z209" s="82">
        <f t="shared" si="17"/>
        <v>-498</v>
      </c>
      <c r="AA209" s="82">
        <f t="shared" si="18"/>
        <v>-249</v>
      </c>
      <c r="AB209" t="s">
        <v>420</v>
      </c>
      <c r="AC209" t="s">
        <v>464</v>
      </c>
      <c r="AD209" t="s">
        <v>465</v>
      </c>
      <c r="AE209">
        <v>21245</v>
      </c>
      <c r="AF209">
        <v>3773</v>
      </c>
      <c r="AG209">
        <v>25018</v>
      </c>
    </row>
    <row r="210" spans="1:33">
      <c r="A210" s="91" t="s">
        <v>420</v>
      </c>
      <c r="B210" s="91" t="s">
        <v>466</v>
      </c>
      <c r="C210" s="92" t="s">
        <v>467</v>
      </c>
      <c r="D210" s="85">
        <v>4.8840000000000003E-3</v>
      </c>
      <c r="E210" s="86">
        <v>19211</v>
      </c>
      <c r="F210" s="5"/>
      <c r="G210" s="77">
        <v>6.5459999999999997E-3</v>
      </c>
      <c r="H210" s="87">
        <v>145902</v>
      </c>
      <c r="I210" s="7"/>
      <c r="J210" s="88">
        <v>165113</v>
      </c>
      <c r="K210" s="89">
        <v>172191</v>
      </c>
      <c r="L210" s="263">
        <f t="shared" si="15"/>
        <v>7078</v>
      </c>
      <c r="M210" s="231">
        <f t="shared" si="19"/>
        <v>3539</v>
      </c>
      <c r="N210" s="271">
        <f t="shared" si="16"/>
        <v>25829</v>
      </c>
      <c r="Z210" s="82">
        <f t="shared" si="17"/>
        <v>7078</v>
      </c>
      <c r="AA210" s="82">
        <f t="shared" si="18"/>
        <v>3539</v>
      </c>
      <c r="AB210" t="s">
        <v>420</v>
      </c>
      <c r="AC210" t="s">
        <v>466</v>
      </c>
      <c r="AD210" t="s">
        <v>467</v>
      </c>
      <c r="AE210">
        <v>151555</v>
      </c>
      <c r="AF210">
        <v>20636</v>
      </c>
      <c r="AG210">
        <v>172191</v>
      </c>
    </row>
    <row r="211" spans="1:33">
      <c r="A211" s="83" t="s">
        <v>420</v>
      </c>
      <c r="B211" s="83" t="s">
        <v>468</v>
      </c>
      <c r="C211" s="84" t="s">
        <v>469</v>
      </c>
      <c r="D211" s="85">
        <v>1.413E-3</v>
      </c>
      <c r="E211" s="86">
        <v>5558</v>
      </c>
      <c r="F211" s="5"/>
      <c r="G211" s="77">
        <v>1.7309999999999999E-3</v>
      </c>
      <c r="H211" s="87">
        <v>38582</v>
      </c>
      <c r="I211" s="7"/>
      <c r="J211" s="88">
        <v>44140</v>
      </c>
      <c r="K211" s="89">
        <v>45019</v>
      </c>
      <c r="L211" s="263">
        <f t="shared" si="15"/>
        <v>879</v>
      </c>
      <c r="M211" s="231">
        <f t="shared" si="19"/>
        <v>440</v>
      </c>
      <c r="N211" s="271">
        <f t="shared" si="16"/>
        <v>6753</v>
      </c>
      <c r="Z211" s="82">
        <f t="shared" si="17"/>
        <v>879</v>
      </c>
      <c r="AA211" s="82">
        <f t="shared" si="18"/>
        <v>439.5</v>
      </c>
      <c r="AB211" t="s">
        <v>420</v>
      </c>
      <c r="AC211" t="s">
        <v>468</v>
      </c>
      <c r="AD211" t="s">
        <v>469</v>
      </c>
      <c r="AE211">
        <v>40078</v>
      </c>
      <c r="AF211">
        <v>4941</v>
      </c>
      <c r="AG211">
        <v>45019</v>
      </c>
    </row>
    <row r="212" spans="1:33">
      <c r="A212" s="91" t="s">
        <v>420</v>
      </c>
      <c r="B212" s="91" t="s">
        <v>470</v>
      </c>
      <c r="C212" s="107" t="s">
        <v>471</v>
      </c>
      <c r="D212" s="85">
        <v>5.5290000000000001E-3</v>
      </c>
      <c r="E212" s="86">
        <v>21748</v>
      </c>
      <c r="F212" s="5"/>
      <c r="G212" s="77">
        <v>1.2848999999999999E-2</v>
      </c>
      <c r="H212" s="87">
        <v>286387</v>
      </c>
      <c r="I212" s="7"/>
      <c r="J212" s="88">
        <v>308135</v>
      </c>
      <c r="K212" s="89">
        <v>313744</v>
      </c>
      <c r="L212" s="263">
        <f t="shared" si="15"/>
        <v>5609</v>
      </c>
      <c r="M212" s="232">
        <f t="shared" si="19"/>
        <v>2805</v>
      </c>
      <c r="N212" s="108">
        <f t="shared" si="16"/>
        <v>47062</v>
      </c>
      <c r="Z212" s="82">
        <f t="shared" si="17"/>
        <v>5609</v>
      </c>
      <c r="AA212" s="82">
        <f t="shared" si="18"/>
        <v>2804.5</v>
      </c>
      <c r="AB212" t="s">
        <v>420</v>
      </c>
      <c r="AC212" t="s">
        <v>470</v>
      </c>
      <c r="AD212" t="s">
        <v>471</v>
      </c>
      <c r="AE212">
        <v>295103</v>
      </c>
      <c r="AF212">
        <v>18641</v>
      </c>
      <c r="AG212">
        <v>313744</v>
      </c>
    </row>
    <row r="213" spans="1:33">
      <c r="A213" s="91" t="s">
        <v>420</v>
      </c>
      <c r="B213" s="91" t="s">
        <v>472</v>
      </c>
      <c r="C213" s="92" t="s">
        <v>473</v>
      </c>
      <c r="D213" s="85">
        <v>3.8379999999999998E-3</v>
      </c>
      <c r="E213" s="86">
        <v>15096</v>
      </c>
      <c r="F213" s="5"/>
      <c r="G213" s="77">
        <v>3.8070000000000001E-3</v>
      </c>
      <c r="H213" s="87">
        <v>84853</v>
      </c>
      <c r="I213" s="7"/>
      <c r="J213" s="88">
        <v>99949</v>
      </c>
      <c r="K213" s="89">
        <v>100080</v>
      </c>
      <c r="L213" s="263">
        <f t="shared" si="15"/>
        <v>131</v>
      </c>
      <c r="M213" s="280">
        <f t="shared" si="19"/>
        <v>66</v>
      </c>
      <c r="N213" s="271">
        <f t="shared" si="16"/>
        <v>15012</v>
      </c>
      <c r="Z213" s="82">
        <f t="shared" si="17"/>
        <v>131</v>
      </c>
      <c r="AA213" s="82">
        <f t="shared" si="18"/>
        <v>65.5</v>
      </c>
      <c r="AB213" t="s">
        <v>420</v>
      </c>
      <c r="AC213" t="s">
        <v>472</v>
      </c>
      <c r="AD213" t="s">
        <v>473</v>
      </c>
      <c r="AE213">
        <v>84819</v>
      </c>
      <c r="AF213">
        <v>15261</v>
      </c>
      <c r="AG213">
        <v>100080</v>
      </c>
    </row>
    <row r="214" spans="1:33">
      <c r="A214" s="83" t="s">
        <v>420</v>
      </c>
      <c r="B214" s="83" t="s">
        <v>474</v>
      </c>
      <c r="C214" s="84" t="s">
        <v>475</v>
      </c>
      <c r="D214" s="85">
        <v>5.2300000000000003E-4</v>
      </c>
      <c r="E214" s="86">
        <v>2057</v>
      </c>
      <c r="F214" s="5"/>
      <c r="G214" s="77">
        <v>1.057E-3</v>
      </c>
      <c r="H214" s="87">
        <v>23559</v>
      </c>
      <c r="I214" s="7"/>
      <c r="J214" s="88">
        <v>25616</v>
      </c>
      <c r="K214" s="89">
        <v>25085</v>
      </c>
      <c r="L214" s="263" t="str">
        <f t="shared" si="15"/>
        <v xml:space="preserve"> </v>
      </c>
      <c r="M214" s="106" t="str">
        <f t="shared" si="19"/>
        <v xml:space="preserve"> </v>
      </c>
      <c r="N214" s="271">
        <f t="shared" si="16"/>
        <v>3763</v>
      </c>
      <c r="Z214" s="82">
        <f t="shared" si="17"/>
        <v>-531</v>
      </c>
      <c r="AA214" s="82">
        <f t="shared" si="18"/>
        <v>-265.5</v>
      </c>
      <c r="AB214" t="s">
        <v>420</v>
      </c>
      <c r="AC214" t="s">
        <v>474</v>
      </c>
      <c r="AD214" t="s">
        <v>475</v>
      </c>
      <c r="AE214">
        <v>23178</v>
      </c>
      <c r="AF214">
        <v>1907</v>
      </c>
      <c r="AG214">
        <v>25085</v>
      </c>
    </row>
    <row r="215" spans="1:33">
      <c r="A215" s="91" t="s">
        <v>420</v>
      </c>
      <c r="B215" s="91" t="s">
        <v>476</v>
      </c>
      <c r="C215" s="92" t="s">
        <v>477</v>
      </c>
      <c r="D215" s="85">
        <v>1.0009999999999999E-3</v>
      </c>
      <c r="E215" s="86">
        <v>3937</v>
      </c>
      <c r="F215" s="5"/>
      <c r="G215" s="77">
        <v>1.2999999999999999E-3</v>
      </c>
      <c r="H215" s="87">
        <v>28975</v>
      </c>
      <c r="I215" s="7"/>
      <c r="J215" s="88">
        <v>32912</v>
      </c>
      <c r="K215" s="89">
        <v>33527</v>
      </c>
      <c r="L215" s="263">
        <f t="shared" si="15"/>
        <v>615</v>
      </c>
      <c r="M215" s="280">
        <f t="shared" si="19"/>
        <v>308</v>
      </c>
      <c r="N215" s="271">
        <f t="shared" si="16"/>
        <v>5029</v>
      </c>
      <c r="Z215" s="82">
        <f t="shared" si="17"/>
        <v>615</v>
      </c>
      <c r="AA215" s="82">
        <f t="shared" si="18"/>
        <v>307.5</v>
      </c>
      <c r="AB215" t="s">
        <v>420</v>
      </c>
      <c r="AC215" t="s">
        <v>476</v>
      </c>
      <c r="AD215" t="s">
        <v>477</v>
      </c>
      <c r="AE215">
        <v>29842</v>
      </c>
      <c r="AF215">
        <v>3685</v>
      </c>
      <c r="AG215">
        <v>33527</v>
      </c>
    </row>
    <row r="216" spans="1:33">
      <c r="A216" s="91" t="s">
        <v>420</v>
      </c>
      <c r="B216" s="91" t="s">
        <v>478</v>
      </c>
      <c r="C216" s="92" t="s">
        <v>479</v>
      </c>
      <c r="D216" s="85">
        <v>4.8899999999999996E-4</v>
      </c>
      <c r="E216" s="86">
        <v>1923</v>
      </c>
      <c r="F216" s="5"/>
      <c r="G216" s="77">
        <v>1.0330000000000001E-3</v>
      </c>
      <c r="H216" s="87">
        <v>23024</v>
      </c>
      <c r="I216" s="7"/>
      <c r="J216" s="88">
        <v>24947</v>
      </c>
      <c r="K216" s="89">
        <v>26597</v>
      </c>
      <c r="L216" s="263">
        <f t="shared" si="15"/>
        <v>1650</v>
      </c>
      <c r="M216" s="280">
        <f t="shared" si="19"/>
        <v>825</v>
      </c>
      <c r="N216" s="271">
        <f t="shared" si="16"/>
        <v>3990</v>
      </c>
      <c r="Z216" s="82">
        <f t="shared" si="17"/>
        <v>1650</v>
      </c>
      <c r="AA216" s="82">
        <f t="shared" si="18"/>
        <v>825</v>
      </c>
      <c r="AB216" t="s">
        <v>420</v>
      </c>
      <c r="AC216" t="s">
        <v>478</v>
      </c>
      <c r="AD216" t="s">
        <v>479</v>
      </c>
      <c r="AE216">
        <v>24474</v>
      </c>
      <c r="AF216">
        <v>2123</v>
      </c>
      <c r="AG216">
        <v>26597</v>
      </c>
    </row>
    <row r="217" spans="1:33">
      <c r="A217" s="91" t="s">
        <v>420</v>
      </c>
      <c r="B217" s="91" t="s">
        <v>480</v>
      </c>
      <c r="C217" s="92" t="s">
        <v>481</v>
      </c>
      <c r="D217" s="85">
        <v>6.8999999999999997E-4</v>
      </c>
      <c r="E217" s="86">
        <v>2714</v>
      </c>
      <c r="F217" s="5"/>
      <c r="G217" s="77">
        <v>5.9400000000000002E-4</v>
      </c>
      <c r="H217" s="87">
        <v>13239</v>
      </c>
      <c r="I217" s="7"/>
      <c r="J217" s="88">
        <v>15953</v>
      </c>
      <c r="K217" s="89">
        <v>16228</v>
      </c>
      <c r="L217" s="263">
        <f t="shared" si="15"/>
        <v>275</v>
      </c>
      <c r="M217" s="280">
        <f t="shared" si="19"/>
        <v>138</v>
      </c>
      <c r="N217" s="271">
        <f t="shared" si="16"/>
        <v>2434</v>
      </c>
      <c r="Z217" s="82">
        <f t="shared" si="17"/>
        <v>275</v>
      </c>
      <c r="AA217" s="82">
        <f t="shared" si="18"/>
        <v>137.5</v>
      </c>
      <c r="AB217" t="s">
        <v>420</v>
      </c>
      <c r="AC217" t="s">
        <v>480</v>
      </c>
      <c r="AD217" t="s">
        <v>481</v>
      </c>
      <c r="AE217">
        <v>13238</v>
      </c>
      <c r="AF217">
        <v>2990</v>
      </c>
      <c r="AG217">
        <v>16228</v>
      </c>
    </row>
    <row r="218" spans="1:33">
      <c r="A218" s="91" t="s">
        <v>420</v>
      </c>
      <c r="B218" s="91" t="s">
        <v>482</v>
      </c>
      <c r="C218" s="92" t="s">
        <v>483</v>
      </c>
      <c r="D218" s="85">
        <v>2.826E-3</v>
      </c>
      <c r="E218" s="86">
        <v>11116</v>
      </c>
      <c r="F218" s="5"/>
      <c r="G218" s="77">
        <v>2.954E-3</v>
      </c>
      <c r="H218" s="87">
        <v>65841</v>
      </c>
      <c r="I218" s="7"/>
      <c r="J218" s="88">
        <v>76957</v>
      </c>
      <c r="K218" s="89">
        <v>79418</v>
      </c>
      <c r="L218" s="263">
        <f t="shared" si="15"/>
        <v>2461</v>
      </c>
      <c r="M218" s="280">
        <f t="shared" si="19"/>
        <v>1231</v>
      </c>
      <c r="N218" s="271">
        <f t="shared" si="16"/>
        <v>11913</v>
      </c>
      <c r="Z218" s="82">
        <f t="shared" si="17"/>
        <v>2461</v>
      </c>
      <c r="AA218" s="82">
        <f t="shared" si="18"/>
        <v>1230.5</v>
      </c>
      <c r="AB218" t="s">
        <v>420</v>
      </c>
      <c r="AC218" t="s">
        <v>482</v>
      </c>
      <c r="AD218" t="s">
        <v>483</v>
      </c>
      <c r="AE218">
        <v>68624</v>
      </c>
      <c r="AF218">
        <v>10794</v>
      </c>
      <c r="AG218">
        <v>79418</v>
      </c>
    </row>
    <row r="219" spans="1:33">
      <c r="A219" s="91" t="s">
        <v>420</v>
      </c>
      <c r="B219" s="91" t="s">
        <v>484</v>
      </c>
      <c r="C219" s="92" t="s">
        <v>485</v>
      </c>
      <c r="D219" s="85">
        <v>7.2529999999999999E-3</v>
      </c>
      <c r="E219" s="86">
        <v>28529</v>
      </c>
      <c r="F219" s="5"/>
      <c r="G219" s="77">
        <v>6.2649999999999997E-3</v>
      </c>
      <c r="H219" s="87">
        <v>139639</v>
      </c>
      <c r="I219" s="7"/>
      <c r="J219" s="88">
        <v>168168</v>
      </c>
      <c r="K219" s="89">
        <v>170470</v>
      </c>
      <c r="L219" s="263">
        <f t="shared" si="15"/>
        <v>2302</v>
      </c>
      <c r="M219" s="280">
        <f t="shared" si="19"/>
        <v>1151</v>
      </c>
      <c r="N219" s="271">
        <f t="shared" si="16"/>
        <v>25571</v>
      </c>
      <c r="Z219" s="82">
        <f t="shared" si="17"/>
        <v>2302</v>
      </c>
      <c r="AA219" s="82">
        <f t="shared" si="18"/>
        <v>1151</v>
      </c>
      <c r="AB219" t="s">
        <v>420</v>
      </c>
      <c r="AC219" t="s">
        <v>484</v>
      </c>
      <c r="AD219" t="s">
        <v>485</v>
      </c>
      <c r="AE219">
        <v>139386</v>
      </c>
      <c r="AF219">
        <v>31084</v>
      </c>
      <c r="AG219">
        <v>170470</v>
      </c>
    </row>
    <row r="220" spans="1:33">
      <c r="A220" s="91" t="s">
        <v>420</v>
      </c>
      <c r="B220" s="91" t="s">
        <v>486</v>
      </c>
      <c r="C220" s="92" t="s">
        <v>487</v>
      </c>
      <c r="D220" s="85">
        <v>8.12E-4</v>
      </c>
      <c r="E220" s="86">
        <v>3194</v>
      </c>
      <c r="F220" s="5"/>
      <c r="G220" s="77">
        <v>2.5300000000000001E-3</v>
      </c>
      <c r="H220" s="87">
        <v>56390</v>
      </c>
      <c r="I220" s="7"/>
      <c r="J220" s="88">
        <v>59584</v>
      </c>
      <c r="K220" s="89">
        <v>62768</v>
      </c>
      <c r="L220" s="263">
        <f t="shared" si="15"/>
        <v>3184</v>
      </c>
      <c r="M220" s="280">
        <f t="shared" si="19"/>
        <v>1592</v>
      </c>
      <c r="N220" s="271">
        <f t="shared" si="16"/>
        <v>9415</v>
      </c>
      <c r="Z220" s="82">
        <f t="shared" si="17"/>
        <v>3184</v>
      </c>
      <c r="AA220" s="82">
        <f t="shared" si="18"/>
        <v>1592</v>
      </c>
      <c r="AB220" t="s">
        <v>420</v>
      </c>
      <c r="AC220" t="s">
        <v>486</v>
      </c>
      <c r="AD220" t="s">
        <v>487</v>
      </c>
      <c r="AE220">
        <v>58911</v>
      </c>
      <c r="AF220">
        <v>3857</v>
      </c>
      <c r="AG220">
        <v>62768</v>
      </c>
    </row>
    <row r="221" spans="1:33">
      <c r="A221" s="91" t="s">
        <v>420</v>
      </c>
      <c r="B221" s="91" t="s">
        <v>488</v>
      </c>
      <c r="C221" s="92" t="s">
        <v>489</v>
      </c>
      <c r="D221" s="85">
        <v>2.447E-3</v>
      </c>
      <c r="E221" s="86">
        <v>9625</v>
      </c>
      <c r="F221" s="5"/>
      <c r="G221" s="77">
        <v>4.8199999999999996E-3</v>
      </c>
      <c r="H221" s="87">
        <v>107431</v>
      </c>
      <c r="I221" s="7"/>
      <c r="J221" s="88">
        <v>117056</v>
      </c>
      <c r="K221" s="89">
        <v>120063</v>
      </c>
      <c r="L221" s="263">
        <f t="shared" si="15"/>
        <v>3007</v>
      </c>
      <c r="M221" s="280">
        <f t="shared" si="19"/>
        <v>1504</v>
      </c>
      <c r="N221" s="271">
        <f t="shared" si="16"/>
        <v>18009</v>
      </c>
      <c r="Z221" s="82">
        <f t="shared" si="17"/>
        <v>3007</v>
      </c>
      <c r="AA221" s="82">
        <f t="shared" si="18"/>
        <v>1503.5</v>
      </c>
      <c r="AB221" t="s">
        <v>420</v>
      </c>
      <c r="AC221" t="s">
        <v>488</v>
      </c>
      <c r="AD221" t="s">
        <v>489</v>
      </c>
      <c r="AE221">
        <v>109703</v>
      </c>
      <c r="AF221">
        <v>10360</v>
      </c>
      <c r="AG221">
        <v>120063</v>
      </c>
    </row>
    <row r="222" spans="1:33">
      <c r="A222" s="91" t="s">
        <v>420</v>
      </c>
      <c r="B222" s="91" t="s">
        <v>490</v>
      </c>
      <c r="C222" s="92" t="s">
        <v>491</v>
      </c>
      <c r="D222" s="85">
        <v>1.09E-3</v>
      </c>
      <c r="E222" s="86">
        <v>4287</v>
      </c>
      <c r="F222" s="5"/>
      <c r="G222" s="77">
        <v>1.33E-3</v>
      </c>
      <c r="H222" s="87">
        <v>29644</v>
      </c>
      <c r="I222" s="7"/>
      <c r="J222" s="88">
        <v>33931</v>
      </c>
      <c r="K222" s="89">
        <v>33139</v>
      </c>
      <c r="L222" s="263" t="str">
        <f t="shared" si="15"/>
        <v xml:space="preserve"> </v>
      </c>
      <c r="M222" s="280" t="str">
        <f t="shared" si="19"/>
        <v xml:space="preserve"> </v>
      </c>
      <c r="N222" s="271">
        <f t="shared" si="16"/>
        <v>4971</v>
      </c>
      <c r="Z222" s="82">
        <f t="shared" si="17"/>
        <v>-792</v>
      </c>
      <c r="AA222" s="82">
        <f t="shared" si="18"/>
        <v>-396</v>
      </c>
      <c r="AB222" t="s">
        <v>420</v>
      </c>
      <c r="AC222" t="s">
        <v>490</v>
      </c>
      <c r="AD222" t="s">
        <v>491</v>
      </c>
      <c r="AE222">
        <v>29410</v>
      </c>
      <c r="AF222">
        <v>3729</v>
      </c>
      <c r="AG222">
        <v>33139</v>
      </c>
    </row>
    <row r="223" spans="1:33">
      <c r="A223" s="83" t="s">
        <v>420</v>
      </c>
      <c r="B223" s="83" t="s">
        <v>492</v>
      </c>
      <c r="C223" s="84" t="s">
        <v>493</v>
      </c>
      <c r="D223" s="85">
        <v>1.3240000000000001E-3</v>
      </c>
      <c r="E223" s="86">
        <v>5208</v>
      </c>
      <c r="F223" s="5"/>
      <c r="G223" s="77">
        <v>1.526E-3</v>
      </c>
      <c r="H223" s="87">
        <v>34013</v>
      </c>
      <c r="I223" s="7"/>
      <c r="J223" s="88">
        <v>39221</v>
      </c>
      <c r="K223" s="89">
        <v>38444</v>
      </c>
      <c r="L223" s="263" t="str">
        <f t="shared" si="15"/>
        <v xml:space="preserve"> </v>
      </c>
      <c r="M223" s="106" t="str">
        <f t="shared" si="19"/>
        <v xml:space="preserve"> </v>
      </c>
      <c r="N223" s="271">
        <f t="shared" si="16"/>
        <v>5767</v>
      </c>
      <c r="Z223" s="82">
        <f t="shared" si="17"/>
        <v>-777</v>
      </c>
      <c r="AA223" s="82">
        <f t="shared" si="18"/>
        <v>-388.5</v>
      </c>
      <c r="AB223" t="s">
        <v>420</v>
      </c>
      <c r="AC223" t="s">
        <v>492</v>
      </c>
      <c r="AD223" t="s">
        <v>493</v>
      </c>
      <c r="AE223">
        <v>32981</v>
      </c>
      <c r="AF223">
        <v>5463</v>
      </c>
      <c r="AG223">
        <v>38444</v>
      </c>
    </row>
    <row r="224" spans="1:33">
      <c r="A224" s="91" t="s">
        <v>420</v>
      </c>
      <c r="B224" s="91" t="s">
        <v>494</v>
      </c>
      <c r="C224" s="92" t="s">
        <v>495</v>
      </c>
      <c r="D224" s="85">
        <v>1.3680000000000001E-3</v>
      </c>
      <c r="E224" s="86">
        <v>5381</v>
      </c>
      <c r="F224" s="5"/>
      <c r="G224" s="77">
        <v>2.0839999999999999E-3</v>
      </c>
      <c r="H224" s="87">
        <v>46450</v>
      </c>
      <c r="I224" s="7"/>
      <c r="J224" s="88">
        <v>51831</v>
      </c>
      <c r="K224" s="89">
        <v>51981</v>
      </c>
      <c r="L224" s="263">
        <f t="shared" si="15"/>
        <v>150</v>
      </c>
      <c r="M224" s="280">
        <f t="shared" si="19"/>
        <v>75</v>
      </c>
      <c r="N224" s="271">
        <f t="shared" si="16"/>
        <v>7797</v>
      </c>
      <c r="Z224" s="82">
        <f t="shared" si="17"/>
        <v>150</v>
      </c>
      <c r="AA224" s="82">
        <f t="shared" si="18"/>
        <v>75</v>
      </c>
      <c r="AB224" t="s">
        <v>420</v>
      </c>
      <c r="AC224" t="s">
        <v>494</v>
      </c>
      <c r="AD224" t="s">
        <v>495</v>
      </c>
      <c r="AE224">
        <v>46606</v>
      </c>
      <c r="AF224">
        <v>5375</v>
      </c>
      <c r="AG224">
        <v>51981</v>
      </c>
    </row>
    <row r="225" spans="1:33">
      <c r="A225" s="91" t="s">
        <v>420</v>
      </c>
      <c r="B225" s="91" t="s">
        <v>496</v>
      </c>
      <c r="C225" s="92" t="s">
        <v>497</v>
      </c>
      <c r="D225" s="85">
        <v>2.2920000000000002E-3</v>
      </c>
      <c r="E225" s="86">
        <v>9015</v>
      </c>
      <c r="F225" s="5"/>
      <c r="G225" s="77">
        <v>5.4039999999999999E-3</v>
      </c>
      <c r="H225" s="87">
        <v>120448</v>
      </c>
      <c r="I225" s="7"/>
      <c r="J225" s="88">
        <v>129463</v>
      </c>
      <c r="K225" s="89">
        <v>131210</v>
      </c>
      <c r="L225" s="263">
        <f t="shared" si="15"/>
        <v>1747</v>
      </c>
      <c r="M225" s="280">
        <f t="shared" si="19"/>
        <v>874</v>
      </c>
      <c r="N225" s="271">
        <f t="shared" si="16"/>
        <v>19682</v>
      </c>
      <c r="Z225" s="82">
        <f t="shared" si="17"/>
        <v>1747</v>
      </c>
      <c r="AA225" s="82">
        <f t="shared" si="18"/>
        <v>873.5</v>
      </c>
      <c r="AB225" t="s">
        <v>420</v>
      </c>
      <c r="AC225" t="s">
        <v>496</v>
      </c>
      <c r="AD225" t="s">
        <v>497</v>
      </c>
      <c r="AE225">
        <v>122668</v>
      </c>
      <c r="AF225">
        <v>8542</v>
      </c>
      <c r="AG225">
        <v>131210</v>
      </c>
    </row>
    <row r="226" spans="1:33">
      <c r="A226" s="91" t="s">
        <v>420</v>
      </c>
      <c r="B226" s="91" t="s">
        <v>498</v>
      </c>
      <c r="C226" s="92" t="s">
        <v>499</v>
      </c>
      <c r="D226" s="85">
        <v>6.1520000000000004E-3</v>
      </c>
      <c r="E226" s="86">
        <v>24198</v>
      </c>
      <c r="F226" s="5"/>
      <c r="G226" s="77">
        <v>3.7620000000000002E-3</v>
      </c>
      <c r="H226" s="87">
        <v>83850</v>
      </c>
      <c r="I226" s="7"/>
      <c r="J226" s="88">
        <v>108048</v>
      </c>
      <c r="K226" s="89">
        <v>110587</v>
      </c>
      <c r="L226" s="263">
        <f t="shared" si="15"/>
        <v>2539</v>
      </c>
      <c r="M226" s="280">
        <f t="shared" si="19"/>
        <v>1270</v>
      </c>
      <c r="N226" s="271">
        <f t="shared" si="16"/>
        <v>16588</v>
      </c>
      <c r="Z226" s="82">
        <f t="shared" si="17"/>
        <v>2539</v>
      </c>
      <c r="AA226" s="82">
        <f t="shared" si="18"/>
        <v>1269.5</v>
      </c>
      <c r="AB226" t="s">
        <v>420</v>
      </c>
      <c r="AC226" t="s">
        <v>498</v>
      </c>
      <c r="AD226" t="s">
        <v>499</v>
      </c>
      <c r="AE226">
        <v>85660</v>
      </c>
      <c r="AF226">
        <v>24927</v>
      </c>
      <c r="AG226">
        <v>110587</v>
      </c>
    </row>
    <row r="227" spans="1:33">
      <c r="A227" s="83" t="s">
        <v>420</v>
      </c>
      <c r="B227" s="83" t="s">
        <v>500</v>
      </c>
      <c r="C227" s="84" t="s">
        <v>501</v>
      </c>
      <c r="D227" s="85">
        <v>1.168E-3</v>
      </c>
      <c r="E227" s="86">
        <v>4594</v>
      </c>
      <c r="F227" s="5"/>
      <c r="G227" s="77">
        <v>1.2520000000000001E-3</v>
      </c>
      <c r="H227" s="87">
        <v>27905</v>
      </c>
      <c r="I227" s="7"/>
      <c r="J227" s="88">
        <v>32499</v>
      </c>
      <c r="K227" s="89">
        <v>32461</v>
      </c>
      <c r="L227" s="263" t="str">
        <f t="shared" si="15"/>
        <v xml:space="preserve"> </v>
      </c>
      <c r="M227" s="106" t="str">
        <f t="shared" si="19"/>
        <v xml:space="preserve"> </v>
      </c>
      <c r="N227" s="271">
        <f t="shared" si="16"/>
        <v>4869</v>
      </c>
      <c r="Z227" s="82">
        <f t="shared" si="17"/>
        <v>-38</v>
      </c>
      <c r="AA227" s="82">
        <f t="shared" si="18"/>
        <v>-19</v>
      </c>
      <c r="AB227" t="s">
        <v>420</v>
      </c>
      <c r="AC227" t="s">
        <v>500</v>
      </c>
      <c r="AD227" t="s">
        <v>501</v>
      </c>
      <c r="AE227">
        <v>27909</v>
      </c>
      <c r="AF227">
        <v>4552</v>
      </c>
      <c r="AG227">
        <v>32461</v>
      </c>
    </row>
    <row r="228" spans="1:33">
      <c r="A228" s="91" t="s">
        <v>420</v>
      </c>
      <c r="B228" s="91" t="s">
        <v>502</v>
      </c>
      <c r="C228" s="92" t="s">
        <v>503</v>
      </c>
      <c r="D228" s="85">
        <v>9.8999999999999999E-4</v>
      </c>
      <c r="E228" s="86">
        <v>3894</v>
      </c>
      <c r="F228" s="5"/>
      <c r="G228" s="77">
        <v>1.8680000000000001E-3</v>
      </c>
      <c r="H228" s="87">
        <v>41635</v>
      </c>
      <c r="I228" s="7"/>
      <c r="J228" s="88">
        <v>45529</v>
      </c>
      <c r="K228" s="89">
        <v>46883</v>
      </c>
      <c r="L228" s="263">
        <f t="shared" si="15"/>
        <v>1354</v>
      </c>
      <c r="M228" s="280">
        <f t="shared" si="19"/>
        <v>677</v>
      </c>
      <c r="N228" s="271">
        <f t="shared" si="16"/>
        <v>7032</v>
      </c>
      <c r="Z228" s="82">
        <f t="shared" si="17"/>
        <v>1354</v>
      </c>
      <c r="AA228" s="82">
        <f t="shared" si="18"/>
        <v>677</v>
      </c>
      <c r="AB228" t="s">
        <v>420</v>
      </c>
      <c r="AC228" t="s">
        <v>502</v>
      </c>
      <c r="AD228" t="s">
        <v>503</v>
      </c>
      <c r="AE228">
        <v>42375</v>
      </c>
      <c r="AF228">
        <v>4508</v>
      </c>
      <c r="AG228">
        <v>46883</v>
      </c>
    </row>
    <row r="229" spans="1:33">
      <c r="A229" s="91" t="s">
        <v>420</v>
      </c>
      <c r="B229" s="91" t="s">
        <v>504</v>
      </c>
      <c r="C229" s="92" t="s">
        <v>505</v>
      </c>
      <c r="D229" s="85">
        <v>3.3930000000000002E-3</v>
      </c>
      <c r="E229" s="86">
        <v>13346</v>
      </c>
      <c r="F229" s="5"/>
      <c r="G229" s="77">
        <v>2.4459999999999998E-3</v>
      </c>
      <c r="H229" s="87">
        <v>54518</v>
      </c>
      <c r="I229" s="7"/>
      <c r="J229" s="88">
        <v>67864</v>
      </c>
      <c r="K229" s="89">
        <v>70173</v>
      </c>
      <c r="L229" s="263">
        <f t="shared" si="15"/>
        <v>2309</v>
      </c>
      <c r="M229" s="280">
        <f t="shared" si="19"/>
        <v>1155</v>
      </c>
      <c r="N229" s="271">
        <f t="shared" si="16"/>
        <v>10526</v>
      </c>
      <c r="Z229" s="82">
        <f t="shared" si="17"/>
        <v>2309</v>
      </c>
      <c r="AA229" s="82">
        <f t="shared" si="18"/>
        <v>1154.5</v>
      </c>
      <c r="AB229" t="s">
        <v>420</v>
      </c>
      <c r="AC229" t="s">
        <v>504</v>
      </c>
      <c r="AD229" t="s">
        <v>505</v>
      </c>
      <c r="AE229">
        <v>55522</v>
      </c>
      <c r="AF229">
        <v>14651</v>
      </c>
      <c r="AG229">
        <v>70173</v>
      </c>
    </row>
    <row r="230" spans="1:33">
      <c r="A230" s="83" t="s">
        <v>420</v>
      </c>
      <c r="B230" s="83" t="s">
        <v>506</v>
      </c>
      <c r="C230" s="84" t="s">
        <v>507</v>
      </c>
      <c r="D230" s="85">
        <v>7.45E-4</v>
      </c>
      <c r="E230" s="86">
        <v>2930</v>
      </c>
      <c r="F230" s="5"/>
      <c r="G230" s="77">
        <v>1.0889999999999999E-3</v>
      </c>
      <c r="H230" s="87">
        <v>24272</v>
      </c>
      <c r="I230" s="7"/>
      <c r="J230" s="88">
        <v>27202</v>
      </c>
      <c r="K230" s="89">
        <v>27725</v>
      </c>
      <c r="L230" s="263">
        <f t="shared" si="15"/>
        <v>523</v>
      </c>
      <c r="M230" s="231">
        <f t="shared" si="19"/>
        <v>262</v>
      </c>
      <c r="N230" s="271">
        <f t="shared" si="16"/>
        <v>4159</v>
      </c>
      <c r="Z230" s="82">
        <f t="shared" si="17"/>
        <v>523</v>
      </c>
      <c r="AA230" s="82">
        <f t="shared" si="18"/>
        <v>261.5</v>
      </c>
      <c r="AB230" t="s">
        <v>420</v>
      </c>
      <c r="AC230" t="s">
        <v>506</v>
      </c>
      <c r="AD230" t="s">
        <v>507</v>
      </c>
      <c r="AE230">
        <v>24474</v>
      </c>
      <c r="AF230">
        <v>3251</v>
      </c>
      <c r="AG230">
        <v>27725</v>
      </c>
    </row>
    <row r="231" spans="1:33">
      <c r="A231" s="91" t="s">
        <v>420</v>
      </c>
      <c r="B231" s="91" t="s">
        <v>508</v>
      </c>
      <c r="C231" s="92" t="s">
        <v>509</v>
      </c>
      <c r="D231" s="85">
        <v>9.4000000000000004E-3</v>
      </c>
      <c r="E231" s="86">
        <v>36974</v>
      </c>
      <c r="F231" s="5"/>
      <c r="G231" s="77">
        <v>1.2477E-2</v>
      </c>
      <c r="H231" s="87">
        <v>278096</v>
      </c>
      <c r="I231" s="7"/>
      <c r="J231" s="88">
        <v>315070</v>
      </c>
      <c r="K231" s="89">
        <v>324678</v>
      </c>
      <c r="L231" s="263">
        <f t="shared" si="15"/>
        <v>9608</v>
      </c>
      <c r="M231" s="280">
        <f t="shared" si="19"/>
        <v>4804</v>
      </c>
      <c r="N231" s="271">
        <f t="shared" si="16"/>
        <v>48702</v>
      </c>
      <c r="Z231" s="82">
        <f t="shared" si="17"/>
        <v>9608</v>
      </c>
      <c r="AA231" s="82">
        <f t="shared" si="18"/>
        <v>4804</v>
      </c>
      <c r="AB231" t="s">
        <v>420</v>
      </c>
      <c r="AC231" t="s">
        <v>508</v>
      </c>
      <c r="AD231" t="s">
        <v>509</v>
      </c>
      <c r="AE231">
        <v>289303</v>
      </c>
      <c r="AF231">
        <v>35375</v>
      </c>
      <c r="AG231">
        <v>324678</v>
      </c>
    </row>
    <row r="232" spans="1:33">
      <c r="A232" s="91" t="s">
        <v>420</v>
      </c>
      <c r="B232" s="91" t="s">
        <v>510</v>
      </c>
      <c r="C232" s="92" t="s">
        <v>511</v>
      </c>
      <c r="D232" s="85">
        <v>1.7129999999999999E-3</v>
      </c>
      <c r="E232" s="86">
        <v>6738</v>
      </c>
      <c r="F232" s="5"/>
      <c r="G232" s="77">
        <v>1.879E-3</v>
      </c>
      <c r="H232" s="87">
        <v>41880</v>
      </c>
      <c r="I232" s="7"/>
      <c r="J232" s="88">
        <v>48618</v>
      </c>
      <c r="K232" s="89">
        <v>50850</v>
      </c>
      <c r="L232" s="263">
        <f t="shared" si="15"/>
        <v>2232</v>
      </c>
      <c r="M232" s="280">
        <f t="shared" si="19"/>
        <v>1116</v>
      </c>
      <c r="N232" s="271">
        <f t="shared" si="16"/>
        <v>7628</v>
      </c>
      <c r="Z232" s="82">
        <f t="shared" si="17"/>
        <v>2232</v>
      </c>
      <c r="AA232" s="82">
        <f t="shared" si="18"/>
        <v>1116</v>
      </c>
      <c r="AB232" t="s">
        <v>420</v>
      </c>
      <c r="AC232" t="s">
        <v>510</v>
      </c>
      <c r="AD232" t="s">
        <v>511</v>
      </c>
      <c r="AE232">
        <v>42830</v>
      </c>
      <c r="AF232">
        <v>8020</v>
      </c>
      <c r="AG232">
        <v>50850</v>
      </c>
    </row>
    <row r="233" spans="1:33">
      <c r="A233" s="91" t="s">
        <v>420</v>
      </c>
      <c r="B233" s="91" t="s">
        <v>512</v>
      </c>
      <c r="C233" s="92" t="s">
        <v>513</v>
      </c>
      <c r="D233" s="85">
        <v>9.8999999999999999E-4</v>
      </c>
      <c r="E233" s="86">
        <v>3894</v>
      </c>
      <c r="F233" s="5"/>
      <c r="G233" s="77">
        <v>8.2600000000000002E-4</v>
      </c>
      <c r="H233" s="87">
        <v>18410</v>
      </c>
      <c r="I233" s="7"/>
      <c r="J233" s="88">
        <v>22304</v>
      </c>
      <c r="K233" s="89">
        <v>21290</v>
      </c>
      <c r="L233" s="263" t="str">
        <f t="shared" si="15"/>
        <v xml:space="preserve"> </v>
      </c>
      <c r="M233" s="280" t="str">
        <f t="shared" si="19"/>
        <v xml:space="preserve"> </v>
      </c>
      <c r="N233" s="271">
        <f t="shared" si="16"/>
        <v>3194</v>
      </c>
      <c r="Z233" s="82">
        <f t="shared" si="17"/>
        <v>-1014</v>
      </c>
      <c r="AA233" s="82">
        <f t="shared" si="18"/>
        <v>-507</v>
      </c>
      <c r="AB233" t="s">
        <v>420</v>
      </c>
      <c r="AC233" t="s">
        <v>512</v>
      </c>
      <c r="AD233" t="s">
        <v>513</v>
      </c>
      <c r="AE233">
        <v>18083</v>
      </c>
      <c r="AF233">
        <v>3207</v>
      </c>
      <c r="AG233">
        <v>21290</v>
      </c>
    </row>
    <row r="234" spans="1:33">
      <c r="A234" s="91" t="s">
        <v>420</v>
      </c>
      <c r="B234" s="91" t="s">
        <v>514</v>
      </c>
      <c r="C234" s="92" t="s">
        <v>515</v>
      </c>
      <c r="D234" s="85">
        <v>5.6700000000000001E-4</v>
      </c>
      <c r="E234" s="86">
        <v>2230</v>
      </c>
      <c r="F234" s="5"/>
      <c r="G234" s="77">
        <v>6.9300000000000004E-4</v>
      </c>
      <c r="H234" s="87">
        <v>15446</v>
      </c>
      <c r="I234" s="7"/>
      <c r="J234" s="88">
        <v>17676</v>
      </c>
      <c r="K234" s="89">
        <v>15460</v>
      </c>
      <c r="L234" s="263" t="str">
        <f t="shared" si="15"/>
        <v xml:space="preserve"> </v>
      </c>
      <c r="M234" s="280" t="str">
        <f t="shared" si="19"/>
        <v xml:space="preserve"> </v>
      </c>
      <c r="N234" s="271">
        <f t="shared" si="16"/>
        <v>2319</v>
      </c>
      <c r="Z234" s="82">
        <f t="shared" si="17"/>
        <v>-2216</v>
      </c>
      <c r="AA234" s="82">
        <f t="shared" si="18"/>
        <v>-1108</v>
      </c>
      <c r="AB234" t="s">
        <v>420</v>
      </c>
      <c r="AC234" t="s">
        <v>514</v>
      </c>
      <c r="AD234" t="s">
        <v>515</v>
      </c>
      <c r="AE234">
        <v>13943</v>
      </c>
      <c r="AF234">
        <v>1517</v>
      </c>
      <c r="AG234">
        <v>15460</v>
      </c>
    </row>
    <row r="235" spans="1:33">
      <c r="A235" s="91" t="s">
        <v>420</v>
      </c>
      <c r="B235" s="91" t="s">
        <v>516</v>
      </c>
      <c r="C235" s="92" t="s">
        <v>517</v>
      </c>
      <c r="D235" s="85">
        <v>4.3270000000000001E-3</v>
      </c>
      <c r="E235" s="86">
        <v>17024</v>
      </c>
      <c r="F235" s="5"/>
      <c r="G235" s="77">
        <v>7.4929999999999997E-3</v>
      </c>
      <c r="H235" s="87">
        <v>167009</v>
      </c>
      <c r="I235" s="7"/>
      <c r="J235" s="88">
        <v>184033</v>
      </c>
      <c r="K235" s="89">
        <v>185372</v>
      </c>
      <c r="L235" s="263">
        <f t="shared" si="15"/>
        <v>1339</v>
      </c>
      <c r="M235" s="280">
        <f t="shared" si="19"/>
        <v>670</v>
      </c>
      <c r="N235" s="271">
        <f t="shared" si="16"/>
        <v>27806</v>
      </c>
      <c r="Z235" s="82">
        <f t="shared" si="17"/>
        <v>1339</v>
      </c>
      <c r="AA235" s="82">
        <f t="shared" si="18"/>
        <v>669.5</v>
      </c>
      <c r="AB235" t="s">
        <v>420</v>
      </c>
      <c r="AC235" t="s">
        <v>516</v>
      </c>
      <c r="AD235" t="s">
        <v>517</v>
      </c>
      <c r="AE235">
        <v>167727</v>
      </c>
      <c r="AF235">
        <v>17645</v>
      </c>
      <c r="AG235">
        <v>185372</v>
      </c>
    </row>
    <row r="236" spans="1:33">
      <c r="A236" s="91" t="s">
        <v>420</v>
      </c>
      <c r="B236" s="91" t="s">
        <v>518</v>
      </c>
      <c r="C236" s="92" t="s">
        <v>519</v>
      </c>
      <c r="D236" s="85">
        <v>4.0000000000000002E-4</v>
      </c>
      <c r="E236" s="86">
        <v>1573</v>
      </c>
      <c r="F236" s="5"/>
      <c r="G236" s="77">
        <v>1.196E-3</v>
      </c>
      <c r="H236" s="87">
        <v>26657</v>
      </c>
      <c r="I236" s="7"/>
      <c r="J236" s="88">
        <v>28230</v>
      </c>
      <c r="K236" s="89">
        <v>29384</v>
      </c>
      <c r="L236" s="263">
        <f t="shared" si="15"/>
        <v>1154</v>
      </c>
      <c r="M236" s="280">
        <f t="shared" si="19"/>
        <v>577</v>
      </c>
      <c r="N236" s="271">
        <f t="shared" si="16"/>
        <v>4408</v>
      </c>
      <c r="Z236" s="82">
        <f t="shared" si="17"/>
        <v>1154</v>
      </c>
      <c r="AA236" s="82">
        <f t="shared" si="18"/>
        <v>577</v>
      </c>
      <c r="AB236" t="s">
        <v>420</v>
      </c>
      <c r="AC236" t="s">
        <v>518</v>
      </c>
      <c r="AD236" t="s">
        <v>519</v>
      </c>
      <c r="AE236">
        <v>27477</v>
      </c>
      <c r="AF236">
        <v>1907</v>
      </c>
      <c r="AG236">
        <v>29384</v>
      </c>
    </row>
    <row r="237" spans="1:33">
      <c r="A237" s="91" t="s">
        <v>420</v>
      </c>
      <c r="B237" s="91" t="s">
        <v>520</v>
      </c>
      <c r="C237" s="92" t="s">
        <v>521</v>
      </c>
      <c r="D237" s="85">
        <v>5.0390000000000001E-3</v>
      </c>
      <c r="E237" s="86">
        <v>19820</v>
      </c>
      <c r="F237" s="5"/>
      <c r="G237" s="77">
        <v>1.4560999999999999E-2</v>
      </c>
      <c r="H237" s="87">
        <v>324546</v>
      </c>
      <c r="I237" s="7"/>
      <c r="J237" s="88">
        <v>344366</v>
      </c>
      <c r="K237" s="89">
        <v>373865</v>
      </c>
      <c r="L237" s="263">
        <f t="shared" si="15"/>
        <v>29499</v>
      </c>
      <c r="M237" s="280">
        <f t="shared" si="19"/>
        <v>14750</v>
      </c>
      <c r="N237" s="271">
        <f t="shared" si="16"/>
        <v>56080</v>
      </c>
      <c r="Z237" s="82">
        <f t="shared" si="17"/>
        <v>29499</v>
      </c>
      <c r="AA237" s="82">
        <f t="shared" si="18"/>
        <v>14749.5</v>
      </c>
      <c r="AB237" t="s">
        <v>420</v>
      </c>
      <c r="AC237" t="s">
        <v>520</v>
      </c>
      <c r="AD237" t="s">
        <v>521</v>
      </c>
      <c r="AE237">
        <v>354401</v>
      </c>
      <c r="AF237">
        <v>19464</v>
      </c>
      <c r="AG237">
        <v>373865</v>
      </c>
    </row>
    <row r="238" spans="1:33">
      <c r="A238" s="91" t="s">
        <v>420</v>
      </c>
      <c r="B238" s="91" t="s">
        <v>522</v>
      </c>
      <c r="C238" s="92" t="s">
        <v>523</v>
      </c>
      <c r="D238" s="85">
        <v>1.167E-2</v>
      </c>
      <c r="E238" s="86">
        <v>45902</v>
      </c>
      <c r="F238" s="5"/>
      <c r="G238" s="77">
        <v>2.1127E-2</v>
      </c>
      <c r="H238" s="87">
        <v>470893</v>
      </c>
      <c r="I238" s="7"/>
      <c r="J238" s="88">
        <v>516795</v>
      </c>
      <c r="K238" s="89">
        <v>532350</v>
      </c>
      <c r="L238" s="263">
        <f t="shared" si="15"/>
        <v>15555</v>
      </c>
      <c r="M238" s="280">
        <f t="shared" si="19"/>
        <v>7778</v>
      </c>
      <c r="N238" s="271">
        <f t="shared" si="16"/>
        <v>79853</v>
      </c>
      <c r="Z238" s="82">
        <f t="shared" si="17"/>
        <v>15555</v>
      </c>
      <c r="AA238" s="82">
        <f t="shared" si="18"/>
        <v>7777.5</v>
      </c>
      <c r="AB238" t="s">
        <v>420</v>
      </c>
      <c r="AC238" t="s">
        <v>522</v>
      </c>
      <c r="AD238" t="s">
        <v>523</v>
      </c>
      <c r="AE238">
        <v>480458</v>
      </c>
      <c r="AF238">
        <v>51892</v>
      </c>
      <c r="AG238">
        <v>532350</v>
      </c>
    </row>
    <row r="239" spans="1:33">
      <c r="A239" s="83" t="s">
        <v>420</v>
      </c>
      <c r="B239" s="83" t="s">
        <v>524</v>
      </c>
      <c r="C239" s="84" t="s">
        <v>525</v>
      </c>
      <c r="D239" s="85">
        <v>3.349E-3</v>
      </c>
      <c r="E239" s="86">
        <v>13173</v>
      </c>
      <c r="F239" s="5"/>
      <c r="G239" s="77">
        <v>3.4280000000000001E-3</v>
      </c>
      <c r="H239" s="87">
        <v>76406</v>
      </c>
      <c r="I239" s="7"/>
      <c r="J239" s="88">
        <v>89579</v>
      </c>
      <c r="K239" s="89">
        <v>89715</v>
      </c>
      <c r="L239" s="263">
        <f t="shared" si="15"/>
        <v>136</v>
      </c>
      <c r="M239" s="231">
        <f t="shared" si="19"/>
        <v>68</v>
      </c>
      <c r="N239" s="271">
        <f t="shared" si="16"/>
        <v>13457</v>
      </c>
      <c r="Z239" s="82">
        <f t="shared" si="17"/>
        <v>136</v>
      </c>
      <c r="AA239" s="82">
        <f t="shared" si="18"/>
        <v>68</v>
      </c>
      <c r="AB239" t="s">
        <v>420</v>
      </c>
      <c r="AC239" t="s">
        <v>524</v>
      </c>
      <c r="AD239" t="s">
        <v>525</v>
      </c>
      <c r="AE239">
        <v>77404</v>
      </c>
      <c r="AF239">
        <v>12311</v>
      </c>
      <c r="AG239">
        <v>89715</v>
      </c>
    </row>
    <row r="240" spans="1:33" ht="15.75" thickBot="1">
      <c r="A240" s="93" t="s">
        <v>420</v>
      </c>
      <c r="B240" s="93" t="s">
        <v>526</v>
      </c>
      <c r="C240" s="94" t="s">
        <v>527</v>
      </c>
      <c r="D240" s="95">
        <v>8.5700000000000001E-4</v>
      </c>
      <c r="E240" s="96">
        <v>3371</v>
      </c>
      <c r="F240" s="97"/>
      <c r="G240" s="98">
        <v>1.7440000000000001E-3</v>
      </c>
      <c r="H240" s="99">
        <v>38871</v>
      </c>
      <c r="I240" s="7"/>
      <c r="J240" s="100">
        <v>42242</v>
      </c>
      <c r="K240" s="101">
        <v>43509</v>
      </c>
      <c r="L240" s="264">
        <f t="shared" si="15"/>
        <v>1267</v>
      </c>
      <c r="M240" s="281">
        <f t="shared" si="19"/>
        <v>634</v>
      </c>
      <c r="N240" s="102">
        <f t="shared" si="16"/>
        <v>6526</v>
      </c>
      <c r="Z240" s="82">
        <f t="shared" si="17"/>
        <v>1267</v>
      </c>
      <c r="AA240" s="82">
        <f t="shared" si="18"/>
        <v>633.5</v>
      </c>
      <c r="AB240" t="s">
        <v>420</v>
      </c>
      <c r="AC240" t="s">
        <v>526</v>
      </c>
      <c r="AD240" t="s">
        <v>527</v>
      </c>
      <c r="AE240">
        <v>40647</v>
      </c>
      <c r="AF240">
        <v>2862</v>
      </c>
      <c r="AG240">
        <v>43509</v>
      </c>
    </row>
    <row r="241" spans="1:33">
      <c r="A241" s="91" t="s">
        <v>528</v>
      </c>
      <c r="B241" s="91" t="s">
        <v>529</v>
      </c>
      <c r="C241" s="92" t="s">
        <v>530</v>
      </c>
      <c r="D241" s="85">
        <v>1.0009999999999999E-3</v>
      </c>
      <c r="E241" s="86">
        <v>3937</v>
      </c>
      <c r="F241" s="5"/>
      <c r="G241" s="103">
        <v>1.0759999999999999E-3</v>
      </c>
      <c r="H241" s="78">
        <v>23983</v>
      </c>
      <c r="I241" s="7"/>
      <c r="J241" s="79">
        <v>27920</v>
      </c>
      <c r="K241" s="80">
        <v>26943</v>
      </c>
      <c r="L241" s="263" t="str">
        <f t="shared" si="15"/>
        <v xml:space="preserve"> </v>
      </c>
      <c r="M241" s="280" t="str">
        <f t="shared" si="19"/>
        <v xml:space="preserve"> </v>
      </c>
      <c r="N241" s="81">
        <f t="shared" si="16"/>
        <v>4041</v>
      </c>
      <c r="Z241" s="82">
        <f t="shared" si="17"/>
        <v>-977</v>
      </c>
      <c r="AA241" s="82">
        <f t="shared" si="18"/>
        <v>-488.5</v>
      </c>
      <c r="AB241" t="s">
        <v>528</v>
      </c>
      <c r="AC241" t="s">
        <v>529</v>
      </c>
      <c r="AD241" t="s">
        <v>530</v>
      </c>
      <c r="AE241">
        <v>23519</v>
      </c>
      <c r="AF241">
        <v>3424</v>
      </c>
      <c r="AG241">
        <v>26943</v>
      </c>
    </row>
    <row r="242" spans="1:33">
      <c r="A242" s="91" t="s">
        <v>528</v>
      </c>
      <c r="B242" s="91" t="s">
        <v>531</v>
      </c>
      <c r="C242" s="92" t="s">
        <v>532</v>
      </c>
      <c r="D242" s="85">
        <v>3.3399999999999999E-4</v>
      </c>
      <c r="E242" s="86">
        <v>1314</v>
      </c>
      <c r="F242" s="5"/>
      <c r="G242" s="77">
        <v>7.2300000000000001E-4</v>
      </c>
      <c r="H242" s="87">
        <v>16115</v>
      </c>
      <c r="I242" s="7"/>
      <c r="J242" s="88">
        <v>17429</v>
      </c>
      <c r="K242" s="89">
        <v>17392</v>
      </c>
      <c r="L242" s="263" t="str">
        <f t="shared" si="15"/>
        <v xml:space="preserve"> </v>
      </c>
      <c r="M242" s="280" t="str">
        <f t="shared" si="19"/>
        <v xml:space="preserve"> </v>
      </c>
      <c r="N242" s="271">
        <f t="shared" si="16"/>
        <v>2609</v>
      </c>
      <c r="Z242" s="82">
        <f t="shared" si="17"/>
        <v>-37</v>
      </c>
      <c r="AA242" s="82">
        <f t="shared" si="18"/>
        <v>-18.5</v>
      </c>
      <c r="AB242" t="s">
        <v>528</v>
      </c>
      <c r="AC242" t="s">
        <v>531</v>
      </c>
      <c r="AD242" t="s">
        <v>532</v>
      </c>
      <c r="AE242">
        <v>15786</v>
      </c>
      <c r="AF242">
        <v>1606</v>
      </c>
      <c r="AG242">
        <v>17392</v>
      </c>
    </row>
    <row r="243" spans="1:33">
      <c r="A243" s="91" t="s">
        <v>528</v>
      </c>
      <c r="B243" s="91" t="s">
        <v>533</v>
      </c>
      <c r="C243" s="92" t="s">
        <v>534</v>
      </c>
      <c r="D243" s="85">
        <v>2.8899999999999998E-4</v>
      </c>
      <c r="E243" s="86">
        <v>1137</v>
      </c>
      <c r="F243" s="5"/>
      <c r="G243" s="77">
        <v>5.1400000000000003E-4</v>
      </c>
      <c r="H243" s="87">
        <v>11456</v>
      </c>
      <c r="I243" s="7"/>
      <c r="J243" s="88">
        <v>12593</v>
      </c>
      <c r="K243" s="89">
        <v>13748</v>
      </c>
      <c r="L243" s="263">
        <f t="shared" si="15"/>
        <v>1155</v>
      </c>
      <c r="M243" s="280">
        <f t="shared" si="19"/>
        <v>578</v>
      </c>
      <c r="N243" s="271">
        <f t="shared" si="16"/>
        <v>2062</v>
      </c>
      <c r="Z243" s="82">
        <f t="shared" si="17"/>
        <v>1155</v>
      </c>
      <c r="AA243" s="82">
        <f t="shared" si="18"/>
        <v>577.5</v>
      </c>
      <c r="AB243" t="s">
        <v>528</v>
      </c>
      <c r="AC243" t="s">
        <v>533</v>
      </c>
      <c r="AD243" t="s">
        <v>534</v>
      </c>
      <c r="AE243">
        <v>11669</v>
      </c>
      <c r="AF243">
        <v>2079</v>
      </c>
      <c r="AG243">
        <v>13748</v>
      </c>
    </row>
    <row r="244" spans="1:33">
      <c r="A244" s="91" t="s">
        <v>528</v>
      </c>
      <c r="B244" s="91" t="s">
        <v>535</v>
      </c>
      <c r="C244" s="92" t="s">
        <v>536</v>
      </c>
      <c r="D244" s="85">
        <v>1.3129999999999999E-3</v>
      </c>
      <c r="E244" s="86">
        <v>5165</v>
      </c>
      <c r="F244" s="5"/>
      <c r="G244" s="77">
        <v>1.2689999999999999E-3</v>
      </c>
      <c r="H244" s="87">
        <v>28284</v>
      </c>
      <c r="I244" s="7"/>
      <c r="J244" s="88">
        <v>33449</v>
      </c>
      <c r="K244" s="89">
        <v>33921</v>
      </c>
      <c r="L244" s="263">
        <f t="shared" si="15"/>
        <v>472</v>
      </c>
      <c r="M244" s="280">
        <f t="shared" si="19"/>
        <v>236</v>
      </c>
      <c r="N244" s="271">
        <f t="shared" si="16"/>
        <v>5088</v>
      </c>
      <c r="Z244" s="82">
        <f t="shared" si="17"/>
        <v>472</v>
      </c>
      <c r="AA244" s="82">
        <f t="shared" si="18"/>
        <v>236</v>
      </c>
      <c r="AB244" t="s">
        <v>528</v>
      </c>
      <c r="AC244" t="s">
        <v>535</v>
      </c>
      <c r="AD244" t="s">
        <v>536</v>
      </c>
      <c r="AE244">
        <v>29024</v>
      </c>
      <c r="AF244">
        <v>4897</v>
      </c>
      <c r="AG244">
        <v>33921</v>
      </c>
    </row>
    <row r="245" spans="1:33">
      <c r="A245" s="83" t="s">
        <v>528</v>
      </c>
      <c r="B245" s="83" t="s">
        <v>537</v>
      </c>
      <c r="C245" s="84" t="s">
        <v>538</v>
      </c>
      <c r="D245" s="85">
        <v>1.2130000000000001E-3</v>
      </c>
      <c r="E245" s="86">
        <v>4771</v>
      </c>
      <c r="F245" s="5"/>
      <c r="G245" s="77">
        <v>1.8240000000000001E-3</v>
      </c>
      <c r="H245" s="87">
        <v>40655</v>
      </c>
      <c r="I245" s="7"/>
      <c r="J245" s="88">
        <v>45426</v>
      </c>
      <c r="K245" s="89">
        <v>46616</v>
      </c>
      <c r="L245" s="263">
        <f t="shared" si="15"/>
        <v>1190</v>
      </c>
      <c r="M245" s="231">
        <f t="shared" si="19"/>
        <v>595</v>
      </c>
      <c r="N245" s="271">
        <f t="shared" si="16"/>
        <v>6992</v>
      </c>
      <c r="Z245" s="82">
        <f t="shared" si="17"/>
        <v>1190</v>
      </c>
      <c r="AA245" s="82">
        <f t="shared" si="18"/>
        <v>595</v>
      </c>
      <c r="AB245" t="s">
        <v>528</v>
      </c>
      <c r="AC245" t="s">
        <v>537</v>
      </c>
      <c r="AD245" t="s">
        <v>538</v>
      </c>
      <c r="AE245">
        <v>42193</v>
      </c>
      <c r="AF245">
        <v>4423</v>
      </c>
      <c r="AG245">
        <v>46616</v>
      </c>
    </row>
    <row r="246" spans="1:33">
      <c r="A246" s="91" t="s">
        <v>528</v>
      </c>
      <c r="B246" s="91" t="s">
        <v>539</v>
      </c>
      <c r="C246" s="92" t="s">
        <v>540</v>
      </c>
      <c r="D246" s="85">
        <v>1.09E-3</v>
      </c>
      <c r="E246" s="86">
        <v>4287</v>
      </c>
      <c r="F246" s="5"/>
      <c r="G246" s="77">
        <v>1.5920000000000001E-3</v>
      </c>
      <c r="H246" s="87">
        <v>35484</v>
      </c>
      <c r="I246" s="7"/>
      <c r="J246" s="88">
        <v>39771</v>
      </c>
      <c r="K246" s="89">
        <v>40226</v>
      </c>
      <c r="L246" s="263">
        <f t="shared" si="15"/>
        <v>455</v>
      </c>
      <c r="M246" s="280">
        <f t="shared" si="19"/>
        <v>228</v>
      </c>
      <c r="N246" s="271">
        <f t="shared" si="16"/>
        <v>6034</v>
      </c>
      <c r="Z246" s="82">
        <f t="shared" si="17"/>
        <v>455</v>
      </c>
      <c r="AA246" s="82">
        <f t="shared" si="18"/>
        <v>227.5</v>
      </c>
      <c r="AB246" t="s">
        <v>528</v>
      </c>
      <c r="AC246" t="s">
        <v>539</v>
      </c>
      <c r="AD246" t="s">
        <v>540</v>
      </c>
      <c r="AE246">
        <v>35847</v>
      </c>
      <c r="AF246">
        <v>4379</v>
      </c>
      <c r="AG246">
        <v>40226</v>
      </c>
    </row>
    <row r="247" spans="1:33">
      <c r="A247" s="83" t="s">
        <v>528</v>
      </c>
      <c r="B247" s="83" t="s">
        <v>541</v>
      </c>
      <c r="C247" s="84" t="s">
        <v>542</v>
      </c>
      <c r="D247" s="85">
        <v>8.4500000000000005E-4</v>
      </c>
      <c r="E247" s="86">
        <v>3324</v>
      </c>
      <c r="F247" s="5"/>
      <c r="G247" s="77">
        <v>6.2600000000000004E-4</v>
      </c>
      <c r="H247" s="87">
        <v>13953</v>
      </c>
      <c r="I247" s="7"/>
      <c r="J247" s="88">
        <v>17277</v>
      </c>
      <c r="K247" s="89">
        <v>17343</v>
      </c>
      <c r="L247" s="263">
        <f t="shared" si="15"/>
        <v>66</v>
      </c>
      <c r="M247" s="231">
        <f t="shared" si="19"/>
        <v>33</v>
      </c>
      <c r="N247" s="271">
        <f t="shared" si="16"/>
        <v>2601</v>
      </c>
      <c r="Z247" s="82">
        <f t="shared" si="17"/>
        <v>66</v>
      </c>
      <c r="AA247" s="82">
        <f t="shared" si="18"/>
        <v>33</v>
      </c>
      <c r="AB247" t="s">
        <v>528</v>
      </c>
      <c r="AC247" t="s">
        <v>541</v>
      </c>
      <c r="AD247" t="s">
        <v>542</v>
      </c>
      <c r="AE247">
        <v>14353</v>
      </c>
      <c r="AF247">
        <v>2990</v>
      </c>
      <c r="AG247">
        <v>17343</v>
      </c>
    </row>
    <row r="248" spans="1:33">
      <c r="A248" s="91" t="s">
        <v>528</v>
      </c>
      <c r="B248" s="91" t="s">
        <v>543</v>
      </c>
      <c r="C248" s="92" t="s">
        <v>544</v>
      </c>
      <c r="D248" s="85">
        <v>1.869E-3</v>
      </c>
      <c r="E248" s="86">
        <v>7351</v>
      </c>
      <c r="F248" s="5"/>
      <c r="G248" s="77">
        <v>1.836E-3</v>
      </c>
      <c r="H248" s="87">
        <v>40922</v>
      </c>
      <c r="I248" s="7"/>
      <c r="J248" s="88">
        <v>48273</v>
      </c>
      <c r="K248" s="89">
        <v>49631</v>
      </c>
      <c r="L248" s="263">
        <f t="shared" si="15"/>
        <v>1358</v>
      </c>
      <c r="M248" s="280">
        <f t="shared" si="19"/>
        <v>679</v>
      </c>
      <c r="N248" s="271">
        <f t="shared" si="16"/>
        <v>7445</v>
      </c>
      <c r="Z248" s="82">
        <f t="shared" si="17"/>
        <v>1358</v>
      </c>
      <c r="AA248" s="82">
        <f t="shared" si="18"/>
        <v>679</v>
      </c>
      <c r="AB248" t="s">
        <v>528</v>
      </c>
      <c r="AC248" t="s">
        <v>543</v>
      </c>
      <c r="AD248" t="s">
        <v>544</v>
      </c>
      <c r="AE248">
        <v>41784</v>
      </c>
      <c r="AF248">
        <v>7847</v>
      </c>
      <c r="AG248">
        <v>49631</v>
      </c>
    </row>
    <row r="249" spans="1:33">
      <c r="A249" s="91" t="s">
        <v>528</v>
      </c>
      <c r="B249" s="91" t="s">
        <v>545</v>
      </c>
      <c r="C249" s="92" t="s">
        <v>546</v>
      </c>
      <c r="D249" s="85">
        <v>6.9639999999999997E-3</v>
      </c>
      <c r="E249" s="86">
        <v>27392</v>
      </c>
      <c r="F249" s="5"/>
      <c r="G249" s="77">
        <v>4.1949999999999999E-3</v>
      </c>
      <c r="H249" s="87">
        <v>93501</v>
      </c>
      <c r="I249" s="7"/>
      <c r="J249" s="88">
        <v>120893</v>
      </c>
      <c r="K249" s="89">
        <v>127379</v>
      </c>
      <c r="L249" s="263">
        <f t="shared" si="15"/>
        <v>6486</v>
      </c>
      <c r="M249" s="280">
        <f t="shared" si="19"/>
        <v>3243</v>
      </c>
      <c r="N249" s="271">
        <f t="shared" si="16"/>
        <v>19107</v>
      </c>
      <c r="Z249" s="82">
        <f t="shared" si="17"/>
        <v>6486</v>
      </c>
      <c r="AA249" s="82">
        <f t="shared" si="18"/>
        <v>3243</v>
      </c>
      <c r="AB249" t="s">
        <v>528</v>
      </c>
      <c r="AC249" t="s">
        <v>545</v>
      </c>
      <c r="AD249" t="s">
        <v>546</v>
      </c>
      <c r="AE249">
        <v>97511</v>
      </c>
      <c r="AF249">
        <v>29868</v>
      </c>
      <c r="AG249">
        <v>127379</v>
      </c>
    </row>
    <row r="250" spans="1:33">
      <c r="A250" s="91" t="s">
        <v>528</v>
      </c>
      <c r="B250" s="91" t="s">
        <v>547</v>
      </c>
      <c r="C250" s="92" t="s">
        <v>548</v>
      </c>
      <c r="D250" s="85">
        <v>1.268E-3</v>
      </c>
      <c r="E250" s="86">
        <v>4988</v>
      </c>
      <c r="F250" s="5"/>
      <c r="G250" s="77">
        <v>8.7200000000000005E-4</v>
      </c>
      <c r="H250" s="87">
        <v>19436</v>
      </c>
      <c r="I250" s="7"/>
      <c r="J250" s="88">
        <v>24424</v>
      </c>
      <c r="K250" s="89">
        <v>22892</v>
      </c>
      <c r="L250" s="263" t="str">
        <f t="shared" si="15"/>
        <v xml:space="preserve"> </v>
      </c>
      <c r="M250" s="280" t="str">
        <f t="shared" si="19"/>
        <v xml:space="preserve"> </v>
      </c>
      <c r="N250" s="271">
        <f t="shared" si="16"/>
        <v>3434</v>
      </c>
      <c r="Z250" s="82">
        <f t="shared" si="17"/>
        <v>-1532</v>
      </c>
      <c r="AA250" s="82">
        <f t="shared" si="18"/>
        <v>-766</v>
      </c>
      <c r="AB250" t="s">
        <v>528</v>
      </c>
      <c r="AC250" t="s">
        <v>547</v>
      </c>
      <c r="AD250" t="s">
        <v>548</v>
      </c>
      <c r="AE250">
        <v>18902</v>
      </c>
      <c r="AF250">
        <v>3990</v>
      </c>
      <c r="AG250">
        <v>22892</v>
      </c>
    </row>
    <row r="251" spans="1:33">
      <c r="A251" s="83" t="s">
        <v>528</v>
      </c>
      <c r="B251" s="83" t="s">
        <v>549</v>
      </c>
      <c r="C251" s="84" t="s">
        <v>550</v>
      </c>
      <c r="D251" s="85">
        <v>5.9000000000000003E-4</v>
      </c>
      <c r="E251" s="86">
        <v>2321</v>
      </c>
      <c r="F251" s="5"/>
      <c r="G251" s="77">
        <v>8.7799999999999998E-4</v>
      </c>
      <c r="H251" s="87">
        <v>19569</v>
      </c>
      <c r="I251" s="7"/>
      <c r="J251" s="88">
        <v>21890</v>
      </c>
      <c r="K251" s="89">
        <v>21709</v>
      </c>
      <c r="L251" s="263" t="str">
        <f t="shared" si="15"/>
        <v xml:space="preserve"> </v>
      </c>
      <c r="M251" s="90" t="str">
        <f t="shared" si="19"/>
        <v xml:space="preserve"> </v>
      </c>
      <c r="N251" s="271">
        <f t="shared" si="16"/>
        <v>3256</v>
      </c>
      <c r="Z251" s="82">
        <f t="shared" si="17"/>
        <v>-181</v>
      </c>
      <c r="AA251" s="82">
        <f t="shared" si="18"/>
        <v>-90.5</v>
      </c>
      <c r="AB251" t="s">
        <v>528</v>
      </c>
      <c r="AC251" t="s">
        <v>549</v>
      </c>
      <c r="AD251" t="s">
        <v>550</v>
      </c>
      <c r="AE251">
        <v>19630</v>
      </c>
      <c r="AF251">
        <v>2079</v>
      </c>
      <c r="AG251">
        <v>21709</v>
      </c>
    </row>
    <row r="252" spans="1:33">
      <c r="A252" s="91" t="s">
        <v>528</v>
      </c>
      <c r="B252" s="91" t="s">
        <v>551</v>
      </c>
      <c r="C252" s="92" t="s">
        <v>552</v>
      </c>
      <c r="D252" s="85">
        <v>8.34E-4</v>
      </c>
      <c r="E252" s="86">
        <v>3280</v>
      </c>
      <c r="F252" s="5"/>
      <c r="G252" s="77">
        <v>9.3400000000000004E-4</v>
      </c>
      <c r="H252" s="87">
        <v>20818</v>
      </c>
      <c r="I252" s="7"/>
      <c r="J252" s="88">
        <v>24098</v>
      </c>
      <c r="K252" s="89">
        <v>24884</v>
      </c>
      <c r="L252" s="263">
        <f t="shared" si="15"/>
        <v>786</v>
      </c>
      <c r="M252" s="280">
        <f t="shared" si="19"/>
        <v>393</v>
      </c>
      <c r="N252" s="271">
        <f t="shared" si="16"/>
        <v>3733</v>
      </c>
      <c r="Z252" s="82">
        <f t="shared" si="17"/>
        <v>786</v>
      </c>
      <c r="AA252" s="82">
        <f t="shared" si="18"/>
        <v>393</v>
      </c>
      <c r="AB252" t="s">
        <v>528</v>
      </c>
      <c r="AC252" t="s">
        <v>551</v>
      </c>
      <c r="AD252" t="s">
        <v>552</v>
      </c>
      <c r="AE252">
        <v>21199</v>
      </c>
      <c r="AF252">
        <v>3685</v>
      </c>
      <c r="AG252">
        <v>24884</v>
      </c>
    </row>
    <row r="253" spans="1:33">
      <c r="A253" s="83" t="s">
        <v>528</v>
      </c>
      <c r="B253" s="83" t="s">
        <v>553</v>
      </c>
      <c r="C253" s="84" t="s">
        <v>554</v>
      </c>
      <c r="D253" s="85">
        <v>1.4679999999999999E-3</v>
      </c>
      <c r="E253" s="86">
        <v>5774</v>
      </c>
      <c r="F253" s="5"/>
      <c r="G253" s="77">
        <v>1.4339999999999999E-3</v>
      </c>
      <c r="H253" s="87">
        <v>31962</v>
      </c>
      <c r="I253" s="7"/>
      <c r="J253" s="88">
        <v>37736</v>
      </c>
      <c r="K253" s="89">
        <v>37709</v>
      </c>
      <c r="L253" s="263" t="str">
        <f t="shared" si="15"/>
        <v xml:space="preserve"> </v>
      </c>
      <c r="M253" s="90" t="str">
        <f t="shared" si="19"/>
        <v xml:space="preserve"> </v>
      </c>
      <c r="N253" s="271">
        <f t="shared" si="16"/>
        <v>5656</v>
      </c>
      <c r="Z253" s="82">
        <f t="shared" si="17"/>
        <v>-27</v>
      </c>
      <c r="AA253" s="82">
        <f t="shared" si="18"/>
        <v>-13.5</v>
      </c>
      <c r="AB253" t="s">
        <v>528</v>
      </c>
      <c r="AC253" t="s">
        <v>553</v>
      </c>
      <c r="AD253" t="s">
        <v>554</v>
      </c>
      <c r="AE253">
        <v>32162</v>
      </c>
      <c r="AF253">
        <v>5547</v>
      </c>
      <c r="AG253">
        <v>37709</v>
      </c>
    </row>
    <row r="254" spans="1:33">
      <c r="A254" s="83" t="s">
        <v>528</v>
      </c>
      <c r="B254" s="83" t="s">
        <v>555</v>
      </c>
      <c r="C254" s="84" t="s">
        <v>556</v>
      </c>
      <c r="D254" s="85">
        <v>6.3400000000000001E-4</v>
      </c>
      <c r="E254" s="86">
        <v>2494</v>
      </c>
      <c r="F254" s="5"/>
      <c r="G254" s="77">
        <v>1.1230000000000001E-3</v>
      </c>
      <c r="H254" s="87">
        <v>25030</v>
      </c>
      <c r="I254" s="7"/>
      <c r="J254" s="88">
        <v>27524</v>
      </c>
      <c r="K254" s="89">
        <v>27042</v>
      </c>
      <c r="L254" s="263" t="str">
        <f t="shared" si="15"/>
        <v xml:space="preserve"> </v>
      </c>
      <c r="M254" s="90" t="str">
        <f t="shared" si="19"/>
        <v xml:space="preserve"> </v>
      </c>
      <c r="N254" s="271">
        <f t="shared" si="16"/>
        <v>4056</v>
      </c>
      <c r="Z254" s="82">
        <f t="shared" si="17"/>
        <v>-482</v>
      </c>
      <c r="AA254" s="82">
        <f t="shared" si="18"/>
        <v>-241</v>
      </c>
      <c r="AB254" t="s">
        <v>528</v>
      </c>
      <c r="AC254" t="s">
        <v>555</v>
      </c>
      <c r="AD254" t="s">
        <v>556</v>
      </c>
      <c r="AE254">
        <v>24702</v>
      </c>
      <c r="AF254">
        <v>2340</v>
      </c>
      <c r="AG254">
        <v>27042</v>
      </c>
    </row>
    <row r="255" spans="1:33">
      <c r="A255" s="83" t="s">
        <v>528</v>
      </c>
      <c r="B255" s="83" t="s">
        <v>557</v>
      </c>
      <c r="C255" s="84" t="s">
        <v>558</v>
      </c>
      <c r="D255" s="85">
        <v>5.0100000000000003E-4</v>
      </c>
      <c r="E255" s="86">
        <v>1971</v>
      </c>
      <c r="F255" s="5"/>
      <c r="G255" s="77">
        <v>9.3400000000000004E-4</v>
      </c>
      <c r="H255" s="87">
        <v>20818</v>
      </c>
      <c r="I255" s="7"/>
      <c r="J255" s="88">
        <v>22789</v>
      </c>
      <c r="K255" s="89">
        <v>23667</v>
      </c>
      <c r="L255" s="263">
        <f t="shared" si="15"/>
        <v>878</v>
      </c>
      <c r="M255" s="231">
        <f t="shared" si="19"/>
        <v>439</v>
      </c>
      <c r="N255" s="271">
        <f t="shared" si="16"/>
        <v>3550</v>
      </c>
      <c r="Z255" s="82">
        <f t="shared" si="17"/>
        <v>878</v>
      </c>
      <c r="AA255" s="82">
        <f t="shared" si="18"/>
        <v>439</v>
      </c>
      <c r="AB255" t="s">
        <v>528</v>
      </c>
      <c r="AC255" t="s">
        <v>557</v>
      </c>
      <c r="AD255" t="s">
        <v>558</v>
      </c>
      <c r="AE255">
        <v>21154</v>
      </c>
      <c r="AF255">
        <v>2513</v>
      </c>
      <c r="AG255">
        <v>23667</v>
      </c>
    </row>
    <row r="256" spans="1:33">
      <c r="A256" s="91" t="s">
        <v>528</v>
      </c>
      <c r="B256" s="91" t="s">
        <v>559</v>
      </c>
      <c r="C256" s="92" t="s">
        <v>560</v>
      </c>
      <c r="D256" s="85">
        <v>5.3399999999999997E-4</v>
      </c>
      <c r="E256" s="86">
        <v>2100</v>
      </c>
      <c r="F256" s="5"/>
      <c r="G256" s="77">
        <v>1.2979999999999999E-3</v>
      </c>
      <c r="H256" s="87">
        <v>28931</v>
      </c>
      <c r="I256" s="7"/>
      <c r="J256" s="88">
        <v>31031</v>
      </c>
      <c r="K256" s="89">
        <v>31519</v>
      </c>
      <c r="L256" s="263">
        <f t="shared" si="15"/>
        <v>488</v>
      </c>
      <c r="M256" s="280">
        <f t="shared" si="19"/>
        <v>244</v>
      </c>
      <c r="N256" s="271">
        <f t="shared" si="16"/>
        <v>4728</v>
      </c>
      <c r="Z256" s="82">
        <f t="shared" si="17"/>
        <v>488</v>
      </c>
      <c r="AA256" s="82">
        <f t="shared" si="18"/>
        <v>244</v>
      </c>
      <c r="AB256" t="s">
        <v>528</v>
      </c>
      <c r="AC256" t="s">
        <v>559</v>
      </c>
      <c r="AD256" t="s">
        <v>560</v>
      </c>
      <c r="AE256">
        <v>29046</v>
      </c>
      <c r="AF256">
        <v>2473</v>
      </c>
      <c r="AG256">
        <v>31519</v>
      </c>
    </row>
    <row r="257" spans="1:33">
      <c r="A257" s="83" t="s">
        <v>528</v>
      </c>
      <c r="B257" s="83" t="s">
        <v>561</v>
      </c>
      <c r="C257" s="84" t="s">
        <v>562</v>
      </c>
      <c r="D257" s="85">
        <v>3.326E-3</v>
      </c>
      <c r="E257" s="86">
        <v>13082</v>
      </c>
      <c r="F257" s="5"/>
      <c r="G257" s="77">
        <v>4.9550000000000002E-3</v>
      </c>
      <c r="H257" s="87">
        <v>110440</v>
      </c>
      <c r="I257" s="7"/>
      <c r="J257" s="88">
        <v>123522</v>
      </c>
      <c r="K257" s="89">
        <v>125473</v>
      </c>
      <c r="L257" s="263">
        <f t="shared" si="15"/>
        <v>1951</v>
      </c>
      <c r="M257" s="231">
        <f t="shared" si="19"/>
        <v>976</v>
      </c>
      <c r="N257" s="271">
        <f t="shared" si="16"/>
        <v>18821</v>
      </c>
      <c r="Z257" s="82">
        <f t="shared" si="17"/>
        <v>1951</v>
      </c>
      <c r="AA257" s="82">
        <f t="shared" si="18"/>
        <v>975.5</v>
      </c>
      <c r="AB257" t="s">
        <v>528</v>
      </c>
      <c r="AC257" t="s">
        <v>561</v>
      </c>
      <c r="AD257" t="s">
        <v>562</v>
      </c>
      <c r="AE257">
        <v>111773</v>
      </c>
      <c r="AF257">
        <v>13700</v>
      </c>
      <c r="AG257">
        <v>125473</v>
      </c>
    </row>
    <row r="258" spans="1:33">
      <c r="A258" s="91" t="s">
        <v>528</v>
      </c>
      <c r="B258" s="91" t="s">
        <v>563</v>
      </c>
      <c r="C258" s="92" t="s">
        <v>564</v>
      </c>
      <c r="D258" s="85">
        <v>8.7900000000000001E-4</v>
      </c>
      <c r="E258" s="86">
        <v>3457</v>
      </c>
      <c r="F258" s="5"/>
      <c r="G258" s="77">
        <v>1.031E-3</v>
      </c>
      <c r="H258" s="87">
        <v>22980</v>
      </c>
      <c r="I258" s="7"/>
      <c r="J258" s="88">
        <f>26437+13584</f>
        <v>40021</v>
      </c>
      <c r="K258" s="89">
        <v>39700</v>
      </c>
      <c r="L258" s="263" t="str">
        <f t="shared" si="15"/>
        <v xml:space="preserve"> </v>
      </c>
      <c r="M258" s="280" t="str">
        <f t="shared" si="19"/>
        <v xml:space="preserve"> </v>
      </c>
      <c r="N258" s="271">
        <f t="shared" si="16"/>
        <v>5955</v>
      </c>
      <c r="Z258" s="82">
        <f t="shared" si="17"/>
        <v>-321</v>
      </c>
      <c r="AA258" s="82">
        <f t="shared" si="18"/>
        <v>-160.5</v>
      </c>
      <c r="AB258" t="s">
        <v>528</v>
      </c>
      <c r="AC258" t="s">
        <v>563</v>
      </c>
      <c r="AD258" t="s">
        <v>564</v>
      </c>
      <c r="AE258">
        <v>32981</v>
      </c>
      <c r="AF258">
        <v>6719</v>
      </c>
      <c r="AG258">
        <v>39700</v>
      </c>
    </row>
    <row r="259" spans="1:33">
      <c r="A259" s="91" t="s">
        <v>528</v>
      </c>
      <c r="B259" s="91" t="s">
        <v>565</v>
      </c>
      <c r="C259" s="92" t="s">
        <v>566</v>
      </c>
      <c r="D259" s="85">
        <v>6.8999999999999997E-4</v>
      </c>
      <c r="E259" s="86">
        <v>2714</v>
      </c>
      <c r="F259" s="5"/>
      <c r="G259" s="77">
        <v>9.3000000000000005E-4</v>
      </c>
      <c r="H259" s="87">
        <v>20728</v>
      </c>
      <c r="I259" s="7"/>
      <c r="J259" s="88">
        <v>23442</v>
      </c>
      <c r="K259" s="89">
        <v>23731</v>
      </c>
      <c r="L259" s="263">
        <f t="shared" si="15"/>
        <v>289</v>
      </c>
      <c r="M259" s="280">
        <f t="shared" si="19"/>
        <v>145</v>
      </c>
      <c r="N259" s="271">
        <f t="shared" si="16"/>
        <v>3560</v>
      </c>
      <c r="Z259" s="82">
        <f t="shared" si="17"/>
        <v>289</v>
      </c>
      <c r="AA259" s="82">
        <f t="shared" si="18"/>
        <v>144.5</v>
      </c>
      <c r="AB259" t="s">
        <v>528</v>
      </c>
      <c r="AC259" t="s">
        <v>565</v>
      </c>
      <c r="AD259" t="s">
        <v>566</v>
      </c>
      <c r="AE259">
        <v>20608</v>
      </c>
      <c r="AF259">
        <v>3123</v>
      </c>
      <c r="AG259">
        <v>23731</v>
      </c>
    </row>
    <row r="260" spans="1:33">
      <c r="A260" s="83" t="s">
        <v>528</v>
      </c>
      <c r="B260" s="83" t="s">
        <v>567</v>
      </c>
      <c r="C260" s="84" t="s">
        <v>568</v>
      </c>
      <c r="D260" s="85">
        <v>1.98E-3</v>
      </c>
      <c r="E260" s="86">
        <v>7788</v>
      </c>
      <c r="F260" s="5"/>
      <c r="G260" s="77">
        <v>3.7759999999999998E-3</v>
      </c>
      <c r="H260" s="87">
        <v>84162</v>
      </c>
      <c r="I260" s="7"/>
      <c r="J260" s="88">
        <v>91950</v>
      </c>
      <c r="K260" s="89">
        <v>91508</v>
      </c>
      <c r="L260" s="263" t="str">
        <f t="shared" si="15"/>
        <v xml:space="preserve"> </v>
      </c>
      <c r="M260" s="90" t="str">
        <f t="shared" si="19"/>
        <v xml:space="preserve"> </v>
      </c>
      <c r="N260" s="271">
        <f t="shared" si="16"/>
        <v>13726</v>
      </c>
      <c r="Z260" s="82">
        <f t="shared" si="17"/>
        <v>-442</v>
      </c>
      <c r="AA260" s="82">
        <f t="shared" si="18"/>
        <v>-221</v>
      </c>
      <c r="AB260" t="s">
        <v>528</v>
      </c>
      <c r="AC260" t="s">
        <v>567</v>
      </c>
      <c r="AD260" t="s">
        <v>568</v>
      </c>
      <c r="AE260">
        <v>83227</v>
      </c>
      <c r="AF260">
        <v>8281</v>
      </c>
      <c r="AG260">
        <v>91508</v>
      </c>
    </row>
    <row r="261" spans="1:33">
      <c r="A261" s="91" t="s">
        <v>528</v>
      </c>
      <c r="B261" s="91" t="s">
        <v>569</v>
      </c>
      <c r="C261" s="92" t="s">
        <v>570</v>
      </c>
      <c r="D261" s="85">
        <v>5.3399999999999997E-4</v>
      </c>
      <c r="E261" s="86">
        <v>2100</v>
      </c>
      <c r="F261" s="5"/>
      <c r="G261" s="77">
        <v>1.2310000000000001E-3</v>
      </c>
      <c r="H261" s="87">
        <v>27437</v>
      </c>
      <c r="I261" s="7"/>
      <c r="J261" s="88">
        <v>29537</v>
      </c>
      <c r="K261" s="89">
        <v>29211</v>
      </c>
      <c r="L261" s="263" t="str">
        <f t="shared" si="15"/>
        <v xml:space="preserve"> </v>
      </c>
      <c r="M261" s="280" t="str">
        <f t="shared" si="19"/>
        <v xml:space="preserve"> </v>
      </c>
      <c r="N261" s="271">
        <f t="shared" si="16"/>
        <v>4382</v>
      </c>
      <c r="Z261" s="82">
        <f t="shared" si="17"/>
        <v>-326</v>
      </c>
      <c r="AA261" s="82">
        <f t="shared" si="18"/>
        <v>-163</v>
      </c>
      <c r="AB261" t="s">
        <v>528</v>
      </c>
      <c r="AC261" t="s">
        <v>569</v>
      </c>
      <c r="AD261" t="s">
        <v>570</v>
      </c>
      <c r="AE261">
        <v>27477</v>
      </c>
      <c r="AF261">
        <v>1734</v>
      </c>
      <c r="AG261">
        <v>29211</v>
      </c>
    </row>
    <row r="262" spans="1:33">
      <c r="A262" s="83" t="s">
        <v>528</v>
      </c>
      <c r="B262" s="83" t="s">
        <v>571</v>
      </c>
      <c r="C262" s="84" t="s">
        <v>572</v>
      </c>
      <c r="D262" s="85">
        <v>1.413E-3</v>
      </c>
      <c r="E262" s="86">
        <v>5558</v>
      </c>
      <c r="F262" s="5"/>
      <c r="G262" s="77">
        <v>1.9559999999999998E-3</v>
      </c>
      <c r="H262" s="87">
        <v>43597</v>
      </c>
      <c r="I262" s="7"/>
      <c r="J262" s="88">
        <v>49155</v>
      </c>
      <c r="K262" s="89">
        <v>53758</v>
      </c>
      <c r="L262" s="263">
        <f t="shared" si="15"/>
        <v>4603</v>
      </c>
      <c r="M262" s="231">
        <f t="shared" si="19"/>
        <v>2302</v>
      </c>
      <c r="N262" s="271">
        <f t="shared" si="16"/>
        <v>8064</v>
      </c>
      <c r="Z262" s="82">
        <f t="shared" si="17"/>
        <v>4603</v>
      </c>
      <c r="AA262" s="82">
        <f t="shared" si="18"/>
        <v>2301.5</v>
      </c>
      <c r="AB262" t="s">
        <v>528</v>
      </c>
      <c r="AC262" t="s">
        <v>571</v>
      </c>
      <c r="AD262" t="s">
        <v>572</v>
      </c>
      <c r="AE262">
        <v>47516</v>
      </c>
      <c r="AF262">
        <v>6242</v>
      </c>
      <c r="AG262">
        <v>53758</v>
      </c>
    </row>
    <row r="263" spans="1:33">
      <c r="A263" s="91" t="s">
        <v>528</v>
      </c>
      <c r="B263" s="91" t="s">
        <v>573</v>
      </c>
      <c r="C263" s="92" t="s">
        <v>574</v>
      </c>
      <c r="D263" s="85">
        <v>7.0100000000000002E-4</v>
      </c>
      <c r="E263" s="86">
        <v>2757</v>
      </c>
      <c r="F263" s="5"/>
      <c r="G263" s="77">
        <v>6.1799999999999995E-4</v>
      </c>
      <c r="H263" s="87">
        <v>13774</v>
      </c>
      <c r="I263" s="7"/>
      <c r="J263" s="88">
        <v>16531</v>
      </c>
      <c r="K263" s="89">
        <v>16829</v>
      </c>
      <c r="L263" s="263">
        <f t="shared" si="15"/>
        <v>298</v>
      </c>
      <c r="M263" s="280">
        <f t="shared" si="19"/>
        <v>149</v>
      </c>
      <c r="N263" s="271">
        <f t="shared" si="16"/>
        <v>2524</v>
      </c>
      <c r="Z263" s="82">
        <f t="shared" si="17"/>
        <v>298</v>
      </c>
      <c r="AA263" s="82">
        <f t="shared" si="18"/>
        <v>149</v>
      </c>
      <c r="AB263" t="s">
        <v>528</v>
      </c>
      <c r="AC263" t="s">
        <v>573</v>
      </c>
      <c r="AD263" t="s">
        <v>574</v>
      </c>
      <c r="AE263">
        <v>14011</v>
      </c>
      <c r="AF263">
        <v>2818</v>
      </c>
      <c r="AG263">
        <v>16829</v>
      </c>
    </row>
    <row r="264" spans="1:33">
      <c r="A264" s="91" t="s">
        <v>528</v>
      </c>
      <c r="B264" s="91" t="s">
        <v>575</v>
      </c>
      <c r="C264" s="92" t="s">
        <v>576</v>
      </c>
      <c r="D264" s="85">
        <v>1.913E-3</v>
      </c>
      <c r="E264" s="86">
        <v>7525</v>
      </c>
      <c r="F264" s="5"/>
      <c r="G264" s="77">
        <v>2.8029999999999999E-3</v>
      </c>
      <c r="H264" s="87">
        <v>62475</v>
      </c>
      <c r="I264" s="7"/>
      <c r="J264" s="88">
        <v>70000</v>
      </c>
      <c r="K264" s="89">
        <v>71838</v>
      </c>
      <c r="L264" s="263">
        <f t="shared" si="15"/>
        <v>1838</v>
      </c>
      <c r="M264" s="280">
        <f t="shared" si="19"/>
        <v>919</v>
      </c>
      <c r="N264" s="271">
        <f t="shared" si="16"/>
        <v>10776</v>
      </c>
      <c r="Z264" s="82">
        <f t="shared" si="17"/>
        <v>1838</v>
      </c>
      <c r="AA264" s="82">
        <f t="shared" si="18"/>
        <v>919</v>
      </c>
      <c r="AB264" t="s">
        <v>528</v>
      </c>
      <c r="AC264" t="s">
        <v>575</v>
      </c>
      <c r="AD264" t="s">
        <v>576</v>
      </c>
      <c r="AE264">
        <v>62301</v>
      </c>
      <c r="AF264">
        <v>9537</v>
      </c>
      <c r="AG264">
        <v>71838</v>
      </c>
    </row>
    <row r="265" spans="1:33">
      <c r="A265" s="91" t="s">
        <v>528</v>
      </c>
      <c r="B265" s="91" t="s">
        <v>577</v>
      </c>
      <c r="C265" s="92" t="s">
        <v>578</v>
      </c>
      <c r="D265" s="85">
        <v>1.913E-3</v>
      </c>
      <c r="E265" s="86">
        <v>7525</v>
      </c>
      <c r="F265" s="5"/>
      <c r="G265" s="77">
        <v>2.4650000000000002E-3</v>
      </c>
      <c r="H265" s="87">
        <v>54942</v>
      </c>
      <c r="I265" s="7"/>
      <c r="J265" s="88">
        <v>62467</v>
      </c>
      <c r="K265" s="89">
        <v>63247</v>
      </c>
      <c r="L265" s="263">
        <f t="shared" si="15"/>
        <v>780</v>
      </c>
      <c r="M265" s="280">
        <f t="shared" si="19"/>
        <v>390</v>
      </c>
      <c r="N265" s="271">
        <f t="shared" si="16"/>
        <v>9487</v>
      </c>
      <c r="Z265" s="82">
        <f t="shared" si="17"/>
        <v>780</v>
      </c>
      <c r="AA265" s="82">
        <f t="shared" si="18"/>
        <v>390</v>
      </c>
      <c r="AB265" t="s">
        <v>528</v>
      </c>
      <c r="AC265" t="s">
        <v>577</v>
      </c>
      <c r="AD265" t="s">
        <v>578</v>
      </c>
      <c r="AE265">
        <v>55227</v>
      </c>
      <c r="AF265">
        <v>8020</v>
      </c>
      <c r="AG265">
        <v>63247</v>
      </c>
    </row>
    <row r="266" spans="1:33">
      <c r="A266" s="91" t="s">
        <v>528</v>
      </c>
      <c r="B266" s="91" t="s">
        <v>579</v>
      </c>
      <c r="C266" s="92" t="s">
        <v>580</v>
      </c>
      <c r="D266" s="85">
        <v>1.4239999999999999E-3</v>
      </c>
      <c r="E266" s="86">
        <v>5601</v>
      </c>
      <c r="F266" s="5"/>
      <c r="G266" s="77">
        <v>1.5280000000000001E-3</v>
      </c>
      <c r="H266" s="87">
        <v>34057</v>
      </c>
      <c r="I266" s="7"/>
      <c r="J266" s="88">
        <v>39658</v>
      </c>
      <c r="K266" s="89">
        <v>38813</v>
      </c>
      <c r="L266" s="263" t="str">
        <f t="shared" ref="L266:L329" si="20">IF(K266-J266&lt;1," ",K266-J266)</f>
        <v xml:space="preserve"> </v>
      </c>
      <c r="M266" s="280" t="str">
        <f t="shared" si="19"/>
        <v xml:space="preserve"> </v>
      </c>
      <c r="N266" s="271">
        <f t="shared" ref="N266:N329" si="21">ROUND((+K266*0.15),0)</f>
        <v>5822</v>
      </c>
      <c r="Z266" s="82">
        <f t="shared" ref="Z266:Z329" si="22">+K266-J266</f>
        <v>-845</v>
      </c>
      <c r="AA266" s="82">
        <f t="shared" ref="AA266:AA329" si="23">+Z266*0.5</f>
        <v>-422.5</v>
      </c>
      <c r="AB266" t="s">
        <v>528</v>
      </c>
      <c r="AC266" t="s">
        <v>579</v>
      </c>
      <c r="AD266" t="s">
        <v>580</v>
      </c>
      <c r="AE266">
        <v>33482</v>
      </c>
      <c r="AF266">
        <v>5331</v>
      </c>
      <c r="AG266">
        <v>38813</v>
      </c>
    </row>
    <row r="267" spans="1:33">
      <c r="A267" s="83" t="s">
        <v>528</v>
      </c>
      <c r="B267" s="83" t="s">
        <v>581</v>
      </c>
      <c r="C267" s="84" t="s">
        <v>582</v>
      </c>
      <c r="D267" s="85">
        <v>1.7799999999999999E-3</v>
      </c>
      <c r="E267" s="86">
        <v>7001</v>
      </c>
      <c r="F267" s="5"/>
      <c r="G267" s="77">
        <v>3.16E-3</v>
      </c>
      <c r="H267" s="87">
        <v>70432</v>
      </c>
      <c r="I267" s="7"/>
      <c r="J267" s="88">
        <v>77433</v>
      </c>
      <c r="K267" s="89">
        <v>80862</v>
      </c>
      <c r="L267" s="263">
        <f t="shared" si="20"/>
        <v>3429</v>
      </c>
      <c r="M267" s="231">
        <f t="shared" ref="M267:M330" si="24">IF(L267=" "," ",ROUND((L267*0.5),0))</f>
        <v>1715</v>
      </c>
      <c r="N267" s="271">
        <f t="shared" si="21"/>
        <v>12129</v>
      </c>
      <c r="Z267" s="82">
        <f t="shared" si="22"/>
        <v>3429</v>
      </c>
      <c r="AA267" s="82">
        <f t="shared" si="23"/>
        <v>1714.5</v>
      </c>
      <c r="AB267" t="s">
        <v>528</v>
      </c>
      <c r="AC267" t="s">
        <v>581</v>
      </c>
      <c r="AD267" t="s">
        <v>582</v>
      </c>
      <c r="AE267">
        <v>73059</v>
      </c>
      <c r="AF267">
        <v>7803</v>
      </c>
      <c r="AG267">
        <v>80862</v>
      </c>
    </row>
    <row r="268" spans="1:33">
      <c r="A268" s="91" t="s">
        <v>528</v>
      </c>
      <c r="B268" s="91" t="s">
        <v>583</v>
      </c>
      <c r="C268" s="92" t="s">
        <v>584</v>
      </c>
      <c r="D268" s="85">
        <v>4.3865000000000001E-2</v>
      </c>
      <c r="E268" s="86">
        <v>172537</v>
      </c>
      <c r="F268" s="5"/>
      <c r="G268" s="77">
        <v>2.9881000000000001E-2</v>
      </c>
      <c r="H268" s="87">
        <v>666008</v>
      </c>
      <c r="I268" s="7"/>
      <c r="J268" s="88">
        <v>838545</v>
      </c>
      <c r="K268" s="89">
        <v>845947</v>
      </c>
      <c r="L268" s="263">
        <f t="shared" si="20"/>
        <v>7402</v>
      </c>
      <c r="M268" s="280">
        <f t="shared" si="24"/>
        <v>3701</v>
      </c>
      <c r="N268" s="271">
        <f t="shared" si="21"/>
        <v>126892</v>
      </c>
      <c r="Z268" s="82">
        <f t="shared" si="22"/>
        <v>7402</v>
      </c>
      <c r="AA268" s="82">
        <f t="shared" si="23"/>
        <v>3701</v>
      </c>
      <c r="AB268" t="s">
        <v>528</v>
      </c>
      <c r="AC268" t="s">
        <v>583</v>
      </c>
      <c r="AD268" t="s">
        <v>584</v>
      </c>
      <c r="AE268">
        <v>675844</v>
      </c>
      <c r="AF268">
        <v>170103</v>
      </c>
      <c r="AG268">
        <v>845947</v>
      </c>
    </row>
    <row r="269" spans="1:33">
      <c r="A269" s="91" t="s">
        <v>528</v>
      </c>
      <c r="B269" s="91" t="s">
        <v>585</v>
      </c>
      <c r="C269" s="92" t="s">
        <v>586</v>
      </c>
      <c r="D269" s="85">
        <v>1.0349999999999999E-3</v>
      </c>
      <c r="E269" s="86">
        <v>4071</v>
      </c>
      <c r="F269" s="5"/>
      <c r="G269" s="77">
        <v>1.4710000000000001E-3</v>
      </c>
      <c r="H269" s="87">
        <v>32787</v>
      </c>
      <c r="I269" s="7"/>
      <c r="J269" s="88">
        <v>36858</v>
      </c>
      <c r="K269" s="89">
        <v>38326</v>
      </c>
      <c r="L269" s="263">
        <f t="shared" si="20"/>
        <v>1468</v>
      </c>
      <c r="M269" s="280">
        <f t="shared" si="24"/>
        <v>734</v>
      </c>
      <c r="N269" s="271">
        <f t="shared" si="21"/>
        <v>5749</v>
      </c>
      <c r="Z269" s="82">
        <f t="shared" si="22"/>
        <v>1468</v>
      </c>
      <c r="AA269" s="82">
        <f t="shared" si="23"/>
        <v>734</v>
      </c>
      <c r="AB269" t="s">
        <v>528</v>
      </c>
      <c r="AC269" t="s">
        <v>585</v>
      </c>
      <c r="AD269" t="s">
        <v>586</v>
      </c>
      <c r="AE269">
        <v>34164</v>
      </c>
      <c r="AF269">
        <v>4162</v>
      </c>
      <c r="AG269">
        <v>38326</v>
      </c>
    </row>
    <row r="270" spans="1:33">
      <c r="A270" s="91" t="s">
        <v>528</v>
      </c>
      <c r="B270" s="91" t="s">
        <v>587</v>
      </c>
      <c r="C270" s="92" t="s">
        <v>588</v>
      </c>
      <c r="D270" s="85">
        <v>1.0679999999999999E-3</v>
      </c>
      <c r="E270" s="86">
        <v>4201</v>
      </c>
      <c r="F270" s="5"/>
      <c r="G270" s="77">
        <v>1.745E-3</v>
      </c>
      <c r="H270" s="87">
        <v>38894</v>
      </c>
      <c r="I270" s="7"/>
      <c r="J270" s="88">
        <v>43095</v>
      </c>
      <c r="K270" s="89">
        <v>44806</v>
      </c>
      <c r="L270" s="263">
        <f t="shared" si="20"/>
        <v>1711</v>
      </c>
      <c r="M270" s="280">
        <f t="shared" si="24"/>
        <v>856</v>
      </c>
      <c r="N270" s="271">
        <f t="shared" si="21"/>
        <v>6721</v>
      </c>
      <c r="Z270" s="82">
        <f t="shared" si="22"/>
        <v>1711</v>
      </c>
      <c r="AA270" s="82">
        <f t="shared" si="23"/>
        <v>855.5</v>
      </c>
      <c r="AB270" t="s">
        <v>528</v>
      </c>
      <c r="AC270" t="s">
        <v>587</v>
      </c>
      <c r="AD270" t="s">
        <v>588</v>
      </c>
      <c r="AE270">
        <v>41033</v>
      </c>
      <c r="AF270">
        <v>3773</v>
      </c>
      <c r="AG270">
        <v>44806</v>
      </c>
    </row>
    <row r="271" spans="1:33">
      <c r="A271" s="91" t="s">
        <v>528</v>
      </c>
      <c r="B271" s="91" t="s">
        <v>589</v>
      </c>
      <c r="C271" s="92" t="s">
        <v>590</v>
      </c>
      <c r="D271" s="85">
        <v>1.635E-3</v>
      </c>
      <c r="E271" s="86">
        <v>6431</v>
      </c>
      <c r="F271" s="5"/>
      <c r="G271" s="77">
        <v>1.3649999999999999E-3</v>
      </c>
      <c r="H271" s="87">
        <v>30424</v>
      </c>
      <c r="I271" s="7"/>
      <c r="J271" s="88">
        <v>36855</v>
      </c>
      <c r="K271" s="89">
        <v>39159</v>
      </c>
      <c r="L271" s="263">
        <f t="shared" si="20"/>
        <v>2304</v>
      </c>
      <c r="M271" s="280">
        <f t="shared" si="24"/>
        <v>1152</v>
      </c>
      <c r="N271" s="271">
        <f t="shared" si="21"/>
        <v>5874</v>
      </c>
      <c r="Z271" s="82">
        <f t="shared" si="22"/>
        <v>2304</v>
      </c>
      <c r="AA271" s="82">
        <f t="shared" si="23"/>
        <v>1152</v>
      </c>
      <c r="AB271" t="s">
        <v>528</v>
      </c>
      <c r="AC271" t="s">
        <v>589</v>
      </c>
      <c r="AD271" t="s">
        <v>590</v>
      </c>
      <c r="AE271">
        <v>32094</v>
      </c>
      <c r="AF271">
        <v>7065</v>
      </c>
      <c r="AG271">
        <v>39159</v>
      </c>
    </row>
    <row r="272" spans="1:33">
      <c r="A272" s="83" t="s">
        <v>528</v>
      </c>
      <c r="B272" s="83" t="s">
        <v>591</v>
      </c>
      <c r="C272" s="84" t="s">
        <v>592</v>
      </c>
      <c r="D272" s="85">
        <v>1.8240000000000001E-3</v>
      </c>
      <c r="E272" s="86">
        <v>7174</v>
      </c>
      <c r="F272" s="5"/>
      <c r="G272" s="77">
        <v>1.519E-3</v>
      </c>
      <c r="H272" s="87">
        <v>33857</v>
      </c>
      <c r="I272" s="7"/>
      <c r="J272" s="88">
        <v>41031</v>
      </c>
      <c r="K272" s="89">
        <v>42161</v>
      </c>
      <c r="L272" s="263">
        <f t="shared" si="20"/>
        <v>1130</v>
      </c>
      <c r="M272" s="231">
        <f t="shared" si="24"/>
        <v>565</v>
      </c>
      <c r="N272" s="271">
        <f t="shared" si="21"/>
        <v>6324</v>
      </c>
      <c r="Z272" s="82">
        <f t="shared" si="22"/>
        <v>1130</v>
      </c>
      <c r="AA272" s="82">
        <f t="shared" si="23"/>
        <v>565</v>
      </c>
      <c r="AB272" t="s">
        <v>528</v>
      </c>
      <c r="AC272" t="s">
        <v>591</v>
      </c>
      <c r="AD272" t="s">
        <v>592</v>
      </c>
      <c r="AE272">
        <v>34141</v>
      </c>
      <c r="AF272">
        <v>8020</v>
      </c>
      <c r="AG272">
        <v>42161</v>
      </c>
    </row>
    <row r="273" spans="1:33">
      <c r="A273" s="91" t="s">
        <v>528</v>
      </c>
      <c r="B273" s="91" t="s">
        <v>593</v>
      </c>
      <c r="C273" s="92" t="s">
        <v>594</v>
      </c>
      <c r="D273" s="85">
        <v>9.2299999999999999E-4</v>
      </c>
      <c r="E273" s="86">
        <v>3630</v>
      </c>
      <c r="F273" s="5"/>
      <c r="G273" s="77">
        <v>1.127E-3</v>
      </c>
      <c r="H273" s="87">
        <v>25119</v>
      </c>
      <c r="I273" s="7"/>
      <c r="J273" s="88">
        <v>28749</v>
      </c>
      <c r="K273" s="89">
        <v>27951</v>
      </c>
      <c r="L273" s="263" t="str">
        <f t="shared" si="20"/>
        <v xml:space="preserve"> </v>
      </c>
      <c r="M273" s="280" t="str">
        <f t="shared" si="24"/>
        <v xml:space="preserve"> </v>
      </c>
      <c r="N273" s="271">
        <f t="shared" si="21"/>
        <v>4193</v>
      </c>
      <c r="Z273" s="82">
        <f t="shared" si="22"/>
        <v>-798</v>
      </c>
      <c r="AA273" s="82">
        <f t="shared" si="23"/>
        <v>-399</v>
      </c>
      <c r="AB273" t="s">
        <v>528</v>
      </c>
      <c r="AC273" t="s">
        <v>593</v>
      </c>
      <c r="AD273" t="s">
        <v>594</v>
      </c>
      <c r="AE273">
        <v>24611</v>
      </c>
      <c r="AF273">
        <v>3340</v>
      </c>
      <c r="AG273">
        <v>27951</v>
      </c>
    </row>
    <row r="274" spans="1:33">
      <c r="A274" s="91" t="s">
        <v>528</v>
      </c>
      <c r="B274" s="91" t="s">
        <v>595</v>
      </c>
      <c r="C274" s="92" t="s">
        <v>596</v>
      </c>
      <c r="D274" s="85">
        <v>7.2300000000000001E-4</v>
      </c>
      <c r="E274" s="86">
        <v>2844</v>
      </c>
      <c r="F274" s="5"/>
      <c r="G274" s="77">
        <v>3.6699999999999998E-4</v>
      </c>
      <c r="H274" s="87">
        <v>8180</v>
      </c>
      <c r="I274" s="7"/>
      <c r="J274" s="88">
        <v>11024</v>
      </c>
      <c r="K274" s="89">
        <v>10900</v>
      </c>
      <c r="L274" s="263" t="str">
        <f t="shared" si="20"/>
        <v xml:space="preserve"> </v>
      </c>
      <c r="M274" s="280" t="str">
        <f t="shared" si="24"/>
        <v xml:space="preserve"> </v>
      </c>
      <c r="N274" s="271">
        <f t="shared" si="21"/>
        <v>1635</v>
      </c>
      <c r="Z274" s="82">
        <f t="shared" si="22"/>
        <v>-124</v>
      </c>
      <c r="AA274" s="82">
        <f t="shared" si="23"/>
        <v>-62</v>
      </c>
      <c r="AB274" t="s">
        <v>528</v>
      </c>
      <c r="AC274" t="s">
        <v>595</v>
      </c>
      <c r="AD274" t="s">
        <v>596</v>
      </c>
      <c r="AE274">
        <v>8211</v>
      </c>
      <c r="AF274">
        <v>2689</v>
      </c>
      <c r="AG274">
        <v>10900</v>
      </c>
    </row>
    <row r="275" spans="1:33" ht="15.75" thickBot="1">
      <c r="A275" s="93" t="s">
        <v>528</v>
      </c>
      <c r="B275" s="93" t="s">
        <v>597</v>
      </c>
      <c r="C275" s="94" t="s">
        <v>598</v>
      </c>
      <c r="D275" s="95">
        <v>7.45E-4</v>
      </c>
      <c r="E275" s="96">
        <v>2930</v>
      </c>
      <c r="F275" s="97"/>
      <c r="G275" s="98">
        <v>1.1620000000000001E-3</v>
      </c>
      <c r="H275" s="99">
        <v>25899</v>
      </c>
      <c r="I275" s="7"/>
      <c r="J275" s="100">
        <v>28829</v>
      </c>
      <c r="K275" s="101">
        <v>28770</v>
      </c>
      <c r="L275" s="264" t="str">
        <f t="shared" si="20"/>
        <v xml:space="preserve"> </v>
      </c>
      <c r="M275" s="281" t="str">
        <f t="shared" si="24"/>
        <v xml:space="preserve"> </v>
      </c>
      <c r="N275" s="102">
        <f t="shared" si="21"/>
        <v>4316</v>
      </c>
      <c r="Z275" s="82">
        <f t="shared" si="22"/>
        <v>-59</v>
      </c>
      <c r="AA275" s="82">
        <f t="shared" si="23"/>
        <v>-29.5</v>
      </c>
      <c r="AB275" t="s">
        <v>528</v>
      </c>
      <c r="AC275" t="s">
        <v>597</v>
      </c>
      <c r="AD275" t="s">
        <v>598</v>
      </c>
      <c r="AE275">
        <v>26863</v>
      </c>
      <c r="AF275">
        <v>1907</v>
      </c>
      <c r="AG275">
        <v>28770</v>
      </c>
    </row>
    <row r="276" spans="1:33">
      <c r="A276" s="91" t="s">
        <v>599</v>
      </c>
      <c r="B276" s="91" t="s">
        <v>600</v>
      </c>
      <c r="C276" s="92" t="s">
        <v>601</v>
      </c>
      <c r="D276" s="85">
        <v>3.382E-3</v>
      </c>
      <c r="E276" s="86">
        <v>13303</v>
      </c>
      <c r="F276" s="5"/>
      <c r="G276" s="103">
        <v>2.7759999999999998E-3</v>
      </c>
      <c r="H276" s="78">
        <v>61873</v>
      </c>
      <c r="I276" s="7"/>
      <c r="J276" s="79">
        <v>75176</v>
      </c>
      <c r="K276" s="80">
        <v>78784</v>
      </c>
      <c r="L276" s="263">
        <f t="shared" si="20"/>
        <v>3608</v>
      </c>
      <c r="M276" s="280">
        <f t="shared" si="24"/>
        <v>1804</v>
      </c>
      <c r="N276" s="81">
        <f t="shared" si="21"/>
        <v>11818</v>
      </c>
      <c r="Z276" s="82">
        <f t="shared" si="22"/>
        <v>3608</v>
      </c>
      <c r="AA276" s="82">
        <f t="shared" si="23"/>
        <v>1804</v>
      </c>
      <c r="AB276" t="s">
        <v>599</v>
      </c>
      <c r="AC276" t="s">
        <v>600</v>
      </c>
      <c r="AD276" t="s">
        <v>601</v>
      </c>
      <c r="AE276">
        <v>63916</v>
      </c>
      <c r="AF276">
        <v>14868</v>
      </c>
      <c r="AG276">
        <v>78784</v>
      </c>
    </row>
    <row r="277" spans="1:33">
      <c r="A277" s="91" t="s">
        <v>599</v>
      </c>
      <c r="B277" s="91" t="s">
        <v>602</v>
      </c>
      <c r="C277" s="92" t="s">
        <v>603</v>
      </c>
      <c r="D277" s="85">
        <v>9.7900000000000005E-4</v>
      </c>
      <c r="E277" s="86">
        <v>3851</v>
      </c>
      <c r="F277" s="5"/>
      <c r="G277" s="77">
        <v>1.2310000000000001E-3</v>
      </c>
      <c r="H277" s="87">
        <v>27437</v>
      </c>
      <c r="I277" s="7"/>
      <c r="J277" s="88">
        <v>31288</v>
      </c>
      <c r="K277" s="89">
        <v>30362</v>
      </c>
      <c r="L277" s="263" t="str">
        <f t="shared" si="20"/>
        <v xml:space="preserve"> </v>
      </c>
      <c r="M277" s="280" t="str">
        <f t="shared" si="24"/>
        <v xml:space="preserve"> </v>
      </c>
      <c r="N277" s="271">
        <f t="shared" si="21"/>
        <v>4554</v>
      </c>
      <c r="Z277" s="82">
        <f t="shared" si="22"/>
        <v>-926</v>
      </c>
      <c r="AA277" s="82">
        <f t="shared" si="23"/>
        <v>-463</v>
      </c>
      <c r="AB277" t="s">
        <v>599</v>
      </c>
      <c r="AC277" t="s">
        <v>602</v>
      </c>
      <c r="AD277" t="s">
        <v>603</v>
      </c>
      <c r="AE277">
        <v>27067</v>
      </c>
      <c r="AF277">
        <v>3295</v>
      </c>
      <c r="AG277">
        <v>30362</v>
      </c>
    </row>
    <row r="278" spans="1:33">
      <c r="A278" s="91" t="s">
        <v>599</v>
      </c>
      <c r="B278" s="91" t="s">
        <v>604</v>
      </c>
      <c r="C278" s="92" t="s">
        <v>605</v>
      </c>
      <c r="D278" s="85">
        <v>1.335E-3</v>
      </c>
      <c r="E278" s="86">
        <v>5251</v>
      </c>
      <c r="F278" s="5"/>
      <c r="G278" s="77">
        <v>1.0610000000000001E-3</v>
      </c>
      <c r="H278" s="87">
        <v>23648</v>
      </c>
      <c r="I278" s="7"/>
      <c r="J278" s="88">
        <v>28899</v>
      </c>
      <c r="K278" s="89">
        <v>27842</v>
      </c>
      <c r="L278" s="263" t="str">
        <f t="shared" si="20"/>
        <v xml:space="preserve"> </v>
      </c>
      <c r="M278" s="280" t="str">
        <f t="shared" si="24"/>
        <v xml:space="preserve"> </v>
      </c>
      <c r="N278" s="271">
        <f t="shared" si="21"/>
        <v>4176</v>
      </c>
      <c r="Z278" s="82">
        <f t="shared" si="22"/>
        <v>-1057</v>
      </c>
      <c r="AA278" s="82">
        <f t="shared" si="23"/>
        <v>-528.5</v>
      </c>
      <c r="AB278" t="s">
        <v>599</v>
      </c>
      <c r="AC278" t="s">
        <v>604</v>
      </c>
      <c r="AD278" t="s">
        <v>605</v>
      </c>
      <c r="AE278">
        <v>23246</v>
      </c>
      <c r="AF278">
        <v>4596</v>
      </c>
      <c r="AG278">
        <v>27842</v>
      </c>
    </row>
    <row r="279" spans="1:33">
      <c r="A279" s="302" t="s">
        <v>599</v>
      </c>
      <c r="B279" s="302" t="s">
        <v>606</v>
      </c>
      <c r="C279" s="301" t="s">
        <v>607</v>
      </c>
      <c r="D279" s="85">
        <v>1.168E-3</v>
      </c>
      <c r="E279" s="86">
        <v>4594</v>
      </c>
      <c r="F279" s="5"/>
      <c r="G279" s="77">
        <v>9.3499999999999996E-4</v>
      </c>
      <c r="H279" s="87">
        <v>20840</v>
      </c>
      <c r="I279" s="7"/>
      <c r="J279" s="88">
        <v>25434</v>
      </c>
      <c r="K279" s="89">
        <v>23350</v>
      </c>
      <c r="L279" s="263" t="str">
        <f t="shared" si="20"/>
        <v xml:space="preserve"> </v>
      </c>
      <c r="M279" s="280" t="str">
        <f t="shared" si="24"/>
        <v xml:space="preserve"> </v>
      </c>
      <c r="N279" s="271">
        <f t="shared" si="21"/>
        <v>3503</v>
      </c>
      <c r="Z279" s="82">
        <f t="shared" si="22"/>
        <v>-2084</v>
      </c>
      <c r="AA279" s="82">
        <f t="shared" si="23"/>
        <v>-1042</v>
      </c>
      <c r="AB279" t="s">
        <v>599</v>
      </c>
      <c r="AC279" t="s">
        <v>606</v>
      </c>
      <c r="AD279" t="s">
        <v>607</v>
      </c>
      <c r="AE279">
        <v>19448</v>
      </c>
      <c r="AF279">
        <v>3902</v>
      </c>
      <c r="AG279">
        <v>23350</v>
      </c>
    </row>
    <row r="280" spans="1:33">
      <c r="A280" s="83" t="s">
        <v>599</v>
      </c>
      <c r="B280" s="83" t="s">
        <v>608</v>
      </c>
      <c r="C280" s="84" t="s">
        <v>609</v>
      </c>
      <c r="D280" s="85">
        <v>2.2139999999999998E-3</v>
      </c>
      <c r="E280" s="86">
        <v>8708</v>
      </c>
      <c r="F280" s="5"/>
      <c r="G280" s="77">
        <v>1.3259999999999999E-3</v>
      </c>
      <c r="H280" s="87">
        <v>29555</v>
      </c>
      <c r="I280" s="7"/>
      <c r="J280" s="88">
        <v>38263</v>
      </c>
      <c r="K280" s="89">
        <v>38127</v>
      </c>
      <c r="L280" s="263" t="str">
        <f t="shared" si="20"/>
        <v xml:space="preserve"> </v>
      </c>
      <c r="M280" s="106" t="str">
        <f t="shared" si="24"/>
        <v xml:space="preserve"> </v>
      </c>
      <c r="N280" s="271">
        <f t="shared" si="21"/>
        <v>5719</v>
      </c>
      <c r="Z280" s="82">
        <f t="shared" si="22"/>
        <v>-136</v>
      </c>
      <c r="AA280" s="82">
        <f t="shared" si="23"/>
        <v>-68</v>
      </c>
      <c r="AB280" t="s">
        <v>599</v>
      </c>
      <c r="AC280" t="s">
        <v>608</v>
      </c>
      <c r="AD280" t="s">
        <v>609</v>
      </c>
      <c r="AE280">
        <v>29501</v>
      </c>
      <c r="AF280">
        <v>8626</v>
      </c>
      <c r="AG280">
        <v>38127</v>
      </c>
    </row>
    <row r="281" spans="1:33">
      <c r="A281" s="91" t="s">
        <v>599</v>
      </c>
      <c r="B281" s="91" t="s">
        <v>610</v>
      </c>
      <c r="C281" s="92" t="s">
        <v>611</v>
      </c>
      <c r="D281" s="85">
        <v>2.2469999999999999E-3</v>
      </c>
      <c r="E281" s="86">
        <v>8838</v>
      </c>
      <c r="F281" s="5"/>
      <c r="G281" s="77">
        <v>2.0270000000000002E-3</v>
      </c>
      <c r="H281" s="87">
        <v>45179</v>
      </c>
      <c r="I281" s="7"/>
      <c r="J281" s="88">
        <v>54017</v>
      </c>
      <c r="K281" s="89">
        <v>54287</v>
      </c>
      <c r="L281" s="263">
        <f t="shared" si="20"/>
        <v>270</v>
      </c>
      <c r="M281" s="280">
        <f t="shared" si="24"/>
        <v>135</v>
      </c>
      <c r="N281" s="271">
        <f t="shared" si="21"/>
        <v>8143</v>
      </c>
      <c r="Z281" s="82">
        <f t="shared" si="22"/>
        <v>270</v>
      </c>
      <c r="AA281" s="82">
        <f t="shared" si="23"/>
        <v>135</v>
      </c>
      <c r="AB281" t="s">
        <v>599</v>
      </c>
      <c r="AC281" t="s">
        <v>610</v>
      </c>
      <c r="AD281" t="s">
        <v>611</v>
      </c>
      <c r="AE281">
        <v>45878</v>
      </c>
      <c r="AF281">
        <v>8409</v>
      </c>
      <c r="AG281">
        <v>54287</v>
      </c>
    </row>
    <row r="282" spans="1:33">
      <c r="A282" s="91" t="s">
        <v>599</v>
      </c>
      <c r="B282" s="91" t="s">
        <v>612</v>
      </c>
      <c r="C282" s="92" t="s">
        <v>613</v>
      </c>
      <c r="D282" s="85">
        <v>3.571E-3</v>
      </c>
      <c r="E282" s="86">
        <v>14046</v>
      </c>
      <c r="F282" s="5"/>
      <c r="G282" s="77">
        <v>2.7009999999999998E-3</v>
      </c>
      <c r="H282" s="87">
        <v>60202</v>
      </c>
      <c r="I282" s="7"/>
      <c r="J282" s="88">
        <v>74248</v>
      </c>
      <c r="K282" s="89">
        <v>77188</v>
      </c>
      <c r="L282" s="263">
        <f t="shared" si="20"/>
        <v>2940</v>
      </c>
      <c r="M282" s="280">
        <f t="shared" si="24"/>
        <v>1470</v>
      </c>
      <c r="N282" s="271">
        <f t="shared" si="21"/>
        <v>11578</v>
      </c>
      <c r="Z282" s="82">
        <f t="shared" si="22"/>
        <v>2940</v>
      </c>
      <c r="AA282" s="82">
        <f t="shared" si="23"/>
        <v>1470</v>
      </c>
      <c r="AB282" t="s">
        <v>599</v>
      </c>
      <c r="AC282" t="s">
        <v>612</v>
      </c>
      <c r="AD282" t="s">
        <v>613</v>
      </c>
      <c r="AE282">
        <v>62232</v>
      </c>
      <c r="AF282">
        <v>14956</v>
      </c>
      <c r="AG282">
        <v>77188</v>
      </c>
    </row>
    <row r="283" spans="1:33">
      <c r="A283" s="91" t="s">
        <v>599</v>
      </c>
      <c r="B283" s="91" t="s">
        <v>614</v>
      </c>
      <c r="C283" s="92" t="s">
        <v>615</v>
      </c>
      <c r="D283" s="85">
        <v>1.8900000000000001E-4</v>
      </c>
      <c r="E283" s="86">
        <v>743</v>
      </c>
      <c r="F283" s="5"/>
      <c r="G283" s="77">
        <v>1.76E-4</v>
      </c>
      <c r="H283" s="87">
        <v>3923</v>
      </c>
      <c r="I283" s="7"/>
      <c r="J283" s="88">
        <v>4666</v>
      </c>
      <c r="K283" s="89">
        <v>4913</v>
      </c>
      <c r="L283" s="263">
        <f t="shared" si="20"/>
        <v>247</v>
      </c>
      <c r="M283" s="280">
        <f t="shared" si="24"/>
        <v>124</v>
      </c>
      <c r="N283" s="271">
        <f t="shared" si="21"/>
        <v>737</v>
      </c>
      <c r="Z283" s="82">
        <f t="shared" si="22"/>
        <v>247</v>
      </c>
      <c r="AA283" s="82">
        <f t="shared" si="23"/>
        <v>123.5</v>
      </c>
      <c r="AB283" t="s">
        <v>599</v>
      </c>
      <c r="AC283" t="s">
        <v>614</v>
      </c>
      <c r="AD283" t="s">
        <v>615</v>
      </c>
      <c r="AE283">
        <v>3958</v>
      </c>
      <c r="AF283">
        <v>955</v>
      </c>
      <c r="AG283">
        <v>4913</v>
      </c>
    </row>
    <row r="284" spans="1:33">
      <c r="A284" s="91" t="s">
        <v>599</v>
      </c>
      <c r="B284" s="91" t="s">
        <v>616</v>
      </c>
      <c r="C284" s="92" t="s">
        <v>617</v>
      </c>
      <c r="D284" s="85">
        <v>1.2130000000000001E-3</v>
      </c>
      <c r="E284" s="86">
        <v>4771</v>
      </c>
      <c r="F284" s="5"/>
      <c r="G284" s="77">
        <v>8.8599999999999996E-4</v>
      </c>
      <c r="H284" s="87">
        <v>19748</v>
      </c>
      <c r="I284" s="7"/>
      <c r="J284" s="88">
        <v>24519</v>
      </c>
      <c r="K284" s="89">
        <v>23669</v>
      </c>
      <c r="L284" s="263" t="str">
        <f t="shared" si="20"/>
        <v xml:space="preserve"> </v>
      </c>
      <c r="M284" s="280" t="str">
        <f t="shared" si="24"/>
        <v xml:space="preserve"> </v>
      </c>
      <c r="N284" s="271">
        <f t="shared" si="21"/>
        <v>3550</v>
      </c>
      <c r="Z284" s="82">
        <f t="shared" si="22"/>
        <v>-850</v>
      </c>
      <c r="AA284" s="82">
        <f t="shared" si="23"/>
        <v>-425</v>
      </c>
      <c r="AB284" t="s">
        <v>599</v>
      </c>
      <c r="AC284" t="s">
        <v>616</v>
      </c>
      <c r="AD284" t="s">
        <v>617</v>
      </c>
      <c r="AE284">
        <v>19334</v>
      </c>
      <c r="AF284">
        <v>4335</v>
      </c>
      <c r="AG284">
        <v>23669</v>
      </c>
    </row>
    <row r="285" spans="1:33">
      <c r="A285" s="91" t="s">
        <v>599</v>
      </c>
      <c r="B285" s="91" t="s">
        <v>618</v>
      </c>
      <c r="C285" s="92" t="s">
        <v>619</v>
      </c>
      <c r="D285" s="85">
        <v>2.7712000000000001E-2</v>
      </c>
      <c r="E285" s="86">
        <v>109001</v>
      </c>
      <c r="F285" s="5"/>
      <c r="G285" s="77">
        <v>1.8744E-2</v>
      </c>
      <c r="H285" s="87">
        <v>417779</v>
      </c>
      <c r="I285" s="7"/>
      <c r="J285" s="88">
        <v>526780</v>
      </c>
      <c r="K285" s="89">
        <v>541485</v>
      </c>
      <c r="L285" s="263">
        <f t="shared" si="20"/>
        <v>14705</v>
      </c>
      <c r="M285" s="280">
        <f t="shared" si="24"/>
        <v>7353</v>
      </c>
      <c r="N285" s="271">
        <f t="shared" si="21"/>
        <v>81223</v>
      </c>
      <c r="Z285" s="82">
        <f t="shared" si="22"/>
        <v>14705</v>
      </c>
      <c r="AA285" s="82">
        <f t="shared" si="23"/>
        <v>7352.5</v>
      </c>
      <c r="AB285" t="s">
        <v>599</v>
      </c>
      <c r="AC285" t="s">
        <v>618</v>
      </c>
      <c r="AD285" t="s">
        <v>619</v>
      </c>
      <c r="AE285">
        <v>423571</v>
      </c>
      <c r="AF285">
        <v>117914</v>
      </c>
      <c r="AG285">
        <v>541485</v>
      </c>
    </row>
    <row r="286" spans="1:33">
      <c r="A286" s="83" t="s">
        <v>599</v>
      </c>
      <c r="B286" s="83" t="s">
        <v>620</v>
      </c>
      <c r="C286" s="84" t="s">
        <v>621</v>
      </c>
      <c r="D286" s="85">
        <v>3.5040000000000002E-3</v>
      </c>
      <c r="E286" s="86">
        <v>13783</v>
      </c>
      <c r="F286" s="5"/>
      <c r="G286" s="77">
        <v>2.8700000000000002E-3</v>
      </c>
      <c r="H286" s="87">
        <v>63969</v>
      </c>
      <c r="I286" s="7"/>
      <c r="J286" s="88">
        <v>77752</v>
      </c>
      <c r="K286" s="89">
        <v>85214</v>
      </c>
      <c r="L286" s="263">
        <f t="shared" si="20"/>
        <v>7462</v>
      </c>
      <c r="M286" s="231">
        <f t="shared" si="24"/>
        <v>3731</v>
      </c>
      <c r="N286" s="271">
        <f t="shared" si="21"/>
        <v>12782</v>
      </c>
      <c r="Z286" s="82">
        <f t="shared" si="22"/>
        <v>7462</v>
      </c>
      <c r="AA286" s="82">
        <f t="shared" si="23"/>
        <v>3731</v>
      </c>
      <c r="AB286" t="s">
        <v>599</v>
      </c>
      <c r="AC286" t="s">
        <v>620</v>
      </c>
      <c r="AD286" t="s">
        <v>621</v>
      </c>
      <c r="AE286">
        <v>68829</v>
      </c>
      <c r="AF286">
        <v>16385</v>
      </c>
      <c r="AG286">
        <v>85214</v>
      </c>
    </row>
    <row r="287" spans="1:33">
      <c r="A287" s="91" t="s">
        <v>599</v>
      </c>
      <c r="B287" s="91" t="s">
        <v>622</v>
      </c>
      <c r="C287" s="92" t="s">
        <v>623</v>
      </c>
      <c r="D287" s="85">
        <v>2.1100000000000001E-4</v>
      </c>
      <c r="E287" s="86">
        <v>830</v>
      </c>
      <c r="F287" s="5"/>
      <c r="G287" s="77">
        <v>1.7100000000000001E-4</v>
      </c>
      <c r="H287" s="87">
        <v>3811</v>
      </c>
      <c r="I287" s="7"/>
      <c r="J287" s="88">
        <v>4641</v>
      </c>
      <c r="K287" s="89">
        <v>5744</v>
      </c>
      <c r="L287" s="263">
        <f t="shared" si="20"/>
        <v>1103</v>
      </c>
      <c r="M287" s="280">
        <f t="shared" si="24"/>
        <v>552</v>
      </c>
      <c r="N287" s="271">
        <f t="shared" si="21"/>
        <v>862</v>
      </c>
      <c r="Z287" s="82">
        <f t="shared" si="22"/>
        <v>1103</v>
      </c>
      <c r="AA287" s="82">
        <f t="shared" si="23"/>
        <v>551.5</v>
      </c>
      <c r="AB287" t="s">
        <v>599</v>
      </c>
      <c r="AC287" t="s">
        <v>622</v>
      </c>
      <c r="AD287" t="s">
        <v>623</v>
      </c>
      <c r="AE287">
        <v>4572</v>
      </c>
      <c r="AF287">
        <v>1172</v>
      </c>
      <c r="AG287">
        <v>5744</v>
      </c>
    </row>
    <row r="288" spans="1:33">
      <c r="A288" s="83" t="s">
        <v>599</v>
      </c>
      <c r="B288" s="83" t="s">
        <v>624</v>
      </c>
      <c r="C288" s="84" t="s">
        <v>625</v>
      </c>
      <c r="D288" s="85">
        <v>8.7900000000000001E-4</v>
      </c>
      <c r="E288" s="86">
        <v>3457</v>
      </c>
      <c r="F288" s="5"/>
      <c r="G288" s="77">
        <v>8.7000000000000001E-4</v>
      </c>
      <c r="H288" s="87">
        <v>19391</v>
      </c>
      <c r="I288" s="7"/>
      <c r="J288" s="88">
        <v>22848</v>
      </c>
      <c r="K288" s="89">
        <v>23510</v>
      </c>
      <c r="L288" s="263">
        <f t="shared" si="20"/>
        <v>662</v>
      </c>
      <c r="M288" s="231">
        <f t="shared" si="24"/>
        <v>331</v>
      </c>
      <c r="N288" s="271">
        <f t="shared" si="21"/>
        <v>3527</v>
      </c>
      <c r="Z288" s="82">
        <f t="shared" si="22"/>
        <v>662</v>
      </c>
      <c r="AA288" s="82">
        <f t="shared" si="23"/>
        <v>331</v>
      </c>
      <c r="AB288" t="s">
        <v>599</v>
      </c>
      <c r="AC288" t="s">
        <v>624</v>
      </c>
      <c r="AD288" t="s">
        <v>625</v>
      </c>
      <c r="AE288">
        <v>20130</v>
      </c>
      <c r="AF288">
        <v>3380</v>
      </c>
      <c r="AG288">
        <v>23510</v>
      </c>
    </row>
    <row r="289" spans="1:33">
      <c r="A289" s="91" t="s">
        <v>599</v>
      </c>
      <c r="B289" s="91" t="s">
        <v>626</v>
      </c>
      <c r="C289" s="92" t="s">
        <v>627</v>
      </c>
      <c r="D289" s="85">
        <v>1.09E-3</v>
      </c>
      <c r="E289" s="86">
        <v>4287</v>
      </c>
      <c r="F289" s="5"/>
      <c r="G289" s="77">
        <v>9.7000000000000005E-4</v>
      </c>
      <c r="H289" s="87">
        <v>21620</v>
      </c>
      <c r="I289" s="7"/>
      <c r="J289" s="88">
        <v>25907</v>
      </c>
      <c r="K289" s="89">
        <v>24482</v>
      </c>
      <c r="L289" s="263" t="str">
        <f t="shared" si="20"/>
        <v xml:space="preserve"> </v>
      </c>
      <c r="M289" s="280" t="str">
        <f t="shared" si="24"/>
        <v xml:space="preserve"> </v>
      </c>
      <c r="N289" s="271">
        <f t="shared" si="21"/>
        <v>3672</v>
      </c>
      <c r="Z289" s="82">
        <f t="shared" si="22"/>
        <v>-1425</v>
      </c>
      <c r="AA289" s="82">
        <f t="shared" si="23"/>
        <v>-712.5</v>
      </c>
      <c r="AB289" t="s">
        <v>599</v>
      </c>
      <c r="AC289" t="s">
        <v>626</v>
      </c>
      <c r="AD289" t="s">
        <v>627</v>
      </c>
      <c r="AE289">
        <v>20926</v>
      </c>
      <c r="AF289">
        <v>3556</v>
      </c>
      <c r="AG289">
        <v>24482</v>
      </c>
    </row>
    <row r="290" spans="1:33">
      <c r="A290" s="91" t="s">
        <v>599</v>
      </c>
      <c r="B290" s="91" t="s">
        <v>628</v>
      </c>
      <c r="C290" s="92" t="s">
        <v>629</v>
      </c>
      <c r="D290" s="85">
        <v>5.0100000000000003E-4</v>
      </c>
      <c r="E290" s="86">
        <v>1971</v>
      </c>
      <c r="F290" s="5"/>
      <c r="G290" s="77">
        <v>4.8500000000000003E-4</v>
      </c>
      <c r="H290" s="87">
        <v>10810</v>
      </c>
      <c r="I290" s="7"/>
      <c r="J290" s="88">
        <v>12781</v>
      </c>
      <c r="K290" s="89">
        <v>12229</v>
      </c>
      <c r="L290" s="263" t="str">
        <f t="shared" si="20"/>
        <v xml:space="preserve"> </v>
      </c>
      <c r="M290" s="280" t="str">
        <f t="shared" si="24"/>
        <v xml:space="preserve"> </v>
      </c>
      <c r="N290" s="271">
        <f t="shared" si="21"/>
        <v>1834</v>
      </c>
      <c r="Z290" s="82">
        <f t="shared" si="22"/>
        <v>-552</v>
      </c>
      <c r="AA290" s="82">
        <f t="shared" si="23"/>
        <v>-276</v>
      </c>
      <c r="AB290" t="s">
        <v>599</v>
      </c>
      <c r="AC290" t="s">
        <v>628</v>
      </c>
      <c r="AD290" t="s">
        <v>629</v>
      </c>
      <c r="AE290">
        <v>10668</v>
      </c>
      <c r="AF290">
        <v>1561</v>
      </c>
      <c r="AG290">
        <v>12229</v>
      </c>
    </row>
    <row r="291" spans="1:33">
      <c r="A291" s="83" t="s">
        <v>599</v>
      </c>
      <c r="B291" s="83" t="s">
        <v>630</v>
      </c>
      <c r="C291" s="84" t="s">
        <v>631</v>
      </c>
      <c r="D291" s="85">
        <v>4.8899999999999996E-4</v>
      </c>
      <c r="E291" s="86">
        <v>1923</v>
      </c>
      <c r="F291" s="5"/>
      <c r="G291" s="77">
        <v>4.7399999999999997E-4</v>
      </c>
      <c r="H291" s="87">
        <v>10565</v>
      </c>
      <c r="I291" s="7"/>
      <c r="J291" s="88">
        <v>12488</v>
      </c>
      <c r="K291" s="89">
        <v>11719</v>
      </c>
      <c r="L291" s="263" t="str">
        <f t="shared" si="20"/>
        <v xml:space="preserve"> </v>
      </c>
      <c r="M291" s="280" t="str">
        <f t="shared" si="24"/>
        <v xml:space="preserve"> </v>
      </c>
      <c r="N291" s="271">
        <f t="shared" si="21"/>
        <v>1758</v>
      </c>
      <c r="Z291" s="82">
        <f t="shared" si="22"/>
        <v>-769</v>
      </c>
      <c r="AA291" s="82">
        <f t="shared" si="23"/>
        <v>-384.5</v>
      </c>
      <c r="AB291" t="s">
        <v>599</v>
      </c>
      <c r="AC291" t="s">
        <v>630</v>
      </c>
      <c r="AD291" t="s">
        <v>631</v>
      </c>
      <c r="AE291">
        <v>10418</v>
      </c>
      <c r="AF291">
        <v>1301</v>
      </c>
      <c r="AG291">
        <v>11719</v>
      </c>
    </row>
    <row r="292" spans="1:33">
      <c r="A292" s="83" t="s">
        <v>599</v>
      </c>
      <c r="B292" s="83" t="s">
        <v>632</v>
      </c>
      <c r="C292" s="84" t="s">
        <v>633</v>
      </c>
      <c r="D292" s="85">
        <v>3.3399999999999999E-4</v>
      </c>
      <c r="E292" s="86">
        <v>1314</v>
      </c>
      <c r="F292" s="5"/>
      <c r="G292" s="77">
        <v>4.2900000000000002E-4</v>
      </c>
      <c r="H292" s="87">
        <v>9562</v>
      </c>
      <c r="I292" s="7"/>
      <c r="J292" s="88">
        <v>10876</v>
      </c>
      <c r="K292" s="89">
        <v>10919</v>
      </c>
      <c r="L292" s="263">
        <f t="shared" si="20"/>
        <v>43</v>
      </c>
      <c r="M292" s="231">
        <f t="shared" si="24"/>
        <v>22</v>
      </c>
      <c r="N292" s="271">
        <f t="shared" si="21"/>
        <v>1638</v>
      </c>
      <c r="Z292" s="82">
        <f t="shared" si="22"/>
        <v>43</v>
      </c>
      <c r="AA292" s="82">
        <f t="shared" si="23"/>
        <v>21.5</v>
      </c>
      <c r="AB292" t="s">
        <v>599</v>
      </c>
      <c r="AC292" t="s">
        <v>632</v>
      </c>
      <c r="AD292" t="s">
        <v>633</v>
      </c>
      <c r="AE292">
        <v>10008</v>
      </c>
      <c r="AF292">
        <v>911</v>
      </c>
      <c r="AG292">
        <v>10919</v>
      </c>
    </row>
    <row r="293" spans="1:33">
      <c r="A293" s="91" t="s">
        <v>599</v>
      </c>
      <c r="B293" s="91" t="s">
        <v>634</v>
      </c>
      <c r="C293" s="92" t="s">
        <v>635</v>
      </c>
      <c r="D293" s="85">
        <v>8.6799999999999996E-4</v>
      </c>
      <c r="E293" s="86">
        <v>3414</v>
      </c>
      <c r="F293" s="5"/>
      <c r="G293" s="77">
        <v>8.3799999999999999E-4</v>
      </c>
      <c r="H293" s="87">
        <v>18678</v>
      </c>
      <c r="I293" s="7"/>
      <c r="J293" s="88">
        <v>22092</v>
      </c>
      <c r="K293" s="89">
        <v>22356</v>
      </c>
      <c r="L293" s="263">
        <f t="shared" si="20"/>
        <v>264</v>
      </c>
      <c r="M293" s="280">
        <f t="shared" si="24"/>
        <v>132</v>
      </c>
      <c r="N293" s="271">
        <f t="shared" si="21"/>
        <v>3353</v>
      </c>
      <c r="Z293" s="82">
        <f t="shared" si="22"/>
        <v>264</v>
      </c>
      <c r="AA293" s="82">
        <f t="shared" si="23"/>
        <v>132</v>
      </c>
      <c r="AB293" t="s">
        <v>599</v>
      </c>
      <c r="AC293" t="s">
        <v>634</v>
      </c>
      <c r="AD293" t="s">
        <v>635</v>
      </c>
      <c r="AE293">
        <v>19061</v>
      </c>
      <c r="AF293">
        <v>3295</v>
      </c>
      <c r="AG293">
        <v>22356</v>
      </c>
    </row>
    <row r="294" spans="1:33">
      <c r="A294" s="91" t="s">
        <v>599</v>
      </c>
      <c r="B294" s="91" t="s">
        <v>636</v>
      </c>
      <c r="C294" s="92" t="s">
        <v>637</v>
      </c>
      <c r="D294" s="85">
        <v>3.9379999999999997E-3</v>
      </c>
      <c r="E294" s="86">
        <v>15490</v>
      </c>
      <c r="F294" s="5"/>
      <c r="G294" s="77">
        <v>4.1980000000000003E-3</v>
      </c>
      <c r="H294" s="87">
        <v>93568</v>
      </c>
      <c r="I294" s="7"/>
      <c r="J294" s="88">
        <v>109058</v>
      </c>
      <c r="K294" s="89">
        <v>106038</v>
      </c>
      <c r="L294" s="263" t="str">
        <f t="shared" si="20"/>
        <v xml:space="preserve"> </v>
      </c>
      <c r="M294" s="280" t="str">
        <f t="shared" si="24"/>
        <v xml:space="preserve"> </v>
      </c>
      <c r="N294" s="271">
        <f t="shared" si="21"/>
        <v>15906</v>
      </c>
      <c r="Z294" s="82">
        <f t="shared" si="22"/>
        <v>-3020</v>
      </c>
      <c r="AA294" s="82">
        <f t="shared" si="23"/>
        <v>-1510</v>
      </c>
      <c r="AB294" t="s">
        <v>599</v>
      </c>
      <c r="AC294" t="s">
        <v>636</v>
      </c>
      <c r="AD294" t="s">
        <v>637</v>
      </c>
      <c r="AE294">
        <v>91688</v>
      </c>
      <c r="AF294">
        <v>14350</v>
      </c>
      <c r="AG294">
        <v>106038</v>
      </c>
    </row>
    <row r="295" spans="1:33">
      <c r="A295" s="91" t="s">
        <v>599</v>
      </c>
      <c r="B295" s="91" t="s">
        <v>638</v>
      </c>
      <c r="C295" s="92" t="s">
        <v>639</v>
      </c>
      <c r="D295" s="85">
        <v>1.4239999999999999E-3</v>
      </c>
      <c r="E295" s="86">
        <v>5601</v>
      </c>
      <c r="F295" s="5"/>
      <c r="G295" s="77">
        <v>1.3420000000000001E-3</v>
      </c>
      <c r="H295" s="87">
        <v>29911</v>
      </c>
      <c r="I295" s="7"/>
      <c r="J295" s="88">
        <v>35512</v>
      </c>
      <c r="K295" s="89">
        <v>36001</v>
      </c>
      <c r="L295" s="263">
        <f t="shared" si="20"/>
        <v>489</v>
      </c>
      <c r="M295" s="280">
        <f t="shared" si="24"/>
        <v>245</v>
      </c>
      <c r="N295" s="271">
        <f t="shared" si="21"/>
        <v>5400</v>
      </c>
      <c r="Z295" s="82">
        <f t="shared" si="22"/>
        <v>489</v>
      </c>
      <c r="AA295" s="82">
        <f t="shared" si="23"/>
        <v>244.5</v>
      </c>
      <c r="AB295" t="s">
        <v>599</v>
      </c>
      <c r="AC295" t="s">
        <v>638</v>
      </c>
      <c r="AD295" t="s">
        <v>639</v>
      </c>
      <c r="AE295">
        <v>30843</v>
      </c>
      <c r="AF295">
        <v>5158</v>
      </c>
      <c r="AG295">
        <v>36001</v>
      </c>
    </row>
    <row r="296" spans="1:33">
      <c r="A296" s="91" t="s">
        <v>599</v>
      </c>
      <c r="B296" s="91" t="s">
        <v>640</v>
      </c>
      <c r="C296" s="92" t="s">
        <v>641</v>
      </c>
      <c r="D296" s="85">
        <v>1.0790000000000001E-3</v>
      </c>
      <c r="E296" s="86">
        <v>4244</v>
      </c>
      <c r="F296" s="5"/>
      <c r="G296" s="77">
        <v>1.1800000000000001E-3</v>
      </c>
      <c r="H296" s="87">
        <v>26301</v>
      </c>
      <c r="I296" s="7"/>
      <c r="J296" s="88">
        <v>30545</v>
      </c>
      <c r="K296" s="89">
        <v>30606</v>
      </c>
      <c r="L296" s="263">
        <f t="shared" si="20"/>
        <v>61</v>
      </c>
      <c r="M296" s="280">
        <f t="shared" si="24"/>
        <v>31</v>
      </c>
      <c r="N296" s="271">
        <f t="shared" si="21"/>
        <v>4591</v>
      </c>
      <c r="Z296" s="82">
        <f t="shared" si="22"/>
        <v>61</v>
      </c>
      <c r="AA296" s="82">
        <f t="shared" si="23"/>
        <v>30.5</v>
      </c>
      <c r="AB296" t="s">
        <v>599</v>
      </c>
      <c r="AC296" t="s">
        <v>640</v>
      </c>
      <c r="AD296" t="s">
        <v>641</v>
      </c>
      <c r="AE296">
        <v>26271</v>
      </c>
      <c r="AF296">
        <v>4335</v>
      </c>
      <c r="AG296">
        <v>30606</v>
      </c>
    </row>
    <row r="297" spans="1:33">
      <c r="A297" s="91" t="s">
        <v>599</v>
      </c>
      <c r="B297" s="91" t="s">
        <v>642</v>
      </c>
      <c r="C297" s="92" t="s">
        <v>643</v>
      </c>
      <c r="D297" s="85">
        <v>7.5600000000000005E-4</v>
      </c>
      <c r="E297" s="86">
        <v>2974</v>
      </c>
      <c r="F297" s="5"/>
      <c r="G297" s="77">
        <v>5.0600000000000005E-4</v>
      </c>
      <c r="H297" s="87">
        <v>11278</v>
      </c>
      <c r="I297" s="7"/>
      <c r="J297" s="88">
        <v>14252</v>
      </c>
      <c r="K297" s="89">
        <v>14230</v>
      </c>
      <c r="L297" s="263" t="str">
        <f t="shared" si="20"/>
        <v xml:space="preserve"> </v>
      </c>
      <c r="M297" s="280" t="str">
        <f t="shared" si="24"/>
        <v xml:space="preserve"> </v>
      </c>
      <c r="N297" s="271">
        <f t="shared" si="21"/>
        <v>2135</v>
      </c>
      <c r="Z297" s="82">
        <f t="shared" si="22"/>
        <v>-22</v>
      </c>
      <c r="AA297" s="82">
        <f t="shared" si="23"/>
        <v>-11</v>
      </c>
      <c r="AB297" t="s">
        <v>599</v>
      </c>
      <c r="AC297" t="s">
        <v>642</v>
      </c>
      <c r="AD297" t="s">
        <v>643</v>
      </c>
      <c r="AE297">
        <v>10850</v>
      </c>
      <c r="AF297">
        <v>3380</v>
      </c>
      <c r="AG297">
        <v>14230</v>
      </c>
    </row>
    <row r="298" spans="1:33">
      <c r="A298" s="91" t="s">
        <v>599</v>
      </c>
      <c r="B298" s="91" t="s">
        <v>644</v>
      </c>
      <c r="C298" s="92" t="s">
        <v>645</v>
      </c>
      <c r="D298" s="85">
        <v>2.6809999999999998E-3</v>
      </c>
      <c r="E298" s="86">
        <v>10545</v>
      </c>
      <c r="F298" s="5"/>
      <c r="G298" s="77">
        <v>3.117E-3</v>
      </c>
      <c r="H298" s="87">
        <v>69474</v>
      </c>
      <c r="I298" s="7"/>
      <c r="J298" s="88">
        <v>80019</v>
      </c>
      <c r="K298" s="89">
        <v>79302</v>
      </c>
      <c r="L298" s="263" t="str">
        <f t="shared" si="20"/>
        <v xml:space="preserve"> </v>
      </c>
      <c r="M298" s="280" t="str">
        <f t="shared" si="24"/>
        <v xml:space="preserve"> </v>
      </c>
      <c r="N298" s="271">
        <f t="shared" si="21"/>
        <v>11895</v>
      </c>
      <c r="Z298" s="82">
        <f t="shared" si="22"/>
        <v>-717</v>
      </c>
      <c r="AA298" s="82">
        <f t="shared" si="23"/>
        <v>-358.5</v>
      </c>
      <c r="AB298" t="s">
        <v>599</v>
      </c>
      <c r="AC298" t="s">
        <v>644</v>
      </c>
      <c r="AD298" t="s">
        <v>645</v>
      </c>
      <c r="AE298">
        <v>69420</v>
      </c>
      <c r="AF298">
        <v>9882</v>
      </c>
      <c r="AG298">
        <v>79302</v>
      </c>
    </row>
    <row r="299" spans="1:33">
      <c r="A299" s="302" t="s">
        <v>599</v>
      </c>
      <c r="B299" s="302" t="s">
        <v>646</v>
      </c>
      <c r="C299" s="84" t="s">
        <v>647</v>
      </c>
      <c r="D299" s="85">
        <v>1.379E-3</v>
      </c>
      <c r="E299" s="86">
        <v>5424</v>
      </c>
      <c r="F299" s="5"/>
      <c r="G299" s="77">
        <v>1.524E-3</v>
      </c>
      <c r="H299" s="87">
        <v>33968</v>
      </c>
      <c r="I299" s="7"/>
      <c r="J299" s="88">
        <v>39392</v>
      </c>
      <c r="K299" s="89">
        <v>38834</v>
      </c>
      <c r="L299" s="263" t="str">
        <f t="shared" si="20"/>
        <v xml:space="preserve"> </v>
      </c>
      <c r="M299" s="106" t="str">
        <f t="shared" si="24"/>
        <v xml:space="preserve"> </v>
      </c>
      <c r="N299" s="271">
        <f t="shared" si="21"/>
        <v>5825</v>
      </c>
      <c r="Z299" s="82">
        <f t="shared" si="22"/>
        <v>-558</v>
      </c>
      <c r="AA299" s="82">
        <f t="shared" si="23"/>
        <v>-279</v>
      </c>
      <c r="AB299" t="s">
        <v>599</v>
      </c>
      <c r="AC299" t="s">
        <v>646</v>
      </c>
      <c r="AD299" t="s">
        <v>648</v>
      </c>
      <c r="AE299">
        <v>33459</v>
      </c>
      <c r="AF299">
        <v>5375</v>
      </c>
      <c r="AG299">
        <v>38834</v>
      </c>
    </row>
    <row r="300" spans="1:33">
      <c r="A300" s="91" t="s">
        <v>599</v>
      </c>
      <c r="B300" s="91" t="s">
        <v>649</v>
      </c>
      <c r="C300" s="92" t="s">
        <v>650</v>
      </c>
      <c r="D300" s="85">
        <v>1.023E-3</v>
      </c>
      <c r="E300" s="86">
        <v>4024</v>
      </c>
      <c r="F300" s="5"/>
      <c r="G300" s="77">
        <v>6.9300000000000004E-4</v>
      </c>
      <c r="H300" s="87">
        <v>15446</v>
      </c>
      <c r="I300" s="7"/>
      <c r="J300" s="88">
        <v>19470</v>
      </c>
      <c r="K300" s="89">
        <v>21037</v>
      </c>
      <c r="L300" s="263">
        <f t="shared" si="20"/>
        <v>1567</v>
      </c>
      <c r="M300" s="280">
        <f t="shared" si="24"/>
        <v>784</v>
      </c>
      <c r="N300" s="271">
        <f t="shared" si="21"/>
        <v>3156</v>
      </c>
      <c r="Z300" s="82">
        <f t="shared" si="22"/>
        <v>1567</v>
      </c>
      <c r="AA300" s="82">
        <f t="shared" si="23"/>
        <v>783.5</v>
      </c>
      <c r="AB300" t="s">
        <v>599</v>
      </c>
      <c r="AC300" t="s">
        <v>649</v>
      </c>
      <c r="AD300" t="s">
        <v>650</v>
      </c>
      <c r="AE300">
        <v>15490</v>
      </c>
      <c r="AF300">
        <v>5547</v>
      </c>
      <c r="AG300">
        <v>21037</v>
      </c>
    </row>
    <row r="301" spans="1:33">
      <c r="A301" s="91" t="s">
        <v>599</v>
      </c>
      <c r="B301" s="91" t="s">
        <v>651</v>
      </c>
      <c r="C301" s="92" t="s">
        <v>652</v>
      </c>
      <c r="D301" s="85">
        <v>1.2570000000000001E-3</v>
      </c>
      <c r="E301" s="86">
        <v>4944</v>
      </c>
      <c r="F301" s="5"/>
      <c r="G301" s="77">
        <v>7.5799999999999999E-4</v>
      </c>
      <c r="H301" s="87">
        <v>16895</v>
      </c>
      <c r="I301" s="7"/>
      <c r="J301" s="88">
        <v>21839</v>
      </c>
      <c r="K301" s="89">
        <v>23819</v>
      </c>
      <c r="L301" s="263">
        <f t="shared" si="20"/>
        <v>1980</v>
      </c>
      <c r="M301" s="280">
        <f t="shared" si="24"/>
        <v>990</v>
      </c>
      <c r="N301" s="271">
        <f t="shared" si="21"/>
        <v>3573</v>
      </c>
      <c r="Z301" s="82">
        <f t="shared" si="22"/>
        <v>1980</v>
      </c>
      <c r="AA301" s="82">
        <f t="shared" si="23"/>
        <v>990</v>
      </c>
      <c r="AB301" t="s">
        <v>599</v>
      </c>
      <c r="AC301" t="s">
        <v>651</v>
      </c>
      <c r="AD301" t="s">
        <v>652</v>
      </c>
      <c r="AE301">
        <v>18356</v>
      </c>
      <c r="AF301">
        <v>5463</v>
      </c>
      <c r="AG301">
        <v>23819</v>
      </c>
    </row>
    <row r="302" spans="1:33">
      <c r="A302" s="91" t="s">
        <v>599</v>
      </c>
      <c r="B302" s="91" t="s">
        <v>653</v>
      </c>
      <c r="C302" s="92" t="s">
        <v>654</v>
      </c>
      <c r="D302" s="85">
        <v>7.4200000000000004E-3</v>
      </c>
      <c r="E302" s="86">
        <v>29186</v>
      </c>
      <c r="F302" s="5"/>
      <c r="G302" s="77">
        <v>5.5160000000000001E-3</v>
      </c>
      <c r="H302" s="87">
        <v>122944</v>
      </c>
      <c r="I302" s="7"/>
      <c r="J302" s="88">
        <v>152130</v>
      </c>
      <c r="K302" s="89">
        <v>151131</v>
      </c>
      <c r="L302" s="263" t="str">
        <f t="shared" si="20"/>
        <v xml:space="preserve"> </v>
      </c>
      <c r="M302" s="280" t="str">
        <f t="shared" si="24"/>
        <v xml:space="preserve"> </v>
      </c>
      <c r="N302" s="271">
        <f t="shared" si="21"/>
        <v>22670</v>
      </c>
      <c r="Z302" s="82">
        <f t="shared" si="22"/>
        <v>-999</v>
      </c>
      <c r="AA302" s="82">
        <f t="shared" si="23"/>
        <v>-499.5</v>
      </c>
      <c r="AB302" t="s">
        <v>599</v>
      </c>
      <c r="AC302" t="s">
        <v>653</v>
      </c>
      <c r="AD302" t="s">
        <v>654</v>
      </c>
      <c r="AE302">
        <v>123214</v>
      </c>
      <c r="AF302">
        <v>27917</v>
      </c>
      <c r="AG302">
        <v>151131</v>
      </c>
    </row>
    <row r="303" spans="1:33">
      <c r="A303" s="91" t="s">
        <v>599</v>
      </c>
      <c r="B303" s="91" t="s">
        <v>655</v>
      </c>
      <c r="C303" s="92" t="s">
        <v>656</v>
      </c>
      <c r="D303" s="85">
        <v>1.0460000000000001E-3</v>
      </c>
      <c r="E303" s="86">
        <v>4114</v>
      </c>
      <c r="F303" s="5"/>
      <c r="G303" s="77">
        <v>1.2030000000000001E-3</v>
      </c>
      <c r="H303" s="87">
        <v>26813</v>
      </c>
      <c r="I303" s="7"/>
      <c r="J303" s="88">
        <v>30927</v>
      </c>
      <c r="K303" s="89">
        <v>29043</v>
      </c>
      <c r="L303" s="263" t="str">
        <f t="shared" si="20"/>
        <v xml:space="preserve"> </v>
      </c>
      <c r="M303" s="280" t="str">
        <f t="shared" si="24"/>
        <v xml:space="preserve"> </v>
      </c>
      <c r="N303" s="271">
        <f t="shared" si="21"/>
        <v>4356</v>
      </c>
      <c r="Z303" s="82">
        <f t="shared" si="22"/>
        <v>-1884</v>
      </c>
      <c r="AA303" s="82">
        <f t="shared" si="23"/>
        <v>-942</v>
      </c>
      <c r="AB303" t="s">
        <v>599</v>
      </c>
      <c r="AC303" t="s">
        <v>655</v>
      </c>
      <c r="AD303" t="s">
        <v>656</v>
      </c>
      <c r="AE303">
        <v>25748</v>
      </c>
      <c r="AF303">
        <v>3295</v>
      </c>
      <c r="AG303">
        <v>29043</v>
      </c>
    </row>
    <row r="304" spans="1:33">
      <c r="A304" s="302" t="s">
        <v>599</v>
      </c>
      <c r="B304" s="302" t="s">
        <v>657</v>
      </c>
      <c r="C304" s="301" t="s">
        <v>658</v>
      </c>
      <c r="D304" s="85">
        <v>1.335E-3</v>
      </c>
      <c r="E304" s="86">
        <v>5251</v>
      </c>
      <c r="F304" s="111"/>
      <c r="G304" s="77">
        <v>1.0809999999999999E-3</v>
      </c>
      <c r="H304" s="87">
        <v>24094</v>
      </c>
      <c r="I304" s="7"/>
      <c r="J304" s="88">
        <v>29345</v>
      </c>
      <c r="K304" s="89">
        <v>30051</v>
      </c>
      <c r="L304" s="263">
        <f t="shared" si="20"/>
        <v>706</v>
      </c>
      <c r="M304" s="280">
        <f t="shared" si="24"/>
        <v>353</v>
      </c>
      <c r="N304" s="271">
        <f t="shared" si="21"/>
        <v>4508</v>
      </c>
      <c r="Z304" s="82">
        <f t="shared" si="22"/>
        <v>706</v>
      </c>
      <c r="AA304" s="82">
        <f t="shared" si="23"/>
        <v>353</v>
      </c>
      <c r="AB304" t="s">
        <v>599</v>
      </c>
      <c r="AC304" t="s">
        <v>657</v>
      </c>
      <c r="AD304" t="s">
        <v>658</v>
      </c>
      <c r="AE304">
        <v>25543</v>
      </c>
      <c r="AF304">
        <v>4508</v>
      </c>
      <c r="AG304">
        <v>30051</v>
      </c>
    </row>
    <row r="305" spans="1:33">
      <c r="A305" s="73" t="s">
        <v>599</v>
      </c>
      <c r="B305" s="73" t="s">
        <v>659</v>
      </c>
      <c r="C305" s="74" t="s">
        <v>660</v>
      </c>
      <c r="D305" s="75">
        <v>1.5690000000000001E-3</v>
      </c>
      <c r="E305" s="76">
        <v>6171</v>
      </c>
      <c r="F305" s="5"/>
      <c r="G305" s="103">
        <v>1.727E-3</v>
      </c>
      <c r="H305" s="78">
        <v>38493</v>
      </c>
      <c r="I305" s="7"/>
      <c r="J305" s="79">
        <v>44664</v>
      </c>
      <c r="K305" s="80">
        <v>44683</v>
      </c>
      <c r="L305" s="263">
        <f t="shared" si="20"/>
        <v>19</v>
      </c>
      <c r="M305" s="280">
        <f t="shared" si="24"/>
        <v>10</v>
      </c>
      <c r="N305" s="81">
        <f t="shared" si="21"/>
        <v>6702</v>
      </c>
      <c r="Z305" s="82">
        <f t="shared" si="22"/>
        <v>19</v>
      </c>
      <c r="AA305" s="82">
        <f t="shared" si="23"/>
        <v>9.5</v>
      </c>
      <c r="AB305" t="s">
        <v>599</v>
      </c>
      <c r="AC305" t="s">
        <v>659</v>
      </c>
      <c r="AD305" t="s">
        <v>660</v>
      </c>
      <c r="AE305">
        <v>38008</v>
      </c>
      <c r="AF305">
        <v>6675</v>
      </c>
      <c r="AG305">
        <v>44683</v>
      </c>
    </row>
    <row r="306" spans="1:33">
      <c r="A306" s="91" t="s">
        <v>599</v>
      </c>
      <c r="B306" s="91" t="s">
        <v>661</v>
      </c>
      <c r="C306" s="92" t="s">
        <v>662</v>
      </c>
      <c r="D306" s="85">
        <v>5.5599999999999996E-4</v>
      </c>
      <c r="E306" s="86">
        <v>2187</v>
      </c>
      <c r="F306" s="5"/>
      <c r="G306" s="77">
        <v>4.8200000000000001E-4</v>
      </c>
      <c r="H306" s="87">
        <v>10743</v>
      </c>
      <c r="I306" s="7"/>
      <c r="J306" s="88">
        <v>12930</v>
      </c>
      <c r="K306" s="89">
        <v>13485</v>
      </c>
      <c r="L306" s="263">
        <f t="shared" si="20"/>
        <v>555</v>
      </c>
      <c r="M306" s="280">
        <f t="shared" si="24"/>
        <v>278</v>
      </c>
      <c r="N306" s="271">
        <f t="shared" si="21"/>
        <v>2023</v>
      </c>
      <c r="Z306" s="82">
        <f t="shared" si="22"/>
        <v>555</v>
      </c>
      <c r="AA306" s="82">
        <f t="shared" si="23"/>
        <v>277.5</v>
      </c>
      <c r="AB306" t="s">
        <v>599</v>
      </c>
      <c r="AC306" t="s">
        <v>661</v>
      </c>
      <c r="AD306" t="s">
        <v>662</v>
      </c>
      <c r="AE306">
        <v>11145</v>
      </c>
      <c r="AF306">
        <v>2340</v>
      </c>
      <c r="AG306">
        <v>13485</v>
      </c>
    </row>
    <row r="307" spans="1:33">
      <c r="A307" s="91" t="s">
        <v>599</v>
      </c>
      <c r="B307" s="91" t="s">
        <v>663</v>
      </c>
      <c r="C307" s="92" t="s">
        <v>664</v>
      </c>
      <c r="D307" s="85">
        <v>1.379E-3</v>
      </c>
      <c r="E307" s="86">
        <v>5424</v>
      </c>
      <c r="F307" s="5"/>
      <c r="G307" s="77">
        <v>1.1839999999999999E-3</v>
      </c>
      <c r="H307" s="78">
        <v>26390</v>
      </c>
      <c r="I307" s="7"/>
      <c r="J307" s="79">
        <v>31814</v>
      </c>
      <c r="K307" s="80">
        <v>33276</v>
      </c>
      <c r="L307" s="263">
        <f t="shared" si="20"/>
        <v>1462</v>
      </c>
      <c r="M307" s="280">
        <f t="shared" si="24"/>
        <v>731</v>
      </c>
      <c r="N307" s="81">
        <f t="shared" si="21"/>
        <v>4991</v>
      </c>
      <c r="Z307" s="82">
        <f t="shared" si="22"/>
        <v>1462</v>
      </c>
      <c r="AA307" s="82">
        <f t="shared" si="23"/>
        <v>731</v>
      </c>
      <c r="AB307" t="s">
        <v>599</v>
      </c>
      <c r="AC307" t="s">
        <v>663</v>
      </c>
      <c r="AD307" t="s">
        <v>664</v>
      </c>
      <c r="AE307">
        <v>27295</v>
      </c>
      <c r="AF307">
        <v>5981</v>
      </c>
      <c r="AG307">
        <v>33276</v>
      </c>
    </row>
    <row r="308" spans="1:33">
      <c r="A308" s="91" t="s">
        <v>599</v>
      </c>
      <c r="B308" s="91" t="s">
        <v>665</v>
      </c>
      <c r="C308" s="92" t="s">
        <v>666</v>
      </c>
      <c r="D308" s="85">
        <v>8.7900000000000001E-4</v>
      </c>
      <c r="E308" s="86">
        <v>3457</v>
      </c>
      <c r="F308" s="5"/>
      <c r="G308" s="77">
        <v>5.5000000000000003E-4</v>
      </c>
      <c r="H308" s="87">
        <v>12259</v>
      </c>
      <c r="I308" s="7"/>
      <c r="J308" s="88">
        <v>15716</v>
      </c>
      <c r="K308" s="89">
        <v>15942</v>
      </c>
      <c r="L308" s="263">
        <f t="shared" si="20"/>
        <v>226</v>
      </c>
      <c r="M308" s="280">
        <f t="shared" si="24"/>
        <v>113</v>
      </c>
      <c r="N308" s="271">
        <f t="shared" si="21"/>
        <v>2391</v>
      </c>
      <c r="Z308" s="82">
        <f t="shared" si="22"/>
        <v>226</v>
      </c>
      <c r="AA308" s="82">
        <f t="shared" si="23"/>
        <v>113</v>
      </c>
      <c r="AB308" t="s">
        <v>599</v>
      </c>
      <c r="AC308" t="s">
        <v>665</v>
      </c>
      <c r="AD308" t="s">
        <v>666</v>
      </c>
      <c r="AE308">
        <v>12169</v>
      </c>
      <c r="AF308">
        <v>3773</v>
      </c>
      <c r="AG308">
        <v>15942</v>
      </c>
    </row>
    <row r="309" spans="1:33">
      <c r="A309" s="83" t="s">
        <v>599</v>
      </c>
      <c r="B309" s="83" t="s">
        <v>667</v>
      </c>
      <c r="C309" s="84" t="s">
        <v>668</v>
      </c>
      <c r="D309" s="85">
        <v>4.7800000000000002E-4</v>
      </c>
      <c r="E309" s="86">
        <v>1880</v>
      </c>
      <c r="F309" s="5"/>
      <c r="G309" s="77">
        <v>4.1599999999999997E-4</v>
      </c>
      <c r="H309" s="87">
        <v>9272</v>
      </c>
      <c r="I309" s="7"/>
      <c r="J309" s="88">
        <v>11152</v>
      </c>
      <c r="K309" s="89">
        <v>10843</v>
      </c>
      <c r="L309" s="263" t="str">
        <f t="shared" si="20"/>
        <v xml:space="preserve"> </v>
      </c>
      <c r="M309" s="106" t="str">
        <f t="shared" si="24"/>
        <v xml:space="preserve"> </v>
      </c>
      <c r="N309" s="271">
        <f t="shared" si="21"/>
        <v>1626</v>
      </c>
      <c r="Z309" s="82">
        <f t="shared" si="22"/>
        <v>-309</v>
      </c>
      <c r="AA309" s="82">
        <f t="shared" si="23"/>
        <v>-154.5</v>
      </c>
      <c r="AB309" t="s">
        <v>599</v>
      </c>
      <c r="AC309" t="s">
        <v>667</v>
      </c>
      <c r="AD309" t="s">
        <v>668</v>
      </c>
      <c r="AE309">
        <v>9326</v>
      </c>
      <c r="AF309">
        <v>1517</v>
      </c>
      <c r="AG309">
        <v>10843</v>
      </c>
    </row>
    <row r="310" spans="1:33">
      <c r="A310" s="91" t="s">
        <v>599</v>
      </c>
      <c r="B310" s="91" t="s">
        <v>669</v>
      </c>
      <c r="C310" s="92" t="s">
        <v>670</v>
      </c>
      <c r="D310" s="85">
        <v>1.6699999999999999E-4</v>
      </c>
      <c r="E310" s="86">
        <v>657</v>
      </c>
      <c r="F310" s="5"/>
      <c r="G310" s="77">
        <v>1.95E-4</v>
      </c>
      <c r="H310" s="87">
        <v>4346</v>
      </c>
      <c r="I310" s="7"/>
      <c r="J310" s="88">
        <v>5003</v>
      </c>
      <c r="K310" s="89">
        <v>4765</v>
      </c>
      <c r="L310" s="263" t="str">
        <f t="shared" si="20"/>
        <v xml:space="preserve"> </v>
      </c>
      <c r="M310" s="280" t="str">
        <f t="shared" si="24"/>
        <v xml:space="preserve"> </v>
      </c>
      <c r="N310" s="271">
        <f t="shared" si="21"/>
        <v>715</v>
      </c>
      <c r="Z310" s="82">
        <f t="shared" si="22"/>
        <v>-238</v>
      </c>
      <c r="AA310" s="82">
        <f t="shared" si="23"/>
        <v>-119</v>
      </c>
      <c r="AB310" t="s">
        <v>599</v>
      </c>
      <c r="AC310" t="s">
        <v>669</v>
      </c>
      <c r="AD310" t="s">
        <v>670</v>
      </c>
      <c r="AE310">
        <v>4071</v>
      </c>
      <c r="AF310">
        <v>694</v>
      </c>
      <c r="AG310">
        <v>4765</v>
      </c>
    </row>
    <row r="311" spans="1:33">
      <c r="A311" s="91" t="s">
        <v>599</v>
      </c>
      <c r="B311" s="91" t="s">
        <v>671</v>
      </c>
      <c r="C311" s="92" t="s">
        <v>672</v>
      </c>
      <c r="D311" s="85">
        <v>3.2599999999999999E-3</v>
      </c>
      <c r="E311" s="86">
        <v>12823</v>
      </c>
      <c r="F311" s="5"/>
      <c r="G311" s="77">
        <v>2.3960000000000001E-3</v>
      </c>
      <c r="H311" s="87">
        <v>53404</v>
      </c>
      <c r="I311" s="7"/>
      <c r="J311" s="88">
        <v>66227</v>
      </c>
      <c r="K311" s="89">
        <v>68146</v>
      </c>
      <c r="L311" s="263">
        <f t="shared" si="20"/>
        <v>1919</v>
      </c>
      <c r="M311" s="280">
        <f t="shared" si="24"/>
        <v>960</v>
      </c>
      <c r="N311" s="271">
        <f t="shared" si="21"/>
        <v>10222</v>
      </c>
      <c r="Z311" s="82">
        <f t="shared" si="22"/>
        <v>1919</v>
      </c>
      <c r="AA311" s="82">
        <f t="shared" si="23"/>
        <v>959.5</v>
      </c>
      <c r="AB311" t="s">
        <v>599</v>
      </c>
      <c r="AC311" t="s">
        <v>671</v>
      </c>
      <c r="AD311" t="s">
        <v>672</v>
      </c>
      <c r="AE311">
        <v>54362</v>
      </c>
      <c r="AF311">
        <v>13784</v>
      </c>
      <c r="AG311">
        <v>68146</v>
      </c>
    </row>
    <row r="312" spans="1:33">
      <c r="A312" s="83" t="s">
        <v>599</v>
      </c>
      <c r="B312" s="83" t="s">
        <v>673</v>
      </c>
      <c r="C312" s="84" t="s">
        <v>674</v>
      </c>
      <c r="D312" s="85">
        <v>1.2130000000000001E-3</v>
      </c>
      <c r="E312" s="86">
        <v>4771</v>
      </c>
      <c r="F312" s="5"/>
      <c r="G312" s="77">
        <v>1.3110000000000001E-3</v>
      </c>
      <c r="H312" s="87">
        <v>29220</v>
      </c>
      <c r="I312" s="7"/>
      <c r="J312" s="88">
        <v>33991</v>
      </c>
      <c r="K312" s="89">
        <v>35616</v>
      </c>
      <c r="L312" s="263">
        <f t="shared" si="20"/>
        <v>1625</v>
      </c>
      <c r="M312" s="231">
        <f t="shared" si="24"/>
        <v>813</v>
      </c>
      <c r="N312" s="271">
        <f t="shared" si="21"/>
        <v>5342</v>
      </c>
      <c r="Z312" s="82">
        <f t="shared" si="22"/>
        <v>1625</v>
      </c>
      <c r="AA312" s="82">
        <f t="shared" si="23"/>
        <v>812.5</v>
      </c>
      <c r="AB312" t="s">
        <v>599</v>
      </c>
      <c r="AC312" t="s">
        <v>673</v>
      </c>
      <c r="AD312" t="s">
        <v>674</v>
      </c>
      <c r="AE312">
        <v>30502</v>
      </c>
      <c r="AF312">
        <v>5114</v>
      </c>
      <c r="AG312">
        <v>35616</v>
      </c>
    </row>
    <row r="313" spans="1:33">
      <c r="A313" s="91" t="s">
        <v>599</v>
      </c>
      <c r="B313" s="91" t="s">
        <v>675</v>
      </c>
      <c r="C313" s="92" t="s">
        <v>676</v>
      </c>
      <c r="D313" s="85">
        <v>2.5590000000000001E-3</v>
      </c>
      <c r="E313" s="86">
        <v>10065</v>
      </c>
      <c r="F313" s="5"/>
      <c r="G313" s="77">
        <v>2.0699999999999998E-3</v>
      </c>
      <c r="H313" s="87">
        <v>46138</v>
      </c>
      <c r="I313" s="7"/>
      <c r="J313" s="88">
        <v>56203</v>
      </c>
      <c r="K313" s="89">
        <v>53399</v>
      </c>
      <c r="L313" s="263" t="str">
        <f t="shared" si="20"/>
        <v xml:space="preserve"> </v>
      </c>
      <c r="M313" s="280" t="str">
        <f t="shared" si="24"/>
        <v xml:space="preserve"> </v>
      </c>
      <c r="N313" s="271">
        <f t="shared" si="21"/>
        <v>8010</v>
      </c>
      <c r="Z313" s="82">
        <f t="shared" si="22"/>
        <v>-2804</v>
      </c>
      <c r="AA313" s="82">
        <f t="shared" si="23"/>
        <v>-1402</v>
      </c>
      <c r="AB313" t="s">
        <v>599</v>
      </c>
      <c r="AC313" t="s">
        <v>675</v>
      </c>
      <c r="AD313" t="s">
        <v>676</v>
      </c>
      <c r="AE313">
        <v>44468</v>
      </c>
      <c r="AF313">
        <v>8931</v>
      </c>
      <c r="AG313">
        <v>53399</v>
      </c>
    </row>
    <row r="314" spans="1:33">
      <c r="A314" s="91" t="s">
        <v>599</v>
      </c>
      <c r="B314" s="91" t="s">
        <v>677</v>
      </c>
      <c r="C314" s="92" t="s">
        <v>678</v>
      </c>
      <c r="D314" s="85">
        <v>8.5700000000000001E-4</v>
      </c>
      <c r="E314" s="86">
        <v>3371</v>
      </c>
      <c r="F314" s="5"/>
      <c r="G314" s="77">
        <v>6.9399999999999996E-4</v>
      </c>
      <c r="H314" s="87">
        <v>15468</v>
      </c>
      <c r="I314" s="7"/>
      <c r="J314" s="88">
        <v>18839</v>
      </c>
      <c r="K314" s="89">
        <v>18978</v>
      </c>
      <c r="L314" s="263">
        <f t="shared" si="20"/>
        <v>139</v>
      </c>
      <c r="M314" s="280">
        <f t="shared" si="24"/>
        <v>70</v>
      </c>
      <c r="N314" s="271">
        <f t="shared" si="21"/>
        <v>2847</v>
      </c>
      <c r="Z314" s="82">
        <f t="shared" si="22"/>
        <v>139</v>
      </c>
      <c r="AA314" s="82">
        <f t="shared" si="23"/>
        <v>69.5</v>
      </c>
      <c r="AB314" t="s">
        <v>599</v>
      </c>
      <c r="AC314" t="s">
        <v>677</v>
      </c>
      <c r="AD314" t="s">
        <v>678</v>
      </c>
      <c r="AE314">
        <v>15422</v>
      </c>
      <c r="AF314">
        <v>3556</v>
      </c>
      <c r="AG314">
        <v>18978</v>
      </c>
    </row>
    <row r="315" spans="1:33">
      <c r="A315" s="91" t="s">
        <v>599</v>
      </c>
      <c r="B315" s="91" t="s">
        <v>679</v>
      </c>
      <c r="C315" s="92" t="s">
        <v>680</v>
      </c>
      <c r="D315" s="85">
        <v>5.4500000000000002E-4</v>
      </c>
      <c r="E315" s="86">
        <v>2144</v>
      </c>
      <c r="F315" s="5"/>
      <c r="G315" s="77">
        <v>4.2299999999999998E-4</v>
      </c>
      <c r="H315" s="87">
        <v>9428</v>
      </c>
      <c r="I315" s="7"/>
      <c r="J315" s="88">
        <v>11572</v>
      </c>
      <c r="K315" s="89">
        <v>11824</v>
      </c>
      <c r="L315" s="263">
        <f t="shared" si="20"/>
        <v>252</v>
      </c>
      <c r="M315" s="280">
        <f t="shared" si="24"/>
        <v>126</v>
      </c>
      <c r="N315" s="271">
        <f t="shared" si="21"/>
        <v>1774</v>
      </c>
      <c r="Z315" s="82">
        <f t="shared" si="22"/>
        <v>252</v>
      </c>
      <c r="AA315" s="82">
        <f t="shared" si="23"/>
        <v>126</v>
      </c>
      <c r="AB315" t="s">
        <v>599</v>
      </c>
      <c r="AC315" t="s">
        <v>679</v>
      </c>
      <c r="AD315" t="s">
        <v>680</v>
      </c>
      <c r="AE315">
        <v>9917</v>
      </c>
      <c r="AF315">
        <v>1907</v>
      </c>
      <c r="AG315">
        <v>11824</v>
      </c>
    </row>
    <row r="316" spans="1:33">
      <c r="A316" s="83" t="s">
        <v>599</v>
      </c>
      <c r="B316" s="83" t="s">
        <v>681</v>
      </c>
      <c r="C316" s="84" t="s">
        <v>682</v>
      </c>
      <c r="D316" s="85">
        <v>3.2299999999999999E-4</v>
      </c>
      <c r="E316" s="86">
        <v>1270</v>
      </c>
      <c r="F316" s="5"/>
      <c r="G316" s="77">
        <v>3.8999999999999999E-4</v>
      </c>
      <c r="H316" s="87">
        <v>8693</v>
      </c>
      <c r="I316" s="7"/>
      <c r="J316" s="88">
        <v>9963</v>
      </c>
      <c r="K316" s="89">
        <v>8942</v>
      </c>
      <c r="L316" s="263" t="str">
        <f t="shared" si="20"/>
        <v xml:space="preserve"> </v>
      </c>
      <c r="M316" s="90" t="str">
        <f t="shared" si="24"/>
        <v xml:space="preserve"> </v>
      </c>
      <c r="N316" s="271">
        <f t="shared" si="21"/>
        <v>1341</v>
      </c>
      <c r="Z316" s="82">
        <f t="shared" si="22"/>
        <v>-1021</v>
      </c>
      <c r="AA316" s="82">
        <f t="shared" si="23"/>
        <v>-510.5</v>
      </c>
      <c r="AB316" t="s">
        <v>599</v>
      </c>
      <c r="AC316" t="s">
        <v>681</v>
      </c>
      <c r="AD316" t="s">
        <v>682</v>
      </c>
      <c r="AE316">
        <v>8075</v>
      </c>
      <c r="AF316">
        <v>867</v>
      </c>
      <c r="AG316">
        <v>8942</v>
      </c>
    </row>
    <row r="317" spans="1:33">
      <c r="A317" s="91" t="s">
        <v>599</v>
      </c>
      <c r="B317" s="91" t="s">
        <v>683</v>
      </c>
      <c r="C317" s="92" t="s">
        <v>684</v>
      </c>
      <c r="D317" s="85">
        <v>3.1100000000000002E-4</v>
      </c>
      <c r="E317" s="86">
        <v>1223</v>
      </c>
      <c r="F317" s="5"/>
      <c r="G317" s="77">
        <v>1.271E-3</v>
      </c>
      <c r="H317" s="87">
        <v>28329</v>
      </c>
      <c r="I317" s="7"/>
      <c r="J317" s="88">
        <v>29552</v>
      </c>
      <c r="K317" s="89">
        <v>30597</v>
      </c>
      <c r="L317" s="263">
        <f t="shared" si="20"/>
        <v>1045</v>
      </c>
      <c r="M317" s="280">
        <f t="shared" si="24"/>
        <v>523</v>
      </c>
      <c r="N317" s="271">
        <f t="shared" si="21"/>
        <v>4590</v>
      </c>
      <c r="Z317" s="82">
        <f t="shared" si="22"/>
        <v>1045</v>
      </c>
      <c r="AA317" s="82">
        <f t="shared" si="23"/>
        <v>522.5</v>
      </c>
      <c r="AB317" t="s">
        <v>599</v>
      </c>
      <c r="AC317" t="s">
        <v>683</v>
      </c>
      <c r="AD317" t="s">
        <v>684</v>
      </c>
      <c r="AE317">
        <v>28819</v>
      </c>
      <c r="AF317">
        <v>1778</v>
      </c>
      <c r="AG317">
        <v>30597</v>
      </c>
    </row>
    <row r="318" spans="1:33">
      <c r="A318" s="83" t="s">
        <v>599</v>
      </c>
      <c r="B318" s="83" t="s">
        <v>685</v>
      </c>
      <c r="C318" s="84" t="s">
        <v>686</v>
      </c>
      <c r="D318" s="85">
        <v>9.01E-4</v>
      </c>
      <c r="E318" s="86">
        <v>3544</v>
      </c>
      <c r="F318" s="5"/>
      <c r="G318" s="77">
        <v>1.3749999999999999E-3</v>
      </c>
      <c r="H318" s="87">
        <v>30647</v>
      </c>
      <c r="I318" s="7"/>
      <c r="J318" s="88">
        <v>34191</v>
      </c>
      <c r="K318" s="89">
        <v>34663</v>
      </c>
      <c r="L318" s="263">
        <f t="shared" si="20"/>
        <v>472</v>
      </c>
      <c r="M318" s="231">
        <f t="shared" si="24"/>
        <v>236</v>
      </c>
      <c r="N318" s="271">
        <f t="shared" si="21"/>
        <v>5199</v>
      </c>
      <c r="Z318" s="82">
        <f t="shared" si="22"/>
        <v>472</v>
      </c>
      <c r="AA318" s="82">
        <f t="shared" si="23"/>
        <v>236</v>
      </c>
      <c r="AB318" t="s">
        <v>599</v>
      </c>
      <c r="AC318" t="s">
        <v>685</v>
      </c>
      <c r="AD318" t="s">
        <v>686</v>
      </c>
      <c r="AE318">
        <v>30934</v>
      </c>
      <c r="AF318">
        <v>3729</v>
      </c>
      <c r="AG318">
        <v>34663</v>
      </c>
    </row>
    <row r="319" spans="1:33">
      <c r="A319" s="91" t="s">
        <v>599</v>
      </c>
      <c r="B319" s="91" t="s">
        <v>687</v>
      </c>
      <c r="C319" s="92" t="s">
        <v>688</v>
      </c>
      <c r="D319" s="85">
        <v>6.3400000000000001E-4</v>
      </c>
      <c r="E319" s="86">
        <v>2494</v>
      </c>
      <c r="F319" s="5"/>
      <c r="G319" s="77">
        <v>1.544E-3</v>
      </c>
      <c r="H319" s="87">
        <v>34414</v>
      </c>
      <c r="I319" s="7"/>
      <c r="J319" s="88">
        <v>36908</v>
      </c>
      <c r="K319" s="89">
        <v>37360</v>
      </c>
      <c r="L319" s="263">
        <f t="shared" si="20"/>
        <v>452</v>
      </c>
      <c r="M319" s="280">
        <f t="shared" si="24"/>
        <v>226</v>
      </c>
      <c r="N319" s="271">
        <f t="shared" si="21"/>
        <v>5604</v>
      </c>
      <c r="Z319" s="82">
        <f t="shared" si="22"/>
        <v>452</v>
      </c>
      <c r="AA319" s="82">
        <f t="shared" si="23"/>
        <v>226</v>
      </c>
      <c r="AB319" t="s">
        <v>599</v>
      </c>
      <c r="AC319" t="s">
        <v>687</v>
      </c>
      <c r="AD319" t="s">
        <v>688</v>
      </c>
      <c r="AE319">
        <v>34414</v>
      </c>
      <c r="AF319">
        <v>2946</v>
      </c>
      <c r="AG319">
        <v>37360</v>
      </c>
    </row>
    <row r="320" spans="1:33">
      <c r="A320" s="91" t="s">
        <v>599</v>
      </c>
      <c r="B320" s="91" t="s">
        <v>689</v>
      </c>
      <c r="C320" s="92" t="s">
        <v>690</v>
      </c>
      <c r="D320" s="85">
        <v>9.3400000000000004E-4</v>
      </c>
      <c r="E320" s="86">
        <v>3674</v>
      </c>
      <c r="F320" s="5"/>
      <c r="G320" s="77">
        <v>7.1900000000000002E-4</v>
      </c>
      <c r="H320" s="87">
        <v>16026</v>
      </c>
      <c r="I320" s="7"/>
      <c r="J320" s="88">
        <v>19700</v>
      </c>
      <c r="K320" s="89">
        <v>20255</v>
      </c>
      <c r="L320" s="263">
        <f t="shared" si="20"/>
        <v>555</v>
      </c>
      <c r="M320" s="280">
        <f t="shared" si="24"/>
        <v>278</v>
      </c>
      <c r="N320" s="271">
        <f t="shared" si="21"/>
        <v>3038</v>
      </c>
      <c r="Z320" s="82">
        <f t="shared" si="22"/>
        <v>555</v>
      </c>
      <c r="AA320" s="82">
        <f t="shared" si="23"/>
        <v>277.5</v>
      </c>
      <c r="AB320" t="s">
        <v>599</v>
      </c>
      <c r="AC320" t="s">
        <v>689</v>
      </c>
      <c r="AD320" t="s">
        <v>690</v>
      </c>
      <c r="AE320">
        <v>16309</v>
      </c>
      <c r="AF320">
        <v>3946</v>
      </c>
      <c r="AG320">
        <v>20255</v>
      </c>
    </row>
    <row r="321" spans="1:33">
      <c r="A321" s="91" t="s">
        <v>599</v>
      </c>
      <c r="B321" s="91" t="s">
        <v>691</v>
      </c>
      <c r="C321" s="92" t="s">
        <v>692</v>
      </c>
      <c r="D321" s="85">
        <v>3.6699999999999998E-4</v>
      </c>
      <c r="E321" s="86">
        <v>1444</v>
      </c>
      <c r="F321" s="5"/>
      <c r="G321" s="77">
        <v>4.1599999999999997E-4</v>
      </c>
      <c r="H321" s="87">
        <v>9272</v>
      </c>
      <c r="I321" s="7"/>
      <c r="J321" s="88">
        <v>10716</v>
      </c>
      <c r="K321" s="89">
        <v>10697</v>
      </c>
      <c r="L321" s="263" t="str">
        <f t="shared" si="20"/>
        <v xml:space="preserve"> </v>
      </c>
      <c r="M321" s="280" t="str">
        <f t="shared" si="24"/>
        <v xml:space="preserve"> </v>
      </c>
      <c r="N321" s="271">
        <f t="shared" si="21"/>
        <v>1605</v>
      </c>
      <c r="Z321" s="82">
        <f t="shared" si="22"/>
        <v>-19</v>
      </c>
      <c r="AA321" s="82">
        <f t="shared" si="23"/>
        <v>-9.5</v>
      </c>
      <c r="AB321" t="s">
        <v>599</v>
      </c>
      <c r="AC321" t="s">
        <v>691</v>
      </c>
      <c r="AD321" t="s">
        <v>692</v>
      </c>
      <c r="AE321">
        <v>9007</v>
      </c>
      <c r="AF321">
        <v>1690</v>
      </c>
      <c r="AG321">
        <v>10697</v>
      </c>
    </row>
    <row r="322" spans="1:33">
      <c r="A322" s="83" t="s">
        <v>599</v>
      </c>
      <c r="B322" s="83" t="s">
        <v>693</v>
      </c>
      <c r="C322" s="84" t="s">
        <v>694</v>
      </c>
      <c r="D322" s="85">
        <v>7.45E-4</v>
      </c>
      <c r="E322" s="86">
        <v>2930</v>
      </c>
      <c r="F322" s="5"/>
      <c r="G322" s="77">
        <v>9.1E-4</v>
      </c>
      <c r="H322" s="87">
        <v>20283</v>
      </c>
      <c r="I322" s="7"/>
      <c r="J322" s="88">
        <v>23213</v>
      </c>
      <c r="K322" s="89">
        <v>22094</v>
      </c>
      <c r="L322" s="263" t="str">
        <f t="shared" si="20"/>
        <v xml:space="preserve"> </v>
      </c>
      <c r="M322" s="90" t="str">
        <f t="shared" si="24"/>
        <v xml:space="preserve"> </v>
      </c>
      <c r="N322" s="271">
        <f t="shared" si="21"/>
        <v>3314</v>
      </c>
      <c r="Z322" s="82">
        <f t="shared" si="22"/>
        <v>-1119</v>
      </c>
      <c r="AA322" s="82">
        <f t="shared" si="23"/>
        <v>-559.5</v>
      </c>
      <c r="AB322" t="s">
        <v>599</v>
      </c>
      <c r="AC322" t="s">
        <v>693</v>
      </c>
      <c r="AD322" t="s">
        <v>694</v>
      </c>
      <c r="AE322">
        <v>19493</v>
      </c>
      <c r="AF322">
        <v>2601</v>
      </c>
      <c r="AG322">
        <v>22094</v>
      </c>
    </row>
    <row r="323" spans="1:33" ht="15.75" thickBot="1">
      <c r="A323" s="93" t="s">
        <v>599</v>
      </c>
      <c r="B323" s="93" t="s">
        <v>695</v>
      </c>
      <c r="C323" s="94" t="s">
        <v>696</v>
      </c>
      <c r="D323" s="95">
        <v>7.7899999999999996E-4</v>
      </c>
      <c r="E323" s="96">
        <v>3064</v>
      </c>
      <c r="F323" s="97"/>
      <c r="G323" s="98">
        <v>8.6700000000000004E-4</v>
      </c>
      <c r="H323" s="99">
        <v>19324</v>
      </c>
      <c r="I323" s="7"/>
      <c r="J323" s="100">
        <v>22388</v>
      </c>
      <c r="K323" s="101">
        <v>22438</v>
      </c>
      <c r="L323" s="264">
        <f t="shared" si="20"/>
        <v>50</v>
      </c>
      <c r="M323" s="281">
        <f t="shared" si="24"/>
        <v>25</v>
      </c>
      <c r="N323" s="102">
        <f t="shared" si="21"/>
        <v>3366</v>
      </c>
      <c r="Z323" s="82">
        <f t="shared" si="22"/>
        <v>50</v>
      </c>
      <c r="AA323" s="82">
        <f t="shared" si="23"/>
        <v>25</v>
      </c>
      <c r="AB323" t="s">
        <v>599</v>
      </c>
      <c r="AC323" t="s">
        <v>695</v>
      </c>
      <c r="AD323" t="s">
        <v>696</v>
      </c>
      <c r="AE323">
        <v>19925</v>
      </c>
      <c r="AF323">
        <v>2513</v>
      </c>
      <c r="AG323">
        <v>22438</v>
      </c>
    </row>
    <row r="324" spans="1:33">
      <c r="A324" s="91" t="s">
        <v>697</v>
      </c>
      <c r="B324" s="91" t="s">
        <v>698</v>
      </c>
      <c r="C324" s="92" t="s">
        <v>699</v>
      </c>
      <c r="D324" s="85">
        <v>2.581E-3</v>
      </c>
      <c r="E324" s="86">
        <v>10152</v>
      </c>
      <c r="F324" s="5"/>
      <c r="G324" s="103">
        <v>2.3609999999999998E-3</v>
      </c>
      <c r="H324" s="87">
        <v>52624</v>
      </c>
      <c r="I324" s="7"/>
      <c r="J324" s="88">
        <v>62776</v>
      </c>
      <c r="K324" s="89">
        <v>64299</v>
      </c>
      <c r="L324" s="263">
        <f t="shared" si="20"/>
        <v>1523</v>
      </c>
      <c r="M324" s="280">
        <f t="shared" si="24"/>
        <v>762</v>
      </c>
      <c r="N324" s="271">
        <f t="shared" si="21"/>
        <v>9645</v>
      </c>
      <c r="Z324" s="82">
        <f t="shared" si="22"/>
        <v>1523</v>
      </c>
      <c r="AA324" s="82">
        <f t="shared" si="23"/>
        <v>761.5</v>
      </c>
      <c r="AB324" t="s">
        <v>697</v>
      </c>
      <c r="AC324" t="s">
        <v>698</v>
      </c>
      <c r="AD324" t="s">
        <v>699</v>
      </c>
      <c r="AE324">
        <v>53634</v>
      </c>
      <c r="AF324">
        <v>10665</v>
      </c>
      <c r="AG324">
        <v>64299</v>
      </c>
    </row>
    <row r="325" spans="1:33">
      <c r="A325" s="302" t="s">
        <v>697</v>
      </c>
      <c r="B325" s="302" t="s">
        <v>700</v>
      </c>
      <c r="C325" s="92" t="s">
        <v>701</v>
      </c>
      <c r="D325" s="85">
        <v>1.8240000000000001E-3</v>
      </c>
      <c r="E325" s="86">
        <v>7174</v>
      </c>
      <c r="F325" s="5"/>
      <c r="G325" s="77">
        <v>1.333E-3</v>
      </c>
      <c r="H325" s="87">
        <v>29711</v>
      </c>
      <c r="I325" s="7"/>
      <c r="J325" s="88">
        <f>36885+11031</f>
        <v>47916</v>
      </c>
      <c r="K325" s="89">
        <v>47781</v>
      </c>
      <c r="L325" s="263" t="str">
        <f t="shared" si="20"/>
        <v xml:space="preserve"> </v>
      </c>
      <c r="M325" s="280" t="str">
        <f t="shared" si="24"/>
        <v xml:space="preserve"> </v>
      </c>
      <c r="N325" s="271">
        <f t="shared" si="21"/>
        <v>7167</v>
      </c>
      <c r="Z325" s="82">
        <f t="shared" si="22"/>
        <v>-135</v>
      </c>
      <c r="AA325" s="82">
        <f t="shared" si="23"/>
        <v>-67.5</v>
      </c>
      <c r="AB325" t="s">
        <v>697</v>
      </c>
      <c r="AC325" t="s">
        <v>700</v>
      </c>
      <c r="AD325" t="s">
        <v>701</v>
      </c>
      <c r="AE325">
        <v>39805</v>
      </c>
      <c r="AF325">
        <v>7976</v>
      </c>
      <c r="AG325">
        <v>47781</v>
      </c>
    </row>
    <row r="326" spans="1:33">
      <c r="A326" s="91" t="s">
        <v>697</v>
      </c>
      <c r="B326" s="91" t="s">
        <v>702</v>
      </c>
      <c r="C326" s="92" t="s">
        <v>703</v>
      </c>
      <c r="D326" s="85">
        <v>1.2916E-2</v>
      </c>
      <c r="E326" s="86">
        <v>50803</v>
      </c>
      <c r="F326" s="5"/>
      <c r="G326" s="77">
        <v>9.4750000000000008E-3</v>
      </c>
      <c r="H326" s="87">
        <v>211185</v>
      </c>
      <c r="I326" s="7"/>
      <c r="J326" s="88">
        <v>261988</v>
      </c>
      <c r="K326" s="89">
        <v>270246</v>
      </c>
      <c r="L326" s="263">
        <f t="shared" si="20"/>
        <v>8258</v>
      </c>
      <c r="M326" s="280">
        <f t="shared" si="24"/>
        <v>4129</v>
      </c>
      <c r="N326" s="271">
        <f t="shared" si="21"/>
        <v>40537</v>
      </c>
      <c r="Z326" s="82">
        <f t="shared" si="22"/>
        <v>8258</v>
      </c>
      <c r="AA326" s="82">
        <f t="shared" si="23"/>
        <v>4129</v>
      </c>
      <c r="AB326" t="s">
        <v>697</v>
      </c>
      <c r="AC326" t="s">
        <v>702</v>
      </c>
      <c r="AD326" t="s">
        <v>703</v>
      </c>
      <c r="AE326">
        <v>218314</v>
      </c>
      <c r="AF326">
        <v>51932</v>
      </c>
      <c r="AG326">
        <v>270246</v>
      </c>
    </row>
    <row r="327" spans="1:33">
      <c r="A327" s="91" t="s">
        <v>697</v>
      </c>
      <c r="B327" s="91" t="s">
        <v>704</v>
      </c>
      <c r="C327" s="92" t="s">
        <v>705</v>
      </c>
      <c r="D327" s="85">
        <v>1.6689999999999999E-3</v>
      </c>
      <c r="E327" s="86">
        <v>6565</v>
      </c>
      <c r="F327" s="5"/>
      <c r="G327" s="77">
        <v>1.2149999999999999E-3</v>
      </c>
      <c r="H327" s="87">
        <v>27081</v>
      </c>
      <c r="I327" s="7"/>
      <c r="J327" s="88">
        <v>33646</v>
      </c>
      <c r="K327" s="89">
        <v>33914</v>
      </c>
      <c r="L327" s="263">
        <f t="shared" si="20"/>
        <v>268</v>
      </c>
      <c r="M327" s="280">
        <f t="shared" si="24"/>
        <v>134</v>
      </c>
      <c r="N327" s="271">
        <f t="shared" si="21"/>
        <v>5087</v>
      </c>
      <c r="Z327" s="82">
        <f t="shared" si="22"/>
        <v>268</v>
      </c>
      <c r="AA327" s="82">
        <f t="shared" si="23"/>
        <v>134</v>
      </c>
      <c r="AB327" t="s">
        <v>697</v>
      </c>
      <c r="AC327" t="s">
        <v>704</v>
      </c>
      <c r="AD327" t="s">
        <v>705</v>
      </c>
      <c r="AE327">
        <v>27500</v>
      </c>
      <c r="AF327">
        <v>6414</v>
      </c>
      <c r="AG327">
        <v>33914</v>
      </c>
    </row>
    <row r="328" spans="1:33">
      <c r="A328" s="91" t="s">
        <v>697</v>
      </c>
      <c r="B328" s="91" t="s">
        <v>706</v>
      </c>
      <c r="C328" s="92" t="s">
        <v>707</v>
      </c>
      <c r="D328" s="85">
        <v>3.1710000000000002E-3</v>
      </c>
      <c r="E328" s="86">
        <v>12473</v>
      </c>
      <c r="F328" s="5"/>
      <c r="G328" s="77">
        <v>2.8E-3</v>
      </c>
      <c r="H328" s="87">
        <v>62408</v>
      </c>
      <c r="I328" s="7"/>
      <c r="J328" s="88">
        <v>74881</v>
      </c>
      <c r="K328" s="89">
        <v>75531</v>
      </c>
      <c r="L328" s="263">
        <f t="shared" si="20"/>
        <v>650</v>
      </c>
      <c r="M328" s="280">
        <f t="shared" si="24"/>
        <v>325</v>
      </c>
      <c r="N328" s="271">
        <f t="shared" si="21"/>
        <v>11330</v>
      </c>
      <c r="Z328" s="82">
        <f t="shared" si="22"/>
        <v>650</v>
      </c>
      <c r="AA328" s="82">
        <f t="shared" si="23"/>
        <v>325</v>
      </c>
      <c r="AB328" t="s">
        <v>697</v>
      </c>
      <c r="AC328" t="s">
        <v>706</v>
      </c>
      <c r="AD328" t="s">
        <v>707</v>
      </c>
      <c r="AE328">
        <v>62437</v>
      </c>
      <c r="AF328">
        <v>13094</v>
      </c>
      <c r="AG328">
        <v>75531</v>
      </c>
    </row>
    <row r="329" spans="1:33">
      <c r="A329" s="91" t="s">
        <v>697</v>
      </c>
      <c r="B329" s="91" t="s">
        <v>708</v>
      </c>
      <c r="C329" s="92" t="s">
        <v>709</v>
      </c>
      <c r="D329" s="85">
        <v>1.6800000000000001E-3</v>
      </c>
      <c r="E329" s="86">
        <v>6608</v>
      </c>
      <c r="F329" s="5"/>
      <c r="G329" s="77">
        <v>1.702E-3</v>
      </c>
      <c r="H329" s="87">
        <v>37935</v>
      </c>
      <c r="I329" s="7"/>
      <c r="J329" s="88">
        <v>44543</v>
      </c>
      <c r="K329" s="89">
        <v>45631</v>
      </c>
      <c r="L329" s="263">
        <f t="shared" si="20"/>
        <v>1088</v>
      </c>
      <c r="M329" s="280">
        <f t="shared" si="24"/>
        <v>544</v>
      </c>
      <c r="N329" s="271">
        <f t="shared" si="21"/>
        <v>6845</v>
      </c>
      <c r="Z329" s="82">
        <f t="shared" si="22"/>
        <v>1088</v>
      </c>
      <c r="AA329" s="82">
        <f t="shared" si="23"/>
        <v>544</v>
      </c>
      <c r="AB329" t="s">
        <v>697</v>
      </c>
      <c r="AC329" t="s">
        <v>708</v>
      </c>
      <c r="AD329" t="s">
        <v>709</v>
      </c>
      <c r="AE329">
        <v>37394</v>
      </c>
      <c r="AF329">
        <v>8237</v>
      </c>
      <c r="AG329">
        <v>45631</v>
      </c>
    </row>
    <row r="330" spans="1:33">
      <c r="A330" s="91" t="s">
        <v>697</v>
      </c>
      <c r="B330" s="91" t="s">
        <v>710</v>
      </c>
      <c r="C330" s="92" t="s">
        <v>711</v>
      </c>
      <c r="D330" s="85">
        <v>4.0049999999999999E-3</v>
      </c>
      <c r="E330" s="86">
        <v>15753</v>
      </c>
      <c r="F330" s="5"/>
      <c r="G330" s="77">
        <v>2.8040000000000001E-3</v>
      </c>
      <c r="H330" s="87">
        <v>62497</v>
      </c>
      <c r="I330" s="7"/>
      <c r="J330" s="88">
        <v>78250</v>
      </c>
      <c r="K330" s="89">
        <v>76479</v>
      </c>
      <c r="L330" s="263" t="str">
        <f t="shared" ref="L330:L356" si="25">IF(K330-J330&lt;1," ",K330-J330)</f>
        <v xml:space="preserve"> </v>
      </c>
      <c r="M330" s="280" t="str">
        <f t="shared" si="24"/>
        <v xml:space="preserve"> </v>
      </c>
      <c r="N330" s="271">
        <f t="shared" ref="N330:N356" si="26">ROUND((+K330*0.15),0)</f>
        <v>11472</v>
      </c>
      <c r="Z330" s="82">
        <f t="shared" ref="Z330:Z356" si="27">+K330-J330</f>
        <v>-1771</v>
      </c>
      <c r="AA330" s="82">
        <f t="shared" ref="AA330:AA356" si="28">+Z330*0.5</f>
        <v>-885.5</v>
      </c>
      <c r="AB330" t="s">
        <v>697</v>
      </c>
      <c r="AC330" t="s">
        <v>710</v>
      </c>
      <c r="AD330" t="s">
        <v>711</v>
      </c>
      <c r="AE330">
        <v>61868</v>
      </c>
      <c r="AF330">
        <v>14611</v>
      </c>
      <c r="AG330">
        <v>76479</v>
      </c>
    </row>
    <row r="331" spans="1:33">
      <c r="A331" s="91" t="s">
        <v>697</v>
      </c>
      <c r="B331" s="91" t="s">
        <v>712</v>
      </c>
      <c r="C331" s="92" t="s">
        <v>713</v>
      </c>
      <c r="D331" s="85">
        <v>8.6799999999999996E-4</v>
      </c>
      <c r="E331" s="86">
        <v>3414</v>
      </c>
      <c r="F331" s="5"/>
      <c r="G331" s="77">
        <v>9.4300000000000004E-4</v>
      </c>
      <c r="H331" s="87">
        <v>21018</v>
      </c>
      <c r="I331" s="7"/>
      <c r="J331" s="88">
        <v>24432</v>
      </c>
      <c r="K331" s="89">
        <v>25062</v>
      </c>
      <c r="L331" s="263">
        <f t="shared" si="25"/>
        <v>630</v>
      </c>
      <c r="M331" s="280">
        <f t="shared" ref="M331:M356" si="29">IF(L331=" "," ",ROUND((L331*0.5),0))</f>
        <v>315</v>
      </c>
      <c r="N331" s="271">
        <f t="shared" si="26"/>
        <v>3759</v>
      </c>
      <c r="Z331" s="82">
        <f t="shared" si="27"/>
        <v>630</v>
      </c>
      <c r="AA331" s="82">
        <f t="shared" si="28"/>
        <v>315</v>
      </c>
      <c r="AB331" t="s">
        <v>697</v>
      </c>
      <c r="AC331" t="s">
        <v>712</v>
      </c>
      <c r="AD331" t="s">
        <v>713</v>
      </c>
      <c r="AE331">
        <v>21722</v>
      </c>
      <c r="AF331">
        <v>3340</v>
      </c>
      <c r="AG331">
        <v>25062</v>
      </c>
    </row>
    <row r="332" spans="1:33">
      <c r="A332" s="91" t="s">
        <v>697</v>
      </c>
      <c r="B332" s="91" t="s">
        <v>714</v>
      </c>
      <c r="C332" s="92" t="s">
        <v>715</v>
      </c>
      <c r="D332" s="85">
        <v>2.7030000000000001E-3</v>
      </c>
      <c r="E332" s="86">
        <v>10632</v>
      </c>
      <c r="F332" s="5"/>
      <c r="G332" s="77">
        <v>2.3340000000000001E-3</v>
      </c>
      <c r="H332" s="87">
        <v>52022</v>
      </c>
      <c r="I332" s="7"/>
      <c r="J332" s="88">
        <v>62654</v>
      </c>
      <c r="K332" s="89">
        <v>63185</v>
      </c>
      <c r="L332" s="263">
        <f t="shared" si="25"/>
        <v>531</v>
      </c>
      <c r="M332" s="280">
        <f t="shared" si="29"/>
        <v>266</v>
      </c>
      <c r="N332" s="271">
        <f t="shared" si="26"/>
        <v>9478</v>
      </c>
      <c r="Z332" s="82">
        <f t="shared" si="27"/>
        <v>531</v>
      </c>
      <c r="AA332" s="82">
        <f t="shared" si="28"/>
        <v>265.5</v>
      </c>
      <c r="AB332" t="s">
        <v>697</v>
      </c>
      <c r="AC332" t="s">
        <v>714</v>
      </c>
      <c r="AD332" t="s">
        <v>715</v>
      </c>
      <c r="AE332">
        <v>53475</v>
      </c>
      <c r="AF332">
        <v>9710</v>
      </c>
      <c r="AG332">
        <v>63185</v>
      </c>
    </row>
    <row r="333" spans="1:33">
      <c r="A333" s="91" t="s">
        <v>697</v>
      </c>
      <c r="B333" s="91" t="s">
        <v>716</v>
      </c>
      <c r="C333" s="92" t="s">
        <v>717</v>
      </c>
      <c r="D333" s="85">
        <v>3.8379999999999998E-3</v>
      </c>
      <c r="E333" s="86">
        <v>15096</v>
      </c>
      <c r="F333" s="5"/>
      <c r="G333" s="77">
        <v>3.7030000000000001E-3</v>
      </c>
      <c r="H333" s="87">
        <v>82535</v>
      </c>
      <c r="I333" s="7"/>
      <c r="J333" s="88">
        <v>97631</v>
      </c>
      <c r="K333" s="89">
        <v>99273</v>
      </c>
      <c r="L333" s="263">
        <f t="shared" si="25"/>
        <v>1642</v>
      </c>
      <c r="M333" s="280">
        <f t="shared" si="29"/>
        <v>821</v>
      </c>
      <c r="N333" s="271">
        <f t="shared" si="26"/>
        <v>14891</v>
      </c>
      <c r="Z333" s="82">
        <f t="shared" si="27"/>
        <v>1642</v>
      </c>
      <c r="AA333" s="82">
        <f t="shared" si="28"/>
        <v>821</v>
      </c>
      <c r="AB333" t="s">
        <v>697</v>
      </c>
      <c r="AC333" t="s">
        <v>716</v>
      </c>
      <c r="AD333" t="s">
        <v>717</v>
      </c>
      <c r="AE333">
        <v>84273</v>
      </c>
      <c r="AF333">
        <v>15000</v>
      </c>
      <c r="AG333">
        <v>99273</v>
      </c>
    </row>
    <row r="334" spans="1:33">
      <c r="A334" s="91" t="s">
        <v>697</v>
      </c>
      <c r="B334" s="91" t="s">
        <v>718</v>
      </c>
      <c r="C334" s="92" t="s">
        <v>719</v>
      </c>
      <c r="D334" s="85">
        <v>5.306E-3</v>
      </c>
      <c r="E334" s="86">
        <v>20870</v>
      </c>
      <c r="F334" s="5"/>
      <c r="G334" s="77">
        <v>5.084E-3</v>
      </c>
      <c r="H334" s="87">
        <v>113316</v>
      </c>
      <c r="I334" s="7"/>
      <c r="J334" s="88">
        <v>134186</v>
      </c>
      <c r="K334" s="89">
        <v>132542</v>
      </c>
      <c r="L334" s="263" t="str">
        <f t="shared" si="25"/>
        <v xml:space="preserve"> </v>
      </c>
      <c r="M334" s="280" t="str">
        <f t="shared" si="29"/>
        <v xml:space="preserve"> </v>
      </c>
      <c r="N334" s="271">
        <f t="shared" si="26"/>
        <v>19881</v>
      </c>
      <c r="Z334" s="82">
        <f t="shared" si="27"/>
        <v>-1644</v>
      </c>
      <c r="AA334" s="82">
        <f t="shared" si="28"/>
        <v>-822</v>
      </c>
      <c r="AB334" t="s">
        <v>697</v>
      </c>
      <c r="AC334" t="s">
        <v>718</v>
      </c>
      <c r="AD334" t="s">
        <v>719</v>
      </c>
      <c r="AE334">
        <v>112773</v>
      </c>
      <c r="AF334">
        <v>19769</v>
      </c>
      <c r="AG334">
        <v>132542</v>
      </c>
    </row>
    <row r="335" spans="1:33">
      <c r="A335" s="91" t="s">
        <v>697</v>
      </c>
      <c r="B335" s="91" t="s">
        <v>720</v>
      </c>
      <c r="C335" s="92" t="s">
        <v>721</v>
      </c>
      <c r="D335" s="85">
        <v>9.4600000000000001E-4</v>
      </c>
      <c r="E335" s="86">
        <v>3721</v>
      </c>
      <c r="F335" s="5"/>
      <c r="G335" s="77">
        <v>7.2900000000000005E-4</v>
      </c>
      <c r="H335" s="87">
        <v>16248</v>
      </c>
      <c r="I335" s="7"/>
      <c r="J335" s="88">
        <v>19969</v>
      </c>
      <c r="K335" s="89">
        <v>20598</v>
      </c>
      <c r="L335" s="263">
        <f t="shared" si="25"/>
        <v>629</v>
      </c>
      <c r="M335" s="280">
        <f t="shared" si="29"/>
        <v>315</v>
      </c>
      <c r="N335" s="271">
        <f t="shared" si="26"/>
        <v>3090</v>
      </c>
      <c r="Z335" s="82">
        <f t="shared" si="27"/>
        <v>629</v>
      </c>
      <c r="AA335" s="82">
        <f t="shared" si="28"/>
        <v>314.5</v>
      </c>
      <c r="AB335" t="s">
        <v>697</v>
      </c>
      <c r="AC335" t="s">
        <v>720</v>
      </c>
      <c r="AD335" t="s">
        <v>721</v>
      </c>
      <c r="AE335">
        <v>16263</v>
      </c>
      <c r="AF335">
        <v>4335</v>
      </c>
      <c r="AG335">
        <v>20598</v>
      </c>
    </row>
    <row r="336" spans="1:33">
      <c r="A336" s="91" t="s">
        <v>697</v>
      </c>
      <c r="B336" s="91" t="s">
        <v>722</v>
      </c>
      <c r="C336" s="92" t="s">
        <v>723</v>
      </c>
      <c r="D336" s="85">
        <v>5.8739999999999999E-3</v>
      </c>
      <c r="E336" s="86">
        <v>23105</v>
      </c>
      <c r="F336" s="5"/>
      <c r="G336" s="77">
        <v>4.0829999999999998E-3</v>
      </c>
      <c r="H336" s="87">
        <v>91005</v>
      </c>
      <c r="I336" s="7"/>
      <c r="J336" s="88">
        <v>114110</v>
      </c>
      <c r="K336" s="89">
        <v>114438</v>
      </c>
      <c r="L336" s="263">
        <f t="shared" si="25"/>
        <v>328</v>
      </c>
      <c r="M336" s="280">
        <f t="shared" si="29"/>
        <v>164</v>
      </c>
      <c r="N336" s="271">
        <f t="shared" si="26"/>
        <v>17166</v>
      </c>
      <c r="Z336" s="82">
        <f t="shared" si="27"/>
        <v>328</v>
      </c>
      <c r="AA336" s="82">
        <f t="shared" si="28"/>
        <v>164</v>
      </c>
      <c r="AB336" t="s">
        <v>697</v>
      </c>
      <c r="AC336" t="s">
        <v>722</v>
      </c>
      <c r="AD336" t="s">
        <v>723</v>
      </c>
      <c r="AE336">
        <v>91506</v>
      </c>
      <c r="AF336">
        <v>22932</v>
      </c>
      <c r="AG336">
        <v>114438</v>
      </c>
    </row>
    <row r="337" spans="1:33">
      <c r="A337" s="91" t="s">
        <v>697</v>
      </c>
      <c r="B337" s="91" t="s">
        <v>724</v>
      </c>
      <c r="C337" s="92" t="s">
        <v>725</v>
      </c>
      <c r="D337" s="85">
        <v>4.2299999999999998E-4</v>
      </c>
      <c r="E337" s="86">
        <v>1664</v>
      </c>
      <c r="F337" s="5"/>
      <c r="G337" s="77">
        <v>6.4800000000000003E-4</v>
      </c>
      <c r="H337" s="87">
        <v>14443</v>
      </c>
      <c r="I337" s="7"/>
      <c r="J337" s="88">
        <v>16107</v>
      </c>
      <c r="K337" s="89">
        <v>16470</v>
      </c>
      <c r="L337" s="263">
        <f t="shared" si="25"/>
        <v>363</v>
      </c>
      <c r="M337" s="280">
        <f t="shared" si="29"/>
        <v>182</v>
      </c>
      <c r="N337" s="271">
        <f t="shared" si="26"/>
        <v>2471</v>
      </c>
      <c r="Z337" s="82">
        <f t="shared" si="27"/>
        <v>363</v>
      </c>
      <c r="AA337" s="82">
        <f t="shared" si="28"/>
        <v>181.5</v>
      </c>
      <c r="AB337" t="s">
        <v>697</v>
      </c>
      <c r="AC337" t="s">
        <v>724</v>
      </c>
      <c r="AD337" t="s">
        <v>725</v>
      </c>
      <c r="AE337">
        <v>14648</v>
      </c>
      <c r="AF337">
        <v>1822</v>
      </c>
      <c r="AG337">
        <v>16470</v>
      </c>
    </row>
    <row r="338" spans="1:33">
      <c r="A338" s="83" t="s">
        <v>697</v>
      </c>
      <c r="B338" s="83" t="s">
        <v>726</v>
      </c>
      <c r="C338" s="84" t="s">
        <v>727</v>
      </c>
      <c r="D338" s="85">
        <v>1.268E-3</v>
      </c>
      <c r="E338" s="86">
        <v>4988</v>
      </c>
      <c r="F338" s="5"/>
      <c r="G338" s="77">
        <v>1.6149999999999999E-3</v>
      </c>
      <c r="H338" s="87">
        <v>35996</v>
      </c>
      <c r="I338" s="7"/>
      <c r="J338" s="88">
        <v>40984</v>
      </c>
      <c r="K338" s="89">
        <v>41728</v>
      </c>
      <c r="L338" s="263">
        <f t="shared" si="25"/>
        <v>744</v>
      </c>
      <c r="M338" s="231">
        <f t="shared" si="29"/>
        <v>372</v>
      </c>
      <c r="N338" s="271">
        <f t="shared" si="26"/>
        <v>6259</v>
      </c>
      <c r="Z338" s="82">
        <f t="shared" si="27"/>
        <v>744</v>
      </c>
      <c r="AA338" s="82">
        <f t="shared" si="28"/>
        <v>372</v>
      </c>
      <c r="AB338" t="s">
        <v>697</v>
      </c>
      <c r="AC338" t="s">
        <v>726</v>
      </c>
      <c r="AD338" t="s">
        <v>727</v>
      </c>
      <c r="AE338">
        <v>36871</v>
      </c>
      <c r="AF338">
        <v>4857</v>
      </c>
      <c r="AG338">
        <v>41728</v>
      </c>
    </row>
    <row r="339" spans="1:33">
      <c r="A339" s="91" t="s">
        <v>697</v>
      </c>
      <c r="B339" s="91" t="s">
        <v>728</v>
      </c>
      <c r="C339" s="92" t="s">
        <v>729</v>
      </c>
      <c r="D339" s="85">
        <v>1.1900000000000001E-3</v>
      </c>
      <c r="E339" s="86">
        <v>4681</v>
      </c>
      <c r="F339" s="5"/>
      <c r="G339" s="77">
        <v>6.8099999999999996E-4</v>
      </c>
      <c r="H339" s="87">
        <v>15179</v>
      </c>
      <c r="I339" s="7"/>
      <c r="J339" s="88">
        <v>19860</v>
      </c>
      <c r="K339" s="89">
        <v>19313</v>
      </c>
      <c r="L339" s="263" t="str">
        <f t="shared" si="25"/>
        <v xml:space="preserve"> </v>
      </c>
      <c r="M339" s="280" t="str">
        <f t="shared" si="29"/>
        <v xml:space="preserve"> </v>
      </c>
      <c r="N339" s="271">
        <f t="shared" si="26"/>
        <v>2897</v>
      </c>
      <c r="Z339" s="82">
        <f t="shared" si="27"/>
        <v>-547</v>
      </c>
      <c r="AA339" s="82">
        <f t="shared" si="28"/>
        <v>-273.5</v>
      </c>
      <c r="AB339" t="s">
        <v>697</v>
      </c>
      <c r="AC339" t="s">
        <v>728</v>
      </c>
      <c r="AD339" t="s">
        <v>729</v>
      </c>
      <c r="AE339">
        <v>15717</v>
      </c>
      <c r="AF339">
        <v>3596</v>
      </c>
      <c r="AG339">
        <v>19313</v>
      </c>
    </row>
    <row r="340" spans="1:33">
      <c r="A340" s="83" t="s">
        <v>697</v>
      </c>
      <c r="B340" s="83" t="s">
        <v>730</v>
      </c>
      <c r="C340" s="84" t="s">
        <v>731</v>
      </c>
      <c r="D340" s="85">
        <v>5.5599999999999996E-4</v>
      </c>
      <c r="E340" s="86">
        <v>2187</v>
      </c>
      <c r="F340" s="5"/>
      <c r="G340" s="77">
        <v>4.2700000000000002E-4</v>
      </c>
      <c r="H340" s="87">
        <v>9517</v>
      </c>
      <c r="I340" s="7"/>
      <c r="J340" s="88">
        <v>11704</v>
      </c>
      <c r="K340" s="89">
        <v>11638</v>
      </c>
      <c r="L340" s="263" t="str">
        <f t="shared" si="25"/>
        <v xml:space="preserve"> </v>
      </c>
      <c r="M340" s="90" t="str">
        <f t="shared" si="29"/>
        <v xml:space="preserve"> </v>
      </c>
      <c r="N340" s="271">
        <f t="shared" si="26"/>
        <v>1746</v>
      </c>
      <c r="Z340" s="82">
        <f t="shared" si="27"/>
        <v>-66</v>
      </c>
      <c r="AA340" s="82">
        <f t="shared" si="28"/>
        <v>-33</v>
      </c>
      <c r="AB340" t="s">
        <v>697</v>
      </c>
      <c r="AC340" t="s">
        <v>730</v>
      </c>
      <c r="AD340" t="s">
        <v>731</v>
      </c>
      <c r="AE340">
        <v>9599</v>
      </c>
      <c r="AF340">
        <v>2039</v>
      </c>
      <c r="AG340">
        <v>11638</v>
      </c>
    </row>
    <row r="341" spans="1:33">
      <c r="A341" s="91" t="s">
        <v>697</v>
      </c>
      <c r="B341" s="91" t="s">
        <v>732</v>
      </c>
      <c r="C341" s="92" t="s">
        <v>733</v>
      </c>
      <c r="D341" s="85">
        <v>4.6700000000000002E-4</v>
      </c>
      <c r="E341" s="86">
        <v>1837</v>
      </c>
      <c r="F341" s="5"/>
      <c r="G341" s="77">
        <v>4.0200000000000001E-4</v>
      </c>
      <c r="H341" s="87">
        <v>8960</v>
      </c>
      <c r="I341" s="7"/>
      <c r="J341" s="88">
        <v>10797</v>
      </c>
      <c r="K341" s="89">
        <v>11142</v>
      </c>
      <c r="L341" s="263">
        <f t="shared" si="25"/>
        <v>345</v>
      </c>
      <c r="M341" s="280">
        <f t="shared" si="29"/>
        <v>173</v>
      </c>
      <c r="N341" s="271">
        <f t="shared" si="26"/>
        <v>1671</v>
      </c>
      <c r="Z341" s="82">
        <f t="shared" si="27"/>
        <v>345</v>
      </c>
      <c r="AA341" s="82">
        <f t="shared" si="28"/>
        <v>172.5</v>
      </c>
      <c r="AB341" t="s">
        <v>697</v>
      </c>
      <c r="AC341" t="s">
        <v>732</v>
      </c>
      <c r="AD341" t="s">
        <v>733</v>
      </c>
      <c r="AE341">
        <v>9235</v>
      </c>
      <c r="AF341">
        <v>1907</v>
      </c>
      <c r="AG341">
        <v>11142</v>
      </c>
    </row>
    <row r="342" spans="1:33">
      <c r="A342" s="91" t="s">
        <v>697</v>
      </c>
      <c r="B342" s="91" t="s">
        <v>734</v>
      </c>
      <c r="C342" s="92" t="s">
        <v>735</v>
      </c>
      <c r="D342" s="85">
        <v>4.895E-3</v>
      </c>
      <c r="E342" s="86">
        <v>19254</v>
      </c>
      <c r="F342" s="5"/>
      <c r="G342" s="77">
        <v>4.1130000000000003E-3</v>
      </c>
      <c r="H342" s="87">
        <v>91673</v>
      </c>
      <c r="I342" s="7"/>
      <c r="J342" s="88">
        <v>110927</v>
      </c>
      <c r="K342" s="89">
        <v>110485</v>
      </c>
      <c r="L342" s="263" t="str">
        <f t="shared" si="25"/>
        <v xml:space="preserve"> </v>
      </c>
      <c r="M342" s="280" t="str">
        <f t="shared" si="29"/>
        <v xml:space="preserve"> </v>
      </c>
      <c r="N342" s="271">
        <f t="shared" si="26"/>
        <v>16573</v>
      </c>
      <c r="Z342" s="82">
        <f t="shared" si="27"/>
        <v>-442</v>
      </c>
      <c r="AA342" s="82">
        <f t="shared" si="28"/>
        <v>-221</v>
      </c>
      <c r="AB342" t="s">
        <v>697</v>
      </c>
      <c r="AC342" t="s">
        <v>734</v>
      </c>
      <c r="AD342" t="s">
        <v>735</v>
      </c>
      <c r="AE342">
        <v>91756</v>
      </c>
      <c r="AF342">
        <v>18729</v>
      </c>
      <c r="AG342">
        <v>110485</v>
      </c>
    </row>
    <row r="343" spans="1:33">
      <c r="A343" s="91" t="s">
        <v>697</v>
      </c>
      <c r="B343" s="91" t="s">
        <v>736</v>
      </c>
      <c r="C343" s="92" t="s">
        <v>737</v>
      </c>
      <c r="D343" s="85">
        <v>1.1460000000000001E-3</v>
      </c>
      <c r="E343" s="86">
        <v>4508</v>
      </c>
      <c r="F343" s="5"/>
      <c r="G343" s="77">
        <v>1.0709999999999999E-3</v>
      </c>
      <c r="H343" s="87">
        <v>23871</v>
      </c>
      <c r="I343" s="7"/>
      <c r="J343" s="88">
        <v>28379</v>
      </c>
      <c r="K343" s="89">
        <v>27595</v>
      </c>
      <c r="L343" s="263" t="str">
        <f t="shared" si="25"/>
        <v xml:space="preserve"> </v>
      </c>
      <c r="M343" s="280" t="str">
        <f t="shared" si="29"/>
        <v xml:space="preserve"> </v>
      </c>
      <c r="N343" s="271">
        <f t="shared" si="26"/>
        <v>4139</v>
      </c>
      <c r="Z343" s="82">
        <f t="shared" si="27"/>
        <v>-784</v>
      </c>
      <c r="AA343" s="82">
        <f t="shared" si="28"/>
        <v>-392</v>
      </c>
      <c r="AB343" t="s">
        <v>697</v>
      </c>
      <c r="AC343" t="s">
        <v>736</v>
      </c>
      <c r="AD343" t="s">
        <v>737</v>
      </c>
      <c r="AE343">
        <v>23087</v>
      </c>
      <c r="AF343">
        <v>4508</v>
      </c>
      <c r="AG343">
        <v>27595</v>
      </c>
    </row>
    <row r="344" spans="1:33">
      <c r="A344" s="91" t="s">
        <v>697</v>
      </c>
      <c r="B344" s="91" t="s">
        <v>738</v>
      </c>
      <c r="C344" s="92" t="s">
        <v>739</v>
      </c>
      <c r="D344" s="85">
        <v>1.09E-3</v>
      </c>
      <c r="E344" s="86">
        <v>4287</v>
      </c>
      <c r="F344" s="5"/>
      <c r="G344" s="77">
        <v>1.129E-3</v>
      </c>
      <c r="H344" s="87">
        <v>25164</v>
      </c>
      <c r="I344" s="7"/>
      <c r="J344" s="88">
        <v>29451</v>
      </c>
      <c r="K344" s="89">
        <v>29044</v>
      </c>
      <c r="L344" s="263" t="str">
        <f t="shared" si="25"/>
        <v xml:space="preserve"> </v>
      </c>
      <c r="M344" s="280" t="str">
        <f t="shared" si="29"/>
        <v xml:space="preserve"> </v>
      </c>
      <c r="N344" s="271">
        <f t="shared" si="26"/>
        <v>4357</v>
      </c>
      <c r="Z344" s="82">
        <f t="shared" si="27"/>
        <v>-407</v>
      </c>
      <c r="AA344" s="82">
        <f t="shared" si="28"/>
        <v>-203.5</v>
      </c>
      <c r="AB344" t="s">
        <v>697</v>
      </c>
      <c r="AC344" t="s">
        <v>738</v>
      </c>
      <c r="AD344" t="s">
        <v>739</v>
      </c>
      <c r="AE344">
        <v>25271</v>
      </c>
      <c r="AF344">
        <v>3773</v>
      </c>
      <c r="AG344">
        <v>29044</v>
      </c>
    </row>
    <row r="345" spans="1:33">
      <c r="A345" s="91" t="s">
        <v>697</v>
      </c>
      <c r="B345" s="91" t="s">
        <v>740</v>
      </c>
      <c r="C345" s="92" t="s">
        <v>741</v>
      </c>
      <c r="D345" s="85">
        <v>6.0740000000000004E-3</v>
      </c>
      <c r="E345" s="86">
        <v>23891</v>
      </c>
      <c r="F345" s="5"/>
      <c r="G345" s="77">
        <v>5.0639999999999999E-3</v>
      </c>
      <c r="H345" s="87">
        <v>112870</v>
      </c>
      <c r="I345" s="7"/>
      <c r="J345" s="88">
        <v>136761</v>
      </c>
      <c r="K345" s="89">
        <v>132537</v>
      </c>
      <c r="L345" s="263" t="str">
        <f t="shared" si="25"/>
        <v xml:space="preserve"> </v>
      </c>
      <c r="M345" s="280" t="str">
        <f t="shared" si="29"/>
        <v xml:space="preserve"> </v>
      </c>
      <c r="N345" s="271">
        <f t="shared" si="26"/>
        <v>19881</v>
      </c>
      <c r="Z345" s="82">
        <f t="shared" si="27"/>
        <v>-4224</v>
      </c>
      <c r="AA345" s="82">
        <f t="shared" si="28"/>
        <v>-2112</v>
      </c>
      <c r="AB345" t="s">
        <v>697</v>
      </c>
      <c r="AC345" t="s">
        <v>740</v>
      </c>
      <c r="AD345" t="s">
        <v>741</v>
      </c>
      <c r="AE345">
        <v>114502</v>
      </c>
      <c r="AF345">
        <v>18035</v>
      </c>
      <c r="AG345">
        <v>132537</v>
      </c>
    </row>
    <row r="346" spans="1:33">
      <c r="A346" s="91" t="s">
        <v>697</v>
      </c>
      <c r="B346" s="91" t="s">
        <v>742</v>
      </c>
      <c r="C346" s="92" t="s">
        <v>743</v>
      </c>
      <c r="D346" s="85">
        <v>1.2838E-2</v>
      </c>
      <c r="E346" s="86">
        <v>50497</v>
      </c>
      <c r="F346" s="5"/>
      <c r="G346" s="77">
        <v>9.0690000000000007E-3</v>
      </c>
      <c r="H346" s="87">
        <v>202136</v>
      </c>
      <c r="I346" s="7"/>
      <c r="J346" s="88">
        <v>252633</v>
      </c>
      <c r="K346" s="89">
        <v>256488</v>
      </c>
      <c r="L346" s="263">
        <f t="shared" si="25"/>
        <v>3855</v>
      </c>
      <c r="M346" s="280">
        <f t="shared" si="29"/>
        <v>1928</v>
      </c>
      <c r="N346" s="271">
        <f t="shared" si="26"/>
        <v>38473</v>
      </c>
      <c r="Z346" s="82">
        <f t="shared" si="27"/>
        <v>3855</v>
      </c>
      <c r="AA346" s="82">
        <f t="shared" si="28"/>
        <v>1927.5</v>
      </c>
      <c r="AB346" t="s">
        <v>697</v>
      </c>
      <c r="AC346" t="s">
        <v>742</v>
      </c>
      <c r="AD346" t="s">
        <v>743</v>
      </c>
      <c r="AE346">
        <v>203688</v>
      </c>
      <c r="AF346">
        <v>52800</v>
      </c>
      <c r="AG346">
        <v>256488</v>
      </c>
    </row>
    <row r="347" spans="1:33">
      <c r="A347" s="91" t="s">
        <v>697</v>
      </c>
      <c r="B347" s="91" t="s">
        <v>744</v>
      </c>
      <c r="C347" s="92" t="s">
        <v>745</v>
      </c>
      <c r="D347" s="85">
        <v>1.268E-3</v>
      </c>
      <c r="E347" s="86">
        <v>4988</v>
      </c>
      <c r="F347" s="5"/>
      <c r="G347" s="77">
        <v>1.2819999999999999E-3</v>
      </c>
      <c r="H347" s="87">
        <v>28574</v>
      </c>
      <c r="I347" s="7"/>
      <c r="J347" s="88">
        <v>33562</v>
      </c>
      <c r="K347" s="89">
        <v>33543</v>
      </c>
      <c r="L347" s="263" t="str">
        <f t="shared" si="25"/>
        <v xml:space="preserve"> </v>
      </c>
      <c r="M347" s="280" t="str">
        <f t="shared" si="29"/>
        <v xml:space="preserve"> </v>
      </c>
      <c r="N347" s="271">
        <f t="shared" si="26"/>
        <v>5031</v>
      </c>
      <c r="Z347" s="82">
        <f t="shared" si="27"/>
        <v>-19</v>
      </c>
      <c r="AA347" s="82">
        <f t="shared" si="28"/>
        <v>-9.5</v>
      </c>
      <c r="AB347" t="s">
        <v>697</v>
      </c>
      <c r="AC347" t="s">
        <v>744</v>
      </c>
      <c r="AD347" t="s">
        <v>745</v>
      </c>
      <c r="AE347">
        <v>28819</v>
      </c>
      <c r="AF347">
        <v>4724</v>
      </c>
      <c r="AG347">
        <v>33543</v>
      </c>
    </row>
    <row r="348" spans="1:33">
      <c r="A348" s="91" t="s">
        <v>697</v>
      </c>
      <c r="B348" s="91" t="s">
        <v>746</v>
      </c>
      <c r="C348" s="92" t="s">
        <v>747</v>
      </c>
      <c r="D348" s="85">
        <v>7.2300000000000001E-4</v>
      </c>
      <c r="E348" s="86">
        <v>2844</v>
      </c>
      <c r="F348" s="5"/>
      <c r="G348" s="77">
        <v>4.5300000000000001E-4</v>
      </c>
      <c r="H348" s="87">
        <v>10097</v>
      </c>
      <c r="I348" s="7"/>
      <c r="J348" s="88">
        <v>12941</v>
      </c>
      <c r="K348" s="89">
        <v>13574</v>
      </c>
      <c r="L348" s="263">
        <f t="shared" si="25"/>
        <v>633</v>
      </c>
      <c r="M348" s="280">
        <f t="shared" si="29"/>
        <v>317</v>
      </c>
      <c r="N348" s="271">
        <f t="shared" si="26"/>
        <v>2036</v>
      </c>
      <c r="Z348" s="82">
        <f t="shared" si="27"/>
        <v>633</v>
      </c>
      <c r="AA348" s="82">
        <f t="shared" si="28"/>
        <v>316.5</v>
      </c>
      <c r="AB348" t="s">
        <v>697</v>
      </c>
      <c r="AC348" t="s">
        <v>746</v>
      </c>
      <c r="AD348" t="s">
        <v>747</v>
      </c>
      <c r="AE348">
        <v>10668</v>
      </c>
      <c r="AF348">
        <v>2906</v>
      </c>
      <c r="AG348">
        <v>13574</v>
      </c>
    </row>
    <row r="349" spans="1:33">
      <c r="A349" s="91" t="s">
        <v>697</v>
      </c>
      <c r="B349" s="91" t="s">
        <v>748</v>
      </c>
      <c r="C349" s="92" t="s">
        <v>749</v>
      </c>
      <c r="D349" s="85">
        <v>9.5699999999999995E-4</v>
      </c>
      <c r="E349" s="86">
        <v>3764</v>
      </c>
      <c r="F349" s="5"/>
      <c r="G349" s="77">
        <v>1.1329999999999999E-3</v>
      </c>
      <c r="H349" s="87">
        <v>25253</v>
      </c>
      <c r="I349" s="7"/>
      <c r="J349" s="88">
        <v>29017</v>
      </c>
      <c r="K349" s="89">
        <v>29437</v>
      </c>
      <c r="L349" s="263">
        <f t="shared" si="25"/>
        <v>420</v>
      </c>
      <c r="M349" s="280">
        <f t="shared" si="29"/>
        <v>210</v>
      </c>
      <c r="N349" s="271">
        <f t="shared" si="26"/>
        <v>4416</v>
      </c>
      <c r="Z349" s="82">
        <f t="shared" si="27"/>
        <v>420</v>
      </c>
      <c r="AA349" s="82">
        <f t="shared" si="28"/>
        <v>210</v>
      </c>
      <c r="AB349" t="s">
        <v>697</v>
      </c>
      <c r="AC349" t="s">
        <v>748</v>
      </c>
      <c r="AD349" t="s">
        <v>749</v>
      </c>
      <c r="AE349">
        <v>24929</v>
      </c>
      <c r="AF349">
        <v>4508</v>
      </c>
      <c r="AG349">
        <v>29437</v>
      </c>
    </row>
    <row r="350" spans="1:33">
      <c r="A350" s="91" t="s">
        <v>697</v>
      </c>
      <c r="B350" s="91" t="s">
        <v>750</v>
      </c>
      <c r="C350" s="92" t="s">
        <v>751</v>
      </c>
      <c r="D350" s="85">
        <v>6.6699999999999995E-4</v>
      </c>
      <c r="E350" s="86">
        <v>2624</v>
      </c>
      <c r="F350" s="5"/>
      <c r="G350" s="77">
        <v>5.6599999999999999E-4</v>
      </c>
      <c r="H350" s="87">
        <v>12615</v>
      </c>
      <c r="I350" s="7"/>
      <c r="J350" s="88">
        <v>15239</v>
      </c>
      <c r="K350" s="89">
        <v>14178</v>
      </c>
      <c r="L350" s="263" t="str">
        <f t="shared" si="25"/>
        <v xml:space="preserve"> </v>
      </c>
      <c r="M350" s="280" t="str">
        <f t="shared" si="29"/>
        <v xml:space="preserve"> </v>
      </c>
      <c r="N350" s="271">
        <f t="shared" si="26"/>
        <v>2127</v>
      </c>
      <c r="Z350" s="82">
        <f t="shared" si="27"/>
        <v>-1061</v>
      </c>
      <c r="AA350" s="82">
        <f t="shared" si="28"/>
        <v>-530.5</v>
      </c>
      <c r="AB350" t="s">
        <v>697</v>
      </c>
      <c r="AC350" t="s">
        <v>750</v>
      </c>
      <c r="AD350" t="s">
        <v>751</v>
      </c>
      <c r="AE350">
        <v>12055</v>
      </c>
      <c r="AF350">
        <v>2123</v>
      </c>
      <c r="AG350">
        <v>14178</v>
      </c>
    </row>
    <row r="351" spans="1:33">
      <c r="A351" s="91" t="s">
        <v>697</v>
      </c>
      <c r="B351" s="91" t="s">
        <v>752</v>
      </c>
      <c r="C351" s="92" t="s">
        <v>753</v>
      </c>
      <c r="D351" s="85">
        <v>1.6130000000000001E-3</v>
      </c>
      <c r="E351" s="86">
        <v>6345</v>
      </c>
      <c r="F351" s="5"/>
      <c r="G351" s="77">
        <v>1.4040000000000001E-3</v>
      </c>
      <c r="H351" s="87">
        <v>31293</v>
      </c>
      <c r="I351" s="7"/>
      <c r="J351" s="88">
        <v>37638</v>
      </c>
      <c r="K351" s="89">
        <v>35442</v>
      </c>
      <c r="L351" s="263" t="str">
        <f t="shared" si="25"/>
        <v xml:space="preserve"> </v>
      </c>
      <c r="M351" s="280" t="str">
        <f t="shared" si="29"/>
        <v xml:space="preserve"> </v>
      </c>
      <c r="N351" s="271">
        <f t="shared" si="26"/>
        <v>5316</v>
      </c>
      <c r="Z351" s="82">
        <f t="shared" si="27"/>
        <v>-2196</v>
      </c>
      <c r="AA351" s="82">
        <f t="shared" si="28"/>
        <v>-1098</v>
      </c>
      <c r="AB351" t="s">
        <v>697</v>
      </c>
      <c r="AC351" t="s">
        <v>752</v>
      </c>
      <c r="AD351" t="s">
        <v>753</v>
      </c>
      <c r="AE351">
        <v>29501</v>
      </c>
      <c r="AF351">
        <v>5941</v>
      </c>
      <c r="AG351">
        <v>35442</v>
      </c>
    </row>
    <row r="352" spans="1:33">
      <c r="A352" s="91" t="s">
        <v>697</v>
      </c>
      <c r="B352" s="91" t="s">
        <v>754</v>
      </c>
      <c r="C352" s="92" t="s">
        <v>755</v>
      </c>
      <c r="D352" s="85">
        <v>9.8999999999999999E-4</v>
      </c>
      <c r="E352" s="86">
        <v>3894</v>
      </c>
      <c r="F352" s="5"/>
      <c r="G352" s="77">
        <v>1.034E-3</v>
      </c>
      <c r="H352" s="87">
        <v>23047</v>
      </c>
      <c r="I352" s="7"/>
      <c r="J352" s="88">
        <v>26941</v>
      </c>
      <c r="K352" s="89">
        <v>26930</v>
      </c>
      <c r="L352" s="263" t="str">
        <f t="shared" si="25"/>
        <v xml:space="preserve"> </v>
      </c>
      <c r="M352" s="280" t="str">
        <f t="shared" si="29"/>
        <v xml:space="preserve"> </v>
      </c>
      <c r="N352" s="271">
        <f t="shared" si="26"/>
        <v>4040</v>
      </c>
      <c r="Z352" s="82">
        <f t="shared" si="27"/>
        <v>-11</v>
      </c>
      <c r="AA352" s="82">
        <f t="shared" si="28"/>
        <v>-5.5</v>
      </c>
      <c r="AB352" t="s">
        <v>697</v>
      </c>
      <c r="AC352" t="s">
        <v>754</v>
      </c>
      <c r="AD352" t="s">
        <v>755</v>
      </c>
      <c r="AE352">
        <v>23201</v>
      </c>
      <c r="AF352">
        <v>3729</v>
      </c>
      <c r="AG352">
        <v>26930</v>
      </c>
    </row>
    <row r="353" spans="1:33">
      <c r="A353" s="83" t="s">
        <v>697</v>
      </c>
      <c r="B353" s="83" t="s">
        <v>756</v>
      </c>
      <c r="C353" s="84" t="s">
        <v>757</v>
      </c>
      <c r="D353" s="85">
        <v>2.0249999999999999E-3</v>
      </c>
      <c r="E353" s="86">
        <v>7965</v>
      </c>
      <c r="F353" s="5"/>
      <c r="G353" s="77">
        <v>1.506E-3</v>
      </c>
      <c r="H353" s="87">
        <v>33567</v>
      </c>
      <c r="I353" s="7"/>
      <c r="J353" s="88">
        <v>41532</v>
      </c>
      <c r="K353" s="89">
        <v>39026</v>
      </c>
      <c r="L353" s="263" t="str">
        <f t="shared" si="25"/>
        <v xml:space="preserve"> </v>
      </c>
      <c r="M353" s="106" t="str">
        <f t="shared" si="29"/>
        <v xml:space="preserve"> </v>
      </c>
      <c r="N353" s="271">
        <f t="shared" si="26"/>
        <v>5854</v>
      </c>
      <c r="Z353" s="82">
        <f t="shared" si="27"/>
        <v>-2506</v>
      </c>
      <c r="AA353" s="82">
        <f t="shared" si="28"/>
        <v>-1253</v>
      </c>
      <c r="AB353" t="s">
        <v>697</v>
      </c>
      <c r="AC353" t="s">
        <v>756</v>
      </c>
      <c r="AD353" t="s">
        <v>757</v>
      </c>
      <c r="AE353">
        <v>32435</v>
      </c>
      <c r="AF353">
        <v>6591</v>
      </c>
      <c r="AG353">
        <v>39026</v>
      </c>
    </row>
    <row r="354" spans="1:33">
      <c r="A354" s="302" t="s">
        <v>697</v>
      </c>
      <c r="B354" s="302" t="s">
        <v>758</v>
      </c>
      <c r="C354" s="301" t="s">
        <v>759</v>
      </c>
      <c r="D354" s="85">
        <v>1.48E-3</v>
      </c>
      <c r="E354" s="86">
        <v>5821</v>
      </c>
      <c r="F354" s="5"/>
      <c r="G354" s="77">
        <v>1.165E-3</v>
      </c>
      <c r="H354" s="87">
        <v>25966</v>
      </c>
      <c r="I354" s="7"/>
      <c r="J354" s="88">
        <v>31787</v>
      </c>
      <c r="K354" s="89">
        <v>30534</v>
      </c>
      <c r="L354" s="263" t="str">
        <f t="shared" si="25"/>
        <v xml:space="preserve"> </v>
      </c>
      <c r="M354" s="280" t="str">
        <f t="shared" si="29"/>
        <v xml:space="preserve"> </v>
      </c>
      <c r="N354" s="271">
        <f t="shared" si="26"/>
        <v>4580</v>
      </c>
      <c r="Z354" s="82">
        <f t="shared" si="27"/>
        <v>-1253</v>
      </c>
      <c r="AA354" s="82">
        <f t="shared" si="28"/>
        <v>-626.5</v>
      </c>
      <c r="AB354" t="s">
        <v>697</v>
      </c>
      <c r="AC354" t="s">
        <v>758</v>
      </c>
      <c r="AD354" t="s">
        <v>759</v>
      </c>
      <c r="AE354">
        <v>24770</v>
      </c>
      <c r="AF354">
        <v>5764</v>
      </c>
      <c r="AG354">
        <v>30534</v>
      </c>
    </row>
    <row r="355" spans="1:33">
      <c r="A355" s="91" t="s">
        <v>697</v>
      </c>
      <c r="B355" s="91" t="s">
        <v>760</v>
      </c>
      <c r="C355" s="92" t="s">
        <v>761</v>
      </c>
      <c r="D355" s="85">
        <v>1.735E-3</v>
      </c>
      <c r="E355" s="86">
        <v>6824</v>
      </c>
      <c r="F355" s="5"/>
      <c r="G355" s="77">
        <v>8.9800000000000004E-4</v>
      </c>
      <c r="H355" s="87">
        <v>20015</v>
      </c>
      <c r="I355" s="7"/>
      <c r="J355" s="88">
        <v>26839</v>
      </c>
      <c r="K355" s="89">
        <v>29604</v>
      </c>
      <c r="L355" s="263">
        <f t="shared" si="25"/>
        <v>2765</v>
      </c>
      <c r="M355" s="280">
        <f t="shared" si="29"/>
        <v>1383</v>
      </c>
      <c r="N355" s="271">
        <f t="shared" si="26"/>
        <v>4441</v>
      </c>
      <c r="Z355" s="82">
        <f t="shared" si="27"/>
        <v>2765</v>
      </c>
      <c r="AA355" s="82">
        <f t="shared" si="28"/>
        <v>1382.5</v>
      </c>
      <c r="AB355" t="s">
        <v>697</v>
      </c>
      <c r="AC355" t="s">
        <v>760</v>
      </c>
      <c r="AD355" t="s">
        <v>761</v>
      </c>
      <c r="AE355">
        <v>21540</v>
      </c>
      <c r="AF355">
        <v>8064</v>
      </c>
      <c r="AG355">
        <v>29604</v>
      </c>
    </row>
    <row r="356" spans="1:33" ht="15.75" thickBot="1">
      <c r="A356" s="93" t="s">
        <v>697</v>
      </c>
      <c r="B356" s="93" t="s">
        <v>762</v>
      </c>
      <c r="C356" s="94" t="s">
        <v>763</v>
      </c>
      <c r="D356" s="85">
        <v>9.2299999999999999E-4</v>
      </c>
      <c r="E356" s="86">
        <v>3630</v>
      </c>
      <c r="F356" s="5"/>
      <c r="G356" s="98">
        <v>7.54E-4</v>
      </c>
      <c r="H356" s="99">
        <v>16806</v>
      </c>
      <c r="I356" s="7"/>
      <c r="J356" s="100">
        <v>20436</v>
      </c>
      <c r="K356" s="101">
        <v>19341</v>
      </c>
      <c r="L356" s="263" t="str">
        <f t="shared" si="25"/>
        <v xml:space="preserve"> </v>
      </c>
      <c r="M356" s="280" t="str">
        <f t="shared" si="29"/>
        <v xml:space="preserve"> </v>
      </c>
      <c r="N356" s="102">
        <f t="shared" si="26"/>
        <v>2901</v>
      </c>
      <c r="Z356" s="82">
        <f t="shared" si="27"/>
        <v>-1095</v>
      </c>
      <c r="AA356" s="82">
        <f t="shared" si="28"/>
        <v>-547.5</v>
      </c>
      <c r="AB356" t="s">
        <v>697</v>
      </c>
      <c r="AC356" t="s">
        <v>762</v>
      </c>
      <c r="AD356" t="s">
        <v>763</v>
      </c>
      <c r="AE356">
        <v>16218</v>
      </c>
      <c r="AF356">
        <v>3123</v>
      </c>
      <c r="AG356">
        <v>19341</v>
      </c>
    </row>
    <row r="357" spans="1:33" ht="15.75" thickBot="1">
      <c r="A357" s="112">
        <v>20</v>
      </c>
      <c r="B357" s="113">
        <v>9199</v>
      </c>
      <c r="C357" s="112" t="s">
        <v>764</v>
      </c>
      <c r="D357" s="114">
        <v>0.99690600000000051</v>
      </c>
      <c r="E357" s="115">
        <v>3921200</v>
      </c>
      <c r="F357" s="5"/>
      <c r="G357" s="116">
        <v>0.99871799999999977</v>
      </c>
      <c r="H357" s="117">
        <v>22260105</v>
      </c>
      <c r="I357" s="7"/>
      <c r="J357" s="118">
        <f>SUM(J9:J356)</f>
        <v>26181305</v>
      </c>
      <c r="K357" s="119">
        <f>SUM(K9:K356)</f>
        <v>26720512</v>
      </c>
      <c r="L357" s="265">
        <f t="shared" ref="L357:N357" si="30">SUM(L9:L356)</f>
        <v>630978</v>
      </c>
      <c r="M357" s="282">
        <f t="shared" si="30"/>
        <v>315543</v>
      </c>
      <c r="N357" s="272">
        <f t="shared" si="30"/>
        <v>4008088</v>
      </c>
      <c r="Z357" s="120"/>
      <c r="AA357" s="120"/>
      <c r="AC357">
        <v>0</v>
      </c>
      <c r="AD357" t="s">
        <v>765</v>
      </c>
      <c r="AE357">
        <v>22718175</v>
      </c>
      <c r="AF357">
        <v>4002337</v>
      </c>
      <c r="AG357">
        <f>SUM(AG9:AG356)</f>
        <v>26720512</v>
      </c>
    </row>
    <row r="358" spans="1:33">
      <c r="Z358" s="120"/>
      <c r="AA358" s="120"/>
    </row>
    <row r="359" spans="1:33">
      <c r="Z359" s="120"/>
      <c r="AA359" s="120"/>
    </row>
    <row r="360" spans="1:33">
      <c r="Z360" s="120"/>
      <c r="AA360" s="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Narrative LEA Awards 12-13</vt:lpstr>
      <vt:lpstr>LEA AWARDS 12-13</vt:lpstr>
      <vt:lpstr>Narrative LEA MOER-CEIS 12-13</vt:lpstr>
      <vt:lpstr>LEA--MOER-CEIS 12-13 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jlee</cp:lastModifiedBy>
  <dcterms:created xsi:type="dcterms:W3CDTF">2012-08-30T18:40:12Z</dcterms:created>
  <dcterms:modified xsi:type="dcterms:W3CDTF">2012-09-07T18:59:21Z</dcterms:modified>
</cp:coreProperties>
</file>