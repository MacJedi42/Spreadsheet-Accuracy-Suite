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210" windowWidth="11415" windowHeight="5700" tabRatio="791"/>
  </bookViews>
  <sheets>
    <sheet name="Institutional Comparisons" sheetId="10" r:id="rId1"/>
    <sheet name="Suspension Trends" sheetId="5" r:id="rId2"/>
    <sheet name="Probation Trends" sheetId="7" r:id="rId3"/>
    <sheet name="Institutional Trends" sheetId="13" r:id="rId4"/>
    <sheet name="Suspended, 2011SP" sheetId="15" r:id="rId5"/>
    <sheet name="Probation, 2011SP" sheetId="16" r:id="rId6"/>
    <sheet name="Suspended, 2010FA" sheetId="17" r:id="rId7"/>
    <sheet name="Probation, 2010FA" sheetId="18" r:id="rId8"/>
    <sheet name="Suspended, 2010SP" sheetId="14" r:id="rId9"/>
    <sheet name="Probation, 2010SP" sheetId="4" r:id="rId10"/>
    <sheet name="Suspended, 2009SP" sheetId="1" r:id="rId11"/>
    <sheet name="Suspended, 2009FA" sheetId="9" r:id="rId12"/>
    <sheet name="Probation, 2009FA" sheetId="8" r:id="rId13"/>
    <sheet name="Cohort Advisors, 2009SP" sheetId="2" state="hidden" r:id="rId14"/>
    <sheet name="Cohort Advisors, 2009FA" sheetId="11" state="hidden" r:id="rId15"/>
    <sheet name="Sheet1" sheetId="12" state="hidden" r:id="rId16"/>
  </sheets>
  <definedNames>
    <definedName name="_xlnm.Print_Area" localSheetId="0">'Institutional Comparisons'!$A$1:$H$44</definedName>
    <definedName name="_xlnm.Print_Area" localSheetId="12">'Probation, 2009FA'!$A$1:$F$122</definedName>
    <definedName name="_xlnm.Print_Area" localSheetId="7">'Probation, 2010FA'!$A$1:$F$32</definedName>
    <definedName name="_xlnm.Print_Area" localSheetId="9">'Probation, 2010SP'!$A$1:$G$103</definedName>
    <definedName name="_xlnm.Print_Area" localSheetId="5">'Probation, 2011SP'!$A$1:$G$103</definedName>
    <definedName name="_xlnm.Print_Area" localSheetId="11">'Suspended, 2009FA'!$A$1:$E$77</definedName>
    <definedName name="_xlnm.Print_Area" localSheetId="10">'Suspended, 2009SP'!$A$1:$F$97</definedName>
    <definedName name="_xlnm.Print_Area" localSheetId="6">'Suspended, 2010FA'!$A$1:$E$77</definedName>
    <definedName name="_xlnm.Print_Titles" localSheetId="14">'Cohort Advisors, 2009FA'!$10:$11</definedName>
    <definedName name="_xlnm.Print_Titles" localSheetId="12">'Probation, 2009FA'!$33:$33</definedName>
    <definedName name="_xlnm.Print_Titles" localSheetId="7">'Probation, 2010FA'!#REF!</definedName>
  </definedNames>
  <calcPr calcId="144525"/>
</workbook>
</file>

<file path=xl/calcChain.xml><?xml version="1.0" encoding="utf-8"?>
<calcChain xmlns="http://schemas.openxmlformats.org/spreadsheetml/2006/main">
  <c r="M23" i="7" l="1"/>
  <c r="L23" i="7"/>
  <c r="M19" i="7"/>
  <c r="L19" i="7"/>
  <c r="M17" i="7"/>
  <c r="L17" i="7"/>
  <c r="M16" i="7"/>
  <c r="L16" i="7"/>
  <c r="M15" i="7"/>
  <c r="L15" i="7"/>
  <c r="M14" i="7"/>
  <c r="L14" i="7"/>
  <c r="M13" i="7"/>
  <c r="L13" i="7"/>
  <c r="K25" i="7"/>
  <c r="K21" i="7"/>
  <c r="M24" i="5"/>
  <c r="M21" i="5"/>
  <c r="M20" i="5"/>
  <c r="M19" i="5"/>
  <c r="M17" i="5"/>
  <c r="M15" i="5"/>
  <c r="M14" i="5"/>
  <c r="M13" i="5"/>
  <c r="L24" i="5"/>
  <c r="L21" i="5"/>
  <c r="L20" i="5"/>
  <c r="L19" i="5"/>
  <c r="L17" i="5"/>
  <c r="L14" i="5"/>
  <c r="L13" i="5"/>
  <c r="K26" i="5"/>
  <c r="K21" i="5"/>
  <c r="K19" i="5"/>
  <c r="J25" i="7" l="1"/>
  <c r="J26" i="5"/>
  <c r="J21" i="5"/>
  <c r="J19" i="5"/>
  <c r="J21" i="7"/>
  <c r="J19" i="7"/>
  <c r="B19" i="18" l="1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B19" i="17"/>
  <c r="B18" i="16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B21" i="15"/>
  <c r="B19" i="8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B21" i="14"/>
  <c r="I25" i="7"/>
  <c r="I19" i="7"/>
  <c r="I21" i="7" s="1"/>
  <c r="I26" i="5"/>
  <c r="I19" i="5"/>
  <c r="I21" i="5" s="1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B19" i="9"/>
  <c r="H26" i="5"/>
  <c r="H19" i="5"/>
  <c r="H21" i="5" s="1"/>
  <c r="H25" i="7" l="1"/>
  <c r="H19" i="7"/>
  <c r="E17" i="7"/>
  <c r="E19" i="7" s="1"/>
  <c r="E21" i="7" s="1"/>
  <c r="C17" i="7"/>
  <c r="F17" i="7"/>
  <c r="F19" i="7" s="1"/>
  <c r="F21" i="7" s="1"/>
  <c r="D17" i="7"/>
  <c r="B13" i="7"/>
  <c r="B17" i="7"/>
  <c r="G25" i="7"/>
  <c r="F25" i="7"/>
  <c r="D25" i="7"/>
  <c r="B25" i="7"/>
  <c r="E25" i="7"/>
  <c r="C25" i="7"/>
  <c r="G19" i="7"/>
  <c r="G21" i="7" s="1"/>
  <c r="D19" i="7"/>
  <c r="D21" i="7" s="1"/>
  <c r="C19" i="7"/>
  <c r="F26" i="5"/>
  <c r="D26" i="5"/>
  <c r="B26" i="5"/>
  <c r="F19" i="5"/>
  <c r="F21" i="5" s="1"/>
  <c r="D19" i="5"/>
  <c r="D21" i="5" s="1"/>
  <c r="B19" i="5"/>
  <c r="B21" i="5" s="1"/>
  <c r="G26" i="5"/>
  <c r="G19" i="5"/>
  <c r="G21" i="5" s="1"/>
  <c r="E24" i="5"/>
  <c r="E26" i="5" s="1"/>
  <c r="C24" i="5"/>
  <c r="E19" i="5"/>
  <c r="E21" i="5" s="1"/>
  <c r="C19" i="5"/>
  <c r="C21" i="5" s="1"/>
  <c r="B18" i="4"/>
  <c r="B20" i="1"/>
  <c r="B99" i="1"/>
  <c r="C26" i="5" l="1"/>
  <c r="B19" i="7"/>
  <c r="B21" i="7" s="1"/>
  <c r="H21" i="7"/>
  <c r="C21" i="7"/>
</calcChain>
</file>

<file path=xl/sharedStrings.xml><?xml version="1.0" encoding="utf-8"?>
<sst xmlns="http://schemas.openxmlformats.org/spreadsheetml/2006/main" count="928" uniqueCount="218">
  <si>
    <t>Freshmen</t>
  </si>
  <si>
    <t xml:space="preserve">Sophomore </t>
  </si>
  <si>
    <t>Junior</t>
  </si>
  <si>
    <t>Senior</t>
  </si>
  <si>
    <t>Specials</t>
  </si>
  <si>
    <t>Suspended Students Spring 2009</t>
  </si>
  <si>
    <t>Count</t>
  </si>
  <si>
    <t>Cum. GPA</t>
  </si>
  <si>
    <t>Transfer GPA</t>
  </si>
  <si>
    <t>2008 Fall Cohort</t>
  </si>
  <si>
    <t>Inst. GPA</t>
  </si>
  <si>
    <t>Advisor</t>
  </si>
  <si>
    <t>Alberts, Bonnie</t>
  </si>
  <si>
    <t>Alsup, John</t>
  </si>
  <si>
    <t>Altmyer, Donald</t>
  </si>
  <si>
    <t>Austin, Leonard</t>
  </si>
  <si>
    <t>Babbitt, Stephen</t>
  </si>
  <si>
    <t>Beguin, Verona</t>
  </si>
  <si>
    <t>Bellamy, Patty</t>
  </si>
  <si>
    <t>Bergey, Daniel</t>
  </si>
  <si>
    <t>Bergmann, David</t>
  </si>
  <si>
    <t>Brady, Danielle</t>
  </si>
  <si>
    <t>Briggs, Janet</t>
  </si>
  <si>
    <t>Buckwalter, Peggy</t>
  </si>
  <si>
    <t>Card, Curtis</t>
  </si>
  <si>
    <t>Carper, Brent</t>
  </si>
  <si>
    <t>Carriveau, Pamela</t>
  </si>
  <si>
    <t>Chandler, Cynthia</t>
  </si>
  <si>
    <t>Clark, Ryan</t>
  </si>
  <si>
    <t>Clarke, Scott</t>
  </si>
  <si>
    <t>Cox, Thomas</t>
  </si>
  <si>
    <t>Cremean, David</t>
  </si>
  <si>
    <t>Dana, Susan</t>
  </si>
  <si>
    <t>Debeaumont, Ronald</t>
  </si>
  <si>
    <t>Diers, Liz</t>
  </si>
  <si>
    <t>Gibson, Gina</t>
  </si>
  <si>
    <t>Glover, John</t>
  </si>
  <si>
    <t>Hess, Carol</t>
  </si>
  <si>
    <t>Hess, James</t>
  </si>
  <si>
    <t>Johnson, Jean</t>
  </si>
  <si>
    <t>Jones, Kathy</t>
  </si>
  <si>
    <t>Jones, Paul</t>
  </si>
  <si>
    <t>Kim, Sunhwi</t>
  </si>
  <si>
    <t>Klinger, Christopher</t>
  </si>
  <si>
    <t>Knutson, James</t>
  </si>
  <si>
    <t>Kopco, Paul</t>
  </si>
  <si>
    <t>Kruckenberg, Chad</t>
  </si>
  <si>
    <t>Lamb, Charles</t>
  </si>
  <si>
    <t>Mackin, Patrick</t>
  </si>
  <si>
    <t>Marker, Sandra</t>
  </si>
  <si>
    <t>Martinez, Timothy</t>
  </si>
  <si>
    <t>Meyers, Kent</t>
  </si>
  <si>
    <t>Miller, Roger</t>
  </si>
  <si>
    <t>Neighbours, Judith</t>
  </si>
  <si>
    <t>Nsiah, Christian</t>
  </si>
  <si>
    <t>Pearce, Lee</t>
  </si>
  <si>
    <t>Porter, Ann</t>
  </si>
  <si>
    <t>Reznikov, Andrey</t>
  </si>
  <si>
    <t>Robinson, Jeffory</t>
  </si>
  <si>
    <t>Scarborough, David</t>
  </si>
  <si>
    <t>Schallenkamp, Kenneth</t>
  </si>
  <si>
    <t>Schurrer, Robert</t>
  </si>
  <si>
    <t>Semple-Domagall, Abigail</t>
  </si>
  <si>
    <t>Silva, Anthony</t>
  </si>
  <si>
    <t>Silva, Elizabeth</t>
  </si>
  <si>
    <t>Smith, Brian</t>
  </si>
  <si>
    <t>Spencer, Daniel</t>
  </si>
  <si>
    <t>Stoltenberg, Scott</t>
  </si>
  <si>
    <t>Turner, Laura</t>
  </si>
  <si>
    <t>Valades, Joseph</t>
  </si>
  <si>
    <t>Wu, Chen</t>
  </si>
  <si>
    <t>Wynia, Steven</t>
  </si>
  <si>
    <t>Yang, Sheng</t>
  </si>
  <si>
    <t>Zehfus, Micheal</t>
  </si>
  <si>
    <t>Name</t>
  </si>
  <si>
    <t>Suspended</t>
  </si>
  <si>
    <t>Total Advisees</t>
  </si>
  <si>
    <t>Advisees Suspended</t>
  </si>
  <si>
    <t>Pct.</t>
  </si>
  <si>
    <t>Probation</t>
  </si>
  <si>
    <t>Ahmad, Ahrar</t>
  </si>
  <si>
    <t>Anagnopoulos, Cheryl</t>
  </si>
  <si>
    <t>Awbrey, James</t>
  </si>
  <si>
    <t>Caton-Rosser, Mary</t>
  </si>
  <si>
    <t>Colmenero-Chilberg, Laura</t>
  </si>
  <si>
    <t>Dixson, John</t>
  </si>
  <si>
    <t>Durben, Daniel</t>
  </si>
  <si>
    <t>Finkle, Kathleen</t>
  </si>
  <si>
    <t>Gayle, Richard</t>
  </si>
  <si>
    <t>Hickenbotham, Micheline</t>
  </si>
  <si>
    <t>Husemann, Mary</t>
  </si>
  <si>
    <t>LaDuke-Pelster, Faye</t>
  </si>
  <si>
    <t>Looney, Donald</t>
  </si>
  <si>
    <t>Parrow, Kathleen</t>
  </si>
  <si>
    <t>Pursley, Sasha</t>
  </si>
  <si>
    <t>Royer, Randall</t>
  </si>
  <si>
    <t>Sarver, Shane</t>
  </si>
  <si>
    <t>Siemens, David</t>
  </si>
  <si>
    <t>Siewert, Daluss</t>
  </si>
  <si>
    <t>Simpson, Patricia</t>
  </si>
  <si>
    <t>Steckline, Timothy</t>
  </si>
  <si>
    <t>Wilson, Dave</t>
  </si>
  <si>
    <t>Wolff, David</t>
  </si>
  <si>
    <t>Cohort 2008</t>
  </si>
  <si>
    <t>Hovland, Michelle</t>
  </si>
  <si>
    <t>Aaker, Sheila</t>
  </si>
  <si>
    <t>Prosser, Laura</t>
  </si>
  <si>
    <t>Arneson, Pamela</t>
  </si>
  <si>
    <t>Hesson, James</t>
  </si>
  <si>
    <t>Campbell, Robert</t>
  </si>
  <si>
    <t>Fuqua, Amy</t>
  </si>
  <si>
    <t>Shearer-Cremean, Christine</t>
  </si>
  <si>
    <t>Larsen, Janeen</t>
  </si>
  <si>
    <t>Wallerstein, Nicholas</t>
  </si>
  <si>
    <t>Calhoon, David</t>
  </si>
  <si>
    <t>Termes, Thomas</t>
  </si>
  <si>
    <t>Holland, Jennie</t>
  </si>
  <si>
    <t>McCart, Christine</t>
  </si>
  <si>
    <t>Carriveau, Richard</t>
  </si>
  <si>
    <t>Ryerson, Annette</t>
  </si>
  <si>
    <t>Stone, Jamalee</t>
  </si>
  <si>
    <t>Ruehle Roberts, Nancy</t>
  </si>
  <si>
    <t>Nero, Jonathan</t>
  </si>
  <si>
    <t>Boomer, Holly</t>
  </si>
  <si>
    <t>Prcnt</t>
  </si>
  <si>
    <t>Advisees on Probation</t>
  </si>
  <si>
    <t>Not Suspended</t>
  </si>
  <si>
    <t>ACT Comp</t>
  </si>
  <si>
    <t>ACT Engl</t>
  </si>
  <si>
    <t>ACT Math</t>
  </si>
  <si>
    <t>ACT Reading</t>
  </si>
  <si>
    <t>ACT Science Reading</t>
  </si>
  <si>
    <t>Mean ACT</t>
  </si>
  <si>
    <t>Significance</t>
  </si>
  <si>
    <t>*p &lt; 0.10; **p &lt; 0.05; ***p &lt; 0.0001</t>
  </si>
  <si>
    <t>***</t>
  </si>
  <si>
    <t>Effect Size</t>
  </si>
  <si>
    <t>Not on Probation</t>
  </si>
  <si>
    <t>On Probation</t>
  </si>
  <si>
    <t>Total</t>
  </si>
  <si>
    <t>2007SP</t>
  </si>
  <si>
    <t>2008SP</t>
  </si>
  <si>
    <t>2009SP</t>
  </si>
  <si>
    <t>Freshman</t>
  </si>
  <si>
    <t>Sophomore</t>
  </si>
  <si>
    <t>Special</t>
  </si>
  <si>
    <t>Cohort Members</t>
  </si>
  <si>
    <t>Prcnt of Cohort</t>
  </si>
  <si>
    <t>Total Cohort</t>
  </si>
  <si>
    <t>Suspension</t>
  </si>
  <si>
    <t>2006FA</t>
  </si>
  <si>
    <t>2007FA</t>
  </si>
  <si>
    <t>2008FA</t>
  </si>
  <si>
    <t>Prcnt of Census</t>
  </si>
  <si>
    <t>Term UG Census</t>
  </si>
  <si>
    <t>2009FA</t>
  </si>
  <si>
    <t>Suspended Students Fall 2009</t>
  </si>
  <si>
    <t>2009 Fall Cohort</t>
  </si>
  <si>
    <t>Percentage of students suspended by institution</t>
  </si>
  <si>
    <t>2003 - 2004</t>
  </si>
  <si>
    <t>2004-2005</t>
  </si>
  <si>
    <t>2005 -2006</t>
  </si>
  <si>
    <t>2006 - 2007</t>
  </si>
  <si>
    <t>2007-2008</t>
  </si>
  <si>
    <t>BHSU</t>
  </si>
  <si>
    <t>DSU</t>
  </si>
  <si>
    <t>NSU</t>
  </si>
  <si>
    <t>SDSMT</t>
  </si>
  <si>
    <t>SDSU</t>
  </si>
  <si>
    <t>USD</t>
  </si>
  <si>
    <t>System</t>
  </si>
  <si>
    <t>Percentage of students placed on probation by institution</t>
  </si>
  <si>
    <t>Percentage of students that withdraw by institution</t>
  </si>
  <si>
    <t>Data Not Available</t>
  </si>
  <si>
    <t>Cell size too small for analysis this term.</t>
  </si>
  <si>
    <t>Cooch, Clayton</t>
  </si>
  <si>
    <t>Crawford, David</t>
  </si>
  <si>
    <t>King, Vincent</t>
  </si>
  <si>
    <t>Pavel, Katherine</t>
  </si>
  <si>
    <t xml:space="preserve">Students on probation, Fall 2009
</t>
  </si>
  <si>
    <t>Bailey, Adam</t>
  </si>
  <si>
    <t>Buck, Erin</t>
  </si>
  <si>
    <t>Decory, Jace</t>
  </si>
  <si>
    <t>Jones, Mary</t>
  </si>
  <si>
    <t>Juhrend, Albert</t>
  </si>
  <si>
    <t>Larson, Julianna</t>
  </si>
  <si>
    <t>Madrid, Peggy</t>
  </si>
  <si>
    <t>Murphy, Patricia</t>
  </si>
  <si>
    <t>Nag, Parthasarathi</t>
  </si>
  <si>
    <t>Ruehle, Nancy</t>
  </si>
  <si>
    <t>**</t>
  </si>
  <si>
    <t>Cohort 2009</t>
  </si>
  <si>
    <t>Anthony, Aaron</t>
  </si>
  <si>
    <t>Hagerty, Gary</t>
  </si>
  <si>
    <t>Hahn, Christopher</t>
  </si>
  <si>
    <t>Hupp, Susan</t>
  </si>
  <si>
    <t>Johnson, Andy</t>
  </si>
  <si>
    <t>Matthew, Kathleen</t>
  </si>
  <si>
    <t>McMichael, Cody</t>
  </si>
  <si>
    <t>Swenson, Daniel</t>
  </si>
  <si>
    <t>*Suspended freshmen cohort in Spring semester too small to report this term.</t>
  </si>
  <si>
    <t>Suspended*</t>
  </si>
  <si>
    <t>2010SP</t>
  </si>
  <si>
    <t>Suspended Students Spring 2010</t>
  </si>
  <si>
    <t>Cohen's D</t>
  </si>
  <si>
    <t>Students on probation, Spring 2010</t>
  </si>
  <si>
    <t>Zehfus, Mike</t>
  </si>
  <si>
    <t>Fall to Fall
Pct Change</t>
  </si>
  <si>
    <t>Spr to Spr
Pct Change</t>
  </si>
  <si>
    <t>2010FA</t>
  </si>
  <si>
    <t>2011SP</t>
  </si>
  <si>
    <t xml:space="preserve">Students on probation, Fall 2010
</t>
  </si>
  <si>
    <t>Suspended Students Spring 2011</t>
  </si>
  <si>
    <t>Students on probation, Spring 2011</t>
  </si>
  <si>
    <t>Suspended Students Fall 2010</t>
  </si>
  <si>
    <t>2010 Fall Cohort</t>
  </si>
  <si>
    <t>2008-2009</t>
  </si>
  <si>
    <t>2009-2010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</si>
</sst>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sz val="10"/>
      <color indexed="8"/>
      <name val="Arial"/>
      <family val="2"/>
    </font>
    <font>
      <b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double">
        <color theme="1" tint="0.499984740745262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8" fillId="0" borderId="0"/>
  </cellStyleXfs>
  <cellXfs count="71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/>
    <xf numFmtId="0" fontId="2" fillId="0" borderId="0" xfId="1" applyFont="1" applyFill="1" applyBorder="1" applyAlignment="1">
      <alignment wrapText="1"/>
    </xf>
    <xf numFmtId="0" fontId="2" fillId="0" borderId="0" xfId="1" applyFont="1" applyFill="1" applyBorder="1" applyAlignment="1">
      <alignment horizontal="center" wrapText="1"/>
    </xf>
    <xf numFmtId="10" fontId="2" fillId="0" borderId="0" xfId="1" applyNumberFormat="1" applyFont="1" applyFill="1" applyBorder="1" applyAlignment="1">
      <alignment horizontal="center" wrapText="1"/>
    </xf>
    <xf numFmtId="0" fontId="2" fillId="0" borderId="0" xfId="2" applyFont="1" applyFill="1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2" fillId="0" borderId="0" xfId="2" applyFont="1" applyFill="1" applyBorder="1" applyAlignment="1">
      <alignment horizontal="center" wrapText="1"/>
    </xf>
    <xf numFmtId="10" fontId="2" fillId="0" borderId="0" xfId="2" applyNumberFormat="1" applyFont="1" applyFill="1" applyBorder="1" applyAlignment="1">
      <alignment horizontal="center" wrapText="1"/>
    </xf>
    <xf numFmtId="0" fontId="2" fillId="0" borderId="0" xfId="3" applyFont="1" applyFill="1" applyBorder="1" applyAlignment="1">
      <alignment wrapText="1"/>
    </xf>
    <xf numFmtId="0" fontId="2" fillId="0" borderId="0" xfId="3" applyFont="1" applyFill="1" applyBorder="1" applyAlignment="1">
      <alignment horizontal="center" wrapText="1"/>
    </xf>
    <xf numFmtId="0" fontId="3" fillId="0" borderId="0" xfId="3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0" borderId="1" xfId="5" applyFont="1" applyFill="1" applyBorder="1" applyAlignment="1">
      <alignment horizontal="center" wrapText="1"/>
    </xf>
    <xf numFmtId="4" fontId="5" fillId="0" borderId="1" xfId="5" applyNumberFormat="1" applyFont="1" applyFill="1" applyBorder="1" applyAlignment="1">
      <alignment horizontal="center" wrapText="1"/>
    </xf>
    <xf numFmtId="0" fontId="2" fillId="0" borderId="0" xfId="7" applyFont="1" applyFill="1" applyBorder="1" applyAlignment="1">
      <alignment wrapText="1"/>
    </xf>
    <xf numFmtId="0" fontId="2" fillId="0" borderId="0" xfId="7" applyFont="1" applyFill="1" applyBorder="1" applyAlignment="1">
      <alignment horizontal="center" wrapText="1"/>
    </xf>
    <xf numFmtId="9" fontId="0" fillId="0" borderId="0" xfId="4" applyFont="1" applyBorder="1"/>
    <xf numFmtId="0" fontId="2" fillId="0" borderId="0" xfId="6" applyFont="1" applyFill="1" applyBorder="1" applyAlignment="1">
      <alignment horizontal="center" vertical="center" wrapText="1"/>
    </xf>
    <xf numFmtId="4" fontId="2" fillId="0" borderId="0" xfId="6" applyNumberFormat="1" applyFont="1" applyFill="1" applyBorder="1" applyAlignment="1">
      <alignment horizontal="center" vertical="center" wrapText="1"/>
    </xf>
    <xf numFmtId="9" fontId="0" fillId="0" borderId="0" xfId="4" applyFont="1" applyBorder="1" applyAlignment="1">
      <alignment horizontal="center"/>
    </xf>
    <xf numFmtId="0" fontId="5" fillId="0" borderId="0" xfId="7" applyFont="1" applyFill="1" applyBorder="1" applyAlignment="1">
      <alignment horizontal="center" wrapText="1"/>
    </xf>
    <xf numFmtId="0" fontId="1" fillId="0" borderId="0" xfId="0" applyFont="1" applyBorder="1" applyAlignment="1">
      <alignment horizontal="left"/>
    </xf>
    <xf numFmtId="0" fontId="5" fillId="0" borderId="0" xfId="7" applyFont="1" applyFill="1" applyBorder="1" applyAlignment="1">
      <alignment horizontal="left" wrapText="1"/>
    </xf>
    <xf numFmtId="0" fontId="0" fillId="0" borderId="0" xfId="0" applyBorder="1" applyAlignment="1">
      <alignment horizontal="left"/>
    </xf>
    <xf numFmtId="0" fontId="1" fillId="0" borderId="0" xfId="0" applyFont="1" applyAlignment="1">
      <alignment wrapText="1"/>
    </xf>
    <xf numFmtId="9" fontId="0" fillId="0" borderId="0" xfId="4" applyFont="1" applyAlignment="1">
      <alignment horizontal="center"/>
    </xf>
    <xf numFmtId="0" fontId="1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0" fontId="7" fillId="0" borderId="0" xfId="8" applyFont="1" applyFill="1" applyBorder="1" applyAlignment="1">
      <alignment wrapText="1"/>
    </xf>
    <xf numFmtId="0" fontId="8" fillId="0" borderId="0" xfId="8" applyBorder="1" applyAlignment="1">
      <alignment horizontal="center"/>
    </xf>
    <xf numFmtId="0" fontId="7" fillId="0" borderId="0" xfId="8" applyFont="1" applyFill="1" applyBorder="1" applyAlignment="1">
      <alignment horizontal="center" wrapText="1"/>
    </xf>
    <xf numFmtId="4" fontId="7" fillId="0" borderId="0" xfId="8" applyNumberFormat="1" applyFont="1" applyFill="1" applyBorder="1" applyAlignment="1">
      <alignment horizontal="center" wrapText="1"/>
    </xf>
    <xf numFmtId="0" fontId="2" fillId="0" borderId="0" xfId="7" applyFont="1" applyFill="1" applyBorder="1" applyAlignment="1">
      <alignment horizontal="right" wrapText="1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2" fontId="0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9" fillId="0" borderId="0" xfId="8" applyFont="1" applyFill="1" applyBorder="1" applyAlignment="1">
      <alignment wrapText="1"/>
    </xf>
    <xf numFmtId="0" fontId="5" fillId="0" borderId="0" xfId="5" applyFont="1" applyFill="1" applyBorder="1" applyAlignment="1">
      <alignment horizontal="center" wrapText="1"/>
    </xf>
    <xf numFmtId="4" fontId="5" fillId="0" borderId="0" xfId="5" applyNumberFormat="1" applyFont="1" applyFill="1" applyBorder="1" applyAlignment="1">
      <alignment horizontal="center" wrapText="1"/>
    </xf>
    <xf numFmtId="2" fontId="0" fillId="0" borderId="2" xfId="0" applyNumberFormat="1" applyFont="1" applyBorder="1" applyAlignment="1">
      <alignment horizontal="center" wrapText="1"/>
    </xf>
    <xf numFmtId="2" fontId="1" fillId="0" borderId="3" xfId="0" applyNumberFormat="1" applyFont="1" applyBorder="1" applyAlignment="1">
      <alignment horizontal="center" wrapText="1"/>
    </xf>
    <xf numFmtId="10" fontId="0" fillId="0" borderId="0" xfId="0" applyNumberFormat="1"/>
    <xf numFmtId="9" fontId="0" fillId="0" borderId="0" xfId="4" applyFont="1"/>
    <xf numFmtId="0" fontId="0" fillId="2" borderId="0" xfId="0" applyFill="1"/>
    <xf numFmtId="10" fontId="0" fillId="2" borderId="0" xfId="0" applyNumberFormat="1" applyFill="1" applyAlignment="1">
      <alignment horizont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2" fontId="0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9">
    <cellStyle name="Normal" xfId="0" builtinId="0"/>
    <cellStyle name="Normal_Cohort Advisors" xfId="3"/>
    <cellStyle name="Normal_Probation" xfId="2"/>
    <cellStyle name="Normal_Probation, 2009SP" xfId="8"/>
    <cellStyle name="Normal_Sheet1" xfId="7"/>
    <cellStyle name="Normal_Sheet4" xfId="5"/>
    <cellStyle name="Normal_Sheet4_1" xfId="6"/>
    <cellStyle name="Normal_Suspended" xfId="1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213360</xdr:colOff>
      <xdr:row>7</xdr:row>
      <xdr:rowOff>98946</xdr:rowOff>
    </xdr:to>
    <xdr:grpSp>
      <xdr:nvGrpSpPr>
        <xdr:cNvPr id="2" name="Group 1"/>
        <xdr:cNvGrpSpPr/>
      </xdr:nvGrpSpPr>
      <xdr:grpSpPr>
        <a:xfrm>
          <a:off x="0" y="0"/>
          <a:ext cx="5099685" cy="1432446"/>
          <a:chOff x="0" y="0"/>
          <a:chExt cx="5189203" cy="1432446"/>
        </a:xfrm>
      </xdr:grpSpPr>
      <xdr:sp macro="" textlink="">
        <xdr:nvSpPr>
          <xdr:cNvPr id="3" name="Text Box 1"/>
          <xdr:cNvSpPr txBox="1">
            <a:spLocks noChangeArrowheads="1"/>
          </xdr:cNvSpPr>
        </xdr:nvSpPr>
        <xdr:spPr bwMode="auto">
          <a:xfrm>
            <a:off x="3067050" y="392430"/>
            <a:ext cx="2122153" cy="795154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squar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1100" b="0" i="1" strike="noStrike">
                <a:solidFill>
                  <a:srgbClr val="00B050"/>
                </a:solidFill>
                <a:latin typeface="Calibri"/>
              </a:rPr>
              <a:t>Office of  Institutional Research</a:t>
            </a: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Phone:  (605) 642-6087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Email:  erinholmes@bhsu.edu</a:t>
            </a: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4" name="Picture 3" descr="BHSU_logo.jpg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121920" y="0"/>
            <a:ext cx="1058082" cy="1109519"/>
          </a:xfrm>
          <a:prstGeom prst="rect">
            <a:avLst/>
          </a:prstGeom>
        </xdr:spPr>
      </xdr:pic>
      <xdr:sp macro="" textlink="">
        <xdr:nvSpPr>
          <xdr:cNvPr id="5" name="Text Box 2"/>
          <xdr:cNvSpPr txBox="1">
            <a:spLocks noChangeArrowheads="1"/>
          </xdr:cNvSpPr>
        </xdr:nvSpPr>
        <xdr:spPr bwMode="auto">
          <a:xfrm>
            <a:off x="0" y="1089660"/>
            <a:ext cx="1728294" cy="342786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1200 University Street, Unit 9562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Spearfish, South Dakota  57799-9562</a:t>
            </a:r>
          </a:p>
        </xdr:txBody>
      </xdr:sp>
      <xdr:cxnSp macro="">
        <xdr:nvCxnSpPr>
          <xdr:cNvPr id="6" name="AutoShape 3"/>
          <xdr:cNvCxnSpPr>
            <a:cxnSpLocks noChangeShapeType="1"/>
          </xdr:cNvCxnSpPr>
        </xdr:nvCxnSpPr>
        <xdr:spPr bwMode="auto">
          <a:xfrm>
            <a:off x="1036320" y="701040"/>
            <a:ext cx="4145280" cy="22860"/>
          </a:xfrm>
          <a:prstGeom prst="straightConnector1">
            <a:avLst/>
          </a:prstGeom>
          <a:noFill/>
          <a:ln w="9525">
            <a:solidFill>
              <a:srgbClr val="FFFF00"/>
            </a:solidFill>
            <a:round/>
            <a:headEnd/>
            <a:tailEnd/>
          </a:ln>
        </xdr:spPr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464003</xdr:colOff>
      <xdr:row>6</xdr:row>
      <xdr:rowOff>114300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88428" cy="1257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464003</xdr:colOff>
      <xdr:row>9</xdr:row>
      <xdr:rowOff>114300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5388428" cy="1257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602797</xdr:colOff>
      <xdr:row>7</xdr:row>
      <xdr:rowOff>9524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60547" cy="13430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121920</xdr:rowOff>
    </xdr:from>
    <xdr:to>
      <xdr:col>4</xdr:col>
      <xdr:colOff>716280</xdr:colOff>
      <xdr:row>9</xdr:row>
      <xdr:rowOff>76200</xdr:rowOff>
    </xdr:to>
    <xdr:pic>
      <xdr:nvPicPr>
        <xdr:cNvPr id="2" name="Picture 1" descr="letterhead jpeg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" y="121920"/>
          <a:ext cx="5375910" cy="16687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220980</xdr:colOff>
      <xdr:row>8</xdr:row>
      <xdr:rowOff>137160</xdr:rowOff>
    </xdr:to>
    <xdr:pic>
      <xdr:nvPicPr>
        <xdr:cNvPr id="2" name="Picture 1" descr="letterhead jpeg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364480" cy="16611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739140</xdr:colOff>
      <xdr:row>7</xdr:row>
      <xdr:rowOff>129540</xdr:rowOff>
    </xdr:to>
    <xdr:grpSp>
      <xdr:nvGrpSpPr>
        <xdr:cNvPr id="2" name="Group 1"/>
        <xdr:cNvGrpSpPr/>
      </xdr:nvGrpSpPr>
      <xdr:grpSpPr>
        <a:xfrm>
          <a:off x="0" y="0"/>
          <a:ext cx="5444490" cy="1463040"/>
          <a:chOff x="0" y="0"/>
          <a:chExt cx="5189203" cy="1432446"/>
        </a:xfrm>
      </xdr:grpSpPr>
      <xdr:sp macro="" textlink="">
        <xdr:nvSpPr>
          <xdr:cNvPr id="3" name="Text Box 1"/>
          <xdr:cNvSpPr txBox="1">
            <a:spLocks noChangeArrowheads="1"/>
          </xdr:cNvSpPr>
        </xdr:nvSpPr>
        <xdr:spPr bwMode="auto">
          <a:xfrm>
            <a:off x="3067050" y="392430"/>
            <a:ext cx="2122153" cy="795154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squar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1100" b="0" i="1" strike="noStrike">
                <a:solidFill>
                  <a:srgbClr val="00B050"/>
                </a:solidFill>
                <a:latin typeface="Calibri"/>
              </a:rPr>
              <a:t>Office of  Institutional Research</a:t>
            </a: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Phone:  (605) 642-6087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Email:  erinholmes@bhsu.edu</a:t>
            </a: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4" name="Picture 3" descr="BHSU_logo.jpg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121920" y="0"/>
            <a:ext cx="1058082" cy="1109519"/>
          </a:xfrm>
          <a:prstGeom prst="rect">
            <a:avLst/>
          </a:prstGeom>
        </xdr:spPr>
      </xdr:pic>
      <xdr:sp macro="" textlink="">
        <xdr:nvSpPr>
          <xdr:cNvPr id="5" name="Text Box 2"/>
          <xdr:cNvSpPr txBox="1">
            <a:spLocks noChangeArrowheads="1"/>
          </xdr:cNvSpPr>
        </xdr:nvSpPr>
        <xdr:spPr bwMode="auto">
          <a:xfrm>
            <a:off x="0" y="1089660"/>
            <a:ext cx="1728294" cy="342786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1200 University Street, Unit 9562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Spearfish, South Dakota  57799-9562</a:t>
            </a:r>
          </a:p>
        </xdr:txBody>
      </xdr:sp>
      <xdr:cxnSp macro="">
        <xdr:nvCxnSpPr>
          <xdr:cNvPr id="6" name="AutoShape 3"/>
          <xdr:cNvCxnSpPr>
            <a:cxnSpLocks noChangeShapeType="1"/>
          </xdr:cNvCxnSpPr>
        </xdr:nvCxnSpPr>
        <xdr:spPr bwMode="auto">
          <a:xfrm>
            <a:off x="1036320" y="701040"/>
            <a:ext cx="4145280" cy="22860"/>
          </a:xfrm>
          <a:prstGeom prst="straightConnector1">
            <a:avLst/>
          </a:prstGeom>
          <a:noFill/>
          <a:ln w="9525">
            <a:solidFill>
              <a:srgbClr val="FFFF00"/>
            </a:solidFill>
            <a:round/>
            <a:headEnd/>
            <a:tailEnd/>
          </a:ln>
        </xdr:spPr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292553</xdr:colOff>
      <xdr:row>6</xdr:row>
      <xdr:rowOff>114300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88428" cy="1257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683078</xdr:colOff>
      <xdr:row>6</xdr:row>
      <xdr:rowOff>114300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88428" cy="1257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220980</xdr:colOff>
      <xdr:row>8</xdr:row>
      <xdr:rowOff>137160</xdr:rowOff>
    </xdr:to>
    <xdr:pic>
      <xdr:nvPicPr>
        <xdr:cNvPr id="7" name="Picture 6" descr="letterhead jpeg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516880" cy="1600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533400</xdr:colOff>
      <xdr:row>7</xdr:row>
      <xdr:rowOff>98946</xdr:rowOff>
    </xdr:to>
    <xdr:grpSp>
      <xdr:nvGrpSpPr>
        <xdr:cNvPr id="2" name="Group 1"/>
        <xdr:cNvGrpSpPr/>
      </xdr:nvGrpSpPr>
      <xdr:grpSpPr>
        <a:xfrm>
          <a:off x="0" y="0"/>
          <a:ext cx="6126480" cy="1379106"/>
          <a:chOff x="0" y="0"/>
          <a:chExt cx="5189203" cy="1432446"/>
        </a:xfrm>
      </xdr:grpSpPr>
      <xdr:sp macro="" textlink="">
        <xdr:nvSpPr>
          <xdr:cNvPr id="3" name="Text Box 1"/>
          <xdr:cNvSpPr txBox="1">
            <a:spLocks noChangeArrowheads="1"/>
          </xdr:cNvSpPr>
        </xdr:nvSpPr>
        <xdr:spPr bwMode="auto">
          <a:xfrm>
            <a:off x="3067050" y="392430"/>
            <a:ext cx="2122153" cy="795154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squar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1100" b="0" i="1" strike="noStrike">
                <a:solidFill>
                  <a:srgbClr val="00B050"/>
                </a:solidFill>
                <a:latin typeface="Calibri"/>
              </a:rPr>
              <a:t>Office of  Institutional Research</a:t>
            </a: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Phone:  (605) 642-6087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Email:  erinholmes@bhsu.edu</a:t>
            </a: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4" name="Picture 3" descr="BHSU_logo.jpg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121920" y="0"/>
            <a:ext cx="1058082" cy="1109519"/>
          </a:xfrm>
          <a:prstGeom prst="rect">
            <a:avLst/>
          </a:prstGeom>
        </xdr:spPr>
      </xdr:pic>
      <xdr:sp macro="" textlink="">
        <xdr:nvSpPr>
          <xdr:cNvPr id="5" name="Text Box 2"/>
          <xdr:cNvSpPr txBox="1">
            <a:spLocks noChangeArrowheads="1"/>
          </xdr:cNvSpPr>
        </xdr:nvSpPr>
        <xdr:spPr bwMode="auto">
          <a:xfrm>
            <a:off x="0" y="1089660"/>
            <a:ext cx="1728294" cy="342786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1200 University Street, Unit 9562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Spearfish, South Dakota  57799-9562</a:t>
            </a:r>
          </a:p>
        </xdr:txBody>
      </xdr:sp>
      <xdr:cxnSp macro="">
        <xdr:nvCxnSpPr>
          <xdr:cNvPr id="6" name="AutoShape 3"/>
          <xdr:cNvCxnSpPr>
            <a:cxnSpLocks noChangeShapeType="1"/>
          </xdr:cNvCxnSpPr>
        </xdr:nvCxnSpPr>
        <xdr:spPr bwMode="auto">
          <a:xfrm>
            <a:off x="1036320" y="701040"/>
            <a:ext cx="4145280" cy="22860"/>
          </a:xfrm>
          <a:prstGeom prst="straightConnector1">
            <a:avLst/>
          </a:prstGeom>
          <a:noFill/>
          <a:ln w="9525">
            <a:solidFill>
              <a:srgbClr val="FFFF00"/>
            </a:solidFill>
            <a:round/>
            <a:headEnd/>
            <a:tailEnd/>
          </a:ln>
        </xdr:spPr>
      </xdr:cxn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739140</xdr:colOff>
      <xdr:row>7</xdr:row>
      <xdr:rowOff>129540</xdr:rowOff>
    </xdr:to>
    <xdr:grpSp>
      <xdr:nvGrpSpPr>
        <xdr:cNvPr id="2" name="Group 1"/>
        <xdr:cNvGrpSpPr/>
      </xdr:nvGrpSpPr>
      <xdr:grpSpPr>
        <a:xfrm>
          <a:off x="0" y="0"/>
          <a:ext cx="5444490" cy="1463040"/>
          <a:chOff x="0" y="0"/>
          <a:chExt cx="5189203" cy="1432446"/>
        </a:xfrm>
      </xdr:grpSpPr>
      <xdr:sp macro="" textlink="">
        <xdr:nvSpPr>
          <xdr:cNvPr id="3" name="Text Box 1"/>
          <xdr:cNvSpPr txBox="1">
            <a:spLocks noChangeArrowheads="1"/>
          </xdr:cNvSpPr>
        </xdr:nvSpPr>
        <xdr:spPr bwMode="auto">
          <a:xfrm>
            <a:off x="3067050" y="392430"/>
            <a:ext cx="2122153" cy="795154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squar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1100" b="0" i="1" strike="noStrike">
                <a:solidFill>
                  <a:srgbClr val="00B050"/>
                </a:solidFill>
                <a:latin typeface="Calibri"/>
              </a:rPr>
              <a:t>Office of  Institutional Research</a:t>
            </a: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Phone:  (605) 642-6087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Email:  erinholmes@bhsu.edu</a:t>
            </a: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4" name="Picture 3" descr="BHSU_logo.jpg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121920" y="0"/>
            <a:ext cx="1058082" cy="1109519"/>
          </a:xfrm>
          <a:prstGeom prst="rect">
            <a:avLst/>
          </a:prstGeom>
        </xdr:spPr>
      </xdr:pic>
      <xdr:sp macro="" textlink="">
        <xdr:nvSpPr>
          <xdr:cNvPr id="5" name="Text Box 2"/>
          <xdr:cNvSpPr txBox="1">
            <a:spLocks noChangeArrowheads="1"/>
          </xdr:cNvSpPr>
        </xdr:nvSpPr>
        <xdr:spPr bwMode="auto">
          <a:xfrm>
            <a:off x="0" y="1089660"/>
            <a:ext cx="1728294" cy="342786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1200 University Street, Unit 9562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Spearfish, South Dakota  57799-9562</a:t>
            </a:r>
          </a:p>
        </xdr:txBody>
      </xdr:sp>
      <xdr:cxnSp macro="">
        <xdr:nvCxnSpPr>
          <xdr:cNvPr id="6" name="AutoShape 3"/>
          <xdr:cNvCxnSpPr>
            <a:cxnSpLocks noChangeShapeType="1"/>
          </xdr:cNvCxnSpPr>
        </xdr:nvCxnSpPr>
        <xdr:spPr bwMode="auto">
          <a:xfrm>
            <a:off x="1036320" y="701040"/>
            <a:ext cx="4145280" cy="22860"/>
          </a:xfrm>
          <a:prstGeom prst="straightConnector1">
            <a:avLst/>
          </a:prstGeom>
          <a:noFill/>
          <a:ln w="9525">
            <a:solidFill>
              <a:srgbClr val="FFFF00"/>
            </a:solidFill>
            <a:round/>
            <a:headEnd/>
            <a:tailEnd/>
          </a:ln>
        </xdr:spPr>
      </xdr:cxn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480060</xdr:colOff>
      <xdr:row>7</xdr:row>
      <xdr:rowOff>152400</xdr:rowOff>
    </xdr:to>
    <xdr:grpSp>
      <xdr:nvGrpSpPr>
        <xdr:cNvPr id="2" name="Group 1"/>
        <xdr:cNvGrpSpPr/>
      </xdr:nvGrpSpPr>
      <xdr:grpSpPr>
        <a:xfrm>
          <a:off x="0" y="0"/>
          <a:ext cx="5575935" cy="1485900"/>
          <a:chOff x="0" y="0"/>
          <a:chExt cx="5189203" cy="1432446"/>
        </a:xfrm>
      </xdr:grpSpPr>
      <xdr:sp macro="" textlink="">
        <xdr:nvSpPr>
          <xdr:cNvPr id="3" name="Text Box 1"/>
          <xdr:cNvSpPr txBox="1">
            <a:spLocks noChangeArrowheads="1"/>
          </xdr:cNvSpPr>
        </xdr:nvSpPr>
        <xdr:spPr bwMode="auto">
          <a:xfrm>
            <a:off x="3067050" y="392430"/>
            <a:ext cx="2122153" cy="795154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squar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1100" b="0" i="1" strike="noStrike">
                <a:solidFill>
                  <a:srgbClr val="00B050"/>
                </a:solidFill>
                <a:latin typeface="Calibri"/>
              </a:rPr>
              <a:t>Office of  Institutional Research</a:t>
            </a: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Phone:  (605) 642-6087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Email:  erinholmes@bhsu.edu</a:t>
            </a: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4" name="Picture 3" descr="BHSU_logo.jpg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121920" y="0"/>
            <a:ext cx="1058082" cy="1109519"/>
          </a:xfrm>
          <a:prstGeom prst="rect">
            <a:avLst/>
          </a:prstGeom>
        </xdr:spPr>
      </xdr:pic>
      <xdr:sp macro="" textlink="">
        <xdr:nvSpPr>
          <xdr:cNvPr id="5" name="Text Box 2"/>
          <xdr:cNvSpPr txBox="1">
            <a:spLocks noChangeArrowheads="1"/>
          </xdr:cNvSpPr>
        </xdr:nvSpPr>
        <xdr:spPr bwMode="auto">
          <a:xfrm>
            <a:off x="0" y="1089660"/>
            <a:ext cx="1728294" cy="342786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1200 University Street, Unit 9562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Spearfish, South Dakota  57799-9562</a:t>
            </a:r>
          </a:p>
        </xdr:txBody>
      </xdr:sp>
      <xdr:cxnSp macro="">
        <xdr:nvCxnSpPr>
          <xdr:cNvPr id="6" name="AutoShape 3"/>
          <xdr:cNvCxnSpPr>
            <a:cxnSpLocks noChangeShapeType="1"/>
          </xdr:cNvCxnSpPr>
        </xdr:nvCxnSpPr>
        <xdr:spPr bwMode="auto">
          <a:xfrm>
            <a:off x="1036320" y="701040"/>
            <a:ext cx="4145280" cy="22860"/>
          </a:xfrm>
          <a:prstGeom prst="straightConnector1">
            <a:avLst/>
          </a:prstGeom>
          <a:noFill/>
          <a:ln w="9525">
            <a:solidFill>
              <a:srgbClr val="FFFF00"/>
            </a:solidFill>
            <a:round/>
            <a:headEnd/>
            <a:tailEnd/>
          </a:ln>
        </xdr:spPr>
      </xdr:cxn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1112520</xdr:colOff>
      <xdr:row>7</xdr:row>
      <xdr:rowOff>167640</xdr:rowOff>
    </xdr:to>
    <xdr:grpSp>
      <xdr:nvGrpSpPr>
        <xdr:cNvPr id="2" name="Group 1"/>
        <xdr:cNvGrpSpPr/>
      </xdr:nvGrpSpPr>
      <xdr:grpSpPr>
        <a:xfrm>
          <a:off x="0" y="0"/>
          <a:ext cx="5257800" cy="1447800"/>
          <a:chOff x="0" y="0"/>
          <a:chExt cx="5189203" cy="1432446"/>
        </a:xfrm>
      </xdr:grpSpPr>
      <xdr:sp macro="" textlink="">
        <xdr:nvSpPr>
          <xdr:cNvPr id="3" name="Text Box 1"/>
          <xdr:cNvSpPr txBox="1">
            <a:spLocks noChangeArrowheads="1"/>
          </xdr:cNvSpPr>
        </xdr:nvSpPr>
        <xdr:spPr bwMode="auto">
          <a:xfrm>
            <a:off x="3067050" y="392430"/>
            <a:ext cx="2122153" cy="795154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squar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1100" b="0" i="1" strike="noStrike">
                <a:solidFill>
                  <a:srgbClr val="00B050"/>
                </a:solidFill>
                <a:latin typeface="Calibri"/>
              </a:rPr>
              <a:t>Office of  Institutional Research</a:t>
            </a: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Phone:  (605) 642-6087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Email:  erinholmes@bhsu.edu</a:t>
            </a: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4" name="Picture 3" descr="BHSU_logo.jpg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121920" y="0"/>
            <a:ext cx="1058082" cy="1109519"/>
          </a:xfrm>
          <a:prstGeom prst="rect">
            <a:avLst/>
          </a:prstGeom>
        </xdr:spPr>
      </xdr:pic>
      <xdr:sp macro="" textlink="">
        <xdr:nvSpPr>
          <xdr:cNvPr id="5" name="Text Box 2"/>
          <xdr:cNvSpPr txBox="1">
            <a:spLocks noChangeArrowheads="1"/>
          </xdr:cNvSpPr>
        </xdr:nvSpPr>
        <xdr:spPr bwMode="auto">
          <a:xfrm>
            <a:off x="0" y="1089660"/>
            <a:ext cx="1728294" cy="342786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1200 University Street, Unit 9562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Spearfish, South Dakota  57799-9562</a:t>
            </a:r>
          </a:p>
        </xdr:txBody>
      </xdr:sp>
      <xdr:cxnSp macro="">
        <xdr:nvCxnSpPr>
          <xdr:cNvPr id="6" name="AutoShape 3"/>
          <xdr:cNvCxnSpPr>
            <a:cxnSpLocks noChangeShapeType="1"/>
          </xdr:cNvCxnSpPr>
        </xdr:nvCxnSpPr>
        <xdr:spPr bwMode="auto">
          <a:xfrm>
            <a:off x="1036320" y="701040"/>
            <a:ext cx="4145280" cy="22860"/>
          </a:xfrm>
          <a:prstGeom prst="straightConnector1">
            <a:avLst/>
          </a:prstGeom>
          <a:noFill/>
          <a:ln w="9525">
            <a:solidFill>
              <a:srgbClr val="FFFF00"/>
            </a:solidFill>
            <a:round/>
            <a:headEnd/>
            <a:tailEnd/>
          </a:ln>
        </xdr:spPr>
      </xdr:cxn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1112520</xdr:colOff>
      <xdr:row>7</xdr:row>
      <xdr:rowOff>167640</xdr:rowOff>
    </xdr:to>
    <xdr:grpSp>
      <xdr:nvGrpSpPr>
        <xdr:cNvPr id="2" name="Group 1"/>
        <xdr:cNvGrpSpPr/>
      </xdr:nvGrpSpPr>
      <xdr:grpSpPr>
        <a:xfrm>
          <a:off x="0" y="0"/>
          <a:ext cx="5257800" cy="1447800"/>
          <a:chOff x="0" y="0"/>
          <a:chExt cx="5189203" cy="1432446"/>
        </a:xfrm>
      </xdr:grpSpPr>
      <xdr:sp macro="" textlink="">
        <xdr:nvSpPr>
          <xdr:cNvPr id="3" name="Text Box 1"/>
          <xdr:cNvSpPr txBox="1">
            <a:spLocks noChangeArrowheads="1"/>
          </xdr:cNvSpPr>
        </xdr:nvSpPr>
        <xdr:spPr bwMode="auto">
          <a:xfrm>
            <a:off x="3067050" y="392430"/>
            <a:ext cx="2122153" cy="795154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squar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1100" b="0" i="1" strike="noStrike">
                <a:solidFill>
                  <a:srgbClr val="00B050"/>
                </a:solidFill>
                <a:latin typeface="Calibri"/>
              </a:rPr>
              <a:t>Office of  Institutional Research</a:t>
            </a: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1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Phone:  (605) 642-6087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Email:  erinholmes@bhsu.edu</a:t>
            </a: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800" b="0" i="0" strike="noStrike">
              <a:solidFill>
                <a:srgbClr val="00B05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4" name="Picture 3" descr="BHSU_logo.jpg"/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121920" y="0"/>
            <a:ext cx="1058082" cy="1109519"/>
          </a:xfrm>
          <a:prstGeom prst="rect">
            <a:avLst/>
          </a:prstGeom>
        </xdr:spPr>
      </xdr:pic>
      <xdr:sp macro="" textlink="">
        <xdr:nvSpPr>
          <xdr:cNvPr id="5" name="Text Box 2"/>
          <xdr:cNvSpPr txBox="1">
            <a:spLocks noChangeArrowheads="1"/>
          </xdr:cNvSpPr>
        </xdr:nvSpPr>
        <xdr:spPr bwMode="auto">
          <a:xfrm>
            <a:off x="0" y="1089660"/>
            <a:ext cx="1728294" cy="342786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1200 University Street, Unit 9562</a:t>
            </a:r>
          </a:p>
          <a:p>
            <a:pPr algn="l" rtl="0">
              <a:defRPr sz="1000"/>
            </a:pPr>
            <a:r>
              <a:rPr lang="en-US" sz="800" b="0" i="0" strike="noStrike">
                <a:solidFill>
                  <a:srgbClr val="00B050"/>
                </a:solidFill>
                <a:latin typeface="Calibri"/>
              </a:rPr>
              <a:t>Spearfish, South Dakota  57799-9562</a:t>
            </a:r>
          </a:p>
        </xdr:txBody>
      </xdr:sp>
      <xdr:cxnSp macro="">
        <xdr:nvCxnSpPr>
          <xdr:cNvPr id="6" name="AutoShape 3"/>
          <xdr:cNvCxnSpPr>
            <a:cxnSpLocks noChangeShapeType="1"/>
          </xdr:cNvCxnSpPr>
        </xdr:nvCxnSpPr>
        <xdr:spPr bwMode="auto">
          <a:xfrm>
            <a:off x="1036320" y="701040"/>
            <a:ext cx="4145280" cy="22860"/>
          </a:xfrm>
          <a:prstGeom prst="straightConnector1">
            <a:avLst/>
          </a:prstGeom>
          <a:noFill/>
          <a:ln w="9525">
            <a:solidFill>
              <a:srgbClr val="FFFF00"/>
            </a:solidFill>
            <a:round/>
            <a:headEnd/>
            <a:tailEnd/>
          </a:ln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H40"/>
  <sheetViews>
    <sheetView tabSelected="1" workbookViewId="0">
      <selection activeCell="A30" sqref="A30:XFD31"/>
    </sheetView>
  </sheetViews>
  <sheetFormatPr defaultRowHeight="15" x14ac:dyDescent="0.25"/>
  <cols>
    <col min="1" max="1" width="13.7109375" style="20" customWidth="1"/>
    <col min="2" max="2" width="10.5703125" style="21" bestFit="1" customWidth="1"/>
    <col min="3" max="3" width="9.7109375" style="19" bestFit="1" customWidth="1"/>
    <col min="4" max="4" width="10.140625" style="21" bestFit="1" customWidth="1"/>
    <col min="5" max="5" width="10.5703125" style="19" bestFit="1" customWidth="1"/>
    <col min="6" max="6" width="9.7109375" style="21" bestFit="1" customWidth="1"/>
    <col min="7" max="7" width="8.85546875" style="19"/>
  </cols>
  <sheetData>
    <row r="10" spans="1:8" x14ac:dyDescent="0.25">
      <c r="A10" t="s">
        <v>158</v>
      </c>
      <c r="B10" s="19"/>
      <c r="D10" s="19"/>
      <c r="F10" s="19"/>
      <c r="G10"/>
    </row>
    <row r="11" spans="1:8" x14ac:dyDescent="0.25">
      <c r="A11"/>
      <c r="B11" s="19" t="s">
        <v>159</v>
      </c>
      <c r="C11" s="19" t="s">
        <v>160</v>
      </c>
      <c r="D11" s="19" t="s">
        <v>161</v>
      </c>
      <c r="E11" s="19" t="s">
        <v>162</v>
      </c>
      <c r="F11" s="19" t="s">
        <v>163</v>
      </c>
      <c r="G11" s="19" t="s">
        <v>216</v>
      </c>
      <c r="H11" s="19" t="s">
        <v>217</v>
      </c>
    </row>
    <row r="12" spans="1:8" x14ac:dyDescent="0.25">
      <c r="A12" s="65" t="s">
        <v>164</v>
      </c>
      <c r="B12" s="66">
        <v>4.5999999999999999E-2</v>
      </c>
      <c r="C12" s="66">
        <v>4.2999999999999997E-2</v>
      </c>
      <c r="D12" s="66">
        <v>4.1000000000000002E-2</v>
      </c>
      <c r="E12" s="66">
        <v>3.5999999999999997E-2</v>
      </c>
      <c r="F12" s="66">
        <v>4.3999999999999997E-2</v>
      </c>
      <c r="G12" s="66">
        <v>4.0999999999999995E-2</v>
      </c>
      <c r="H12" s="66">
        <v>3.3000000000000002E-2</v>
      </c>
    </row>
    <row r="13" spans="1:8" x14ac:dyDescent="0.25">
      <c r="A13" t="s">
        <v>165</v>
      </c>
      <c r="B13" s="22">
        <v>1.4E-2</v>
      </c>
      <c r="C13" s="22">
        <v>1.9E-2</v>
      </c>
      <c r="D13" s="22">
        <v>0.02</v>
      </c>
      <c r="E13" s="22">
        <v>1.7999999999999999E-2</v>
      </c>
      <c r="F13" s="22">
        <v>1.4999999999999999E-2</v>
      </c>
      <c r="G13" s="22">
        <v>1.9E-2</v>
      </c>
      <c r="H13" s="22">
        <v>2.4E-2</v>
      </c>
    </row>
    <row r="14" spans="1:8" x14ac:dyDescent="0.25">
      <c r="A14" t="s">
        <v>166</v>
      </c>
      <c r="B14" s="22">
        <v>2.1999999999999999E-2</v>
      </c>
      <c r="C14" s="22">
        <v>2.5999999999999999E-2</v>
      </c>
      <c r="D14" s="22">
        <v>2.5999999999999999E-2</v>
      </c>
      <c r="E14" s="22">
        <v>2.1999999999999999E-2</v>
      </c>
      <c r="F14" s="22">
        <v>2.1000000000000001E-2</v>
      </c>
      <c r="G14" s="22">
        <v>1.7000000000000001E-2</v>
      </c>
      <c r="H14" s="22">
        <v>1.8000000000000002E-2</v>
      </c>
    </row>
    <row r="15" spans="1:8" x14ac:dyDescent="0.25">
      <c r="A15" t="s">
        <v>167</v>
      </c>
      <c r="B15" s="22">
        <v>1.4999999999999999E-2</v>
      </c>
      <c r="C15" s="22">
        <v>1.4E-2</v>
      </c>
      <c r="D15" s="22">
        <v>1.2E-2</v>
      </c>
      <c r="E15" s="22">
        <v>7.0000000000000001E-3</v>
      </c>
      <c r="F15" s="22">
        <v>8.9999999999999993E-3</v>
      </c>
      <c r="G15" s="22">
        <v>8.9999999999999993E-3</v>
      </c>
      <c r="H15" s="22">
        <v>1.4999999999999999E-2</v>
      </c>
    </row>
    <row r="16" spans="1:8" x14ac:dyDescent="0.25">
      <c r="A16" t="s">
        <v>168</v>
      </c>
      <c r="B16" s="22">
        <v>1.7999999999999999E-2</v>
      </c>
      <c r="C16" s="22">
        <v>1.6E-2</v>
      </c>
      <c r="D16" s="22">
        <v>1.4E-2</v>
      </c>
      <c r="E16" s="22">
        <v>1.7999999999999999E-2</v>
      </c>
      <c r="F16" s="22">
        <v>1.4999999999999999E-2</v>
      </c>
      <c r="G16" s="22">
        <v>1.7000000000000001E-2</v>
      </c>
      <c r="H16" s="22">
        <v>1.4999999999999999E-2</v>
      </c>
    </row>
    <row r="17" spans="1:8" x14ac:dyDescent="0.25">
      <c r="A17" t="s">
        <v>169</v>
      </c>
      <c r="B17" s="22">
        <v>0.02</v>
      </c>
      <c r="C17" s="22">
        <v>1.7000000000000001E-2</v>
      </c>
      <c r="D17" s="22">
        <v>1.2999999999999999E-2</v>
      </c>
      <c r="E17" s="22">
        <v>1.4999999999999999E-2</v>
      </c>
      <c r="F17" s="22">
        <v>1.2999999999999999E-2</v>
      </c>
      <c r="G17" s="22">
        <v>1.3000000000000001E-2</v>
      </c>
      <c r="H17" s="22">
        <v>1.2E-2</v>
      </c>
    </row>
    <row r="18" spans="1:8" x14ac:dyDescent="0.25">
      <c r="A18" t="s">
        <v>170</v>
      </c>
      <c r="B18" s="22">
        <v>2.3E-2</v>
      </c>
      <c r="C18" s="22">
        <v>2.1000000000000001E-2</v>
      </c>
      <c r="D18" s="22">
        <v>1.7999999999999999E-2</v>
      </c>
      <c r="E18" s="22">
        <v>1.9E-2</v>
      </c>
      <c r="F18" s="22">
        <v>1.7999999999999999E-2</v>
      </c>
      <c r="G18" s="22">
        <v>1.9E-2</v>
      </c>
      <c r="H18" s="22">
        <v>1.9E-2</v>
      </c>
    </row>
    <row r="19" spans="1:8" x14ac:dyDescent="0.25">
      <c r="A19"/>
      <c r="B19" s="22"/>
      <c r="C19" s="22"/>
      <c r="D19" s="22"/>
      <c r="E19" s="22"/>
      <c r="F19" s="22"/>
      <c r="G19" s="22"/>
      <c r="H19" s="22"/>
    </row>
    <row r="20" spans="1:8" x14ac:dyDescent="0.25">
      <c r="A20"/>
      <c r="B20" s="19"/>
      <c r="D20" s="19"/>
      <c r="F20" s="19"/>
      <c r="G20"/>
    </row>
    <row r="21" spans="1:8" x14ac:dyDescent="0.25">
      <c r="A21" t="s">
        <v>171</v>
      </c>
      <c r="B21" s="19"/>
      <c r="D21" s="19"/>
      <c r="F21" s="19"/>
      <c r="G21"/>
    </row>
    <row r="22" spans="1:8" x14ac:dyDescent="0.25">
      <c r="A22"/>
      <c r="B22" s="19" t="s">
        <v>159</v>
      </c>
      <c r="C22" s="19" t="s">
        <v>160</v>
      </c>
      <c r="D22" s="19" t="s">
        <v>161</v>
      </c>
      <c r="E22" s="19" t="s">
        <v>162</v>
      </c>
      <c r="F22" s="19" t="s">
        <v>163</v>
      </c>
      <c r="G22" s="19" t="s">
        <v>216</v>
      </c>
      <c r="H22" s="19" t="s">
        <v>217</v>
      </c>
    </row>
    <row r="23" spans="1:8" x14ac:dyDescent="0.25">
      <c r="A23" s="65" t="s">
        <v>164</v>
      </c>
      <c r="B23" s="66">
        <v>9.5000000000000001E-2</v>
      </c>
      <c r="C23" s="66">
        <v>9.1999999999999998E-2</v>
      </c>
      <c r="D23" s="66">
        <v>8.5999999999999993E-2</v>
      </c>
      <c r="E23" s="66">
        <v>7.9000000000000001E-2</v>
      </c>
      <c r="F23" s="66">
        <v>7.2999999999999995E-2</v>
      </c>
      <c r="G23" s="66">
        <v>7.3999999999999996E-2</v>
      </c>
      <c r="H23" s="66">
        <v>7.0000000000000007E-2</v>
      </c>
    </row>
    <row r="24" spans="1:8" x14ac:dyDescent="0.25">
      <c r="A24" t="s">
        <v>165</v>
      </c>
      <c r="B24" s="22">
        <v>4.4999999999999998E-2</v>
      </c>
      <c r="C24" s="22">
        <v>5.3999999999999999E-2</v>
      </c>
      <c r="D24" s="22">
        <v>5.6000000000000001E-2</v>
      </c>
      <c r="E24" s="22">
        <v>5.8999999999999997E-2</v>
      </c>
      <c r="F24" s="22">
        <v>4.9000000000000002E-2</v>
      </c>
      <c r="G24" s="22">
        <v>6.4000000000000001E-2</v>
      </c>
      <c r="H24" s="22">
        <v>5.9000000000000004E-2</v>
      </c>
    </row>
    <row r="25" spans="1:8" x14ac:dyDescent="0.25">
      <c r="A25" t="s">
        <v>166</v>
      </c>
      <c r="B25" s="22">
        <v>8.5000000000000006E-2</v>
      </c>
      <c r="C25" s="22">
        <v>8.8999999999999996E-2</v>
      </c>
      <c r="D25" s="22">
        <v>8.7999999999999995E-2</v>
      </c>
      <c r="E25" s="22">
        <v>8.7999999999999995E-2</v>
      </c>
      <c r="F25" s="22">
        <v>7.6999999999999999E-2</v>
      </c>
      <c r="G25" s="22">
        <v>7.2999999999999995E-2</v>
      </c>
      <c r="H25" s="22">
        <v>6.7000000000000004E-2</v>
      </c>
    </row>
    <row r="26" spans="1:8" x14ac:dyDescent="0.25">
      <c r="A26" t="s">
        <v>167</v>
      </c>
      <c r="B26" s="22">
        <v>7.3999999999999996E-2</v>
      </c>
      <c r="C26" s="22">
        <v>5.0999999999999997E-2</v>
      </c>
      <c r="D26" s="22">
        <v>4.7E-2</v>
      </c>
      <c r="E26" s="22">
        <v>4.1000000000000002E-2</v>
      </c>
      <c r="F26" s="22">
        <v>0.04</v>
      </c>
      <c r="G26" s="22">
        <v>3.7999999999999999E-2</v>
      </c>
      <c r="H26" s="22">
        <v>0.04</v>
      </c>
    </row>
    <row r="27" spans="1:8" x14ac:dyDescent="0.25">
      <c r="A27" t="s">
        <v>168</v>
      </c>
      <c r="B27" s="22">
        <v>7.2999999999999995E-2</v>
      </c>
      <c r="C27" s="22">
        <v>6.3E-2</v>
      </c>
      <c r="D27" s="22">
        <v>5.6000000000000001E-2</v>
      </c>
      <c r="E27" s="22">
        <v>6.2E-2</v>
      </c>
      <c r="F27" s="22">
        <v>6.5000000000000002E-2</v>
      </c>
      <c r="G27" s="22">
        <v>6.7000000000000004E-2</v>
      </c>
      <c r="H27" s="22">
        <v>6.8000000000000005E-2</v>
      </c>
    </row>
    <row r="28" spans="1:8" x14ac:dyDescent="0.25">
      <c r="A28" t="s">
        <v>169</v>
      </c>
      <c r="B28" s="22">
        <v>6.6000000000000003E-2</v>
      </c>
      <c r="C28" s="22">
        <v>5.5E-2</v>
      </c>
      <c r="D28" s="22">
        <v>5.5E-2</v>
      </c>
      <c r="E28" s="22">
        <v>4.9000000000000002E-2</v>
      </c>
      <c r="F28" s="22">
        <v>4.2999999999999997E-2</v>
      </c>
      <c r="G28" s="22">
        <v>4.4000000000000004E-2</v>
      </c>
      <c r="H28" s="22">
        <v>4.4000000000000004E-2</v>
      </c>
    </row>
    <row r="29" spans="1:8" x14ac:dyDescent="0.25">
      <c r="A29" t="s">
        <v>170</v>
      </c>
      <c r="B29" s="22">
        <v>7.2999999999999995E-2</v>
      </c>
      <c r="C29" s="22">
        <v>6.6000000000000003E-2</v>
      </c>
      <c r="D29" s="22">
        <v>6.2E-2</v>
      </c>
      <c r="E29" s="22">
        <v>6.0999999999999999E-2</v>
      </c>
      <c r="F29" s="22">
        <v>5.8999999999999997E-2</v>
      </c>
      <c r="G29" s="22">
        <v>6.0999999999999999E-2</v>
      </c>
      <c r="H29" s="22">
        <v>0.06</v>
      </c>
    </row>
    <row r="30" spans="1:8" x14ac:dyDescent="0.25">
      <c r="A30"/>
      <c r="B30" s="19"/>
      <c r="D30" s="19"/>
      <c r="F30" s="19"/>
      <c r="G30"/>
    </row>
    <row r="31" spans="1:8" x14ac:dyDescent="0.25">
      <c r="A31"/>
      <c r="B31" s="19"/>
      <c r="D31" s="19"/>
      <c r="F31" s="19"/>
      <c r="G31"/>
    </row>
    <row r="32" spans="1:8" x14ac:dyDescent="0.25">
      <c r="A32" t="s">
        <v>172</v>
      </c>
      <c r="B32" s="19"/>
      <c r="D32" s="19"/>
      <c r="F32" s="19"/>
      <c r="G32"/>
    </row>
    <row r="33" spans="1:8" x14ac:dyDescent="0.25">
      <c r="A33"/>
      <c r="B33" s="19" t="s">
        <v>159</v>
      </c>
      <c r="C33" s="19" t="s">
        <v>160</v>
      </c>
      <c r="D33" s="19" t="s">
        <v>161</v>
      </c>
      <c r="E33" s="19" t="s">
        <v>162</v>
      </c>
      <c r="F33" s="19" t="s">
        <v>163</v>
      </c>
      <c r="G33" s="19" t="s">
        <v>216</v>
      </c>
      <c r="H33" s="19" t="s">
        <v>217</v>
      </c>
    </row>
    <row r="34" spans="1:8" x14ac:dyDescent="0.25">
      <c r="A34" s="65" t="s">
        <v>164</v>
      </c>
      <c r="B34" s="67" t="s">
        <v>173</v>
      </c>
      <c r="C34" s="67"/>
      <c r="D34" s="66">
        <v>2.9000000000000001E-2</v>
      </c>
      <c r="E34" s="66">
        <v>3.2000000000000001E-2</v>
      </c>
      <c r="F34" s="66">
        <v>2.5000000000000001E-2</v>
      </c>
      <c r="G34" s="66">
        <v>3.4000000000000002E-2</v>
      </c>
      <c r="H34" s="66">
        <v>2.7000000000000003E-2</v>
      </c>
    </row>
    <row r="35" spans="1:8" x14ac:dyDescent="0.25">
      <c r="A35" t="s">
        <v>165</v>
      </c>
      <c r="B35" s="67"/>
      <c r="C35" s="67"/>
      <c r="D35" s="22">
        <v>2.4E-2</v>
      </c>
      <c r="E35" s="22">
        <v>2.4E-2</v>
      </c>
      <c r="F35" s="22">
        <v>2.4E-2</v>
      </c>
      <c r="G35" s="22">
        <v>2.3E-2</v>
      </c>
      <c r="H35" s="22">
        <v>2.8999999999999998E-2</v>
      </c>
    </row>
    <row r="36" spans="1:8" x14ac:dyDescent="0.25">
      <c r="A36" t="s">
        <v>166</v>
      </c>
      <c r="B36" s="67"/>
      <c r="C36" s="67"/>
      <c r="D36" s="22">
        <v>2.4E-2</v>
      </c>
      <c r="E36" s="22">
        <v>2.3E-2</v>
      </c>
      <c r="F36" s="22">
        <v>2.4E-2</v>
      </c>
      <c r="G36" s="22">
        <v>1.6E-2</v>
      </c>
      <c r="H36" s="22">
        <v>1.8000000000000002E-2</v>
      </c>
    </row>
    <row r="37" spans="1:8" x14ac:dyDescent="0.25">
      <c r="A37" t="s">
        <v>167</v>
      </c>
      <c r="B37" s="67"/>
      <c r="C37" s="67"/>
      <c r="D37" s="22">
        <v>1.7999999999999999E-2</v>
      </c>
      <c r="E37" s="22">
        <v>1.2999999999999999E-2</v>
      </c>
      <c r="F37" s="22">
        <v>8.9999999999999993E-3</v>
      </c>
      <c r="G37" s="22">
        <v>8.9999999999999993E-3</v>
      </c>
      <c r="H37" s="22">
        <v>6.0000000000000001E-3</v>
      </c>
    </row>
    <row r="38" spans="1:8" x14ac:dyDescent="0.25">
      <c r="A38" t="s">
        <v>168</v>
      </c>
      <c r="B38" s="67"/>
      <c r="C38" s="67"/>
      <c r="D38" s="22">
        <v>1.4999999999999999E-2</v>
      </c>
      <c r="E38" s="22">
        <v>1.2999999999999999E-2</v>
      </c>
      <c r="F38" s="22">
        <v>1.7000000000000001E-2</v>
      </c>
      <c r="G38" s="22">
        <v>1.3000000000000001E-2</v>
      </c>
      <c r="H38" s="22">
        <v>1.3999999999999999E-2</v>
      </c>
    </row>
    <row r="39" spans="1:8" x14ac:dyDescent="0.25">
      <c r="A39" t="s">
        <v>169</v>
      </c>
      <c r="B39" s="67"/>
      <c r="C39" s="67"/>
      <c r="D39" s="22">
        <v>8.9999999999999993E-3</v>
      </c>
      <c r="E39" s="22">
        <v>1.4999999999999999E-2</v>
      </c>
      <c r="F39" s="22">
        <v>2.1999999999999999E-2</v>
      </c>
      <c r="G39" s="22">
        <v>1.9E-2</v>
      </c>
      <c r="H39" s="22">
        <v>2.1000000000000001E-2</v>
      </c>
    </row>
    <row r="40" spans="1:8" x14ac:dyDescent="0.25">
      <c r="A40" t="s">
        <v>170</v>
      </c>
      <c r="B40" s="67"/>
      <c r="C40" s="67"/>
      <c r="D40" s="22">
        <v>1.7000000000000001E-2</v>
      </c>
      <c r="E40" s="22">
        <v>1.7000000000000001E-2</v>
      </c>
      <c r="F40" s="22">
        <v>0.02</v>
      </c>
      <c r="G40" s="22">
        <v>1.8000000000000002E-2</v>
      </c>
      <c r="H40" s="22">
        <v>1.8000000000000002E-2</v>
      </c>
    </row>
  </sheetData>
  <mergeCells count="1">
    <mergeCell ref="B34:C40"/>
  </mergeCells>
  <pageMargins left="0.7" right="0.7" top="0.75" bottom="0.75" header="0.3" footer="0.3"/>
  <pageSetup orientation="portrait" r:id="rId1"/>
  <headerFooter>
    <oddHeader>&amp;L&amp;"Times New Roman,Bold"&amp;F, &amp;A</oddHeader>
    <oddFooter>&amp;L&amp;"Times New Roman,Bold"&amp;8Office of Institutional Research and Assessment
&amp;F, &amp;A&amp;R&amp;"Times New Roman,Bold"&amp;8Page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M26"/>
  <sheetViews>
    <sheetView workbookViewId="0">
      <selection activeCell="E11" sqref="E11"/>
    </sheetView>
  </sheetViews>
  <sheetFormatPr defaultRowHeight="15" x14ac:dyDescent="0.25"/>
  <cols>
    <col min="1" max="1" width="16.140625" style="20" bestFit="1" customWidth="1"/>
    <col min="2" max="2" width="7.28515625" style="20" bestFit="1" customWidth="1"/>
    <col min="3" max="3" width="7.140625" style="19" bestFit="1" customWidth="1"/>
    <col min="4" max="4" width="7.28515625" style="20" bestFit="1" customWidth="1"/>
    <col min="5" max="5" width="7.140625" style="19" bestFit="1" customWidth="1"/>
    <col min="6" max="6" width="7.28515625" style="20" bestFit="1" customWidth="1"/>
    <col min="7" max="7" width="7.140625" style="19" bestFit="1" customWidth="1"/>
    <col min="8" max="8" width="7.28515625" bestFit="1" customWidth="1"/>
    <col min="9" max="9" width="7.140625" bestFit="1" customWidth="1"/>
    <col min="10" max="10" width="7.28515625" bestFit="1" customWidth="1"/>
    <col min="11" max="11" width="7.28515625" customWidth="1"/>
    <col min="12" max="12" width="10" bestFit="1" customWidth="1"/>
    <col min="13" max="13" width="9.42578125" style="19" bestFit="1" customWidth="1"/>
  </cols>
  <sheetData>
    <row r="11" spans="1:13" x14ac:dyDescent="0.25">
      <c r="A11" s="20" t="s">
        <v>149</v>
      </c>
    </row>
    <row r="12" spans="1:13" s="20" customFormat="1" ht="45" x14ac:dyDescent="0.25">
      <c r="B12" s="21" t="s">
        <v>150</v>
      </c>
      <c r="C12" s="21" t="s">
        <v>140</v>
      </c>
      <c r="D12" s="21" t="s">
        <v>151</v>
      </c>
      <c r="E12" s="21" t="s">
        <v>141</v>
      </c>
      <c r="F12" s="21" t="s">
        <v>152</v>
      </c>
      <c r="G12" s="21" t="s">
        <v>142</v>
      </c>
      <c r="H12" s="21" t="s">
        <v>155</v>
      </c>
      <c r="I12" s="21" t="s">
        <v>202</v>
      </c>
      <c r="J12" s="21" t="s">
        <v>209</v>
      </c>
      <c r="K12" s="21" t="s">
        <v>210</v>
      </c>
      <c r="L12" s="42" t="s">
        <v>207</v>
      </c>
      <c r="M12" s="54" t="s">
        <v>208</v>
      </c>
    </row>
    <row r="13" spans="1:13" x14ac:dyDescent="0.25">
      <c r="A13" s="20" t="s">
        <v>143</v>
      </c>
      <c r="B13" s="23">
        <v>76</v>
      </c>
      <c r="C13" s="19">
        <v>116</v>
      </c>
      <c r="D13" s="23">
        <v>64</v>
      </c>
      <c r="E13" s="19">
        <v>170</v>
      </c>
      <c r="F13" s="23">
        <v>59</v>
      </c>
      <c r="G13" s="3">
        <v>157</v>
      </c>
      <c r="H13" s="29">
        <v>44</v>
      </c>
      <c r="I13" s="3">
        <v>126</v>
      </c>
      <c r="J13" s="3">
        <v>25</v>
      </c>
      <c r="K13" s="3">
        <v>125</v>
      </c>
      <c r="L13" s="43">
        <f>(J13-B13)/B13</f>
        <v>-0.67105263157894735</v>
      </c>
      <c r="M13" s="43">
        <f>(K13-C13)/C13</f>
        <v>7.7586206896551727E-2</v>
      </c>
    </row>
    <row r="14" spans="1:13" x14ac:dyDescent="0.25">
      <c r="A14" s="20" t="s">
        <v>144</v>
      </c>
      <c r="B14" s="23">
        <v>18</v>
      </c>
      <c r="C14" s="19">
        <v>16</v>
      </c>
      <c r="D14" s="23">
        <v>17</v>
      </c>
      <c r="E14" s="19">
        <v>20</v>
      </c>
      <c r="F14" s="23">
        <v>12</v>
      </c>
      <c r="G14" s="3">
        <v>13</v>
      </c>
      <c r="H14" s="29">
        <v>19</v>
      </c>
      <c r="I14" s="3">
        <v>19</v>
      </c>
      <c r="J14" s="3">
        <v>3</v>
      </c>
      <c r="K14" s="3">
        <v>16</v>
      </c>
      <c r="L14" s="43">
        <f t="shared" ref="L14:M24" si="0">(J14-B14)/B14</f>
        <v>-0.83333333333333337</v>
      </c>
      <c r="M14" s="43">
        <f t="shared" si="0"/>
        <v>0</v>
      </c>
    </row>
    <row r="15" spans="1:13" x14ac:dyDescent="0.25">
      <c r="A15" s="20" t="s">
        <v>2</v>
      </c>
      <c r="B15" s="23">
        <v>4</v>
      </c>
      <c r="C15" s="19">
        <v>1</v>
      </c>
      <c r="D15" s="23">
        <v>5</v>
      </c>
      <c r="E15" s="19">
        <v>5</v>
      </c>
      <c r="F15" s="23">
        <v>3</v>
      </c>
      <c r="G15" s="3">
        <v>11</v>
      </c>
      <c r="H15" s="29">
        <v>6</v>
      </c>
      <c r="I15" s="3">
        <v>4</v>
      </c>
      <c r="J15" s="3">
        <v>0</v>
      </c>
      <c r="K15" s="3">
        <v>3</v>
      </c>
      <c r="L15" s="43"/>
      <c r="M15" s="43">
        <f t="shared" si="0"/>
        <v>2</v>
      </c>
    </row>
    <row r="16" spans="1:13" x14ac:dyDescent="0.25">
      <c r="A16" s="20" t="s">
        <v>3</v>
      </c>
      <c r="B16" s="23">
        <v>0</v>
      </c>
      <c r="C16" s="19">
        <v>3</v>
      </c>
      <c r="D16" s="23">
        <v>2</v>
      </c>
      <c r="E16" s="19">
        <v>3</v>
      </c>
      <c r="F16" s="23">
        <v>1</v>
      </c>
      <c r="G16" s="3">
        <v>2</v>
      </c>
      <c r="H16" s="29">
        <v>4</v>
      </c>
      <c r="I16" s="3">
        <v>4</v>
      </c>
      <c r="J16" s="3">
        <v>2</v>
      </c>
      <c r="K16" s="3">
        <v>3</v>
      </c>
      <c r="L16" s="43"/>
      <c r="M16" s="43"/>
    </row>
    <row r="17" spans="1:13" x14ac:dyDescent="0.25">
      <c r="A17" s="20" t="s">
        <v>145</v>
      </c>
      <c r="B17" s="23">
        <v>3</v>
      </c>
      <c r="C17" s="19">
        <v>7</v>
      </c>
      <c r="D17" s="23">
        <v>5</v>
      </c>
      <c r="E17" s="19">
        <v>5</v>
      </c>
      <c r="F17" s="23">
        <v>5</v>
      </c>
      <c r="G17" s="3">
        <v>5</v>
      </c>
      <c r="H17" s="29">
        <v>0</v>
      </c>
      <c r="I17" s="3">
        <v>1</v>
      </c>
      <c r="J17" s="3">
        <v>1</v>
      </c>
      <c r="K17" s="3">
        <v>2</v>
      </c>
      <c r="L17" s="43">
        <f t="shared" si="0"/>
        <v>-0.66666666666666663</v>
      </c>
      <c r="M17" s="43">
        <f t="shared" si="0"/>
        <v>-0.7142857142857143</v>
      </c>
    </row>
    <row r="18" spans="1:13" x14ac:dyDescent="0.25">
      <c r="B18" s="23"/>
      <c r="D18" s="23"/>
      <c r="F18" s="23"/>
      <c r="G18" s="3"/>
      <c r="I18" s="3"/>
      <c r="J18" s="3"/>
      <c r="K18" s="3"/>
      <c r="L18" s="43"/>
      <c r="M18" s="43"/>
    </row>
    <row r="19" spans="1:13" x14ac:dyDescent="0.25">
      <c r="A19" s="20" t="s">
        <v>139</v>
      </c>
      <c r="B19" s="23">
        <f>SUM(B13:B18)</f>
        <v>101</v>
      </c>
      <c r="C19" s="19">
        <f>SUM(C13:C18)</f>
        <v>143</v>
      </c>
      <c r="D19" s="23">
        <f>SUM(D13:D18)</f>
        <v>93</v>
      </c>
      <c r="E19" s="19">
        <f>SUM(E13:E18)</f>
        <v>203</v>
      </c>
      <c r="F19" s="23">
        <f t="shared" ref="F19:K19" si="1">SUM(F13:F17)</f>
        <v>80</v>
      </c>
      <c r="G19" s="3">
        <f t="shared" si="1"/>
        <v>188</v>
      </c>
      <c r="H19" s="3">
        <f t="shared" si="1"/>
        <v>73</v>
      </c>
      <c r="I19" s="3">
        <f t="shared" si="1"/>
        <v>154</v>
      </c>
      <c r="J19" s="3">
        <f t="shared" si="1"/>
        <v>31</v>
      </c>
      <c r="K19" s="3">
        <f t="shared" si="1"/>
        <v>149</v>
      </c>
      <c r="L19" s="43">
        <f t="shared" si="0"/>
        <v>-0.69306930693069302</v>
      </c>
      <c r="M19" s="43">
        <f t="shared" si="0"/>
        <v>4.195804195804196E-2</v>
      </c>
    </row>
    <row r="20" spans="1:13" x14ac:dyDescent="0.25">
      <c r="A20" s="20" t="s">
        <v>154</v>
      </c>
      <c r="B20" s="23">
        <v>3733</v>
      </c>
      <c r="C20" s="19">
        <v>3472</v>
      </c>
      <c r="D20" s="23">
        <v>3618</v>
      </c>
      <c r="E20" s="19">
        <v>3498</v>
      </c>
      <c r="F20" s="23">
        <v>3684</v>
      </c>
      <c r="G20" s="3">
        <v>3644</v>
      </c>
      <c r="H20" s="29">
        <v>3769</v>
      </c>
      <c r="I20" s="3">
        <v>3665</v>
      </c>
      <c r="J20" s="3">
        <v>4015</v>
      </c>
      <c r="K20" s="3">
        <v>3838</v>
      </c>
      <c r="L20" s="43">
        <f t="shared" si="0"/>
        <v>7.554245914813823E-2</v>
      </c>
      <c r="M20" s="43">
        <f t="shared" si="0"/>
        <v>0.1054147465437788</v>
      </c>
    </row>
    <row r="21" spans="1:13" x14ac:dyDescent="0.25">
      <c r="A21" s="20" t="s">
        <v>153</v>
      </c>
      <c r="B21" s="24">
        <f t="shared" ref="B21:H21" si="2">B19/B20</f>
        <v>2.7055987141709082E-2</v>
      </c>
      <c r="C21" s="24">
        <f t="shared" si="2"/>
        <v>4.1186635944700463E-2</v>
      </c>
      <c r="D21" s="24">
        <f t="shared" si="2"/>
        <v>2.570480928689884E-2</v>
      </c>
      <c r="E21" s="24">
        <f t="shared" si="2"/>
        <v>5.8033161806746711E-2</v>
      </c>
      <c r="F21" s="24">
        <f t="shared" si="2"/>
        <v>2.1715526601520086E-2</v>
      </c>
      <c r="G21" s="24">
        <f t="shared" si="2"/>
        <v>5.159165751920966E-2</v>
      </c>
      <c r="H21" s="24">
        <f t="shared" si="2"/>
        <v>1.9368532767312284E-2</v>
      </c>
      <c r="I21" s="24">
        <f t="shared" ref="I21:K21" si="3">I19/I20</f>
        <v>4.2019099590723058E-2</v>
      </c>
      <c r="J21" s="24">
        <f t="shared" si="3"/>
        <v>7.7210460772104608E-3</v>
      </c>
      <c r="K21" s="24">
        <f t="shared" si="3"/>
        <v>3.8822303282959873E-2</v>
      </c>
      <c r="L21" s="43">
        <f t="shared" si="0"/>
        <v>-0.71462707914627088</v>
      </c>
      <c r="M21" s="43">
        <f t="shared" si="0"/>
        <v>-5.7405335675268017E-2</v>
      </c>
    </row>
    <row r="22" spans="1:13" x14ac:dyDescent="0.25">
      <c r="B22" s="23"/>
      <c r="D22" s="23"/>
      <c r="F22" s="23"/>
      <c r="G22" s="3"/>
      <c r="I22" s="3"/>
      <c r="J22" s="3"/>
      <c r="K22" s="3"/>
      <c r="L22" s="43"/>
      <c r="M22" s="43"/>
    </row>
    <row r="23" spans="1:13" x14ac:dyDescent="0.25">
      <c r="B23" s="23"/>
      <c r="G23" s="3"/>
      <c r="I23" s="3"/>
      <c r="J23" s="3"/>
      <c r="K23" s="3"/>
      <c r="L23" s="43"/>
      <c r="M23" s="43"/>
    </row>
    <row r="24" spans="1:13" x14ac:dyDescent="0.25">
      <c r="A24" s="20" t="s">
        <v>146</v>
      </c>
      <c r="B24" s="23">
        <v>5</v>
      </c>
      <c r="C24" s="19">
        <f>77+2</f>
        <v>79</v>
      </c>
      <c r="D24" s="23">
        <v>1</v>
      </c>
      <c r="E24" s="19">
        <f>96+13</f>
        <v>109</v>
      </c>
      <c r="F24" s="23">
        <v>1</v>
      </c>
      <c r="G24" s="3">
        <v>91</v>
      </c>
      <c r="H24" s="29">
        <v>2</v>
      </c>
      <c r="I24" s="3">
        <v>74</v>
      </c>
      <c r="J24" s="3">
        <v>2</v>
      </c>
      <c r="K24" s="3">
        <v>76</v>
      </c>
      <c r="L24" s="43">
        <f t="shared" si="0"/>
        <v>-0.6</v>
      </c>
      <c r="M24" s="43">
        <f t="shared" si="0"/>
        <v>-3.7974683544303799E-2</v>
      </c>
    </row>
    <row r="25" spans="1:13" x14ac:dyDescent="0.25">
      <c r="A25" s="20" t="s">
        <v>148</v>
      </c>
      <c r="B25" s="23">
        <v>528</v>
      </c>
      <c r="C25" s="19">
        <v>644</v>
      </c>
      <c r="D25" s="23">
        <v>528</v>
      </c>
      <c r="E25" s="19">
        <v>528</v>
      </c>
      <c r="F25" s="23">
        <v>538</v>
      </c>
      <c r="G25" s="19">
        <v>538</v>
      </c>
      <c r="H25" s="19">
        <v>545</v>
      </c>
      <c r="I25" s="19">
        <v>545</v>
      </c>
      <c r="J25" s="19">
        <v>713</v>
      </c>
      <c r="K25" s="19">
        <v>713</v>
      </c>
    </row>
    <row r="26" spans="1:13" x14ac:dyDescent="0.25">
      <c r="A26" s="20" t="s">
        <v>147</v>
      </c>
      <c r="B26" s="22">
        <f>B24/B25</f>
        <v>9.46969696969697E-3</v>
      </c>
      <c r="C26" s="22">
        <f>C24/C25</f>
        <v>0.12267080745341614</v>
      </c>
      <c r="D26" s="22">
        <f t="shared" ref="D26:H26" si="4">D24/D25</f>
        <v>1.893939393939394E-3</v>
      </c>
      <c r="E26" s="22">
        <f t="shared" si="4"/>
        <v>0.20643939393939395</v>
      </c>
      <c r="F26" s="22">
        <f t="shared" si="4"/>
        <v>1.8587360594795538E-3</v>
      </c>
      <c r="G26" s="22">
        <f t="shared" si="4"/>
        <v>0.16914498141263939</v>
      </c>
      <c r="H26" s="22">
        <f t="shared" si="4"/>
        <v>3.669724770642202E-3</v>
      </c>
      <c r="I26" s="22">
        <f t="shared" ref="I26:K26" si="5">I24/I25</f>
        <v>0.13577981651376148</v>
      </c>
      <c r="J26" s="22">
        <f t="shared" si="5"/>
        <v>2.8050490883590462E-3</v>
      </c>
      <c r="K26" s="22">
        <f t="shared" si="5"/>
        <v>0.10659186535764376</v>
      </c>
      <c r="L26" s="43"/>
      <c r="M26" s="43"/>
    </row>
  </sheetData>
  <pageMargins left="0.7" right="0.7" top="0.75" bottom="0.75" header="0.3" footer="0.3"/>
  <pageSetup scale="80" fitToWidth="0" fitToHeight="0" orientation="portrait" r:id="rId1"/>
  <headerFooter>
    <oddHeader>&amp;L&amp;"Times New Roman,Bold"&amp;F, &amp;A</oddHeader>
    <oddFooter>&amp;L&amp;"Times New Roman,Bold"&amp;8Office of Institutional Research and Assessment
&amp;F, &amp;A&amp;R&amp;"Times New Roman,Bold"&amp;8Page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M26"/>
  <sheetViews>
    <sheetView topLeftCell="A4" workbookViewId="0">
      <selection activeCell="N7" sqref="N7"/>
    </sheetView>
  </sheetViews>
  <sheetFormatPr defaultRowHeight="15" x14ac:dyDescent="0.25"/>
  <cols>
    <col min="1" max="1" width="16.140625" style="20" bestFit="1" customWidth="1"/>
    <col min="2" max="2" width="7.28515625" style="20" bestFit="1" customWidth="1"/>
    <col min="3" max="3" width="7.140625" style="19" bestFit="1" customWidth="1"/>
    <col min="4" max="4" width="7.28515625" style="20" bestFit="1" customWidth="1"/>
    <col min="5" max="5" width="7.140625" style="19" bestFit="1" customWidth="1"/>
    <col min="6" max="6" width="7.28515625" style="20" bestFit="1" customWidth="1"/>
    <col min="7" max="7" width="7.140625" style="19" bestFit="1" customWidth="1"/>
    <col min="8" max="8" width="7.28515625" style="20" bestFit="1" customWidth="1"/>
    <col min="9" max="9" width="7.140625" bestFit="1" customWidth="1"/>
    <col min="10" max="11" width="7.140625" customWidth="1"/>
    <col min="12" max="12" width="10" bestFit="1" customWidth="1"/>
    <col min="13" max="13" width="9.42578125" style="19" bestFit="1" customWidth="1"/>
  </cols>
  <sheetData>
    <row r="11" spans="1:13" x14ac:dyDescent="0.25">
      <c r="A11" s="20" t="s">
        <v>79</v>
      </c>
    </row>
    <row r="12" spans="1:13" s="20" customFormat="1" ht="45" x14ac:dyDescent="0.25">
      <c r="B12" s="21" t="s">
        <v>150</v>
      </c>
      <c r="C12" s="21" t="s">
        <v>140</v>
      </c>
      <c r="D12" s="21" t="s">
        <v>151</v>
      </c>
      <c r="E12" s="21" t="s">
        <v>141</v>
      </c>
      <c r="F12" s="21" t="s">
        <v>152</v>
      </c>
      <c r="G12" s="21" t="s">
        <v>142</v>
      </c>
      <c r="H12" s="21" t="s">
        <v>155</v>
      </c>
      <c r="I12" s="21" t="s">
        <v>202</v>
      </c>
      <c r="J12" s="21" t="s">
        <v>209</v>
      </c>
      <c r="K12" s="21" t="s">
        <v>210</v>
      </c>
      <c r="L12" s="42" t="s">
        <v>207</v>
      </c>
      <c r="M12" s="54" t="s">
        <v>208</v>
      </c>
    </row>
    <row r="13" spans="1:13" x14ac:dyDescent="0.25">
      <c r="A13" s="20" t="s">
        <v>143</v>
      </c>
      <c r="B13" s="23">
        <f>255+25</f>
        <v>280</v>
      </c>
      <c r="C13" s="19">
        <v>149</v>
      </c>
      <c r="D13" s="23">
        <v>259</v>
      </c>
      <c r="E13" s="19">
        <v>134</v>
      </c>
      <c r="F13" s="23">
        <v>267</v>
      </c>
      <c r="G13" s="3">
        <v>162</v>
      </c>
      <c r="H13" s="23">
        <v>263</v>
      </c>
      <c r="I13" s="3">
        <v>148</v>
      </c>
      <c r="J13" s="3">
        <v>257</v>
      </c>
      <c r="K13" s="3">
        <v>126</v>
      </c>
      <c r="L13" s="43">
        <f>(J13-B13)/B13</f>
        <v>-8.2142857142857142E-2</v>
      </c>
      <c r="M13" s="43">
        <f>(K13-C13)/C13</f>
        <v>-0.15436241610738255</v>
      </c>
    </row>
    <row r="14" spans="1:13" x14ac:dyDescent="0.25">
      <c r="A14" s="20" t="s">
        <v>144</v>
      </c>
      <c r="B14" s="23">
        <v>35</v>
      </c>
      <c r="C14" s="19">
        <v>42</v>
      </c>
      <c r="D14" s="23">
        <v>31</v>
      </c>
      <c r="E14" s="19">
        <v>26</v>
      </c>
      <c r="F14" s="23">
        <v>29</v>
      </c>
      <c r="G14" s="3">
        <v>35</v>
      </c>
      <c r="H14" s="23">
        <v>27</v>
      </c>
      <c r="I14" s="3">
        <v>24</v>
      </c>
      <c r="J14" s="3">
        <v>24</v>
      </c>
      <c r="K14" s="3">
        <v>35</v>
      </c>
      <c r="L14" s="43">
        <f t="shared" ref="L14:L17" si="0">(J14-B14)/B14</f>
        <v>-0.31428571428571428</v>
      </c>
      <c r="M14" s="43">
        <f t="shared" ref="M14:M17" si="1">(K14-C14)/C14</f>
        <v>-0.16666666666666666</v>
      </c>
    </row>
    <row r="15" spans="1:13" x14ac:dyDescent="0.25">
      <c r="A15" s="20" t="s">
        <v>2</v>
      </c>
      <c r="B15" s="23">
        <v>14</v>
      </c>
      <c r="C15" s="19">
        <v>13</v>
      </c>
      <c r="D15" s="23">
        <v>12</v>
      </c>
      <c r="E15" s="19">
        <v>16</v>
      </c>
      <c r="F15" s="23">
        <v>11</v>
      </c>
      <c r="G15" s="3">
        <v>9</v>
      </c>
      <c r="H15" s="23">
        <v>10</v>
      </c>
      <c r="I15" s="3">
        <v>15</v>
      </c>
      <c r="J15" s="3">
        <v>13</v>
      </c>
      <c r="K15" s="3">
        <v>12</v>
      </c>
      <c r="L15" s="43">
        <f t="shared" si="0"/>
        <v>-7.1428571428571425E-2</v>
      </c>
      <c r="M15" s="43">
        <f t="shared" si="1"/>
        <v>-7.6923076923076927E-2</v>
      </c>
    </row>
    <row r="16" spans="1:13" x14ac:dyDescent="0.25">
      <c r="A16" s="20" t="s">
        <v>3</v>
      </c>
      <c r="B16" s="23">
        <v>6</v>
      </c>
      <c r="C16" s="19">
        <v>2</v>
      </c>
      <c r="D16" s="23">
        <v>6</v>
      </c>
      <c r="E16" s="19">
        <v>6</v>
      </c>
      <c r="F16" s="23">
        <v>5</v>
      </c>
      <c r="G16" s="3">
        <v>3</v>
      </c>
      <c r="H16" s="23">
        <v>7</v>
      </c>
      <c r="I16" s="3">
        <v>3</v>
      </c>
      <c r="J16" s="3">
        <v>2</v>
      </c>
      <c r="K16" s="3">
        <v>6</v>
      </c>
      <c r="L16" s="43">
        <f t="shared" si="0"/>
        <v>-0.66666666666666663</v>
      </c>
      <c r="M16" s="43">
        <f t="shared" si="1"/>
        <v>2</v>
      </c>
    </row>
    <row r="17" spans="1:13" x14ac:dyDescent="0.25">
      <c r="A17" s="20" t="s">
        <v>145</v>
      </c>
      <c r="B17" s="23">
        <f>13+16+1</f>
        <v>30</v>
      </c>
      <c r="C17" s="19">
        <f>30+13</f>
        <v>43</v>
      </c>
      <c r="D17" s="23">
        <f>17+5</f>
        <v>22</v>
      </c>
      <c r="E17" s="19">
        <f>14+15</f>
        <v>29</v>
      </c>
      <c r="F17" s="23">
        <f>15+13</f>
        <v>28</v>
      </c>
      <c r="G17" s="3">
        <v>23</v>
      </c>
      <c r="H17" s="23">
        <v>3</v>
      </c>
      <c r="I17" s="3">
        <v>9</v>
      </c>
      <c r="J17" s="3">
        <v>8</v>
      </c>
      <c r="K17" s="3">
        <v>9</v>
      </c>
      <c r="L17" s="43">
        <f t="shared" si="0"/>
        <v>-0.73333333333333328</v>
      </c>
      <c r="M17" s="43">
        <f t="shared" si="1"/>
        <v>-0.79069767441860461</v>
      </c>
    </row>
    <row r="18" spans="1:13" x14ac:dyDescent="0.25">
      <c r="B18" s="23"/>
      <c r="D18" s="23"/>
      <c r="F18" s="23"/>
      <c r="G18" s="3"/>
      <c r="H18" s="23"/>
      <c r="I18" s="3"/>
      <c r="J18" s="3"/>
      <c r="K18" s="3"/>
      <c r="L18" s="43"/>
      <c r="M18" s="43"/>
    </row>
    <row r="19" spans="1:13" x14ac:dyDescent="0.25">
      <c r="A19" s="20" t="s">
        <v>139</v>
      </c>
      <c r="B19" s="23">
        <f>SUM(B13:B18)</f>
        <v>365</v>
      </c>
      <c r="C19" s="19">
        <f>SUM(C13:C18)</f>
        <v>249</v>
      </c>
      <c r="D19" s="23">
        <f>SUM(D13:D18)</f>
        <v>330</v>
      </c>
      <c r="E19" s="19">
        <f>SUM(E13:E18)</f>
        <v>211</v>
      </c>
      <c r="F19" s="23">
        <f>SUM(F13:F17)</f>
        <v>340</v>
      </c>
      <c r="G19" s="3">
        <f>SUM(G13:G17)</f>
        <v>232</v>
      </c>
      <c r="H19" s="23">
        <f>SUM(H13:H17)</f>
        <v>310</v>
      </c>
      <c r="I19" s="3">
        <f>SUM(I13:I17)</f>
        <v>199</v>
      </c>
      <c r="J19" s="3">
        <f>SUM(J13:J17)</f>
        <v>304</v>
      </c>
      <c r="K19" s="3">
        <v>188</v>
      </c>
      <c r="L19" s="43">
        <f t="shared" ref="L19" si="2">(J19-B19)/B19</f>
        <v>-0.16712328767123288</v>
      </c>
      <c r="M19" s="43">
        <f t="shared" ref="M19" si="3">(K19-C19)/C19</f>
        <v>-0.24497991967871485</v>
      </c>
    </row>
    <row r="20" spans="1:13" x14ac:dyDescent="0.25">
      <c r="A20" s="20" t="s">
        <v>154</v>
      </c>
      <c r="B20" s="23">
        <v>3733</v>
      </c>
      <c r="C20" s="19">
        <v>3472</v>
      </c>
      <c r="D20" s="23">
        <v>3618</v>
      </c>
      <c r="E20" s="19">
        <v>3498</v>
      </c>
      <c r="F20" s="23">
        <v>3684</v>
      </c>
      <c r="G20" s="3">
        <v>3644</v>
      </c>
      <c r="H20" s="23">
        <v>3769</v>
      </c>
      <c r="I20" s="3">
        <v>3665</v>
      </c>
      <c r="J20" s="3">
        <v>4015</v>
      </c>
      <c r="K20" s="3">
        <v>3838</v>
      </c>
      <c r="L20" s="43"/>
      <c r="M20" s="43"/>
    </row>
    <row r="21" spans="1:13" x14ac:dyDescent="0.25">
      <c r="A21" s="20" t="s">
        <v>153</v>
      </c>
      <c r="B21" s="24">
        <f t="shared" ref="B21:G21" si="4">B19/B20</f>
        <v>9.77765871952853E-2</v>
      </c>
      <c r="C21" s="24">
        <f t="shared" si="4"/>
        <v>7.1716589861751154E-2</v>
      </c>
      <c r="D21" s="24">
        <f t="shared" si="4"/>
        <v>9.1210613598673301E-2</v>
      </c>
      <c r="E21" s="24">
        <f t="shared" si="4"/>
        <v>6.0320182961692392E-2</v>
      </c>
      <c r="F21" s="24">
        <f t="shared" si="4"/>
        <v>9.2290988056460369E-2</v>
      </c>
      <c r="G21" s="24">
        <f t="shared" si="4"/>
        <v>6.3666300768386391E-2</v>
      </c>
      <c r="H21" s="24">
        <f t="shared" ref="H21:K21" si="5">H19/H20</f>
        <v>8.2249933669408332E-2</v>
      </c>
      <c r="I21" s="24">
        <f t="shared" si="5"/>
        <v>5.4297407912687584E-2</v>
      </c>
      <c r="J21" s="24">
        <f t="shared" si="5"/>
        <v>7.5716064757160653E-2</v>
      </c>
      <c r="K21" s="24">
        <f t="shared" si="5"/>
        <v>4.8983845752996351E-2</v>
      </c>
      <c r="L21" s="43"/>
      <c r="M21" s="43"/>
    </row>
    <row r="22" spans="1:13" x14ac:dyDescent="0.25">
      <c r="B22" s="23"/>
      <c r="G22" s="3"/>
      <c r="I22" s="3"/>
      <c r="J22" s="3"/>
      <c r="K22" s="3"/>
      <c r="L22" s="43"/>
      <c r="M22" s="43"/>
    </row>
    <row r="23" spans="1:13" x14ac:dyDescent="0.25">
      <c r="A23" s="20" t="s">
        <v>146</v>
      </c>
      <c r="B23" s="23">
        <v>199</v>
      </c>
      <c r="C23" s="19">
        <v>83</v>
      </c>
      <c r="D23" s="23">
        <v>185</v>
      </c>
      <c r="E23" s="19">
        <v>66</v>
      </c>
      <c r="F23" s="23">
        <v>171</v>
      </c>
      <c r="G23" s="3">
        <v>64</v>
      </c>
      <c r="H23" s="23">
        <v>175</v>
      </c>
      <c r="I23" s="3">
        <v>71</v>
      </c>
      <c r="J23" s="3">
        <v>174</v>
      </c>
      <c r="K23" s="3">
        <v>64</v>
      </c>
      <c r="L23" s="43">
        <f t="shared" ref="L23" si="6">(J23-B23)/B23</f>
        <v>-0.12562814070351758</v>
      </c>
      <c r="M23" s="43">
        <f t="shared" ref="M23" si="7">(K23-C23)/C23</f>
        <v>-0.2289156626506024</v>
      </c>
    </row>
    <row r="24" spans="1:13" x14ac:dyDescent="0.25">
      <c r="A24" s="20" t="s">
        <v>148</v>
      </c>
      <c r="B24" s="23">
        <v>528</v>
      </c>
      <c r="C24" s="19">
        <v>644</v>
      </c>
      <c r="D24" s="23">
        <v>528</v>
      </c>
      <c r="E24" s="19">
        <v>528</v>
      </c>
      <c r="F24" s="23">
        <v>538</v>
      </c>
      <c r="G24" s="19">
        <v>538</v>
      </c>
      <c r="H24" s="23">
        <v>545</v>
      </c>
      <c r="I24" s="19">
        <v>545</v>
      </c>
      <c r="J24" s="19">
        <v>713</v>
      </c>
      <c r="K24" s="19">
        <v>713</v>
      </c>
      <c r="L24" s="43"/>
    </row>
    <row r="25" spans="1:13" x14ac:dyDescent="0.25">
      <c r="A25" s="20" t="s">
        <v>147</v>
      </c>
      <c r="B25" s="22">
        <f>B23/B24</f>
        <v>0.37689393939393939</v>
      </c>
      <c r="C25" s="22">
        <f>C23/C24</f>
        <v>0.12888198757763975</v>
      </c>
      <c r="D25" s="22">
        <f t="shared" ref="D25:G25" si="8">D23/D24</f>
        <v>0.3503787878787879</v>
      </c>
      <c r="E25" s="22">
        <f t="shared" si="8"/>
        <v>0.125</v>
      </c>
      <c r="F25" s="22">
        <f t="shared" si="8"/>
        <v>0.31784386617100374</v>
      </c>
      <c r="G25" s="22">
        <f t="shared" si="8"/>
        <v>0.11895910780669144</v>
      </c>
      <c r="H25" s="22">
        <f t="shared" ref="H25:K25" si="9">H23/H24</f>
        <v>0.32110091743119268</v>
      </c>
      <c r="I25" s="22">
        <f t="shared" si="9"/>
        <v>0.13027522935779817</v>
      </c>
      <c r="J25" s="22">
        <f t="shared" si="9"/>
        <v>0.24403927068723702</v>
      </c>
      <c r="K25" s="22">
        <f t="shared" si="9"/>
        <v>8.9761570827489479E-2</v>
      </c>
      <c r="L25" s="43"/>
    </row>
    <row r="26" spans="1:13" x14ac:dyDescent="0.25">
      <c r="L26" s="43"/>
    </row>
  </sheetData>
  <pageMargins left="0.7" right="0.7" top="0.75" bottom="0.75" header="0.3" footer="0.3"/>
  <pageSetup scale="80" orientation="portrait" r:id="rId1"/>
  <headerFooter>
    <oddHeader>&amp;L&amp;"Times New Roman,Bold"&amp;F, &amp;A</oddHeader>
    <oddFooter>&amp;L&amp;"Times New Roman,Bold"&amp;8Office of Institutional Research and Assessment
&amp;F, &amp;A&amp;R&amp;"Times New Roman,Bold"&amp;8Page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H40"/>
  <sheetViews>
    <sheetView workbookViewId="0">
      <selection activeCell="H12" sqref="H12"/>
    </sheetView>
  </sheetViews>
  <sheetFormatPr defaultRowHeight="15" x14ac:dyDescent="0.25"/>
  <cols>
    <col min="2" max="2" width="10.5703125" bestFit="1" customWidth="1"/>
    <col min="3" max="3" width="9.7109375" bestFit="1" customWidth="1"/>
    <col min="4" max="4" width="10.140625" bestFit="1" customWidth="1"/>
    <col min="5" max="5" width="10.5703125" bestFit="1" customWidth="1"/>
  </cols>
  <sheetData>
    <row r="10" spans="1:8" x14ac:dyDescent="0.25">
      <c r="A10" t="s">
        <v>158</v>
      </c>
    </row>
    <row r="11" spans="1:8" x14ac:dyDescent="0.25">
      <c r="B11" t="s">
        <v>159</v>
      </c>
      <c r="C11" t="s">
        <v>160</v>
      </c>
      <c r="D11" t="s">
        <v>161</v>
      </c>
      <c r="E11" t="s">
        <v>162</v>
      </c>
      <c r="F11" t="s">
        <v>163</v>
      </c>
      <c r="G11" t="s">
        <v>216</v>
      </c>
      <c r="H11" t="s">
        <v>217</v>
      </c>
    </row>
    <row r="12" spans="1:8" x14ac:dyDescent="0.25">
      <c r="A12" t="s">
        <v>164</v>
      </c>
      <c r="B12" s="63">
        <v>4.5999999999999999E-2</v>
      </c>
      <c r="C12" s="63">
        <v>4.2999999999999997E-2</v>
      </c>
      <c r="D12" s="63">
        <v>4.1000000000000002E-2</v>
      </c>
      <c r="E12" s="63">
        <v>3.5999999999999997E-2</v>
      </c>
      <c r="F12" s="63">
        <v>4.3999999999999997E-2</v>
      </c>
      <c r="G12" s="63">
        <v>4.0999999999999995E-2</v>
      </c>
    </row>
    <row r="13" spans="1:8" x14ac:dyDescent="0.25">
      <c r="A13" t="s">
        <v>165</v>
      </c>
      <c r="B13" s="63">
        <v>1.4E-2</v>
      </c>
      <c r="C13" s="63">
        <v>1.9E-2</v>
      </c>
      <c r="D13" s="63">
        <v>0.02</v>
      </c>
      <c r="E13" s="63">
        <v>1.7999999999999999E-2</v>
      </c>
      <c r="F13" s="63">
        <v>1.4999999999999999E-2</v>
      </c>
      <c r="G13" s="63">
        <v>1.9E-2</v>
      </c>
    </row>
    <row r="14" spans="1:8" x14ac:dyDescent="0.25">
      <c r="A14" t="s">
        <v>166</v>
      </c>
      <c r="B14" s="63">
        <v>2.1999999999999999E-2</v>
      </c>
      <c r="C14" s="63">
        <v>2.5999999999999999E-2</v>
      </c>
      <c r="D14" s="63">
        <v>2.5999999999999999E-2</v>
      </c>
      <c r="E14" s="63">
        <v>2.1999999999999999E-2</v>
      </c>
      <c r="F14" s="63">
        <v>2.1000000000000001E-2</v>
      </c>
      <c r="G14" s="63">
        <v>1.7000000000000001E-2</v>
      </c>
    </row>
    <row r="15" spans="1:8" x14ac:dyDescent="0.25">
      <c r="A15" t="s">
        <v>167</v>
      </c>
      <c r="B15" s="63">
        <v>1.4999999999999999E-2</v>
      </c>
      <c r="C15" s="63">
        <v>1.4E-2</v>
      </c>
      <c r="D15" s="63">
        <v>1.2E-2</v>
      </c>
      <c r="E15" s="63">
        <v>7.0000000000000001E-3</v>
      </c>
      <c r="F15" s="63">
        <v>8.9999999999999993E-3</v>
      </c>
      <c r="G15" s="64">
        <v>8.9999999999999993E-3</v>
      </c>
    </row>
    <row r="16" spans="1:8" x14ac:dyDescent="0.25">
      <c r="A16" t="s">
        <v>168</v>
      </c>
      <c r="B16" s="63">
        <v>1.7999999999999999E-2</v>
      </c>
      <c r="C16" s="63">
        <v>1.6E-2</v>
      </c>
      <c r="D16" s="63">
        <v>1.4E-2</v>
      </c>
      <c r="E16" s="63">
        <v>1.7999999999999999E-2</v>
      </c>
      <c r="F16" s="63">
        <v>1.4999999999999999E-2</v>
      </c>
      <c r="G16" s="63">
        <v>1.7000000000000001E-2</v>
      </c>
    </row>
    <row r="17" spans="1:8" x14ac:dyDescent="0.25">
      <c r="A17" t="s">
        <v>169</v>
      </c>
      <c r="B17" s="63">
        <v>0.02</v>
      </c>
      <c r="C17" s="63">
        <v>1.7000000000000001E-2</v>
      </c>
      <c r="D17" s="63">
        <v>1.2999999999999999E-2</v>
      </c>
      <c r="E17" s="63">
        <v>1.4999999999999999E-2</v>
      </c>
      <c r="F17" s="63">
        <v>1.2999999999999999E-2</v>
      </c>
      <c r="G17" s="63">
        <v>1.3000000000000001E-2</v>
      </c>
    </row>
    <row r="18" spans="1:8" x14ac:dyDescent="0.25">
      <c r="A18" t="s">
        <v>170</v>
      </c>
      <c r="B18" s="63">
        <v>2.3E-2</v>
      </c>
      <c r="C18" s="63">
        <v>2.1000000000000001E-2</v>
      </c>
      <c r="D18" s="63">
        <v>1.7999999999999999E-2</v>
      </c>
      <c r="E18" s="63">
        <v>1.9E-2</v>
      </c>
      <c r="F18" s="63">
        <v>1.7999999999999999E-2</v>
      </c>
      <c r="G18" s="63">
        <v>1.9E-2</v>
      </c>
    </row>
    <row r="21" spans="1:8" x14ac:dyDescent="0.25">
      <c r="A21" t="s">
        <v>171</v>
      </c>
    </row>
    <row r="22" spans="1:8" x14ac:dyDescent="0.25">
      <c r="B22" t="s">
        <v>159</v>
      </c>
      <c r="C22" t="s">
        <v>160</v>
      </c>
      <c r="D22" t="s">
        <v>161</v>
      </c>
      <c r="E22" t="s">
        <v>162</v>
      </c>
      <c r="F22" t="s">
        <v>163</v>
      </c>
      <c r="G22" t="s">
        <v>216</v>
      </c>
      <c r="H22" t="s">
        <v>217</v>
      </c>
    </row>
    <row r="23" spans="1:8" x14ac:dyDescent="0.25">
      <c r="A23" t="s">
        <v>164</v>
      </c>
      <c r="B23" s="63">
        <v>9.5000000000000001E-2</v>
      </c>
      <c r="C23" s="63">
        <v>9.1999999999999998E-2</v>
      </c>
      <c r="D23" s="63">
        <v>8.5999999999999993E-2</v>
      </c>
      <c r="E23" s="63">
        <v>7.9000000000000001E-2</v>
      </c>
      <c r="F23" s="63">
        <v>7.2999999999999995E-2</v>
      </c>
      <c r="G23" s="63">
        <v>7.400000000000001E-2</v>
      </c>
    </row>
    <row r="24" spans="1:8" x14ac:dyDescent="0.25">
      <c r="A24" t="s">
        <v>165</v>
      </c>
      <c r="B24" s="63">
        <v>4.4999999999999998E-2</v>
      </c>
      <c r="C24" s="63">
        <v>5.3999999999999999E-2</v>
      </c>
      <c r="D24" s="63">
        <v>5.6000000000000001E-2</v>
      </c>
      <c r="E24" s="63">
        <v>5.8999999999999997E-2</v>
      </c>
      <c r="F24" s="63">
        <v>4.9000000000000002E-2</v>
      </c>
      <c r="G24" s="63">
        <v>6.4000000000000001E-2</v>
      </c>
    </row>
    <row r="25" spans="1:8" x14ac:dyDescent="0.25">
      <c r="A25" t="s">
        <v>166</v>
      </c>
      <c r="B25" s="63">
        <v>8.5000000000000006E-2</v>
      </c>
      <c r="C25" s="63">
        <v>8.8999999999999996E-2</v>
      </c>
      <c r="D25" s="63">
        <v>8.7999999999999995E-2</v>
      </c>
      <c r="E25" s="63">
        <v>8.7999999999999995E-2</v>
      </c>
      <c r="F25" s="63">
        <v>7.6999999999999999E-2</v>
      </c>
      <c r="G25" s="63">
        <v>7.2999999999999995E-2</v>
      </c>
    </row>
    <row r="26" spans="1:8" x14ac:dyDescent="0.25">
      <c r="A26" t="s">
        <v>167</v>
      </c>
      <c r="B26" s="63">
        <v>7.3999999999999996E-2</v>
      </c>
      <c r="C26" s="63">
        <v>5.0999999999999997E-2</v>
      </c>
      <c r="D26" s="63">
        <v>4.7E-2</v>
      </c>
      <c r="E26" s="63">
        <v>4.1000000000000002E-2</v>
      </c>
      <c r="F26" s="63">
        <v>0.04</v>
      </c>
      <c r="G26" s="63">
        <v>3.7999999999999999E-2</v>
      </c>
    </row>
    <row r="27" spans="1:8" x14ac:dyDescent="0.25">
      <c r="A27" t="s">
        <v>168</v>
      </c>
      <c r="B27" s="63">
        <v>7.2999999999999995E-2</v>
      </c>
      <c r="C27" s="63">
        <v>6.3E-2</v>
      </c>
      <c r="D27" s="63">
        <v>5.6000000000000001E-2</v>
      </c>
      <c r="E27" s="63">
        <v>6.2E-2</v>
      </c>
      <c r="F27" s="63">
        <v>6.5000000000000002E-2</v>
      </c>
      <c r="G27" s="63">
        <v>6.7000000000000004E-2</v>
      </c>
    </row>
    <row r="28" spans="1:8" x14ac:dyDescent="0.25">
      <c r="A28" t="s">
        <v>169</v>
      </c>
      <c r="B28" s="63">
        <v>6.6000000000000003E-2</v>
      </c>
      <c r="C28" s="63">
        <v>5.5E-2</v>
      </c>
      <c r="D28" s="63">
        <v>5.5E-2</v>
      </c>
      <c r="E28" s="63">
        <v>4.9000000000000002E-2</v>
      </c>
      <c r="F28" s="63">
        <v>4.2999999999999997E-2</v>
      </c>
      <c r="G28" s="63">
        <v>4.4000000000000004E-2</v>
      </c>
    </row>
    <row r="29" spans="1:8" x14ac:dyDescent="0.25">
      <c r="A29" t="s">
        <v>170</v>
      </c>
      <c r="B29" s="63">
        <v>7.2999999999999995E-2</v>
      </c>
      <c r="C29" s="63">
        <v>6.6000000000000003E-2</v>
      </c>
      <c r="D29" s="63">
        <v>6.2E-2</v>
      </c>
      <c r="E29" s="63">
        <v>6.0999999999999999E-2</v>
      </c>
      <c r="F29" s="63">
        <v>5.8999999999999997E-2</v>
      </c>
      <c r="G29" s="63">
        <v>6.0999999999999999E-2</v>
      </c>
    </row>
    <row r="32" spans="1:8" x14ac:dyDescent="0.25">
      <c r="A32" t="s">
        <v>172</v>
      </c>
    </row>
    <row r="33" spans="1:8" x14ac:dyDescent="0.25">
      <c r="B33" t="s">
        <v>159</v>
      </c>
      <c r="C33" t="s">
        <v>160</v>
      </c>
      <c r="D33" t="s">
        <v>161</v>
      </c>
      <c r="E33" t="s">
        <v>162</v>
      </c>
      <c r="F33" t="s">
        <v>163</v>
      </c>
      <c r="G33" t="s">
        <v>216</v>
      </c>
      <c r="H33" t="s">
        <v>217</v>
      </c>
    </row>
    <row r="34" spans="1:8" x14ac:dyDescent="0.25">
      <c r="A34" t="s">
        <v>164</v>
      </c>
      <c r="B34" s="67" t="s">
        <v>173</v>
      </c>
      <c r="C34" s="67"/>
      <c r="D34" s="63">
        <v>2.9000000000000001E-2</v>
      </c>
      <c r="E34" s="63">
        <v>3.2000000000000001E-2</v>
      </c>
      <c r="F34" s="63">
        <v>2.5000000000000001E-2</v>
      </c>
      <c r="G34" s="63">
        <v>3.4000000000000002E-2</v>
      </c>
    </row>
    <row r="35" spans="1:8" x14ac:dyDescent="0.25">
      <c r="A35" t="s">
        <v>165</v>
      </c>
      <c r="B35" s="67"/>
      <c r="C35" s="67"/>
      <c r="D35" s="63">
        <v>2.4E-2</v>
      </c>
      <c r="E35" s="63">
        <v>2.4E-2</v>
      </c>
      <c r="F35" s="63">
        <v>2.4E-2</v>
      </c>
      <c r="G35" s="63">
        <v>2.3E-2</v>
      </c>
    </row>
    <row r="36" spans="1:8" x14ac:dyDescent="0.25">
      <c r="A36" t="s">
        <v>166</v>
      </c>
      <c r="B36" s="67"/>
      <c r="C36" s="67"/>
      <c r="D36" s="63">
        <v>2.4E-2</v>
      </c>
      <c r="E36" s="63">
        <v>2.3E-2</v>
      </c>
      <c r="F36" s="63">
        <v>2.4E-2</v>
      </c>
      <c r="G36" s="63">
        <v>1.6E-2</v>
      </c>
    </row>
    <row r="37" spans="1:8" x14ac:dyDescent="0.25">
      <c r="A37" t="s">
        <v>167</v>
      </c>
      <c r="B37" s="67"/>
      <c r="C37" s="67"/>
      <c r="D37" s="63">
        <v>1.7999999999999999E-2</v>
      </c>
      <c r="E37" s="63">
        <v>1.2999999999999999E-2</v>
      </c>
      <c r="F37" s="63">
        <v>8.9999999999999993E-3</v>
      </c>
      <c r="G37" s="64">
        <v>8.9999999999999993E-3</v>
      </c>
    </row>
    <row r="38" spans="1:8" x14ac:dyDescent="0.25">
      <c r="A38" t="s">
        <v>168</v>
      </c>
      <c r="B38" s="67"/>
      <c r="C38" s="67"/>
      <c r="D38" s="63">
        <v>1.4999999999999999E-2</v>
      </c>
      <c r="E38" s="63">
        <v>1.2999999999999999E-2</v>
      </c>
      <c r="F38" s="63">
        <v>1.7000000000000001E-2</v>
      </c>
      <c r="G38" s="63">
        <v>1.3000000000000001E-2</v>
      </c>
    </row>
    <row r="39" spans="1:8" x14ac:dyDescent="0.25">
      <c r="A39" t="s">
        <v>169</v>
      </c>
      <c r="B39" s="67"/>
      <c r="C39" s="67"/>
      <c r="D39" s="63">
        <v>8.9999999999999993E-3</v>
      </c>
      <c r="E39" s="63">
        <v>1.4999999999999999E-2</v>
      </c>
      <c r="F39" s="63">
        <v>2.1999999999999999E-2</v>
      </c>
      <c r="G39" s="63">
        <v>1.9E-2</v>
      </c>
    </row>
    <row r="40" spans="1:8" x14ac:dyDescent="0.25">
      <c r="A40" t="s">
        <v>170</v>
      </c>
      <c r="B40" s="67"/>
      <c r="C40" s="67"/>
      <c r="D40" s="63">
        <v>1.7000000000000001E-2</v>
      </c>
      <c r="E40" s="63">
        <v>1.7000000000000001E-2</v>
      </c>
      <c r="F40" s="63">
        <v>0.02</v>
      </c>
      <c r="G40" s="63">
        <v>1.8000000000000002E-2</v>
      </c>
    </row>
  </sheetData>
  <mergeCells count="1">
    <mergeCell ref="B34:C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E97"/>
  <sheetViews>
    <sheetView topLeftCell="A7" workbookViewId="0">
      <selection activeCell="C23" sqref="C23:E23"/>
    </sheetView>
  </sheetViews>
  <sheetFormatPr defaultColWidth="8.85546875" defaultRowHeight="15" x14ac:dyDescent="0.25"/>
  <cols>
    <col min="1" max="1" width="28.85546875" style="1" bestFit="1" customWidth="1"/>
    <col min="2" max="2" width="18.28515625" style="3" bestFit="1" customWidth="1"/>
    <col min="3" max="3" width="12.85546875" style="3" bestFit="1" customWidth="1"/>
    <col min="4" max="4" width="10.5703125" style="3" bestFit="1" customWidth="1"/>
    <col min="5" max="5" width="11.85546875" style="3" bestFit="1" customWidth="1"/>
    <col min="6" max="16384" width="8.85546875" style="5"/>
  </cols>
  <sheetData>
    <row r="12" spans="1:5" s="1" customFormat="1" x14ac:dyDescent="0.25">
      <c r="A12" s="1" t="s">
        <v>212</v>
      </c>
      <c r="B12" s="57"/>
      <c r="C12" s="57"/>
      <c r="D12" s="57"/>
      <c r="E12" s="57"/>
    </row>
    <row r="13" spans="1:5" s="1" customFormat="1" x14ac:dyDescent="0.25">
      <c r="B13" s="57" t="s">
        <v>6</v>
      </c>
      <c r="C13" s="57" t="s">
        <v>10</v>
      </c>
      <c r="D13" s="57" t="s">
        <v>7</v>
      </c>
      <c r="E13" s="57" t="s">
        <v>8</v>
      </c>
    </row>
    <row r="14" spans="1:5" x14ac:dyDescent="0.25">
      <c r="A14" s="1" t="s">
        <v>0</v>
      </c>
      <c r="B14" s="59">
        <v>125</v>
      </c>
      <c r="C14" s="60">
        <v>0.98</v>
      </c>
      <c r="D14" s="60">
        <v>1.05</v>
      </c>
      <c r="E14" s="60">
        <v>1.41</v>
      </c>
    </row>
    <row r="15" spans="1:5" x14ac:dyDescent="0.25">
      <c r="A15" s="1" t="s">
        <v>1</v>
      </c>
      <c r="B15" s="59">
        <v>16</v>
      </c>
      <c r="C15" s="60">
        <v>1.35</v>
      </c>
      <c r="D15" s="60">
        <v>1.65</v>
      </c>
      <c r="E15" s="60">
        <v>2.06</v>
      </c>
    </row>
    <row r="16" spans="1:5" x14ac:dyDescent="0.25">
      <c r="A16" s="1" t="s">
        <v>2</v>
      </c>
      <c r="B16" s="59">
        <v>3</v>
      </c>
      <c r="C16" s="60">
        <v>1.64</v>
      </c>
      <c r="D16" s="60">
        <v>1.86</v>
      </c>
      <c r="E16" s="60">
        <v>3.08</v>
      </c>
    </row>
    <row r="17" spans="1:5" x14ac:dyDescent="0.25">
      <c r="A17" s="1" t="s">
        <v>3</v>
      </c>
      <c r="B17" s="59">
        <v>3</v>
      </c>
      <c r="C17" s="60">
        <v>1.87</v>
      </c>
      <c r="D17" s="60">
        <v>1.93</v>
      </c>
      <c r="E17" s="60">
        <v>4</v>
      </c>
    </row>
    <row r="19" spans="1:5" x14ac:dyDescent="0.25">
      <c r="A19" s="1" t="s">
        <v>4</v>
      </c>
      <c r="B19" s="3">
        <v>2</v>
      </c>
      <c r="C19" s="4">
        <v>1.64</v>
      </c>
      <c r="D19" s="4">
        <v>1.64</v>
      </c>
      <c r="E19" s="4"/>
    </row>
    <row r="20" spans="1:5" x14ac:dyDescent="0.25">
      <c r="C20" s="4"/>
      <c r="D20" s="4"/>
      <c r="E20" s="4"/>
    </row>
    <row r="21" spans="1:5" x14ac:dyDescent="0.25">
      <c r="A21" s="1" t="s">
        <v>139</v>
      </c>
      <c r="B21" s="3">
        <f>SUM(B14:B19)</f>
        <v>149</v>
      </c>
    </row>
    <row r="22" spans="1:5" x14ac:dyDescent="0.25">
      <c r="C22" s="4"/>
      <c r="D22" s="4"/>
      <c r="E22" s="4"/>
    </row>
    <row r="23" spans="1:5" x14ac:dyDescent="0.25">
      <c r="A23" s="1" t="s">
        <v>215</v>
      </c>
      <c r="B23" s="3">
        <v>76</v>
      </c>
      <c r="C23" s="4">
        <v>0.92</v>
      </c>
      <c r="D23" s="4">
        <v>0.97</v>
      </c>
      <c r="E23" s="4">
        <v>0.94</v>
      </c>
    </row>
    <row r="25" spans="1:5" s="1" customFormat="1" hidden="1" x14ac:dyDescent="0.25">
      <c r="B25" s="68" t="s">
        <v>132</v>
      </c>
      <c r="C25" s="68"/>
      <c r="D25" s="68"/>
      <c r="E25" s="57"/>
    </row>
    <row r="26" spans="1:5" s="1" customFormat="1" hidden="1" x14ac:dyDescent="0.25">
      <c r="B26" s="57" t="s">
        <v>126</v>
      </c>
      <c r="C26" s="57" t="s">
        <v>75</v>
      </c>
      <c r="D26" s="57" t="s">
        <v>204</v>
      </c>
      <c r="E26" s="57" t="s">
        <v>133</v>
      </c>
    </row>
    <row r="27" spans="1:5" hidden="1" x14ac:dyDescent="0.25">
      <c r="A27" s="1" t="s">
        <v>127</v>
      </c>
      <c r="B27" s="56">
        <v>21.2</v>
      </c>
      <c r="C27" s="56">
        <v>19.05</v>
      </c>
      <c r="D27" s="56">
        <v>0.64771500000000004</v>
      </c>
      <c r="E27" s="47" t="s">
        <v>135</v>
      </c>
    </row>
    <row r="28" spans="1:5" hidden="1" x14ac:dyDescent="0.25">
      <c r="A28" s="1" t="s">
        <v>128</v>
      </c>
      <c r="B28" s="56">
        <v>20.54</v>
      </c>
      <c r="C28" s="56">
        <v>18</v>
      </c>
      <c r="D28" s="56">
        <v>0.56940000000000002</v>
      </c>
      <c r="E28" s="47" t="s">
        <v>135</v>
      </c>
    </row>
    <row r="29" spans="1:5" hidden="1" x14ac:dyDescent="0.25">
      <c r="A29" s="1" t="s">
        <v>129</v>
      </c>
      <c r="B29" s="56">
        <v>20.96</v>
      </c>
      <c r="C29" s="56">
        <v>18.68</v>
      </c>
      <c r="D29" s="56">
        <v>0.648011</v>
      </c>
      <c r="E29" s="47" t="s">
        <v>135</v>
      </c>
    </row>
    <row r="30" spans="1:5" hidden="1" x14ac:dyDescent="0.25">
      <c r="A30" s="1" t="s">
        <v>130</v>
      </c>
      <c r="B30" s="56">
        <v>21.61</v>
      </c>
      <c r="C30" s="56">
        <v>19.55</v>
      </c>
      <c r="D30" s="56">
        <v>0.44261699999999998</v>
      </c>
      <c r="E30" s="47" t="s">
        <v>135</v>
      </c>
    </row>
    <row r="31" spans="1:5" hidden="1" x14ac:dyDescent="0.25">
      <c r="A31" s="1" t="s">
        <v>131</v>
      </c>
      <c r="B31" s="56">
        <v>21.09</v>
      </c>
      <c r="C31" s="56">
        <v>19.2</v>
      </c>
      <c r="D31" s="56">
        <v>0.52503</v>
      </c>
      <c r="E31" s="47" t="s">
        <v>135</v>
      </c>
    </row>
    <row r="32" spans="1:5" hidden="1" x14ac:dyDescent="0.25">
      <c r="B32" s="4"/>
    </row>
    <row r="33" spans="1:5" hidden="1" x14ac:dyDescent="0.25">
      <c r="A33" s="1" t="s">
        <v>134</v>
      </c>
      <c r="B33" s="4"/>
    </row>
    <row r="34" spans="1:5" hidden="1" x14ac:dyDescent="0.25"/>
    <row r="35" spans="1:5" s="1" customFormat="1" hidden="1" x14ac:dyDescent="0.25">
      <c r="A35" s="1" t="s">
        <v>11</v>
      </c>
      <c r="B35" s="57" t="s">
        <v>77</v>
      </c>
      <c r="C35" s="57" t="s">
        <v>76</v>
      </c>
      <c r="D35" s="57" t="s">
        <v>78</v>
      </c>
      <c r="E35" s="57"/>
    </row>
    <row r="36" spans="1:5" hidden="1" x14ac:dyDescent="0.25">
      <c r="A36" s="32"/>
      <c r="B36" s="33"/>
      <c r="D36" s="34" t="e">
        <f>B36/C36</f>
        <v>#DIV/0!</v>
      </c>
      <c r="E36" s="5"/>
    </row>
    <row r="37" spans="1:5" hidden="1" x14ac:dyDescent="0.25">
      <c r="A37" s="32"/>
      <c r="B37" s="33"/>
      <c r="D37" s="34" t="e">
        <f t="shared" ref="D37:D78" si="0">B37/C37</f>
        <v>#DIV/0!</v>
      </c>
      <c r="E37" s="5"/>
    </row>
    <row r="38" spans="1:5" hidden="1" x14ac:dyDescent="0.25">
      <c r="A38" s="32"/>
      <c r="B38" s="33"/>
      <c r="D38" s="34" t="e">
        <f t="shared" si="0"/>
        <v>#DIV/0!</v>
      </c>
      <c r="E38" s="5"/>
    </row>
    <row r="39" spans="1:5" hidden="1" x14ac:dyDescent="0.25">
      <c r="A39" s="32"/>
      <c r="B39" s="33"/>
      <c r="C39" s="29"/>
      <c r="D39" s="34" t="e">
        <f t="shared" si="0"/>
        <v>#DIV/0!</v>
      </c>
      <c r="E39" s="5"/>
    </row>
    <row r="40" spans="1:5" hidden="1" x14ac:dyDescent="0.25">
      <c r="A40" s="32"/>
      <c r="B40" s="33"/>
      <c r="C40" s="29"/>
      <c r="D40" s="34" t="e">
        <f t="shared" si="0"/>
        <v>#DIV/0!</v>
      </c>
      <c r="E40" s="5"/>
    </row>
    <row r="41" spans="1:5" hidden="1" x14ac:dyDescent="0.25">
      <c r="A41" s="32"/>
      <c r="B41" s="33"/>
      <c r="C41" s="29"/>
      <c r="D41" s="34" t="e">
        <f t="shared" si="0"/>
        <v>#DIV/0!</v>
      </c>
      <c r="E41" s="5"/>
    </row>
    <row r="42" spans="1:5" hidden="1" x14ac:dyDescent="0.25">
      <c r="A42" s="32"/>
      <c r="B42" s="33"/>
      <c r="C42" s="29"/>
      <c r="D42" s="34" t="e">
        <f t="shared" si="0"/>
        <v>#DIV/0!</v>
      </c>
      <c r="E42" s="5"/>
    </row>
    <row r="43" spans="1:5" hidden="1" x14ac:dyDescent="0.25">
      <c r="A43" s="32"/>
      <c r="B43" s="33"/>
      <c r="C43" s="29"/>
      <c r="D43" s="34" t="e">
        <f t="shared" si="0"/>
        <v>#DIV/0!</v>
      </c>
      <c r="E43" s="5"/>
    </row>
    <row r="44" spans="1:5" hidden="1" x14ac:dyDescent="0.25">
      <c r="A44" s="32"/>
      <c r="B44" s="33"/>
      <c r="C44" s="29"/>
      <c r="D44" s="34" t="e">
        <f t="shared" si="0"/>
        <v>#DIV/0!</v>
      </c>
      <c r="E44" s="5"/>
    </row>
    <row r="45" spans="1:5" hidden="1" x14ac:dyDescent="0.25">
      <c r="A45" s="32"/>
      <c r="B45" s="33"/>
      <c r="C45" s="29"/>
      <c r="D45" s="34" t="e">
        <f t="shared" si="0"/>
        <v>#DIV/0!</v>
      </c>
      <c r="E45" s="5"/>
    </row>
    <row r="46" spans="1:5" hidden="1" x14ac:dyDescent="0.25">
      <c r="A46" s="32"/>
      <c r="B46" s="33"/>
      <c r="C46" s="29"/>
      <c r="D46" s="34" t="e">
        <f t="shared" si="0"/>
        <v>#DIV/0!</v>
      </c>
      <c r="E46" s="5"/>
    </row>
    <row r="47" spans="1:5" hidden="1" x14ac:dyDescent="0.25">
      <c r="A47" s="32"/>
      <c r="B47" s="33"/>
      <c r="C47" s="29"/>
      <c r="D47" s="34" t="e">
        <f t="shared" si="0"/>
        <v>#DIV/0!</v>
      </c>
      <c r="E47" s="5"/>
    </row>
    <row r="48" spans="1:5" hidden="1" x14ac:dyDescent="0.25">
      <c r="A48" s="32"/>
      <c r="B48" s="33"/>
      <c r="C48" s="29"/>
      <c r="D48" s="34" t="e">
        <f t="shared" si="0"/>
        <v>#DIV/0!</v>
      </c>
      <c r="E48" s="5"/>
    </row>
    <row r="49" spans="1:5" hidden="1" x14ac:dyDescent="0.25">
      <c r="A49" s="32"/>
      <c r="B49" s="33"/>
      <c r="C49" s="29"/>
      <c r="D49" s="34" t="e">
        <f t="shared" si="0"/>
        <v>#DIV/0!</v>
      </c>
      <c r="E49" s="5"/>
    </row>
    <row r="50" spans="1:5" hidden="1" x14ac:dyDescent="0.25">
      <c r="A50" s="32"/>
      <c r="B50" s="33"/>
      <c r="C50" s="29"/>
      <c r="D50" s="34" t="e">
        <f t="shared" si="0"/>
        <v>#DIV/0!</v>
      </c>
      <c r="E50" s="5"/>
    </row>
    <row r="51" spans="1:5" hidden="1" x14ac:dyDescent="0.25">
      <c r="A51" s="32"/>
      <c r="B51" s="33"/>
      <c r="C51" s="29"/>
      <c r="D51" s="34" t="e">
        <f t="shared" si="0"/>
        <v>#DIV/0!</v>
      </c>
      <c r="E51" s="5"/>
    </row>
    <row r="52" spans="1:5" hidden="1" x14ac:dyDescent="0.25">
      <c r="A52" s="32"/>
      <c r="B52" s="33"/>
      <c r="C52" s="29"/>
      <c r="D52" s="34" t="e">
        <f t="shared" si="0"/>
        <v>#DIV/0!</v>
      </c>
      <c r="E52" s="5"/>
    </row>
    <row r="53" spans="1:5" hidden="1" x14ac:dyDescent="0.25">
      <c r="A53" s="32"/>
      <c r="B53" s="33"/>
      <c r="C53" s="29"/>
      <c r="D53" s="34" t="e">
        <f t="shared" si="0"/>
        <v>#DIV/0!</v>
      </c>
      <c r="E53" s="5"/>
    </row>
    <row r="54" spans="1:5" hidden="1" x14ac:dyDescent="0.25">
      <c r="A54" s="32"/>
      <c r="B54" s="33"/>
      <c r="C54" s="29"/>
      <c r="D54" s="34" t="e">
        <f t="shared" si="0"/>
        <v>#DIV/0!</v>
      </c>
      <c r="E54" s="5"/>
    </row>
    <row r="55" spans="1:5" hidden="1" x14ac:dyDescent="0.25">
      <c r="A55" s="32"/>
      <c r="B55" s="33"/>
      <c r="C55" s="29"/>
      <c r="D55" s="34" t="e">
        <f t="shared" si="0"/>
        <v>#DIV/0!</v>
      </c>
      <c r="E55" s="5"/>
    </row>
    <row r="56" spans="1:5" hidden="1" x14ac:dyDescent="0.25">
      <c r="A56" s="32"/>
      <c r="B56" s="33"/>
      <c r="C56" s="29"/>
      <c r="D56" s="34" t="e">
        <f t="shared" si="0"/>
        <v>#DIV/0!</v>
      </c>
      <c r="E56" s="5"/>
    </row>
    <row r="57" spans="1:5" hidden="1" x14ac:dyDescent="0.25">
      <c r="A57" s="32"/>
      <c r="B57" s="33"/>
      <c r="C57" s="29"/>
      <c r="D57" s="34" t="e">
        <f t="shared" si="0"/>
        <v>#DIV/0!</v>
      </c>
      <c r="E57" s="5"/>
    </row>
    <row r="58" spans="1:5" hidden="1" x14ac:dyDescent="0.25">
      <c r="A58" s="32"/>
      <c r="B58" s="33"/>
      <c r="C58" s="29"/>
      <c r="D58" s="34" t="e">
        <f t="shared" si="0"/>
        <v>#DIV/0!</v>
      </c>
      <c r="E58" s="5"/>
    </row>
    <row r="59" spans="1:5" hidden="1" x14ac:dyDescent="0.25">
      <c r="A59" s="32"/>
      <c r="B59" s="33"/>
      <c r="C59" s="29"/>
      <c r="D59" s="34" t="e">
        <f t="shared" si="0"/>
        <v>#DIV/0!</v>
      </c>
      <c r="E59" s="5"/>
    </row>
    <row r="60" spans="1:5" hidden="1" x14ac:dyDescent="0.25">
      <c r="A60" s="32"/>
      <c r="B60" s="33"/>
      <c r="C60" s="29"/>
      <c r="D60" s="34" t="e">
        <f t="shared" si="0"/>
        <v>#DIV/0!</v>
      </c>
      <c r="E60" s="5"/>
    </row>
    <row r="61" spans="1:5" hidden="1" x14ac:dyDescent="0.25">
      <c r="A61" s="32"/>
      <c r="B61" s="33"/>
      <c r="C61" s="29"/>
      <c r="D61" s="34" t="e">
        <f t="shared" si="0"/>
        <v>#DIV/0!</v>
      </c>
      <c r="E61" s="5"/>
    </row>
    <row r="62" spans="1:5" hidden="1" x14ac:dyDescent="0.25">
      <c r="A62" s="32"/>
      <c r="B62" s="33"/>
      <c r="C62" s="29"/>
      <c r="D62" s="34" t="e">
        <f t="shared" si="0"/>
        <v>#DIV/0!</v>
      </c>
      <c r="E62" s="5"/>
    </row>
    <row r="63" spans="1:5" hidden="1" x14ac:dyDescent="0.25">
      <c r="A63" s="32"/>
      <c r="B63" s="33"/>
      <c r="C63" s="29"/>
      <c r="D63" s="34" t="e">
        <f t="shared" si="0"/>
        <v>#DIV/0!</v>
      </c>
      <c r="E63" s="5"/>
    </row>
    <row r="64" spans="1:5" hidden="1" x14ac:dyDescent="0.25">
      <c r="A64" s="32"/>
      <c r="B64" s="33"/>
      <c r="C64" s="29"/>
      <c r="D64" s="34" t="e">
        <f t="shared" si="0"/>
        <v>#DIV/0!</v>
      </c>
      <c r="E64" s="5"/>
    </row>
    <row r="65" spans="1:5" hidden="1" x14ac:dyDescent="0.25">
      <c r="A65" s="32"/>
      <c r="B65" s="33"/>
      <c r="C65" s="29"/>
      <c r="D65" s="34" t="e">
        <f t="shared" si="0"/>
        <v>#DIV/0!</v>
      </c>
      <c r="E65" s="5"/>
    </row>
    <row r="66" spans="1:5" hidden="1" x14ac:dyDescent="0.25">
      <c r="A66" s="32"/>
      <c r="B66" s="33"/>
      <c r="C66" s="29"/>
      <c r="D66" s="34" t="e">
        <f t="shared" si="0"/>
        <v>#DIV/0!</v>
      </c>
      <c r="E66" s="5"/>
    </row>
    <row r="67" spans="1:5" hidden="1" x14ac:dyDescent="0.25">
      <c r="A67" s="32"/>
      <c r="B67" s="33"/>
      <c r="C67" s="29"/>
      <c r="D67" s="34" t="e">
        <f t="shared" si="0"/>
        <v>#DIV/0!</v>
      </c>
      <c r="E67" s="5"/>
    </row>
    <row r="68" spans="1:5" hidden="1" x14ac:dyDescent="0.25">
      <c r="A68" s="32"/>
      <c r="B68" s="33"/>
      <c r="C68" s="29"/>
      <c r="D68" s="34" t="e">
        <f t="shared" si="0"/>
        <v>#DIV/0!</v>
      </c>
      <c r="E68" s="5"/>
    </row>
    <row r="69" spans="1:5" hidden="1" x14ac:dyDescent="0.25">
      <c r="A69" s="32"/>
      <c r="B69" s="33"/>
      <c r="C69" s="29"/>
      <c r="D69" s="34" t="e">
        <f t="shared" si="0"/>
        <v>#DIV/0!</v>
      </c>
      <c r="E69" s="5"/>
    </row>
    <row r="70" spans="1:5" hidden="1" x14ac:dyDescent="0.25">
      <c r="A70" s="32"/>
      <c r="B70" s="33"/>
      <c r="C70" s="29"/>
      <c r="D70" s="34" t="e">
        <f t="shared" si="0"/>
        <v>#DIV/0!</v>
      </c>
      <c r="E70" s="5"/>
    </row>
    <row r="71" spans="1:5" hidden="1" x14ac:dyDescent="0.25">
      <c r="A71" s="32"/>
      <c r="B71" s="33"/>
      <c r="C71" s="29"/>
      <c r="D71" s="34" t="e">
        <f t="shared" si="0"/>
        <v>#DIV/0!</v>
      </c>
      <c r="E71" s="5"/>
    </row>
    <row r="72" spans="1:5" hidden="1" x14ac:dyDescent="0.25">
      <c r="A72" s="32"/>
      <c r="B72" s="33"/>
      <c r="C72" s="29"/>
      <c r="D72" s="34" t="e">
        <f t="shared" si="0"/>
        <v>#DIV/0!</v>
      </c>
      <c r="E72" s="5"/>
    </row>
    <row r="73" spans="1:5" hidden="1" x14ac:dyDescent="0.25">
      <c r="A73" s="32"/>
      <c r="B73" s="33"/>
      <c r="D73" s="34" t="e">
        <f t="shared" si="0"/>
        <v>#DIV/0!</v>
      </c>
      <c r="E73" s="5"/>
    </row>
    <row r="74" spans="1:5" hidden="1" x14ac:dyDescent="0.25">
      <c r="A74" s="32"/>
      <c r="B74" s="33"/>
      <c r="D74" s="34" t="e">
        <f t="shared" si="0"/>
        <v>#DIV/0!</v>
      </c>
      <c r="E74" s="5"/>
    </row>
    <row r="75" spans="1:5" hidden="1" x14ac:dyDescent="0.25">
      <c r="A75" s="32"/>
      <c r="B75" s="33"/>
      <c r="C75" s="29"/>
      <c r="D75" s="34" t="e">
        <f t="shared" si="0"/>
        <v>#DIV/0!</v>
      </c>
      <c r="E75" s="5"/>
    </row>
    <row r="76" spans="1:5" hidden="1" x14ac:dyDescent="0.25">
      <c r="A76" s="32"/>
      <c r="B76" s="33"/>
      <c r="C76" s="29"/>
      <c r="D76" s="34" t="e">
        <f t="shared" si="0"/>
        <v>#DIV/0!</v>
      </c>
      <c r="E76" s="5"/>
    </row>
    <row r="77" spans="1:5" hidden="1" x14ac:dyDescent="0.25">
      <c r="A77" s="32"/>
      <c r="B77" s="33"/>
      <c r="C77" s="29"/>
      <c r="D77" s="34" t="e">
        <f t="shared" si="0"/>
        <v>#DIV/0!</v>
      </c>
      <c r="E77" s="5"/>
    </row>
    <row r="78" spans="1:5" hidden="1" x14ac:dyDescent="0.25">
      <c r="A78" s="32"/>
      <c r="B78" s="33"/>
      <c r="C78" s="29"/>
      <c r="D78" s="34" t="e">
        <f t="shared" si="0"/>
        <v>#DIV/0!</v>
      </c>
      <c r="E78" s="5"/>
    </row>
    <row r="79" spans="1:5" hidden="1" x14ac:dyDescent="0.25">
      <c r="A79" s="6"/>
      <c r="B79" s="7"/>
      <c r="C79" s="7"/>
      <c r="D79" s="8"/>
    </row>
    <row r="80" spans="1:5" hidden="1" x14ac:dyDescent="0.25">
      <c r="A80" s="6"/>
      <c r="B80" s="7"/>
      <c r="C80" s="7"/>
      <c r="D80" s="8"/>
    </row>
    <row r="81" spans="1:4" hidden="1" x14ac:dyDescent="0.25">
      <c r="A81" s="6"/>
      <c r="B81" s="7"/>
      <c r="C81" s="7"/>
      <c r="D81" s="8"/>
    </row>
    <row r="82" spans="1:4" hidden="1" x14ac:dyDescent="0.25">
      <c r="A82" s="6"/>
      <c r="B82" s="7"/>
      <c r="C82" s="7"/>
      <c r="D82" s="8"/>
    </row>
    <row r="83" spans="1:4" hidden="1" x14ac:dyDescent="0.25">
      <c r="A83" s="6"/>
      <c r="B83" s="7"/>
      <c r="C83" s="7"/>
      <c r="D83" s="8"/>
    </row>
    <row r="84" spans="1:4" hidden="1" x14ac:dyDescent="0.25">
      <c r="A84" s="6"/>
      <c r="B84" s="7"/>
      <c r="C84" s="7"/>
      <c r="D84" s="8"/>
    </row>
    <row r="85" spans="1:4" hidden="1" x14ac:dyDescent="0.25">
      <c r="A85" s="6"/>
      <c r="B85" s="7"/>
      <c r="C85" s="7"/>
      <c r="D85" s="8"/>
    </row>
    <row r="86" spans="1:4" hidden="1" x14ac:dyDescent="0.25">
      <c r="A86" s="6"/>
      <c r="B86" s="7"/>
      <c r="C86" s="7"/>
      <c r="D86" s="8"/>
    </row>
    <row r="87" spans="1:4" hidden="1" x14ac:dyDescent="0.25">
      <c r="A87" s="6"/>
      <c r="B87" s="7"/>
      <c r="C87" s="7"/>
      <c r="D87" s="8"/>
    </row>
    <row r="88" spans="1:4" x14ac:dyDescent="0.25">
      <c r="A88" s="6"/>
      <c r="B88" s="7"/>
      <c r="C88" s="7"/>
      <c r="D88" s="8"/>
    </row>
    <row r="89" spans="1:4" x14ac:dyDescent="0.25">
      <c r="A89" s="6"/>
      <c r="B89" s="7"/>
      <c r="C89" s="7"/>
      <c r="D89" s="8"/>
    </row>
    <row r="90" spans="1:4" x14ac:dyDescent="0.25">
      <c r="A90" s="6"/>
      <c r="B90" s="7"/>
      <c r="C90" s="7"/>
      <c r="D90" s="8"/>
    </row>
    <row r="91" spans="1:4" x14ac:dyDescent="0.25">
      <c r="A91" s="6"/>
      <c r="B91" s="7"/>
      <c r="C91" s="7"/>
      <c r="D91" s="8"/>
    </row>
    <row r="92" spans="1:4" x14ac:dyDescent="0.25">
      <c r="A92" s="6"/>
      <c r="B92" s="7"/>
      <c r="C92" s="7"/>
      <c r="D92" s="8"/>
    </row>
    <row r="93" spans="1:4" x14ac:dyDescent="0.25">
      <c r="A93" s="6"/>
      <c r="B93" s="7"/>
      <c r="C93" s="7"/>
      <c r="D93" s="8"/>
    </row>
    <row r="94" spans="1:4" x14ac:dyDescent="0.25">
      <c r="A94" s="6"/>
      <c r="B94" s="7"/>
      <c r="C94" s="7"/>
      <c r="D94" s="8"/>
    </row>
    <row r="95" spans="1:4" x14ac:dyDescent="0.25">
      <c r="A95" s="6"/>
      <c r="B95" s="7"/>
      <c r="C95" s="7"/>
      <c r="D95" s="8"/>
    </row>
    <row r="96" spans="1:4" x14ac:dyDescent="0.25">
      <c r="A96" s="6"/>
      <c r="B96" s="7"/>
      <c r="C96" s="7"/>
      <c r="D96" s="8"/>
    </row>
    <row r="97" spans="1:4" x14ac:dyDescent="0.25">
      <c r="A97" s="6"/>
      <c r="B97" s="7"/>
      <c r="C97" s="7"/>
      <c r="D97" s="8"/>
    </row>
  </sheetData>
  <mergeCells count="1">
    <mergeCell ref="B25:D25"/>
  </mergeCells>
  <pageMargins left="0.7" right="0.7" top="0.75" bottom="0.75" header="0.3" footer="0.3"/>
  <pageSetup orientation="portrait" r:id="rId1"/>
  <headerFooter>
    <oddHeader>&amp;L&amp;"Times New Roman,Bold"&amp;F, &amp;A</oddHeader>
    <oddFooter>&amp;L&amp;"Times New Roman,Bold"&amp;8Office of Institutional Research and Assessment
&amp;F, &amp;A&amp;R&amp;"Times New Roman,Bold"&amp;8Page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0:E102"/>
  <sheetViews>
    <sheetView workbookViewId="0">
      <selection activeCell="B76" sqref="B76"/>
    </sheetView>
  </sheetViews>
  <sheetFormatPr defaultColWidth="8.85546875" defaultRowHeight="15" x14ac:dyDescent="0.25"/>
  <cols>
    <col min="1" max="1" width="28.85546875" style="1" bestFit="1" customWidth="1"/>
    <col min="2" max="2" width="15.28515625" style="3" bestFit="1" customWidth="1"/>
    <col min="3" max="3" width="11.7109375" style="3" bestFit="1" customWidth="1"/>
    <col min="4" max="4" width="9.42578125" style="3" bestFit="1" customWidth="1"/>
    <col min="5" max="5" width="11.85546875" style="3" bestFit="1" customWidth="1"/>
    <col min="6" max="16384" width="8.85546875" style="5"/>
  </cols>
  <sheetData>
    <row r="10" spans="1:5" s="1" customFormat="1" x14ac:dyDescent="0.25">
      <c r="A10" s="1" t="s">
        <v>213</v>
      </c>
      <c r="B10" s="57"/>
      <c r="C10" s="57"/>
      <c r="D10" s="57"/>
      <c r="E10" s="57"/>
    </row>
    <row r="11" spans="1:5" s="1" customFormat="1" x14ac:dyDescent="0.25">
      <c r="B11" s="57" t="s">
        <v>6</v>
      </c>
      <c r="C11" s="57" t="s">
        <v>10</v>
      </c>
      <c r="D11" s="57" t="s">
        <v>7</v>
      </c>
      <c r="E11" s="57" t="s">
        <v>8</v>
      </c>
    </row>
    <row r="12" spans="1:5" x14ac:dyDescent="0.25">
      <c r="A12" s="58" t="s">
        <v>143</v>
      </c>
      <c r="B12" s="50">
        <v>126</v>
      </c>
      <c r="C12" s="51">
        <v>1.36</v>
      </c>
      <c r="D12" s="51">
        <v>1.38</v>
      </c>
      <c r="E12" s="51">
        <v>1.6</v>
      </c>
    </row>
    <row r="13" spans="1:5" x14ac:dyDescent="0.25">
      <c r="A13" s="58" t="s">
        <v>144</v>
      </c>
      <c r="B13" s="50">
        <v>35</v>
      </c>
      <c r="C13" s="51">
        <v>1.77</v>
      </c>
      <c r="D13" s="51">
        <v>1.85</v>
      </c>
      <c r="E13" s="51">
        <v>2.41</v>
      </c>
    </row>
    <row r="14" spans="1:5" x14ac:dyDescent="0.25">
      <c r="A14" s="58" t="s">
        <v>2</v>
      </c>
      <c r="B14" s="50">
        <v>12</v>
      </c>
      <c r="C14" s="51">
        <v>1.98</v>
      </c>
      <c r="D14" s="51">
        <v>1.91</v>
      </c>
      <c r="E14" s="51">
        <v>1.6</v>
      </c>
    </row>
    <row r="15" spans="1:5" x14ac:dyDescent="0.25">
      <c r="A15" s="58" t="s">
        <v>3</v>
      </c>
      <c r="B15" s="50">
        <v>6</v>
      </c>
      <c r="C15" s="51">
        <v>2.19</v>
      </c>
      <c r="D15" s="51">
        <v>1.93</v>
      </c>
      <c r="E15" s="51">
        <v>1.71</v>
      </c>
    </row>
    <row r="16" spans="1:5" x14ac:dyDescent="0.25">
      <c r="A16" s="58" t="s">
        <v>145</v>
      </c>
      <c r="B16" s="50">
        <v>9</v>
      </c>
      <c r="C16" s="51">
        <v>1.1499999999999999</v>
      </c>
      <c r="D16" s="51">
        <v>0.92</v>
      </c>
      <c r="E16" s="49">
        <v>0</v>
      </c>
    </row>
    <row r="17" spans="1:5" x14ac:dyDescent="0.25">
      <c r="A17" s="48"/>
      <c r="B17" s="50"/>
      <c r="C17" s="51"/>
      <c r="D17" s="51"/>
      <c r="E17" s="49"/>
    </row>
    <row r="18" spans="1:5" x14ac:dyDescent="0.25">
      <c r="A18" s="1" t="s">
        <v>139</v>
      </c>
      <c r="B18" s="3">
        <f>SUM(B12:B16)</f>
        <v>188</v>
      </c>
      <c r="C18" s="4">
        <v>1.44</v>
      </c>
      <c r="D18" s="4">
        <v>1.46</v>
      </c>
      <c r="E18" s="4">
        <v>1.73</v>
      </c>
    </row>
    <row r="19" spans="1:5" x14ac:dyDescent="0.25">
      <c r="C19" s="4"/>
      <c r="D19" s="4"/>
      <c r="E19" s="4"/>
    </row>
    <row r="20" spans="1:5" x14ac:dyDescent="0.25">
      <c r="A20" s="1" t="s">
        <v>215</v>
      </c>
      <c r="B20" s="3">
        <v>64</v>
      </c>
      <c r="C20" s="4">
        <v>1.37</v>
      </c>
      <c r="D20" s="4">
        <v>1.41</v>
      </c>
      <c r="E20" s="4">
        <v>2.59</v>
      </c>
    </row>
    <row r="21" spans="1:5" hidden="1" x14ac:dyDescent="0.25"/>
    <row r="22" spans="1:5" s="1" customFormat="1" hidden="1" x14ac:dyDescent="0.25">
      <c r="B22" s="68" t="s">
        <v>132</v>
      </c>
      <c r="C22" s="68"/>
      <c r="D22" s="68"/>
      <c r="E22" s="57"/>
    </row>
    <row r="23" spans="1:5" s="1" customFormat="1" hidden="1" x14ac:dyDescent="0.25">
      <c r="B23" s="57" t="s">
        <v>137</v>
      </c>
      <c r="C23" s="57" t="s">
        <v>138</v>
      </c>
      <c r="D23" s="57" t="s">
        <v>204</v>
      </c>
      <c r="E23" s="57" t="s">
        <v>133</v>
      </c>
    </row>
    <row r="24" spans="1:5" hidden="1" x14ac:dyDescent="0.25">
      <c r="A24" s="1" t="s">
        <v>127</v>
      </c>
      <c r="B24" s="4">
        <v>21.2</v>
      </c>
      <c r="C24" s="3">
        <v>18.34</v>
      </c>
      <c r="D24" s="4">
        <v>0.87855000000000005</v>
      </c>
      <c r="E24" s="3" t="s">
        <v>135</v>
      </c>
    </row>
    <row r="25" spans="1:5" hidden="1" x14ac:dyDescent="0.25">
      <c r="A25" s="1" t="s">
        <v>128</v>
      </c>
      <c r="B25" s="4">
        <v>20.54</v>
      </c>
      <c r="C25" s="3">
        <v>17.059999999999999</v>
      </c>
      <c r="D25" s="4">
        <v>0.80429600000000001</v>
      </c>
      <c r="E25" s="3" t="s">
        <v>135</v>
      </c>
    </row>
    <row r="26" spans="1:5" hidden="1" x14ac:dyDescent="0.25">
      <c r="A26" s="1" t="s">
        <v>129</v>
      </c>
      <c r="B26" s="4">
        <v>20.96</v>
      </c>
      <c r="C26" s="3">
        <v>17.850000000000001</v>
      </c>
      <c r="D26" s="4">
        <v>0.89104000000000005</v>
      </c>
      <c r="E26" s="3" t="s">
        <v>135</v>
      </c>
    </row>
    <row r="27" spans="1:5" hidden="1" x14ac:dyDescent="0.25">
      <c r="A27" s="1" t="s">
        <v>130</v>
      </c>
      <c r="B27" s="4">
        <v>21.61</v>
      </c>
      <c r="C27" s="3">
        <v>18.579999999999998</v>
      </c>
      <c r="D27" s="4">
        <v>0.66696</v>
      </c>
      <c r="E27" s="3" t="s">
        <v>135</v>
      </c>
    </row>
    <row r="28" spans="1:5" hidden="1" x14ac:dyDescent="0.25">
      <c r="A28" s="1" t="s">
        <v>131</v>
      </c>
      <c r="B28" s="4">
        <v>21.09</v>
      </c>
      <c r="C28" s="3">
        <v>19.11</v>
      </c>
      <c r="D28" s="4">
        <v>0.551431</v>
      </c>
      <c r="E28" s="3" t="s">
        <v>135</v>
      </c>
    </row>
    <row r="29" spans="1:5" hidden="1" x14ac:dyDescent="0.25">
      <c r="B29" s="4"/>
    </row>
    <row r="30" spans="1:5" hidden="1" x14ac:dyDescent="0.25">
      <c r="A30" s="1" t="s">
        <v>134</v>
      </c>
      <c r="B30" s="4"/>
    </row>
    <row r="31" spans="1:5" hidden="1" x14ac:dyDescent="0.25"/>
    <row r="32" spans="1:5" s="17" customFormat="1" ht="30" hidden="1" x14ac:dyDescent="0.25">
      <c r="A32" s="17" t="s">
        <v>74</v>
      </c>
      <c r="B32" s="55" t="s">
        <v>125</v>
      </c>
      <c r="C32" s="55" t="s">
        <v>76</v>
      </c>
      <c r="D32" s="55" t="s">
        <v>124</v>
      </c>
      <c r="E32" s="55"/>
    </row>
    <row r="33" spans="1:5" hidden="1" x14ac:dyDescent="0.25">
      <c r="A33" s="5" t="s">
        <v>62</v>
      </c>
      <c r="B33" s="52">
        <v>1</v>
      </c>
      <c r="C33" s="5"/>
      <c r="D33" s="5"/>
      <c r="E33" s="5"/>
    </row>
    <row r="34" spans="1:5" hidden="1" x14ac:dyDescent="0.25">
      <c r="A34" s="5" t="s">
        <v>180</v>
      </c>
      <c r="B34" s="52">
        <v>1</v>
      </c>
      <c r="C34" s="5"/>
      <c r="D34" s="5"/>
      <c r="E34" s="5"/>
    </row>
    <row r="35" spans="1:5" hidden="1" x14ac:dyDescent="0.25">
      <c r="A35" s="5" t="s">
        <v>80</v>
      </c>
      <c r="B35" s="52">
        <v>1</v>
      </c>
      <c r="C35" s="5"/>
      <c r="D35" s="5"/>
      <c r="E35" s="5"/>
    </row>
    <row r="36" spans="1:5" hidden="1" x14ac:dyDescent="0.25">
      <c r="A36" s="5" t="s">
        <v>110</v>
      </c>
      <c r="B36" s="52">
        <v>1</v>
      </c>
      <c r="C36" s="5"/>
      <c r="D36" s="5"/>
      <c r="E36" s="5"/>
    </row>
    <row r="37" spans="1:5" hidden="1" x14ac:dyDescent="0.25">
      <c r="A37" s="5" t="s">
        <v>56</v>
      </c>
      <c r="B37" s="52">
        <v>1</v>
      </c>
      <c r="C37" s="5"/>
      <c r="D37" s="5"/>
      <c r="E37" s="5"/>
    </row>
    <row r="38" spans="1:5" hidden="1" x14ac:dyDescent="0.25">
      <c r="A38" s="5" t="s">
        <v>63</v>
      </c>
      <c r="B38" s="52">
        <v>1</v>
      </c>
      <c r="C38" s="5"/>
      <c r="D38" s="5"/>
      <c r="E38" s="5"/>
    </row>
    <row r="39" spans="1:5" hidden="1" x14ac:dyDescent="0.25">
      <c r="A39" s="5" t="s">
        <v>65</v>
      </c>
      <c r="B39" s="52">
        <v>3</v>
      </c>
      <c r="C39" s="5"/>
      <c r="D39" s="5"/>
      <c r="E39" s="5"/>
    </row>
    <row r="40" spans="1:5" hidden="1" x14ac:dyDescent="0.25">
      <c r="A40" s="5" t="s">
        <v>46</v>
      </c>
      <c r="B40" s="52">
        <v>7</v>
      </c>
      <c r="C40" s="5"/>
      <c r="D40" s="5"/>
      <c r="E40" s="5"/>
    </row>
    <row r="41" spans="1:5" hidden="1" x14ac:dyDescent="0.25">
      <c r="A41" s="5" t="s">
        <v>47</v>
      </c>
      <c r="B41" s="52">
        <v>7</v>
      </c>
      <c r="C41" s="5"/>
      <c r="D41" s="5"/>
      <c r="E41" s="5"/>
    </row>
    <row r="42" spans="1:5" hidden="1" x14ac:dyDescent="0.25">
      <c r="A42" s="5" t="s">
        <v>27</v>
      </c>
      <c r="B42" s="52">
        <v>1</v>
      </c>
      <c r="C42" s="5"/>
      <c r="D42" s="5"/>
      <c r="E42" s="5"/>
    </row>
    <row r="43" spans="1:5" hidden="1" x14ac:dyDescent="0.25">
      <c r="A43" s="5" t="s">
        <v>66</v>
      </c>
      <c r="B43" s="52">
        <v>3</v>
      </c>
      <c r="C43" s="5"/>
      <c r="D43" s="5"/>
      <c r="E43" s="5"/>
    </row>
    <row r="44" spans="1:5" hidden="1" x14ac:dyDescent="0.25">
      <c r="A44" s="5" t="s">
        <v>176</v>
      </c>
      <c r="B44" s="52">
        <v>1</v>
      </c>
      <c r="C44" s="5"/>
      <c r="D44" s="5"/>
      <c r="E44" s="5"/>
    </row>
    <row r="45" spans="1:5" hidden="1" x14ac:dyDescent="0.25">
      <c r="A45" s="5" t="s">
        <v>102</v>
      </c>
      <c r="B45" s="52">
        <v>1</v>
      </c>
      <c r="C45" s="5"/>
      <c r="D45" s="5"/>
      <c r="E45" s="5"/>
    </row>
    <row r="46" spans="1:5" hidden="1" x14ac:dyDescent="0.25">
      <c r="A46" s="5" t="s">
        <v>92</v>
      </c>
      <c r="B46" s="52">
        <v>1</v>
      </c>
      <c r="C46" s="5"/>
      <c r="D46" s="5"/>
      <c r="E46" s="5"/>
    </row>
    <row r="47" spans="1:5" hidden="1" x14ac:dyDescent="0.25">
      <c r="A47" s="5" t="s">
        <v>35</v>
      </c>
      <c r="B47" s="52">
        <v>2</v>
      </c>
      <c r="C47" s="5"/>
      <c r="D47" s="5"/>
      <c r="E47" s="5"/>
    </row>
    <row r="48" spans="1:5" hidden="1" x14ac:dyDescent="0.25">
      <c r="A48" s="5" t="s">
        <v>123</v>
      </c>
      <c r="B48" s="52">
        <v>1</v>
      </c>
      <c r="C48" s="5"/>
      <c r="D48" s="5"/>
      <c r="E48" s="5"/>
    </row>
    <row r="49" spans="1:5" hidden="1" x14ac:dyDescent="0.25">
      <c r="A49" s="5" t="s">
        <v>38</v>
      </c>
      <c r="B49" s="52">
        <v>2</v>
      </c>
      <c r="C49" s="5"/>
      <c r="D49" s="5"/>
      <c r="E49" s="5"/>
    </row>
    <row r="50" spans="1:5" hidden="1" x14ac:dyDescent="0.25">
      <c r="A50" s="5" t="s">
        <v>44</v>
      </c>
      <c r="B50" s="52">
        <v>1</v>
      </c>
      <c r="C50" s="5"/>
      <c r="D50" s="5"/>
      <c r="E50" s="5"/>
    </row>
    <row r="51" spans="1:5" hidden="1" x14ac:dyDescent="0.25">
      <c r="A51" s="5" t="s">
        <v>39</v>
      </c>
      <c r="B51" s="52">
        <v>1</v>
      </c>
      <c r="C51" s="5"/>
      <c r="D51" s="5"/>
      <c r="E51" s="5"/>
    </row>
    <row r="52" spans="1:5" hidden="1" x14ac:dyDescent="0.25">
      <c r="A52" s="5" t="s">
        <v>13</v>
      </c>
      <c r="B52" s="52">
        <v>1</v>
      </c>
      <c r="C52" s="5"/>
      <c r="D52" s="5"/>
      <c r="E52" s="5"/>
    </row>
    <row r="53" spans="1:5" hidden="1" x14ac:dyDescent="0.25">
      <c r="A53" s="5" t="s">
        <v>85</v>
      </c>
      <c r="B53" s="52">
        <v>1</v>
      </c>
      <c r="C53" s="5"/>
      <c r="D53" s="5"/>
      <c r="E53" s="5"/>
    </row>
    <row r="54" spans="1:5" hidden="1" x14ac:dyDescent="0.25">
      <c r="A54" s="5" t="s">
        <v>69</v>
      </c>
      <c r="B54" s="52">
        <v>16</v>
      </c>
      <c r="C54" s="5"/>
      <c r="D54" s="5"/>
      <c r="E54" s="5"/>
    </row>
    <row r="55" spans="1:5" hidden="1" x14ac:dyDescent="0.25">
      <c r="A55" s="5" t="s">
        <v>53</v>
      </c>
      <c r="B55" s="52">
        <v>1</v>
      </c>
      <c r="C55" s="5"/>
      <c r="D55" s="5"/>
      <c r="E55" s="5"/>
    </row>
    <row r="56" spans="1:5" hidden="1" x14ac:dyDescent="0.25">
      <c r="A56" s="5" t="s">
        <v>178</v>
      </c>
      <c r="B56" s="52">
        <v>3</v>
      </c>
      <c r="C56" s="5"/>
      <c r="D56" s="5"/>
      <c r="E56" s="5"/>
    </row>
    <row r="57" spans="1:5" hidden="1" x14ac:dyDescent="0.25">
      <c r="A57" s="5" t="s">
        <v>197</v>
      </c>
      <c r="B57" s="52">
        <v>1</v>
      </c>
      <c r="C57" s="5"/>
      <c r="D57" s="5"/>
      <c r="E57" s="5"/>
    </row>
    <row r="58" spans="1:5" hidden="1" x14ac:dyDescent="0.25">
      <c r="A58" s="5" t="s">
        <v>60</v>
      </c>
      <c r="B58" s="52">
        <v>4</v>
      </c>
      <c r="C58" s="5"/>
      <c r="D58" s="5"/>
      <c r="E58" s="5"/>
    </row>
    <row r="59" spans="1:5" hidden="1" x14ac:dyDescent="0.25">
      <c r="A59" s="5" t="s">
        <v>106</v>
      </c>
      <c r="B59" s="52">
        <v>1</v>
      </c>
      <c r="C59" s="5"/>
      <c r="D59" s="5"/>
      <c r="E59" s="5"/>
    </row>
    <row r="60" spans="1:5" hidden="1" x14ac:dyDescent="0.25">
      <c r="A60" s="5" t="s">
        <v>73</v>
      </c>
      <c r="B60" s="52">
        <v>1</v>
      </c>
      <c r="C60" s="5"/>
      <c r="D60" s="5"/>
      <c r="E60" s="5"/>
    </row>
    <row r="61" spans="1:5" hidden="1" x14ac:dyDescent="0.25">
      <c r="A61" s="5" t="s">
        <v>89</v>
      </c>
      <c r="B61" s="52">
        <v>1</v>
      </c>
      <c r="C61" s="5"/>
      <c r="D61" s="5"/>
      <c r="E61" s="5"/>
    </row>
    <row r="62" spans="1:5" hidden="1" x14ac:dyDescent="0.25">
      <c r="A62" s="5" t="s">
        <v>206</v>
      </c>
      <c r="B62" s="52">
        <v>2</v>
      </c>
      <c r="C62" s="5"/>
      <c r="D62" s="5"/>
      <c r="E62" s="5"/>
    </row>
    <row r="63" spans="1:5" hidden="1" x14ac:dyDescent="0.25">
      <c r="A63" s="5" t="s">
        <v>49</v>
      </c>
      <c r="B63" s="52">
        <v>1</v>
      </c>
      <c r="C63" s="5"/>
      <c r="D63" s="5"/>
      <c r="E63" s="5"/>
    </row>
    <row r="64" spans="1:5" hidden="1" x14ac:dyDescent="0.25">
      <c r="A64" s="5" t="s">
        <v>94</v>
      </c>
      <c r="B64" s="52">
        <v>2</v>
      </c>
      <c r="C64" s="5"/>
      <c r="D64" s="5"/>
      <c r="E64" s="5"/>
    </row>
    <row r="65" spans="1:5" hidden="1" x14ac:dyDescent="0.25">
      <c r="A65" s="5" t="s">
        <v>42</v>
      </c>
      <c r="B65" s="52">
        <v>2</v>
      </c>
      <c r="C65" s="5"/>
      <c r="D65" s="5"/>
      <c r="E65" s="5"/>
    </row>
    <row r="66" spans="1:5" s="3" customFormat="1" hidden="1" x14ac:dyDescent="0.25">
      <c r="A66" s="9"/>
      <c r="B66" s="11"/>
      <c r="C66" s="11"/>
      <c r="D66" s="12"/>
    </row>
    <row r="67" spans="1:5" s="3" customFormat="1" hidden="1" x14ac:dyDescent="0.25">
      <c r="A67" s="9"/>
      <c r="B67" s="11"/>
      <c r="C67" s="11"/>
      <c r="D67" s="12"/>
    </row>
    <row r="68" spans="1:5" s="3" customFormat="1" hidden="1" x14ac:dyDescent="0.25">
      <c r="A68" s="9"/>
      <c r="B68" s="11"/>
      <c r="C68" s="11"/>
      <c r="D68" s="12"/>
    </row>
    <row r="69" spans="1:5" s="3" customFormat="1" hidden="1" x14ac:dyDescent="0.25">
      <c r="A69" s="9"/>
      <c r="B69" s="11"/>
      <c r="C69" s="11"/>
      <c r="D69" s="12"/>
    </row>
    <row r="70" spans="1:5" s="3" customFormat="1" x14ac:dyDescent="0.25">
      <c r="A70" s="9"/>
      <c r="B70" s="11"/>
      <c r="C70" s="11"/>
      <c r="D70" s="12"/>
    </row>
    <row r="71" spans="1:5" s="3" customFormat="1" x14ac:dyDescent="0.25">
      <c r="A71" s="9"/>
      <c r="B71" s="11"/>
      <c r="C71" s="11"/>
      <c r="D71" s="12"/>
    </row>
    <row r="72" spans="1:5" s="3" customFormat="1" x14ac:dyDescent="0.25">
      <c r="A72" s="9"/>
      <c r="B72" s="11"/>
      <c r="C72" s="11"/>
      <c r="D72" s="12"/>
    </row>
    <row r="73" spans="1:5" s="3" customFormat="1" x14ac:dyDescent="0.25">
      <c r="A73" s="9"/>
      <c r="B73" s="11"/>
      <c r="C73" s="11"/>
      <c r="D73" s="12"/>
    </row>
    <row r="74" spans="1:5" s="3" customFormat="1" x14ac:dyDescent="0.25">
      <c r="A74" s="9"/>
      <c r="B74" s="11"/>
      <c r="C74" s="11"/>
      <c r="D74" s="12"/>
    </row>
    <row r="75" spans="1:5" s="3" customFormat="1" x14ac:dyDescent="0.25">
      <c r="A75" s="9"/>
      <c r="B75" s="11"/>
      <c r="C75" s="11"/>
      <c r="D75" s="12"/>
    </row>
    <row r="76" spans="1:5" s="3" customFormat="1" x14ac:dyDescent="0.25">
      <c r="A76" s="9"/>
      <c r="B76" s="11"/>
      <c r="C76" s="11"/>
      <c r="D76" s="12"/>
    </row>
    <row r="77" spans="1:5" s="3" customFormat="1" x14ac:dyDescent="0.25">
      <c r="A77" s="9"/>
      <c r="B77" s="11"/>
      <c r="C77" s="11"/>
      <c r="D77" s="12"/>
    </row>
    <row r="78" spans="1:5" s="3" customFormat="1" x14ac:dyDescent="0.25">
      <c r="A78" s="9"/>
      <c r="B78" s="11"/>
      <c r="C78" s="11"/>
      <c r="D78" s="12"/>
    </row>
    <row r="79" spans="1:5" s="3" customFormat="1" x14ac:dyDescent="0.25">
      <c r="A79" s="9"/>
      <c r="B79" s="11"/>
      <c r="C79" s="11"/>
      <c r="D79" s="12"/>
    </row>
    <row r="80" spans="1:5" s="3" customFormat="1" x14ac:dyDescent="0.25">
      <c r="A80" s="9"/>
      <c r="B80" s="11"/>
      <c r="C80" s="11"/>
      <c r="D80" s="12"/>
    </row>
    <row r="81" spans="1:4" s="3" customFormat="1" x14ac:dyDescent="0.25">
      <c r="A81" s="9"/>
      <c r="B81" s="11"/>
      <c r="C81" s="11"/>
      <c r="D81" s="12"/>
    </row>
    <row r="82" spans="1:4" s="3" customFormat="1" x14ac:dyDescent="0.25">
      <c r="A82" s="9"/>
      <c r="B82" s="11"/>
      <c r="C82" s="11"/>
      <c r="D82" s="12"/>
    </row>
    <row r="83" spans="1:4" s="3" customFormat="1" x14ac:dyDescent="0.25">
      <c r="A83" s="9"/>
      <c r="B83" s="11"/>
      <c r="C83" s="11"/>
      <c r="D83" s="12"/>
    </row>
    <row r="84" spans="1:4" s="3" customFormat="1" x14ac:dyDescent="0.25">
      <c r="A84" s="9"/>
      <c r="B84" s="11"/>
      <c r="C84" s="11"/>
      <c r="D84" s="12"/>
    </row>
    <row r="85" spans="1:4" s="3" customFormat="1" x14ac:dyDescent="0.25">
      <c r="A85" s="9"/>
      <c r="B85" s="11"/>
      <c r="C85" s="11"/>
      <c r="D85" s="12"/>
    </row>
    <row r="86" spans="1:4" s="3" customFormat="1" x14ac:dyDescent="0.25">
      <c r="A86" s="9"/>
      <c r="B86" s="11"/>
      <c r="C86" s="11"/>
      <c r="D86" s="12"/>
    </row>
    <row r="87" spans="1:4" s="3" customFormat="1" x14ac:dyDescent="0.25">
      <c r="A87" s="9"/>
      <c r="B87" s="11"/>
      <c r="C87" s="11"/>
      <c r="D87" s="12"/>
    </row>
    <row r="88" spans="1:4" s="3" customFormat="1" x14ac:dyDescent="0.25">
      <c r="A88" s="9"/>
      <c r="B88" s="11"/>
      <c r="C88" s="11"/>
      <c r="D88" s="12"/>
    </row>
    <row r="89" spans="1:4" s="3" customFormat="1" x14ac:dyDescent="0.25">
      <c r="A89" s="9"/>
      <c r="B89" s="11"/>
      <c r="C89" s="11"/>
      <c r="D89" s="12"/>
    </row>
    <row r="90" spans="1:4" s="3" customFormat="1" x14ac:dyDescent="0.25">
      <c r="A90" s="9"/>
      <c r="B90" s="11"/>
      <c r="C90" s="11"/>
      <c r="D90" s="12"/>
    </row>
    <row r="91" spans="1:4" s="3" customFormat="1" x14ac:dyDescent="0.25">
      <c r="A91" s="9"/>
      <c r="B91" s="11"/>
      <c r="C91" s="11"/>
      <c r="D91" s="12"/>
    </row>
    <row r="92" spans="1:4" s="3" customFormat="1" x14ac:dyDescent="0.25">
      <c r="A92" s="9"/>
      <c r="B92" s="11"/>
      <c r="C92" s="11"/>
      <c r="D92" s="12"/>
    </row>
    <row r="93" spans="1:4" x14ac:dyDescent="0.25">
      <c r="A93" s="9"/>
      <c r="B93" s="11"/>
      <c r="C93" s="11"/>
      <c r="D93" s="12"/>
    </row>
    <row r="94" spans="1:4" x14ac:dyDescent="0.25">
      <c r="A94" s="9"/>
      <c r="B94" s="11"/>
      <c r="C94" s="11"/>
      <c r="D94" s="12"/>
    </row>
    <row r="95" spans="1:4" x14ac:dyDescent="0.25">
      <c r="A95" s="9"/>
      <c r="B95" s="11"/>
      <c r="C95" s="11"/>
      <c r="D95" s="12"/>
    </row>
    <row r="96" spans="1:4" x14ac:dyDescent="0.25">
      <c r="A96" s="9"/>
      <c r="B96" s="11"/>
      <c r="C96" s="11"/>
      <c r="D96" s="12"/>
    </row>
    <row r="97" spans="1:4" x14ac:dyDescent="0.25">
      <c r="A97" s="9"/>
      <c r="B97" s="11"/>
      <c r="C97" s="11"/>
      <c r="D97" s="12"/>
    </row>
    <row r="98" spans="1:4" x14ac:dyDescent="0.25">
      <c r="A98" s="9"/>
      <c r="B98" s="11"/>
      <c r="C98" s="11"/>
      <c r="D98" s="12"/>
    </row>
    <row r="99" spans="1:4" x14ac:dyDescent="0.25">
      <c r="A99" s="9"/>
      <c r="B99" s="11"/>
      <c r="C99" s="11"/>
      <c r="D99" s="12"/>
    </row>
    <row r="100" spans="1:4" x14ac:dyDescent="0.25">
      <c r="A100" s="9"/>
      <c r="B100" s="11"/>
      <c r="C100" s="11"/>
      <c r="D100" s="12"/>
    </row>
    <row r="101" spans="1:4" x14ac:dyDescent="0.25">
      <c r="A101" s="9"/>
      <c r="B101" s="11"/>
      <c r="C101" s="11"/>
      <c r="D101" s="12"/>
    </row>
    <row r="102" spans="1:4" x14ac:dyDescent="0.25">
      <c r="A102" s="9"/>
      <c r="B102" s="11"/>
      <c r="C102" s="11"/>
      <c r="D102" s="12"/>
    </row>
  </sheetData>
  <mergeCells count="1">
    <mergeCell ref="B22:D22"/>
  </mergeCells>
  <pageMargins left="0.7" right="0.7" top="0.75" bottom="0.75" header="0.3" footer="0.3"/>
  <pageSetup scale="95" fitToHeight="0" orientation="portrait" r:id="rId1"/>
  <headerFooter>
    <oddHeader>&amp;L&amp;"Times New Roman,Bold"&amp;F, &amp;A</oddHeader>
    <oddFooter>&amp;L&amp;"Times New Roman,Bold"&amp;8Office of Institutional Research and Assessment
&amp;F, &amp;A&amp;R&amp;"Times New Roman,Bold"&amp;8Page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E95"/>
  <sheetViews>
    <sheetView workbookViewId="0">
      <selection activeCell="B22" sqref="B22"/>
    </sheetView>
  </sheetViews>
  <sheetFormatPr defaultColWidth="8.85546875" defaultRowHeight="15" x14ac:dyDescent="0.25"/>
  <cols>
    <col min="1" max="1" width="28.85546875" style="1" bestFit="1" customWidth="1"/>
    <col min="2" max="2" width="18.28515625" style="3" bestFit="1" customWidth="1"/>
    <col min="3" max="3" width="12.85546875" style="3" bestFit="1" customWidth="1"/>
    <col min="4" max="4" width="10.5703125" style="3" bestFit="1" customWidth="1"/>
    <col min="5" max="5" width="11.85546875" style="3" bestFit="1" customWidth="1"/>
    <col min="6" max="16384" width="8.85546875" style="5"/>
  </cols>
  <sheetData>
    <row r="10" spans="1:5" s="1" customFormat="1" x14ac:dyDescent="0.25">
      <c r="A10" s="1" t="s">
        <v>214</v>
      </c>
      <c r="B10" s="57"/>
      <c r="C10" s="57"/>
      <c r="D10" s="57"/>
      <c r="E10" s="57"/>
    </row>
    <row r="11" spans="1:5" s="1" customFormat="1" x14ac:dyDescent="0.25">
      <c r="B11" s="57" t="s">
        <v>6</v>
      </c>
      <c r="C11" s="57" t="s">
        <v>10</v>
      </c>
      <c r="D11" s="57" t="s">
        <v>7</v>
      </c>
      <c r="E11" s="57" t="s">
        <v>8</v>
      </c>
    </row>
    <row r="12" spans="1:5" x14ac:dyDescent="0.25">
      <c r="A12" s="1" t="s">
        <v>0</v>
      </c>
      <c r="B12" s="59">
        <v>25</v>
      </c>
      <c r="C12" s="60">
        <v>1.1599999999999999</v>
      </c>
      <c r="D12" s="60">
        <v>1.28</v>
      </c>
      <c r="E12" s="60">
        <v>1.1100000000000001</v>
      </c>
    </row>
    <row r="13" spans="1:5" x14ac:dyDescent="0.25">
      <c r="A13" s="1" t="s">
        <v>1</v>
      </c>
      <c r="B13" s="59">
        <v>3</v>
      </c>
      <c r="C13" s="60">
        <v>1.64</v>
      </c>
      <c r="D13" s="60">
        <v>1.77</v>
      </c>
      <c r="E13" s="60">
        <v>1.67</v>
      </c>
    </row>
    <row r="14" spans="1:5" x14ac:dyDescent="0.25">
      <c r="A14" s="1" t="s">
        <v>2</v>
      </c>
      <c r="B14" s="59">
        <v>0</v>
      </c>
      <c r="C14" s="60">
        <v>1.79</v>
      </c>
      <c r="D14" s="60">
        <v>1.94</v>
      </c>
      <c r="E14" s="60">
        <v>4</v>
      </c>
    </row>
    <row r="15" spans="1:5" x14ac:dyDescent="0.25">
      <c r="A15" s="1" t="s">
        <v>3</v>
      </c>
      <c r="B15" s="59">
        <v>2</v>
      </c>
      <c r="C15" s="60">
        <v>1.89</v>
      </c>
      <c r="D15" s="60">
        <v>1.9</v>
      </c>
      <c r="E15" s="60">
        <v>1.89</v>
      </c>
    </row>
    <row r="17" spans="1:5" x14ac:dyDescent="0.25">
      <c r="A17" s="1" t="s">
        <v>4</v>
      </c>
      <c r="B17" s="3">
        <v>1</v>
      </c>
      <c r="C17" s="4">
        <v>1.31</v>
      </c>
      <c r="D17" s="4">
        <v>1.63</v>
      </c>
      <c r="E17" s="4">
        <v>0</v>
      </c>
    </row>
    <row r="18" spans="1:5" x14ac:dyDescent="0.25">
      <c r="C18" s="4"/>
      <c r="D18" s="4"/>
      <c r="E18" s="4"/>
    </row>
    <row r="19" spans="1:5" x14ac:dyDescent="0.25">
      <c r="A19" s="1" t="s">
        <v>139</v>
      </c>
      <c r="B19" s="3">
        <f>SUM(B12:B17)</f>
        <v>31</v>
      </c>
      <c r="C19" s="4"/>
      <c r="D19" s="4"/>
      <c r="E19" s="4"/>
    </row>
    <row r="20" spans="1:5" x14ac:dyDescent="0.25">
      <c r="C20" s="4"/>
      <c r="D20" s="4"/>
      <c r="E20" s="4"/>
    </row>
    <row r="21" spans="1:5" x14ac:dyDescent="0.25">
      <c r="A21" s="1" t="s">
        <v>215</v>
      </c>
      <c r="B21" s="3">
        <v>2</v>
      </c>
      <c r="C21" s="61">
        <v>0.184</v>
      </c>
      <c r="D21" s="61">
        <v>0.184</v>
      </c>
      <c r="E21" s="61">
        <v>0</v>
      </c>
    </row>
    <row r="23" spans="1:5" s="1" customFormat="1" hidden="1" x14ac:dyDescent="0.25">
      <c r="B23" s="68" t="s">
        <v>132</v>
      </c>
      <c r="C23" s="68"/>
      <c r="D23" s="68"/>
      <c r="E23" s="57"/>
    </row>
    <row r="24" spans="1:5" s="1" customFormat="1" hidden="1" x14ac:dyDescent="0.25">
      <c r="B24" s="57" t="s">
        <v>126</v>
      </c>
      <c r="C24" s="57" t="s">
        <v>75</v>
      </c>
      <c r="D24" s="57" t="s">
        <v>136</v>
      </c>
      <c r="E24" s="57" t="s">
        <v>133</v>
      </c>
    </row>
    <row r="25" spans="1:5" hidden="1" x14ac:dyDescent="0.25">
      <c r="A25" s="1" t="s">
        <v>127</v>
      </c>
      <c r="B25" s="69" t="s">
        <v>174</v>
      </c>
      <c r="C25" s="69"/>
      <c r="D25" s="69"/>
      <c r="E25" s="69"/>
    </row>
    <row r="26" spans="1:5" hidden="1" x14ac:dyDescent="0.25">
      <c r="A26" s="1" t="s">
        <v>128</v>
      </c>
      <c r="B26" s="69"/>
      <c r="C26" s="69"/>
      <c r="D26" s="69"/>
      <c r="E26" s="69"/>
    </row>
    <row r="27" spans="1:5" hidden="1" x14ac:dyDescent="0.25">
      <c r="A27" s="1" t="s">
        <v>129</v>
      </c>
      <c r="B27" s="69"/>
      <c r="C27" s="69"/>
      <c r="D27" s="69"/>
      <c r="E27" s="69"/>
    </row>
    <row r="28" spans="1:5" hidden="1" x14ac:dyDescent="0.25">
      <c r="A28" s="1" t="s">
        <v>130</v>
      </c>
      <c r="B28" s="69"/>
      <c r="C28" s="69"/>
      <c r="D28" s="69"/>
      <c r="E28" s="69"/>
    </row>
    <row r="29" spans="1:5" hidden="1" x14ac:dyDescent="0.25">
      <c r="A29" s="1" t="s">
        <v>131</v>
      </c>
      <c r="B29" s="69"/>
      <c r="C29" s="69"/>
      <c r="D29" s="69"/>
      <c r="E29" s="69"/>
    </row>
    <row r="30" spans="1:5" hidden="1" x14ac:dyDescent="0.25">
      <c r="B30" s="4"/>
    </row>
    <row r="31" spans="1:5" hidden="1" x14ac:dyDescent="0.25">
      <c r="A31" s="1" t="s">
        <v>134</v>
      </c>
      <c r="B31" s="4"/>
    </row>
    <row r="32" spans="1:5" hidden="1" x14ac:dyDescent="0.25"/>
    <row r="33" spans="1:5" s="1" customFormat="1" hidden="1" x14ac:dyDescent="0.25">
      <c r="A33" s="1" t="s">
        <v>11</v>
      </c>
      <c r="B33" s="57" t="s">
        <v>77</v>
      </c>
      <c r="C33" s="57" t="s">
        <v>76</v>
      </c>
      <c r="D33" s="57" t="s">
        <v>78</v>
      </c>
      <c r="E33" s="57"/>
    </row>
    <row r="34" spans="1:5" hidden="1" x14ac:dyDescent="0.25">
      <c r="A34" s="32" t="s">
        <v>12</v>
      </c>
      <c r="B34" s="33">
        <v>1</v>
      </c>
      <c r="C34" s="3">
        <v>52</v>
      </c>
      <c r="D34" s="34">
        <f>B34/C34</f>
        <v>1.9230769230769232E-2</v>
      </c>
      <c r="E34" s="5"/>
    </row>
    <row r="35" spans="1:5" hidden="1" x14ac:dyDescent="0.25">
      <c r="A35" s="32" t="s">
        <v>13</v>
      </c>
      <c r="B35" s="33">
        <v>2</v>
      </c>
      <c r="C35" s="3">
        <v>45</v>
      </c>
      <c r="D35" s="34">
        <f t="shared" ref="D35:D76" si="0">B35/C35</f>
        <v>4.4444444444444446E-2</v>
      </c>
      <c r="E35" s="5"/>
    </row>
    <row r="36" spans="1:5" hidden="1" x14ac:dyDescent="0.25">
      <c r="A36" s="32" t="s">
        <v>15</v>
      </c>
      <c r="B36" s="33">
        <v>1</v>
      </c>
      <c r="C36" s="3">
        <v>65</v>
      </c>
      <c r="D36" s="34">
        <f t="shared" si="0"/>
        <v>1.5384615384615385E-2</v>
      </c>
      <c r="E36" s="5"/>
    </row>
    <row r="37" spans="1:5" hidden="1" x14ac:dyDescent="0.25">
      <c r="A37" s="32" t="s">
        <v>16</v>
      </c>
      <c r="B37" s="33">
        <v>2</v>
      </c>
      <c r="C37" s="29">
        <v>78</v>
      </c>
      <c r="D37" s="34">
        <f t="shared" si="0"/>
        <v>2.564102564102564E-2</v>
      </c>
      <c r="E37" s="5"/>
    </row>
    <row r="38" spans="1:5" hidden="1" x14ac:dyDescent="0.25">
      <c r="A38" s="32" t="s">
        <v>17</v>
      </c>
      <c r="B38" s="33">
        <v>1</v>
      </c>
      <c r="C38" s="29">
        <v>56</v>
      </c>
      <c r="D38" s="34">
        <f t="shared" si="0"/>
        <v>1.7857142857142856E-2</v>
      </c>
      <c r="E38" s="5"/>
    </row>
    <row r="39" spans="1:5" hidden="1" x14ac:dyDescent="0.25">
      <c r="A39" s="32" t="s">
        <v>19</v>
      </c>
      <c r="B39" s="33">
        <v>1</v>
      </c>
      <c r="C39" s="29">
        <v>57</v>
      </c>
      <c r="D39" s="34">
        <f t="shared" si="0"/>
        <v>1.7543859649122806E-2</v>
      </c>
      <c r="E39" s="5"/>
    </row>
    <row r="40" spans="1:5" hidden="1" x14ac:dyDescent="0.25">
      <c r="A40" s="32" t="s">
        <v>20</v>
      </c>
      <c r="B40" s="33">
        <v>1</v>
      </c>
      <c r="C40" s="29">
        <v>39</v>
      </c>
      <c r="D40" s="34">
        <f t="shared" si="0"/>
        <v>2.564102564102564E-2</v>
      </c>
      <c r="E40" s="5"/>
    </row>
    <row r="41" spans="1:5" hidden="1" x14ac:dyDescent="0.25">
      <c r="A41" s="32" t="s">
        <v>123</v>
      </c>
      <c r="B41" s="33">
        <v>1</v>
      </c>
      <c r="C41" s="29">
        <v>14</v>
      </c>
      <c r="D41" s="34">
        <f t="shared" si="0"/>
        <v>7.1428571428571425E-2</v>
      </c>
      <c r="E41" s="5"/>
    </row>
    <row r="42" spans="1:5" hidden="1" x14ac:dyDescent="0.25">
      <c r="A42" s="32" t="s">
        <v>21</v>
      </c>
      <c r="B42" s="33">
        <v>8</v>
      </c>
      <c r="C42" s="29">
        <v>77</v>
      </c>
      <c r="D42" s="34">
        <f t="shared" si="0"/>
        <v>0.1038961038961039</v>
      </c>
      <c r="E42" s="5"/>
    </row>
    <row r="43" spans="1:5" hidden="1" x14ac:dyDescent="0.25">
      <c r="A43" s="32" t="s">
        <v>114</v>
      </c>
      <c r="B43" s="33">
        <v>1</v>
      </c>
      <c r="C43" s="29">
        <v>58</v>
      </c>
      <c r="D43" s="34">
        <f t="shared" si="0"/>
        <v>1.7241379310344827E-2</v>
      </c>
      <c r="E43" s="5"/>
    </row>
    <row r="44" spans="1:5" hidden="1" x14ac:dyDescent="0.25">
      <c r="A44" s="32" t="s">
        <v>27</v>
      </c>
      <c r="B44" s="33">
        <v>1</v>
      </c>
      <c r="C44" s="29">
        <v>64</v>
      </c>
      <c r="D44" s="34">
        <f t="shared" si="0"/>
        <v>1.5625E-2</v>
      </c>
      <c r="E44" s="5"/>
    </row>
    <row r="45" spans="1:5" hidden="1" x14ac:dyDescent="0.25">
      <c r="A45" s="32" t="s">
        <v>175</v>
      </c>
      <c r="B45" s="33">
        <v>1</v>
      </c>
      <c r="C45" s="29">
        <v>44</v>
      </c>
      <c r="D45" s="34">
        <f t="shared" si="0"/>
        <v>2.2727272727272728E-2</v>
      </c>
      <c r="E45" s="5"/>
    </row>
    <row r="46" spans="1:5" hidden="1" x14ac:dyDescent="0.25">
      <c r="A46" s="32" t="s">
        <v>176</v>
      </c>
      <c r="B46" s="33">
        <v>1</v>
      </c>
      <c r="C46" s="29">
        <v>50</v>
      </c>
      <c r="D46" s="34">
        <f t="shared" si="0"/>
        <v>0.02</v>
      </c>
      <c r="E46" s="5"/>
    </row>
    <row r="47" spans="1:5" hidden="1" x14ac:dyDescent="0.25">
      <c r="A47" s="32" t="s">
        <v>32</v>
      </c>
      <c r="B47" s="33">
        <v>1</v>
      </c>
      <c r="C47" s="29">
        <v>28</v>
      </c>
      <c r="D47" s="34">
        <f t="shared" si="0"/>
        <v>3.5714285714285712E-2</v>
      </c>
      <c r="E47" s="5"/>
    </row>
    <row r="48" spans="1:5" hidden="1" x14ac:dyDescent="0.25">
      <c r="A48" s="32" t="s">
        <v>34</v>
      </c>
      <c r="B48" s="33">
        <v>1</v>
      </c>
      <c r="C48" s="29">
        <v>47</v>
      </c>
      <c r="D48" s="34">
        <f t="shared" si="0"/>
        <v>2.1276595744680851E-2</v>
      </c>
      <c r="E48" s="5"/>
    </row>
    <row r="49" spans="1:5" hidden="1" x14ac:dyDescent="0.25">
      <c r="A49" s="32" t="s">
        <v>85</v>
      </c>
      <c r="B49" s="33">
        <v>1</v>
      </c>
      <c r="C49" s="29">
        <v>9</v>
      </c>
      <c r="D49" s="34">
        <f t="shared" si="0"/>
        <v>0.1111111111111111</v>
      </c>
      <c r="E49" s="5"/>
    </row>
    <row r="50" spans="1:5" hidden="1" x14ac:dyDescent="0.25">
      <c r="A50" s="32" t="s">
        <v>86</v>
      </c>
      <c r="B50" s="33">
        <v>2</v>
      </c>
      <c r="C50" s="29">
        <v>14</v>
      </c>
      <c r="D50" s="34">
        <f t="shared" si="0"/>
        <v>0.14285714285714285</v>
      </c>
      <c r="E50" s="5"/>
    </row>
    <row r="51" spans="1:5" hidden="1" x14ac:dyDescent="0.25">
      <c r="A51" s="32" t="s">
        <v>37</v>
      </c>
      <c r="B51" s="33">
        <v>1</v>
      </c>
      <c r="C51" s="29">
        <v>41</v>
      </c>
      <c r="D51" s="34">
        <f t="shared" si="0"/>
        <v>2.4390243902439025E-2</v>
      </c>
      <c r="E51" s="5"/>
    </row>
    <row r="52" spans="1:5" hidden="1" x14ac:dyDescent="0.25">
      <c r="A52" s="32" t="s">
        <v>38</v>
      </c>
      <c r="B52" s="33">
        <v>2</v>
      </c>
      <c r="C52" s="29">
        <v>41</v>
      </c>
      <c r="D52" s="34">
        <f t="shared" si="0"/>
        <v>4.878048780487805E-2</v>
      </c>
      <c r="E52" s="5"/>
    </row>
    <row r="53" spans="1:5" hidden="1" x14ac:dyDescent="0.25">
      <c r="A53" s="32" t="s">
        <v>89</v>
      </c>
      <c r="B53" s="33">
        <v>1</v>
      </c>
      <c r="C53" s="29">
        <v>49</v>
      </c>
      <c r="D53" s="34">
        <f t="shared" si="0"/>
        <v>2.0408163265306121E-2</v>
      </c>
      <c r="E53" s="5"/>
    </row>
    <row r="54" spans="1:5" hidden="1" x14ac:dyDescent="0.25">
      <c r="A54" s="32" t="s">
        <v>104</v>
      </c>
      <c r="B54" s="33">
        <v>1</v>
      </c>
      <c r="C54" s="29">
        <v>44</v>
      </c>
      <c r="D54" s="34">
        <f t="shared" si="0"/>
        <v>2.2727272727272728E-2</v>
      </c>
      <c r="E54" s="5"/>
    </row>
    <row r="55" spans="1:5" hidden="1" x14ac:dyDescent="0.25">
      <c r="A55" s="32" t="s">
        <v>39</v>
      </c>
      <c r="B55" s="33">
        <v>1</v>
      </c>
      <c r="C55" s="29">
        <v>28</v>
      </c>
      <c r="D55" s="34">
        <f t="shared" si="0"/>
        <v>3.5714285714285712E-2</v>
      </c>
      <c r="E55" s="5"/>
    </row>
    <row r="56" spans="1:5" hidden="1" x14ac:dyDescent="0.25">
      <c r="A56" s="32" t="s">
        <v>42</v>
      </c>
      <c r="B56" s="33">
        <v>1</v>
      </c>
      <c r="C56" s="29">
        <v>24</v>
      </c>
      <c r="D56" s="34">
        <f t="shared" si="0"/>
        <v>4.1666666666666664E-2</v>
      </c>
      <c r="E56" s="5"/>
    </row>
    <row r="57" spans="1:5" hidden="1" x14ac:dyDescent="0.25">
      <c r="A57" s="32" t="s">
        <v>177</v>
      </c>
      <c r="B57" s="33">
        <v>1</v>
      </c>
      <c r="C57" s="29">
        <v>4</v>
      </c>
      <c r="D57" s="34">
        <f t="shared" si="0"/>
        <v>0.25</v>
      </c>
      <c r="E57" s="5"/>
    </row>
    <row r="58" spans="1:5" hidden="1" x14ac:dyDescent="0.25">
      <c r="A58" s="32" t="s">
        <v>43</v>
      </c>
      <c r="B58" s="33">
        <v>4</v>
      </c>
      <c r="C58" s="29">
        <v>70</v>
      </c>
      <c r="D58" s="34">
        <f t="shared" si="0"/>
        <v>5.7142857142857141E-2</v>
      </c>
      <c r="E58" s="5"/>
    </row>
    <row r="59" spans="1:5" hidden="1" x14ac:dyDescent="0.25">
      <c r="A59" s="32" t="s">
        <v>44</v>
      </c>
      <c r="B59" s="33">
        <v>1</v>
      </c>
      <c r="C59" s="29">
        <v>38</v>
      </c>
      <c r="D59" s="34">
        <f t="shared" si="0"/>
        <v>2.6315789473684209E-2</v>
      </c>
      <c r="E59" s="5"/>
    </row>
    <row r="60" spans="1:5" hidden="1" x14ac:dyDescent="0.25">
      <c r="A60" s="32" t="s">
        <v>46</v>
      </c>
      <c r="B60" s="33">
        <v>7</v>
      </c>
      <c r="C60" s="29">
        <v>162</v>
      </c>
      <c r="D60" s="34">
        <f t="shared" si="0"/>
        <v>4.3209876543209874E-2</v>
      </c>
      <c r="E60" s="5"/>
    </row>
    <row r="61" spans="1:5" hidden="1" x14ac:dyDescent="0.25">
      <c r="A61" s="32" t="s">
        <v>91</v>
      </c>
      <c r="B61" s="33">
        <v>1</v>
      </c>
      <c r="C61" s="29">
        <v>20</v>
      </c>
      <c r="D61" s="34">
        <f t="shared" si="0"/>
        <v>0.05</v>
      </c>
      <c r="E61" s="5"/>
    </row>
    <row r="62" spans="1:5" hidden="1" x14ac:dyDescent="0.25">
      <c r="A62" s="32" t="s">
        <v>47</v>
      </c>
      <c r="B62" s="33">
        <v>4</v>
      </c>
      <c r="C62" s="29">
        <v>220</v>
      </c>
      <c r="D62" s="34">
        <f t="shared" si="0"/>
        <v>1.8181818181818181E-2</v>
      </c>
      <c r="E62" s="5"/>
    </row>
    <row r="63" spans="1:5" hidden="1" x14ac:dyDescent="0.25">
      <c r="A63" s="32" t="s">
        <v>92</v>
      </c>
      <c r="B63" s="33">
        <v>2</v>
      </c>
      <c r="C63" s="29">
        <v>30</v>
      </c>
      <c r="D63" s="34">
        <f t="shared" si="0"/>
        <v>6.6666666666666666E-2</v>
      </c>
      <c r="E63" s="5"/>
    </row>
    <row r="64" spans="1:5" hidden="1" x14ac:dyDescent="0.25">
      <c r="A64" s="32" t="s">
        <v>48</v>
      </c>
      <c r="B64" s="33">
        <v>1</v>
      </c>
      <c r="C64" s="29">
        <v>28</v>
      </c>
      <c r="D64" s="34">
        <f t="shared" si="0"/>
        <v>3.5714285714285712E-2</v>
      </c>
      <c r="E64" s="5"/>
    </row>
    <row r="65" spans="1:5" hidden="1" x14ac:dyDescent="0.25">
      <c r="A65" s="32" t="s">
        <v>49</v>
      </c>
      <c r="B65" s="33">
        <v>1</v>
      </c>
      <c r="C65" s="29">
        <v>45</v>
      </c>
      <c r="D65" s="34">
        <f t="shared" si="0"/>
        <v>2.2222222222222223E-2</v>
      </c>
      <c r="E65" s="5"/>
    </row>
    <row r="66" spans="1:5" hidden="1" x14ac:dyDescent="0.25">
      <c r="A66" s="32" t="s">
        <v>54</v>
      </c>
      <c r="B66" s="33">
        <v>1</v>
      </c>
      <c r="C66" s="29">
        <v>32</v>
      </c>
      <c r="D66" s="34">
        <f t="shared" si="0"/>
        <v>3.125E-2</v>
      </c>
      <c r="E66" s="5"/>
    </row>
    <row r="67" spans="1:5" hidden="1" x14ac:dyDescent="0.25">
      <c r="A67" s="32" t="s">
        <v>93</v>
      </c>
      <c r="B67" s="33">
        <v>1</v>
      </c>
      <c r="C67" s="29">
        <v>19</v>
      </c>
      <c r="D67" s="34">
        <f t="shared" si="0"/>
        <v>5.2631578947368418E-2</v>
      </c>
      <c r="E67" s="5"/>
    </row>
    <row r="68" spans="1:5" hidden="1" x14ac:dyDescent="0.25">
      <c r="A68" s="32" t="s">
        <v>178</v>
      </c>
      <c r="B68" s="33">
        <v>1</v>
      </c>
      <c r="C68" s="29">
        <v>526</v>
      </c>
      <c r="D68" s="34">
        <f t="shared" si="0"/>
        <v>1.9011406844106464E-3</v>
      </c>
      <c r="E68" s="5"/>
    </row>
    <row r="69" spans="1:5" hidden="1" x14ac:dyDescent="0.25">
      <c r="A69" s="32" t="s">
        <v>59</v>
      </c>
      <c r="B69" s="33">
        <v>1</v>
      </c>
      <c r="C69" s="29">
        <v>31</v>
      </c>
      <c r="D69" s="34">
        <f t="shared" si="0"/>
        <v>3.2258064516129031E-2</v>
      </c>
      <c r="E69" s="5"/>
    </row>
    <row r="70" spans="1:5" hidden="1" x14ac:dyDescent="0.25">
      <c r="A70" s="32" t="s">
        <v>61</v>
      </c>
      <c r="B70" s="33">
        <v>1</v>
      </c>
      <c r="C70" s="29">
        <v>138</v>
      </c>
      <c r="D70" s="34">
        <f t="shared" si="0"/>
        <v>7.246376811594203E-3</v>
      </c>
      <c r="E70" s="5"/>
    </row>
    <row r="71" spans="1:5" hidden="1" x14ac:dyDescent="0.25">
      <c r="A71" s="32" t="s">
        <v>62</v>
      </c>
      <c r="B71" s="33">
        <v>1</v>
      </c>
      <c r="C71" s="3">
        <v>21</v>
      </c>
      <c r="D71" s="34">
        <f t="shared" si="0"/>
        <v>4.7619047619047616E-2</v>
      </c>
      <c r="E71" s="5"/>
    </row>
    <row r="72" spans="1:5" hidden="1" x14ac:dyDescent="0.25">
      <c r="A72" s="32" t="s">
        <v>63</v>
      </c>
      <c r="B72" s="33">
        <v>2</v>
      </c>
      <c r="C72" s="3">
        <v>17</v>
      </c>
      <c r="D72" s="34">
        <f t="shared" si="0"/>
        <v>0.11764705882352941</v>
      </c>
      <c r="E72" s="5"/>
    </row>
    <row r="73" spans="1:5" hidden="1" x14ac:dyDescent="0.25">
      <c r="A73" s="32" t="s">
        <v>65</v>
      </c>
      <c r="B73" s="33">
        <v>2</v>
      </c>
      <c r="C73" s="29">
        <v>47</v>
      </c>
      <c r="D73" s="34">
        <f t="shared" si="0"/>
        <v>4.2553191489361701E-2</v>
      </c>
      <c r="E73" s="5"/>
    </row>
    <row r="74" spans="1:5" hidden="1" x14ac:dyDescent="0.25">
      <c r="A74" s="32" t="s">
        <v>68</v>
      </c>
      <c r="B74" s="33">
        <v>1</v>
      </c>
      <c r="C74" s="29">
        <v>25</v>
      </c>
      <c r="D74" s="34">
        <f t="shared" si="0"/>
        <v>0.04</v>
      </c>
      <c r="E74" s="5"/>
    </row>
    <row r="75" spans="1:5" hidden="1" x14ac:dyDescent="0.25">
      <c r="A75" s="32" t="s">
        <v>69</v>
      </c>
      <c r="B75" s="33">
        <v>5</v>
      </c>
      <c r="C75" s="29">
        <v>150</v>
      </c>
      <c r="D75" s="34">
        <f t="shared" si="0"/>
        <v>3.3333333333333333E-2</v>
      </c>
      <c r="E75" s="5"/>
    </row>
    <row r="76" spans="1:5" hidden="1" x14ac:dyDescent="0.25">
      <c r="A76" s="32" t="s">
        <v>102</v>
      </c>
      <c r="B76" s="33">
        <v>1</v>
      </c>
      <c r="C76" s="29">
        <v>47</v>
      </c>
      <c r="D76" s="34">
        <f t="shared" si="0"/>
        <v>2.1276595744680851E-2</v>
      </c>
      <c r="E76" s="5"/>
    </row>
    <row r="77" spans="1:5" x14ac:dyDescent="0.25">
      <c r="A77" s="6"/>
      <c r="B77" s="7"/>
      <c r="C77" s="7"/>
      <c r="D77" s="8"/>
    </row>
    <row r="78" spans="1:5" x14ac:dyDescent="0.25">
      <c r="A78" s="6"/>
      <c r="B78" s="7"/>
      <c r="C78" s="7"/>
      <c r="D78" s="8"/>
    </row>
    <row r="79" spans="1:5" x14ac:dyDescent="0.25">
      <c r="A79" s="6"/>
      <c r="B79" s="7"/>
      <c r="C79" s="7"/>
      <c r="D79" s="8"/>
    </row>
    <row r="80" spans="1:5" x14ac:dyDescent="0.25">
      <c r="A80" s="6"/>
      <c r="B80" s="7"/>
      <c r="C80" s="7"/>
      <c r="D80" s="8"/>
    </row>
    <row r="81" spans="1:4" s="3" customFormat="1" x14ac:dyDescent="0.25">
      <c r="A81" s="6"/>
      <c r="B81" s="7"/>
      <c r="C81" s="7"/>
      <c r="D81" s="8"/>
    </row>
    <row r="82" spans="1:4" s="3" customFormat="1" x14ac:dyDescent="0.25">
      <c r="A82" s="6"/>
      <c r="B82" s="7"/>
      <c r="C82" s="7"/>
      <c r="D82" s="8"/>
    </row>
    <row r="83" spans="1:4" s="3" customFormat="1" x14ac:dyDescent="0.25">
      <c r="A83" s="6"/>
      <c r="B83" s="7"/>
      <c r="C83" s="7"/>
      <c r="D83" s="8"/>
    </row>
    <row r="84" spans="1:4" s="3" customFormat="1" x14ac:dyDescent="0.25">
      <c r="A84" s="6"/>
      <c r="B84" s="7"/>
      <c r="C84" s="7"/>
      <c r="D84" s="8"/>
    </row>
    <row r="85" spans="1:4" s="3" customFormat="1" x14ac:dyDescent="0.25">
      <c r="A85" s="6"/>
      <c r="B85" s="7"/>
      <c r="C85" s="7"/>
      <c r="D85" s="8"/>
    </row>
    <row r="86" spans="1:4" s="3" customFormat="1" x14ac:dyDescent="0.25">
      <c r="A86" s="6"/>
      <c r="B86" s="7"/>
      <c r="C86" s="7"/>
      <c r="D86" s="8"/>
    </row>
    <row r="87" spans="1:4" s="3" customFormat="1" x14ac:dyDescent="0.25">
      <c r="A87" s="6"/>
      <c r="B87" s="7"/>
      <c r="C87" s="7"/>
      <c r="D87" s="8"/>
    </row>
    <row r="88" spans="1:4" s="3" customFormat="1" x14ac:dyDescent="0.25">
      <c r="A88" s="6"/>
      <c r="B88" s="7"/>
      <c r="C88" s="7"/>
      <c r="D88" s="8"/>
    </row>
    <row r="89" spans="1:4" s="3" customFormat="1" x14ac:dyDescent="0.25">
      <c r="A89" s="6"/>
      <c r="B89" s="7"/>
      <c r="C89" s="7"/>
      <c r="D89" s="8"/>
    </row>
    <row r="90" spans="1:4" s="3" customFormat="1" x14ac:dyDescent="0.25">
      <c r="A90" s="6"/>
      <c r="B90" s="7"/>
      <c r="C90" s="7"/>
      <c r="D90" s="8"/>
    </row>
    <row r="91" spans="1:4" s="3" customFormat="1" x14ac:dyDescent="0.25">
      <c r="A91" s="6"/>
      <c r="B91" s="7"/>
      <c r="C91" s="7"/>
      <c r="D91" s="8"/>
    </row>
    <row r="92" spans="1:4" s="3" customFormat="1" x14ac:dyDescent="0.25">
      <c r="A92" s="6"/>
      <c r="B92" s="7"/>
      <c r="C92" s="7"/>
      <c r="D92" s="8"/>
    </row>
    <row r="93" spans="1:4" s="3" customFormat="1" x14ac:dyDescent="0.25">
      <c r="A93" s="6"/>
      <c r="B93" s="7"/>
      <c r="C93" s="7"/>
      <c r="D93" s="8"/>
    </row>
    <row r="94" spans="1:4" s="3" customFormat="1" x14ac:dyDescent="0.25">
      <c r="A94" s="6"/>
      <c r="B94" s="7"/>
      <c r="C94" s="7"/>
      <c r="D94" s="8"/>
    </row>
    <row r="95" spans="1:4" s="3" customFormat="1" x14ac:dyDescent="0.25">
      <c r="A95" s="6"/>
      <c r="B95" s="7"/>
      <c r="C95" s="7"/>
      <c r="D95" s="8"/>
    </row>
  </sheetData>
  <mergeCells count="2">
    <mergeCell ref="B23:D23"/>
    <mergeCell ref="B25:E29"/>
  </mergeCells>
  <pageMargins left="0.7" right="0.7" top="0.75" bottom="0.75" header="0.3" footer="0.3"/>
  <pageSetup orientation="portrait" r:id="rId1"/>
  <headerFooter>
    <oddHeader>&amp;L&amp;"Times New Roman,Bold"&amp;F, &amp;A</oddHeader>
    <oddFooter>&amp;L&amp;"Times New Roman,Bold"&amp;8Office of Institutional Research and Assessment
&amp;F, &amp;A&amp;R&amp;"Times New Roman,Bold"&amp;8Page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E31"/>
  <sheetViews>
    <sheetView workbookViewId="0">
      <selection activeCell="A15" sqref="A15"/>
    </sheetView>
  </sheetViews>
  <sheetFormatPr defaultColWidth="8.85546875" defaultRowHeight="15" x14ac:dyDescent="0.25"/>
  <cols>
    <col min="1" max="1" width="29.7109375" style="1" customWidth="1"/>
    <col min="2" max="2" width="13.7109375" style="3" customWidth="1"/>
    <col min="3" max="3" width="11.7109375" style="3" bestFit="1" customWidth="1"/>
    <col min="4" max="4" width="9.42578125" style="3" bestFit="1" customWidth="1"/>
    <col min="5" max="5" width="11.85546875" style="3" bestFit="1" customWidth="1"/>
    <col min="6" max="16384" width="8.85546875" style="5"/>
  </cols>
  <sheetData>
    <row r="10" spans="1:5" s="1" customFormat="1" ht="45" x14ac:dyDescent="0.25">
      <c r="A10" s="17" t="s">
        <v>211</v>
      </c>
      <c r="B10" s="57"/>
      <c r="C10" s="57"/>
      <c r="D10" s="57"/>
      <c r="E10" s="57"/>
    </row>
    <row r="11" spans="1:5" s="1" customFormat="1" x14ac:dyDescent="0.25">
      <c r="B11" s="57" t="s">
        <v>6</v>
      </c>
      <c r="C11" s="57" t="s">
        <v>10</v>
      </c>
      <c r="D11" s="57" t="s">
        <v>7</v>
      </c>
      <c r="E11" s="57" t="s">
        <v>8</v>
      </c>
    </row>
    <row r="12" spans="1:5" x14ac:dyDescent="0.25">
      <c r="A12" s="1" t="s">
        <v>0</v>
      </c>
      <c r="B12" s="35">
        <v>257</v>
      </c>
      <c r="C12" s="36">
        <v>1.1100000000000001</v>
      </c>
      <c r="D12" s="36">
        <v>1.1399999999999999</v>
      </c>
      <c r="E12" s="36">
        <v>1.18</v>
      </c>
    </row>
    <row r="13" spans="1:5" x14ac:dyDescent="0.25">
      <c r="A13" s="1" t="s">
        <v>1</v>
      </c>
      <c r="B13" s="35">
        <v>24</v>
      </c>
      <c r="C13" s="36">
        <v>1.53</v>
      </c>
      <c r="D13" s="36">
        <v>1.84</v>
      </c>
      <c r="E13" s="36">
        <v>2.04</v>
      </c>
    </row>
    <row r="14" spans="1:5" x14ac:dyDescent="0.25">
      <c r="A14" s="1" t="s">
        <v>2</v>
      </c>
      <c r="B14" s="35">
        <v>13</v>
      </c>
      <c r="C14" s="36">
        <v>2.09</v>
      </c>
      <c r="D14" s="36">
        <v>1.93</v>
      </c>
      <c r="E14" s="36">
        <v>2.29</v>
      </c>
    </row>
    <row r="15" spans="1:5" x14ac:dyDescent="0.25">
      <c r="A15" s="1" t="s">
        <v>3</v>
      </c>
      <c r="B15" s="35">
        <v>2</v>
      </c>
      <c r="C15" s="36">
        <v>1.7</v>
      </c>
      <c r="D15" s="36">
        <v>1.99</v>
      </c>
      <c r="E15" s="36">
        <v>2.44</v>
      </c>
    </row>
    <row r="16" spans="1:5" x14ac:dyDescent="0.25">
      <c r="B16" s="35"/>
      <c r="C16" s="36"/>
      <c r="D16" s="36"/>
      <c r="E16" s="36"/>
    </row>
    <row r="17" spans="1:5" x14ac:dyDescent="0.25">
      <c r="A17" s="1" t="s">
        <v>4</v>
      </c>
      <c r="B17" s="3">
        <v>8</v>
      </c>
      <c r="C17" s="4">
        <v>0.74</v>
      </c>
      <c r="D17" s="4">
        <v>0.65</v>
      </c>
      <c r="E17" s="4"/>
    </row>
    <row r="18" spans="1:5" ht="15.75" thickBot="1" x14ac:dyDescent="0.3">
      <c r="C18" s="4"/>
      <c r="D18" s="4"/>
      <c r="E18" s="4"/>
    </row>
    <row r="19" spans="1:5" ht="15.75" thickTop="1" x14ac:dyDescent="0.25">
      <c r="A19" s="1" t="s">
        <v>139</v>
      </c>
      <c r="B19" s="3">
        <f>SUM(B12:B18)</f>
        <v>304</v>
      </c>
      <c r="C19" s="62">
        <v>1.1955526315789473</v>
      </c>
      <c r="D19" s="62">
        <v>1.229924342105263</v>
      </c>
      <c r="E19" s="62">
        <v>1.6006041666666668</v>
      </c>
    </row>
    <row r="20" spans="1:5" x14ac:dyDescent="0.25">
      <c r="C20" s="4"/>
      <c r="D20" s="4"/>
      <c r="E20" s="4"/>
    </row>
    <row r="21" spans="1:5" x14ac:dyDescent="0.25">
      <c r="A21" s="1" t="s">
        <v>215</v>
      </c>
      <c r="B21" s="3">
        <v>174</v>
      </c>
      <c r="C21" s="61">
        <v>0.90724137931034476</v>
      </c>
      <c r="D21" s="61">
        <v>0.94340804597701144</v>
      </c>
      <c r="E21" s="61">
        <v>0.625</v>
      </c>
    </row>
    <row r="23" spans="1:5" s="1" customFormat="1" hidden="1" x14ac:dyDescent="0.25">
      <c r="B23" s="68" t="s">
        <v>132</v>
      </c>
      <c r="C23" s="68"/>
      <c r="D23" s="68"/>
      <c r="E23" s="57"/>
    </row>
    <row r="24" spans="1:5" s="17" customFormat="1" ht="30" hidden="1" x14ac:dyDescent="0.25">
      <c r="B24" s="55" t="s">
        <v>137</v>
      </c>
      <c r="C24" s="55" t="s">
        <v>138</v>
      </c>
      <c r="D24" s="55" t="s">
        <v>136</v>
      </c>
      <c r="E24" s="55" t="s">
        <v>133</v>
      </c>
    </row>
    <row r="25" spans="1:5" hidden="1" x14ac:dyDescent="0.25">
      <c r="A25" s="1" t="s">
        <v>127</v>
      </c>
      <c r="B25" s="4"/>
    </row>
    <row r="26" spans="1:5" hidden="1" x14ac:dyDescent="0.25">
      <c r="A26" s="1" t="s">
        <v>128</v>
      </c>
      <c r="B26" s="4"/>
    </row>
    <row r="27" spans="1:5" hidden="1" x14ac:dyDescent="0.25">
      <c r="A27" s="1" t="s">
        <v>129</v>
      </c>
      <c r="B27" s="4"/>
    </row>
    <row r="28" spans="1:5" hidden="1" x14ac:dyDescent="0.25">
      <c r="A28" s="1" t="s">
        <v>130</v>
      </c>
      <c r="B28" s="4"/>
    </row>
    <row r="29" spans="1:5" hidden="1" x14ac:dyDescent="0.25">
      <c r="A29" s="1" t="s">
        <v>131</v>
      </c>
      <c r="B29" s="4"/>
    </row>
    <row r="30" spans="1:5" hidden="1" x14ac:dyDescent="0.25">
      <c r="B30" s="4"/>
    </row>
    <row r="31" spans="1:5" hidden="1" x14ac:dyDescent="0.25">
      <c r="A31" s="1" t="s">
        <v>134</v>
      </c>
      <c r="B31" s="4"/>
    </row>
  </sheetData>
  <mergeCells count="1">
    <mergeCell ref="B23:D23"/>
  </mergeCells>
  <pageMargins left="0.7" right="0.7" top="0.75" bottom="0.75" header="0.3" footer="0.3"/>
  <pageSetup orientation="portrait" r:id="rId1"/>
  <headerFooter>
    <oddHeader>&amp;L&amp;"Times New Roman,Bold"&amp;F, &amp;A</oddHeader>
    <oddFooter>&amp;L&amp;"Times New Roman,Bold"&amp;8Office of Institutional Research and Assessment
&amp;F, &amp;A&amp;R&amp;"Times New Roman,Bold"&amp;8Page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E97"/>
  <sheetViews>
    <sheetView workbookViewId="0"/>
  </sheetViews>
  <sheetFormatPr defaultColWidth="8.85546875" defaultRowHeight="15" x14ac:dyDescent="0.25"/>
  <cols>
    <col min="1" max="1" width="28.85546875" style="1" bestFit="1" customWidth="1"/>
    <col min="2" max="2" width="18.28515625" style="3" bestFit="1" customWidth="1"/>
    <col min="3" max="3" width="12.85546875" style="3" bestFit="1" customWidth="1"/>
    <col min="4" max="4" width="10.5703125" style="3" bestFit="1" customWidth="1"/>
    <col min="5" max="5" width="11.85546875" style="3" bestFit="1" customWidth="1"/>
    <col min="6" max="16384" width="8.85546875" style="5"/>
  </cols>
  <sheetData>
    <row r="12" spans="1:5" s="1" customFormat="1" x14ac:dyDescent="0.25">
      <c r="A12" s="1" t="s">
        <v>203</v>
      </c>
      <c r="B12" s="44"/>
      <c r="C12" s="44"/>
      <c r="D12" s="44"/>
      <c r="E12" s="44"/>
    </row>
    <row r="13" spans="1:5" s="1" customFormat="1" x14ac:dyDescent="0.25">
      <c r="B13" s="53" t="s">
        <v>6</v>
      </c>
      <c r="C13" s="53" t="s">
        <v>10</v>
      </c>
      <c r="D13" s="53" t="s">
        <v>7</v>
      </c>
      <c r="E13" s="53" t="s">
        <v>8</v>
      </c>
    </row>
    <row r="14" spans="1:5" x14ac:dyDescent="0.25">
      <c r="A14" s="1" t="s">
        <v>0</v>
      </c>
      <c r="B14" s="59">
        <v>126</v>
      </c>
      <c r="C14" s="60">
        <v>0.97</v>
      </c>
      <c r="D14" s="60">
        <v>1.03</v>
      </c>
      <c r="E14" s="60">
        <v>1.99</v>
      </c>
    </row>
    <row r="15" spans="1:5" x14ac:dyDescent="0.25">
      <c r="A15" s="1" t="s">
        <v>1</v>
      </c>
      <c r="B15" s="59">
        <v>19</v>
      </c>
      <c r="C15" s="60">
        <v>1.58</v>
      </c>
      <c r="D15" s="60">
        <v>1.82</v>
      </c>
      <c r="E15" s="60">
        <v>2.31</v>
      </c>
    </row>
    <row r="16" spans="1:5" x14ac:dyDescent="0.25">
      <c r="A16" s="1" t="s">
        <v>2</v>
      </c>
      <c r="B16" s="59">
        <v>4</v>
      </c>
      <c r="C16" s="60">
        <v>1.1200000000000001</v>
      </c>
      <c r="D16" s="60">
        <v>1.74</v>
      </c>
      <c r="E16" s="60">
        <v>2.0699999999999998</v>
      </c>
    </row>
    <row r="17" spans="1:5" x14ac:dyDescent="0.25">
      <c r="A17" s="1" t="s">
        <v>3</v>
      </c>
      <c r="B17" s="59">
        <v>4</v>
      </c>
      <c r="C17" s="60">
        <v>1.59</v>
      </c>
      <c r="D17" s="60">
        <v>1.9</v>
      </c>
      <c r="E17" s="60">
        <v>2.4300000000000002</v>
      </c>
    </row>
    <row r="19" spans="1:5" x14ac:dyDescent="0.25">
      <c r="A19" s="1" t="s">
        <v>4</v>
      </c>
      <c r="B19" s="3">
        <v>1</v>
      </c>
      <c r="C19" s="4">
        <v>0.6</v>
      </c>
      <c r="D19" s="4">
        <v>0.6</v>
      </c>
      <c r="E19" s="4">
        <v>0</v>
      </c>
    </row>
    <row r="20" spans="1:5" ht="15.75" thickBot="1" x14ac:dyDescent="0.3">
      <c r="C20" s="4"/>
      <c r="D20" s="4"/>
      <c r="E20" s="4"/>
    </row>
    <row r="21" spans="1:5" ht="15.75" thickTop="1" x14ac:dyDescent="0.25">
      <c r="A21" s="1" t="s">
        <v>139</v>
      </c>
      <c r="B21" s="3">
        <f>SUM(B14:B19)</f>
        <v>154</v>
      </c>
      <c r="C21" s="62">
        <v>1.2957402597402594</v>
      </c>
      <c r="D21" s="62">
        <v>1.4055194805194804</v>
      </c>
      <c r="E21" s="62">
        <v>1.3733157894736843</v>
      </c>
    </row>
    <row r="22" spans="1:5" x14ac:dyDescent="0.25">
      <c r="C22" s="4"/>
      <c r="D22" s="4"/>
      <c r="E22" s="4"/>
    </row>
    <row r="23" spans="1:5" x14ac:dyDescent="0.25">
      <c r="A23" s="1" t="s">
        <v>215</v>
      </c>
      <c r="B23" s="3">
        <v>2</v>
      </c>
      <c r="C23" s="61">
        <v>0.184</v>
      </c>
      <c r="D23" s="61">
        <v>0.184</v>
      </c>
      <c r="E23" s="61">
        <v>0</v>
      </c>
    </row>
    <row r="25" spans="1:5" s="1" customFormat="1" hidden="1" x14ac:dyDescent="0.25">
      <c r="B25" s="68" t="s">
        <v>132</v>
      </c>
      <c r="C25" s="68"/>
      <c r="D25" s="68"/>
      <c r="E25" s="44"/>
    </row>
    <row r="26" spans="1:5" s="1" customFormat="1" hidden="1" x14ac:dyDescent="0.25">
      <c r="B26" s="46" t="s">
        <v>126</v>
      </c>
      <c r="C26" s="46" t="s">
        <v>75</v>
      </c>
      <c r="D26" s="46" t="s">
        <v>204</v>
      </c>
      <c r="E26" s="46" t="s">
        <v>133</v>
      </c>
    </row>
    <row r="27" spans="1:5" hidden="1" x14ac:dyDescent="0.25">
      <c r="A27" s="1" t="s">
        <v>127</v>
      </c>
      <c r="B27" s="45">
        <v>21.2</v>
      </c>
      <c r="C27" s="45">
        <v>19.05</v>
      </c>
      <c r="D27" s="45">
        <v>0.64771500000000004</v>
      </c>
      <c r="E27" s="47" t="s">
        <v>135</v>
      </c>
    </row>
    <row r="28" spans="1:5" hidden="1" x14ac:dyDescent="0.25">
      <c r="A28" s="1" t="s">
        <v>128</v>
      </c>
      <c r="B28" s="45">
        <v>20.54</v>
      </c>
      <c r="C28" s="45">
        <v>18</v>
      </c>
      <c r="D28" s="45">
        <v>0.56940000000000002</v>
      </c>
      <c r="E28" s="47" t="s">
        <v>135</v>
      </c>
    </row>
    <row r="29" spans="1:5" hidden="1" x14ac:dyDescent="0.25">
      <c r="A29" s="1" t="s">
        <v>129</v>
      </c>
      <c r="B29" s="45">
        <v>20.96</v>
      </c>
      <c r="C29" s="45">
        <v>18.68</v>
      </c>
      <c r="D29" s="45">
        <v>0.648011</v>
      </c>
      <c r="E29" s="47" t="s">
        <v>135</v>
      </c>
    </row>
    <row r="30" spans="1:5" hidden="1" x14ac:dyDescent="0.25">
      <c r="A30" s="1" t="s">
        <v>130</v>
      </c>
      <c r="B30" s="45">
        <v>21.61</v>
      </c>
      <c r="C30" s="45">
        <v>19.55</v>
      </c>
      <c r="D30" s="45">
        <v>0.44261699999999998</v>
      </c>
      <c r="E30" s="47" t="s">
        <v>135</v>
      </c>
    </row>
    <row r="31" spans="1:5" hidden="1" x14ac:dyDescent="0.25">
      <c r="A31" s="1" t="s">
        <v>131</v>
      </c>
      <c r="B31" s="45">
        <v>21.09</v>
      </c>
      <c r="C31" s="45">
        <v>19.2</v>
      </c>
      <c r="D31" s="45">
        <v>0.52503</v>
      </c>
      <c r="E31" s="47" t="s">
        <v>135</v>
      </c>
    </row>
    <row r="32" spans="1:5" hidden="1" x14ac:dyDescent="0.25">
      <c r="B32" s="4"/>
    </row>
    <row r="33" spans="1:5" hidden="1" x14ac:dyDescent="0.25">
      <c r="A33" s="1" t="s">
        <v>134</v>
      </c>
      <c r="B33" s="4"/>
    </row>
    <row r="35" spans="1:5" s="1" customFormat="1" hidden="1" x14ac:dyDescent="0.25">
      <c r="A35" s="1" t="s">
        <v>11</v>
      </c>
      <c r="B35" s="44" t="s">
        <v>77</v>
      </c>
      <c r="C35" s="44" t="s">
        <v>76</v>
      </c>
      <c r="D35" s="44" t="s">
        <v>78</v>
      </c>
      <c r="E35" s="44"/>
    </row>
    <row r="36" spans="1:5" hidden="1" x14ac:dyDescent="0.25">
      <c r="A36" s="32"/>
      <c r="B36" s="33"/>
      <c r="D36" s="34" t="e">
        <f>B36/C36</f>
        <v>#DIV/0!</v>
      </c>
      <c r="E36" s="5"/>
    </row>
    <row r="37" spans="1:5" hidden="1" x14ac:dyDescent="0.25">
      <c r="A37" s="32"/>
      <c r="B37" s="33"/>
      <c r="D37" s="34" t="e">
        <f t="shared" ref="D37:D78" si="0">B37/C37</f>
        <v>#DIV/0!</v>
      </c>
      <c r="E37" s="5"/>
    </row>
    <row r="38" spans="1:5" hidden="1" x14ac:dyDescent="0.25">
      <c r="A38" s="32"/>
      <c r="B38" s="33"/>
      <c r="D38" s="34" t="e">
        <f t="shared" si="0"/>
        <v>#DIV/0!</v>
      </c>
      <c r="E38" s="5"/>
    </row>
    <row r="39" spans="1:5" hidden="1" x14ac:dyDescent="0.25">
      <c r="A39" s="32"/>
      <c r="B39" s="33"/>
      <c r="C39" s="29"/>
      <c r="D39" s="34" t="e">
        <f t="shared" si="0"/>
        <v>#DIV/0!</v>
      </c>
      <c r="E39" s="5"/>
    </row>
    <row r="40" spans="1:5" hidden="1" x14ac:dyDescent="0.25">
      <c r="A40" s="32"/>
      <c r="B40" s="33"/>
      <c r="C40" s="29"/>
      <c r="D40" s="34" t="e">
        <f t="shared" si="0"/>
        <v>#DIV/0!</v>
      </c>
      <c r="E40" s="5"/>
    </row>
    <row r="41" spans="1:5" hidden="1" x14ac:dyDescent="0.25">
      <c r="A41" s="32"/>
      <c r="B41" s="33"/>
      <c r="C41" s="29"/>
      <c r="D41" s="34" t="e">
        <f t="shared" si="0"/>
        <v>#DIV/0!</v>
      </c>
      <c r="E41" s="5"/>
    </row>
    <row r="42" spans="1:5" hidden="1" x14ac:dyDescent="0.25">
      <c r="A42" s="32"/>
      <c r="B42" s="33"/>
      <c r="C42" s="29"/>
      <c r="D42" s="34" t="e">
        <f t="shared" si="0"/>
        <v>#DIV/0!</v>
      </c>
      <c r="E42" s="5"/>
    </row>
    <row r="43" spans="1:5" hidden="1" x14ac:dyDescent="0.25">
      <c r="A43" s="32"/>
      <c r="B43" s="33"/>
      <c r="C43" s="29"/>
      <c r="D43" s="34" t="e">
        <f t="shared" si="0"/>
        <v>#DIV/0!</v>
      </c>
      <c r="E43" s="5"/>
    </row>
    <row r="44" spans="1:5" hidden="1" x14ac:dyDescent="0.25">
      <c r="A44" s="32"/>
      <c r="B44" s="33"/>
      <c r="C44" s="29"/>
      <c r="D44" s="34" t="e">
        <f t="shared" si="0"/>
        <v>#DIV/0!</v>
      </c>
      <c r="E44" s="5"/>
    </row>
    <row r="45" spans="1:5" hidden="1" x14ac:dyDescent="0.25">
      <c r="A45" s="32"/>
      <c r="B45" s="33"/>
      <c r="C45" s="29"/>
      <c r="D45" s="34" t="e">
        <f t="shared" si="0"/>
        <v>#DIV/0!</v>
      </c>
      <c r="E45" s="5"/>
    </row>
    <row r="46" spans="1:5" hidden="1" x14ac:dyDescent="0.25">
      <c r="A46" s="32"/>
      <c r="B46" s="33"/>
      <c r="C46" s="29"/>
      <c r="D46" s="34" t="e">
        <f t="shared" si="0"/>
        <v>#DIV/0!</v>
      </c>
      <c r="E46" s="5"/>
    </row>
    <row r="47" spans="1:5" hidden="1" x14ac:dyDescent="0.25">
      <c r="A47" s="32"/>
      <c r="B47" s="33"/>
      <c r="C47" s="29"/>
      <c r="D47" s="34" t="e">
        <f t="shared" si="0"/>
        <v>#DIV/0!</v>
      </c>
      <c r="E47" s="5"/>
    </row>
    <row r="48" spans="1:5" hidden="1" x14ac:dyDescent="0.25">
      <c r="A48" s="32"/>
      <c r="B48" s="33"/>
      <c r="C48" s="29"/>
      <c r="D48" s="34" t="e">
        <f t="shared" si="0"/>
        <v>#DIV/0!</v>
      </c>
      <c r="E48" s="5"/>
    </row>
    <row r="49" spans="1:5" hidden="1" x14ac:dyDescent="0.25">
      <c r="A49" s="32"/>
      <c r="B49" s="33"/>
      <c r="C49" s="29"/>
      <c r="D49" s="34" t="e">
        <f t="shared" si="0"/>
        <v>#DIV/0!</v>
      </c>
      <c r="E49" s="5"/>
    </row>
    <row r="50" spans="1:5" hidden="1" x14ac:dyDescent="0.25">
      <c r="A50" s="32"/>
      <c r="B50" s="33"/>
      <c r="C50" s="29"/>
      <c r="D50" s="34" t="e">
        <f t="shared" si="0"/>
        <v>#DIV/0!</v>
      </c>
      <c r="E50" s="5"/>
    </row>
    <row r="51" spans="1:5" hidden="1" x14ac:dyDescent="0.25">
      <c r="A51" s="32"/>
      <c r="B51" s="33"/>
      <c r="C51" s="29"/>
      <c r="D51" s="34" t="e">
        <f t="shared" si="0"/>
        <v>#DIV/0!</v>
      </c>
      <c r="E51" s="5"/>
    </row>
    <row r="52" spans="1:5" hidden="1" x14ac:dyDescent="0.25">
      <c r="A52" s="32"/>
      <c r="B52" s="33"/>
      <c r="C52" s="29"/>
      <c r="D52" s="34" t="e">
        <f t="shared" si="0"/>
        <v>#DIV/0!</v>
      </c>
      <c r="E52" s="5"/>
    </row>
    <row r="53" spans="1:5" hidden="1" x14ac:dyDescent="0.25">
      <c r="A53" s="32"/>
      <c r="B53" s="33"/>
      <c r="C53" s="29"/>
      <c r="D53" s="34" t="e">
        <f t="shared" si="0"/>
        <v>#DIV/0!</v>
      </c>
      <c r="E53" s="5"/>
    </row>
    <row r="54" spans="1:5" hidden="1" x14ac:dyDescent="0.25">
      <c r="A54" s="32"/>
      <c r="B54" s="33"/>
      <c r="C54" s="29"/>
      <c r="D54" s="34" t="e">
        <f t="shared" si="0"/>
        <v>#DIV/0!</v>
      </c>
      <c r="E54" s="5"/>
    </row>
    <row r="55" spans="1:5" hidden="1" x14ac:dyDescent="0.25">
      <c r="A55" s="32"/>
      <c r="B55" s="33"/>
      <c r="C55" s="29"/>
      <c r="D55" s="34" t="e">
        <f t="shared" si="0"/>
        <v>#DIV/0!</v>
      </c>
      <c r="E55" s="5"/>
    </row>
    <row r="56" spans="1:5" hidden="1" x14ac:dyDescent="0.25">
      <c r="A56" s="32"/>
      <c r="B56" s="33"/>
      <c r="C56" s="29"/>
      <c r="D56" s="34" t="e">
        <f t="shared" si="0"/>
        <v>#DIV/0!</v>
      </c>
      <c r="E56" s="5"/>
    </row>
    <row r="57" spans="1:5" hidden="1" x14ac:dyDescent="0.25">
      <c r="A57" s="32"/>
      <c r="B57" s="33"/>
      <c r="C57" s="29"/>
      <c r="D57" s="34" t="e">
        <f t="shared" si="0"/>
        <v>#DIV/0!</v>
      </c>
      <c r="E57" s="5"/>
    </row>
    <row r="58" spans="1:5" hidden="1" x14ac:dyDescent="0.25">
      <c r="A58" s="32"/>
      <c r="B58" s="33"/>
      <c r="C58" s="29"/>
      <c r="D58" s="34" t="e">
        <f t="shared" si="0"/>
        <v>#DIV/0!</v>
      </c>
      <c r="E58" s="5"/>
    </row>
    <row r="59" spans="1:5" hidden="1" x14ac:dyDescent="0.25">
      <c r="A59" s="32"/>
      <c r="B59" s="33"/>
      <c r="C59" s="29"/>
      <c r="D59" s="34" t="e">
        <f t="shared" si="0"/>
        <v>#DIV/0!</v>
      </c>
      <c r="E59" s="5"/>
    </row>
    <row r="60" spans="1:5" hidden="1" x14ac:dyDescent="0.25">
      <c r="A60" s="32"/>
      <c r="B60" s="33"/>
      <c r="C60" s="29"/>
      <c r="D60" s="34" t="e">
        <f t="shared" si="0"/>
        <v>#DIV/0!</v>
      </c>
      <c r="E60" s="5"/>
    </row>
    <row r="61" spans="1:5" hidden="1" x14ac:dyDescent="0.25">
      <c r="A61" s="32"/>
      <c r="B61" s="33"/>
      <c r="C61" s="29"/>
      <c r="D61" s="34" t="e">
        <f t="shared" si="0"/>
        <v>#DIV/0!</v>
      </c>
      <c r="E61" s="5"/>
    </row>
    <row r="62" spans="1:5" hidden="1" x14ac:dyDescent="0.25">
      <c r="A62" s="32"/>
      <c r="B62" s="33"/>
      <c r="C62" s="29"/>
      <c r="D62" s="34" t="e">
        <f t="shared" si="0"/>
        <v>#DIV/0!</v>
      </c>
      <c r="E62" s="5"/>
    </row>
    <row r="63" spans="1:5" hidden="1" x14ac:dyDescent="0.25">
      <c r="A63" s="32"/>
      <c r="B63" s="33"/>
      <c r="C63" s="29"/>
      <c r="D63" s="34" t="e">
        <f t="shared" si="0"/>
        <v>#DIV/0!</v>
      </c>
      <c r="E63" s="5"/>
    </row>
    <row r="64" spans="1:5" hidden="1" x14ac:dyDescent="0.25">
      <c r="A64" s="32"/>
      <c r="B64" s="33"/>
      <c r="C64" s="29"/>
      <c r="D64" s="34" t="e">
        <f t="shared" si="0"/>
        <v>#DIV/0!</v>
      </c>
      <c r="E64" s="5"/>
    </row>
    <row r="65" spans="1:5" hidden="1" x14ac:dyDescent="0.25">
      <c r="A65" s="32"/>
      <c r="B65" s="33"/>
      <c r="C65" s="29"/>
      <c r="D65" s="34" t="e">
        <f t="shared" si="0"/>
        <v>#DIV/0!</v>
      </c>
      <c r="E65" s="5"/>
    </row>
    <row r="66" spans="1:5" hidden="1" x14ac:dyDescent="0.25">
      <c r="A66" s="32"/>
      <c r="B66" s="33"/>
      <c r="C66" s="29"/>
      <c r="D66" s="34" t="e">
        <f t="shared" si="0"/>
        <v>#DIV/0!</v>
      </c>
      <c r="E66" s="5"/>
    </row>
    <row r="67" spans="1:5" hidden="1" x14ac:dyDescent="0.25">
      <c r="A67" s="32"/>
      <c r="B67" s="33"/>
      <c r="C67" s="29"/>
      <c r="D67" s="34" t="e">
        <f t="shared" si="0"/>
        <v>#DIV/0!</v>
      </c>
      <c r="E67" s="5"/>
    </row>
    <row r="68" spans="1:5" hidden="1" x14ac:dyDescent="0.25">
      <c r="A68" s="32"/>
      <c r="B68" s="33"/>
      <c r="C68" s="29"/>
      <c r="D68" s="34" t="e">
        <f t="shared" si="0"/>
        <v>#DIV/0!</v>
      </c>
      <c r="E68" s="5"/>
    </row>
    <row r="69" spans="1:5" hidden="1" x14ac:dyDescent="0.25">
      <c r="A69" s="32"/>
      <c r="B69" s="33"/>
      <c r="C69" s="29"/>
      <c r="D69" s="34" t="e">
        <f t="shared" si="0"/>
        <v>#DIV/0!</v>
      </c>
      <c r="E69" s="5"/>
    </row>
    <row r="70" spans="1:5" hidden="1" x14ac:dyDescent="0.25">
      <c r="A70" s="32"/>
      <c r="B70" s="33"/>
      <c r="C70" s="29"/>
      <c r="D70" s="34" t="e">
        <f t="shared" si="0"/>
        <v>#DIV/0!</v>
      </c>
      <c r="E70" s="5"/>
    </row>
    <row r="71" spans="1:5" hidden="1" x14ac:dyDescent="0.25">
      <c r="A71" s="32"/>
      <c r="B71" s="33"/>
      <c r="C71" s="29"/>
      <c r="D71" s="34" t="e">
        <f t="shared" si="0"/>
        <v>#DIV/0!</v>
      </c>
      <c r="E71" s="5"/>
    </row>
    <row r="72" spans="1:5" hidden="1" x14ac:dyDescent="0.25">
      <c r="A72" s="32"/>
      <c r="B72" s="33"/>
      <c r="C72" s="29"/>
      <c r="D72" s="34" t="e">
        <f t="shared" si="0"/>
        <v>#DIV/0!</v>
      </c>
      <c r="E72" s="5"/>
    </row>
    <row r="73" spans="1:5" hidden="1" x14ac:dyDescent="0.25">
      <c r="A73" s="32"/>
      <c r="B73" s="33"/>
      <c r="D73" s="34" t="e">
        <f t="shared" si="0"/>
        <v>#DIV/0!</v>
      </c>
      <c r="E73" s="5"/>
    </row>
    <row r="74" spans="1:5" hidden="1" x14ac:dyDescent="0.25">
      <c r="A74" s="32"/>
      <c r="B74" s="33"/>
      <c r="D74" s="34" t="e">
        <f t="shared" si="0"/>
        <v>#DIV/0!</v>
      </c>
      <c r="E74" s="5"/>
    </row>
    <row r="75" spans="1:5" hidden="1" x14ac:dyDescent="0.25">
      <c r="A75" s="32"/>
      <c r="B75" s="33"/>
      <c r="C75" s="29"/>
      <c r="D75" s="34" t="e">
        <f t="shared" si="0"/>
        <v>#DIV/0!</v>
      </c>
      <c r="E75" s="5"/>
    </row>
    <row r="76" spans="1:5" hidden="1" x14ac:dyDescent="0.25">
      <c r="A76" s="32"/>
      <c r="B76" s="33"/>
      <c r="C76" s="29"/>
      <c r="D76" s="34" t="e">
        <f t="shared" si="0"/>
        <v>#DIV/0!</v>
      </c>
      <c r="E76" s="5"/>
    </row>
    <row r="77" spans="1:5" hidden="1" x14ac:dyDescent="0.25">
      <c r="A77" s="32"/>
      <c r="B77" s="33"/>
      <c r="C77" s="29"/>
      <c r="D77" s="34" t="e">
        <f t="shared" si="0"/>
        <v>#DIV/0!</v>
      </c>
      <c r="E77" s="5"/>
    </row>
    <row r="78" spans="1:5" hidden="1" x14ac:dyDescent="0.25">
      <c r="A78" s="32"/>
      <c r="B78" s="33"/>
      <c r="C78" s="29"/>
      <c r="D78" s="34" t="e">
        <f t="shared" si="0"/>
        <v>#DIV/0!</v>
      </c>
      <c r="E78" s="5"/>
    </row>
    <row r="79" spans="1:5" hidden="1" x14ac:dyDescent="0.25">
      <c r="A79" s="6"/>
      <c r="B79" s="7"/>
      <c r="C79" s="7"/>
      <c r="D79" s="8"/>
    </row>
    <row r="80" spans="1:5" hidden="1" x14ac:dyDescent="0.25">
      <c r="A80" s="6"/>
      <c r="B80" s="7"/>
      <c r="C80" s="7"/>
      <c r="D80" s="8"/>
    </row>
    <row r="81" spans="1:4" hidden="1" x14ac:dyDescent="0.25">
      <c r="A81" s="6"/>
      <c r="B81" s="7"/>
      <c r="C81" s="7"/>
      <c r="D81" s="8"/>
    </row>
    <row r="82" spans="1:4" hidden="1" x14ac:dyDescent="0.25">
      <c r="A82" s="6"/>
      <c r="B82" s="7"/>
      <c r="C82" s="7"/>
      <c r="D82" s="8"/>
    </row>
    <row r="83" spans="1:4" hidden="1" x14ac:dyDescent="0.25">
      <c r="A83" s="6"/>
      <c r="B83" s="7"/>
      <c r="C83" s="7"/>
      <c r="D83" s="8"/>
    </row>
    <row r="84" spans="1:4" hidden="1" x14ac:dyDescent="0.25">
      <c r="A84" s="6"/>
      <c r="B84" s="7"/>
      <c r="C84" s="7"/>
      <c r="D84" s="8"/>
    </row>
    <row r="85" spans="1:4" hidden="1" x14ac:dyDescent="0.25">
      <c r="A85" s="6"/>
      <c r="B85" s="7"/>
      <c r="C85" s="7"/>
      <c r="D85" s="8"/>
    </row>
    <row r="86" spans="1:4" x14ac:dyDescent="0.25">
      <c r="A86" s="6"/>
      <c r="B86" s="7"/>
      <c r="C86" s="7"/>
      <c r="D86" s="8"/>
    </row>
    <row r="87" spans="1:4" x14ac:dyDescent="0.25">
      <c r="A87" s="6"/>
      <c r="B87" s="7"/>
      <c r="C87" s="7"/>
      <c r="D87" s="8"/>
    </row>
    <row r="88" spans="1:4" x14ac:dyDescent="0.25">
      <c r="A88" s="6"/>
      <c r="B88" s="7"/>
      <c r="C88" s="7"/>
      <c r="D88" s="8"/>
    </row>
    <row r="89" spans="1:4" x14ac:dyDescent="0.25">
      <c r="A89" s="6"/>
      <c r="B89" s="7"/>
      <c r="C89" s="7"/>
      <c r="D89" s="8"/>
    </row>
    <row r="90" spans="1:4" x14ac:dyDescent="0.25">
      <c r="A90" s="6"/>
      <c r="B90" s="7"/>
      <c r="C90" s="7"/>
      <c r="D90" s="8"/>
    </row>
    <row r="91" spans="1:4" x14ac:dyDescent="0.25">
      <c r="A91" s="6"/>
      <c r="B91" s="7"/>
      <c r="C91" s="7"/>
      <c r="D91" s="8"/>
    </row>
    <row r="92" spans="1:4" x14ac:dyDescent="0.25">
      <c r="A92" s="6"/>
      <c r="B92" s="7"/>
      <c r="C92" s="7"/>
      <c r="D92" s="8"/>
    </row>
    <row r="93" spans="1:4" x14ac:dyDescent="0.25">
      <c r="A93" s="6"/>
      <c r="B93" s="7"/>
      <c r="C93" s="7"/>
      <c r="D93" s="8"/>
    </row>
    <row r="94" spans="1:4" x14ac:dyDescent="0.25">
      <c r="A94" s="6"/>
      <c r="B94" s="7"/>
      <c r="C94" s="7"/>
      <c r="D94" s="8"/>
    </row>
    <row r="95" spans="1:4" x14ac:dyDescent="0.25">
      <c r="A95" s="6"/>
      <c r="B95" s="7"/>
      <c r="C95" s="7"/>
      <c r="D95" s="8"/>
    </row>
    <row r="96" spans="1:4" x14ac:dyDescent="0.25">
      <c r="A96" s="6"/>
      <c r="B96" s="7"/>
      <c r="C96" s="7"/>
      <c r="D96" s="8"/>
    </row>
    <row r="97" spans="1:4" x14ac:dyDescent="0.25">
      <c r="A97" s="6"/>
      <c r="B97" s="7"/>
      <c r="C97" s="7"/>
      <c r="D97" s="8"/>
    </row>
  </sheetData>
  <mergeCells count="1">
    <mergeCell ref="B25:D25"/>
  </mergeCells>
  <pageMargins left="0.7" right="0.7" top="0.75" bottom="0.75" header="0.3" footer="0.3"/>
  <pageSetup orientation="portrait" r:id="rId1"/>
  <headerFooter>
    <oddHeader>&amp;L&amp;"Times New Roman,Bold"&amp;F, &amp;A</oddHeader>
    <oddFooter>&amp;L&amp;"Times New Roman,Bold"&amp;8Office of Institutional Research and Assessment
&amp;F, &amp;A&amp;R&amp;"Times New Roman,Bold"&amp;8Page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0:E102"/>
  <sheetViews>
    <sheetView workbookViewId="0">
      <selection activeCell="A11" sqref="A11:E16"/>
    </sheetView>
  </sheetViews>
  <sheetFormatPr defaultColWidth="8.85546875" defaultRowHeight="15" x14ac:dyDescent="0.25"/>
  <cols>
    <col min="1" max="1" width="28.85546875" style="1" bestFit="1" customWidth="1"/>
    <col min="2" max="2" width="15.28515625" style="3" bestFit="1" customWidth="1"/>
    <col min="3" max="3" width="11.7109375" style="3" bestFit="1" customWidth="1"/>
    <col min="4" max="4" width="9.42578125" style="3" bestFit="1" customWidth="1"/>
    <col min="5" max="5" width="11.85546875" style="3" bestFit="1" customWidth="1"/>
    <col min="6" max="16384" width="8.85546875" style="5"/>
  </cols>
  <sheetData>
    <row r="10" spans="1:5" s="1" customFormat="1" x14ac:dyDescent="0.25">
      <c r="A10" s="1" t="s">
        <v>205</v>
      </c>
      <c r="B10" s="16"/>
      <c r="C10" s="16"/>
      <c r="D10" s="16"/>
      <c r="E10" s="16"/>
    </row>
    <row r="11" spans="1:5" s="1" customFormat="1" x14ac:dyDescent="0.25">
      <c r="B11" s="53" t="s">
        <v>6</v>
      </c>
      <c r="C11" s="53" t="s">
        <v>10</v>
      </c>
      <c r="D11" s="53" t="s">
        <v>7</v>
      </c>
      <c r="E11" s="53" t="s">
        <v>8</v>
      </c>
    </row>
    <row r="12" spans="1:5" x14ac:dyDescent="0.25">
      <c r="A12" s="58" t="s">
        <v>143</v>
      </c>
      <c r="B12" s="50">
        <v>148</v>
      </c>
      <c r="C12" s="51">
        <v>1.3736216216216215</v>
      </c>
      <c r="D12" s="51">
        <v>1.4068378378378377</v>
      </c>
      <c r="E12" s="51">
        <v>1.5828235294117643</v>
      </c>
    </row>
    <row r="13" spans="1:5" x14ac:dyDescent="0.25">
      <c r="A13" s="58" t="s">
        <v>2</v>
      </c>
      <c r="B13" s="50">
        <v>15</v>
      </c>
      <c r="C13" s="51">
        <v>1.8130666666666666</v>
      </c>
      <c r="D13" s="51">
        <v>1.8685333333333334</v>
      </c>
      <c r="E13" s="51">
        <v>2.2859090909090907</v>
      </c>
    </row>
    <row r="14" spans="1:5" x14ac:dyDescent="0.25">
      <c r="A14" s="58" t="s">
        <v>3</v>
      </c>
      <c r="B14" s="50">
        <v>3</v>
      </c>
      <c r="C14" s="51">
        <v>2.2513333333333336</v>
      </c>
      <c r="D14" s="51">
        <v>1.9253333333333333</v>
      </c>
      <c r="E14" s="51">
        <v>1.5249999999999999</v>
      </c>
    </row>
    <row r="15" spans="1:5" x14ac:dyDescent="0.25">
      <c r="A15" s="58" t="s">
        <v>144</v>
      </c>
      <c r="B15" s="50">
        <v>24</v>
      </c>
      <c r="C15" s="51">
        <v>1.7343749999999998</v>
      </c>
      <c r="D15" s="51">
        <v>1.8434166666666669</v>
      </c>
      <c r="E15" s="51">
        <v>1.6615454545454547</v>
      </c>
    </row>
    <row r="16" spans="1:5" x14ac:dyDescent="0.25">
      <c r="A16" s="58" t="s">
        <v>145</v>
      </c>
      <c r="B16" s="50">
        <v>9</v>
      </c>
      <c r="C16" s="51">
        <v>1.1725555555555556</v>
      </c>
      <c r="D16" s="51">
        <v>1.0244444444444445</v>
      </c>
      <c r="E16" s="49"/>
    </row>
    <row r="17" spans="1:5" x14ac:dyDescent="0.25">
      <c r="A17" s="48"/>
      <c r="B17" s="50"/>
      <c r="C17" s="51"/>
      <c r="D17" s="51"/>
      <c r="E17" s="49"/>
    </row>
    <row r="18" spans="1:5" x14ac:dyDescent="0.25">
      <c r="A18" s="1" t="s">
        <v>139</v>
      </c>
      <c r="B18" s="3">
        <f>SUM(B12:B16)</f>
        <v>199</v>
      </c>
      <c r="C18" s="4"/>
      <c r="D18" s="4"/>
      <c r="E18" s="4"/>
    </row>
    <row r="19" spans="1:5" x14ac:dyDescent="0.25">
      <c r="C19" s="4"/>
      <c r="D19" s="4"/>
      <c r="E19" s="4"/>
    </row>
    <row r="20" spans="1:5" x14ac:dyDescent="0.25">
      <c r="A20" s="1" t="s">
        <v>157</v>
      </c>
      <c r="C20" s="4"/>
      <c r="D20" s="4"/>
      <c r="E20" s="4"/>
    </row>
    <row r="22" spans="1:5" s="1" customFormat="1" x14ac:dyDescent="0.25">
      <c r="B22" s="68" t="s">
        <v>132</v>
      </c>
      <c r="C22" s="68"/>
      <c r="D22" s="68"/>
      <c r="E22" s="18"/>
    </row>
    <row r="23" spans="1:5" s="1" customFormat="1" x14ac:dyDescent="0.25">
      <c r="B23" s="18" t="s">
        <v>137</v>
      </c>
      <c r="C23" s="18" t="s">
        <v>138</v>
      </c>
      <c r="D23" s="46" t="s">
        <v>204</v>
      </c>
      <c r="E23" s="18" t="s">
        <v>133</v>
      </c>
    </row>
    <row r="24" spans="1:5" x14ac:dyDescent="0.25">
      <c r="A24" s="1" t="s">
        <v>127</v>
      </c>
      <c r="B24" s="4">
        <v>21.2</v>
      </c>
      <c r="C24" s="3">
        <v>18.34</v>
      </c>
      <c r="D24" s="4">
        <v>0.87855000000000005</v>
      </c>
      <c r="E24" s="3" t="s">
        <v>135</v>
      </c>
    </row>
    <row r="25" spans="1:5" x14ac:dyDescent="0.25">
      <c r="A25" s="1" t="s">
        <v>128</v>
      </c>
      <c r="B25" s="4">
        <v>20.54</v>
      </c>
      <c r="C25" s="3">
        <v>17.059999999999999</v>
      </c>
      <c r="D25" s="4">
        <v>0.80429600000000001</v>
      </c>
      <c r="E25" s="3" t="s">
        <v>135</v>
      </c>
    </row>
    <row r="26" spans="1:5" x14ac:dyDescent="0.25">
      <c r="A26" s="1" t="s">
        <v>129</v>
      </c>
      <c r="B26" s="4">
        <v>20.96</v>
      </c>
      <c r="C26" s="3">
        <v>17.850000000000001</v>
      </c>
      <c r="D26" s="4">
        <v>0.89104000000000005</v>
      </c>
      <c r="E26" s="3" t="s">
        <v>135</v>
      </c>
    </row>
    <row r="27" spans="1:5" x14ac:dyDescent="0.25">
      <c r="A27" s="1" t="s">
        <v>130</v>
      </c>
      <c r="B27" s="4">
        <v>21.61</v>
      </c>
      <c r="C27" s="3">
        <v>18.579999999999998</v>
      </c>
      <c r="D27" s="4">
        <v>0.66696</v>
      </c>
      <c r="E27" s="3" t="s">
        <v>135</v>
      </c>
    </row>
    <row r="28" spans="1:5" x14ac:dyDescent="0.25">
      <c r="A28" s="1" t="s">
        <v>131</v>
      </c>
      <c r="B28" s="4">
        <v>21.09</v>
      </c>
      <c r="C28" s="3">
        <v>19.11</v>
      </c>
      <c r="D28" s="4">
        <v>0.551431</v>
      </c>
      <c r="E28" s="3" t="s">
        <v>135</v>
      </c>
    </row>
    <row r="29" spans="1:5" x14ac:dyDescent="0.25">
      <c r="B29" s="4"/>
    </row>
    <row r="30" spans="1:5" x14ac:dyDescent="0.25">
      <c r="A30" s="1" t="s">
        <v>134</v>
      </c>
      <c r="B30" s="4"/>
    </row>
    <row r="32" spans="1:5" s="17" customFormat="1" ht="30" hidden="1" x14ac:dyDescent="0.25">
      <c r="A32" s="17" t="s">
        <v>74</v>
      </c>
      <c r="B32" s="10" t="s">
        <v>125</v>
      </c>
      <c r="C32" s="10" t="s">
        <v>76</v>
      </c>
      <c r="D32" s="10" t="s">
        <v>124</v>
      </c>
      <c r="E32" s="10"/>
    </row>
    <row r="33" spans="1:5" hidden="1" x14ac:dyDescent="0.25">
      <c r="A33" s="5" t="s">
        <v>62</v>
      </c>
      <c r="B33" s="52">
        <v>1</v>
      </c>
      <c r="C33" s="5"/>
      <c r="D33" s="5"/>
      <c r="E33" s="5"/>
    </row>
    <row r="34" spans="1:5" hidden="1" x14ac:dyDescent="0.25">
      <c r="A34" s="5" t="s">
        <v>180</v>
      </c>
      <c r="B34" s="52">
        <v>1</v>
      </c>
      <c r="C34" s="5"/>
      <c r="D34" s="5"/>
      <c r="E34" s="5"/>
    </row>
    <row r="35" spans="1:5" hidden="1" x14ac:dyDescent="0.25">
      <c r="A35" s="5" t="s">
        <v>80</v>
      </c>
      <c r="B35" s="52">
        <v>1</v>
      </c>
      <c r="C35" s="5"/>
      <c r="D35" s="5"/>
      <c r="E35" s="5"/>
    </row>
    <row r="36" spans="1:5" hidden="1" x14ac:dyDescent="0.25">
      <c r="A36" s="5" t="s">
        <v>110</v>
      </c>
      <c r="B36" s="52">
        <v>1</v>
      </c>
      <c r="C36" s="5"/>
      <c r="D36" s="5"/>
      <c r="E36" s="5"/>
    </row>
    <row r="37" spans="1:5" hidden="1" x14ac:dyDescent="0.25">
      <c r="A37" s="5" t="s">
        <v>56</v>
      </c>
      <c r="B37" s="52">
        <v>1</v>
      </c>
      <c r="C37" s="5"/>
      <c r="D37" s="5"/>
      <c r="E37" s="5"/>
    </row>
    <row r="38" spans="1:5" hidden="1" x14ac:dyDescent="0.25">
      <c r="A38" s="5" t="s">
        <v>63</v>
      </c>
      <c r="B38" s="52">
        <v>1</v>
      </c>
      <c r="C38" s="5"/>
      <c r="D38" s="5"/>
      <c r="E38" s="5"/>
    </row>
    <row r="39" spans="1:5" hidden="1" x14ac:dyDescent="0.25">
      <c r="A39" s="5" t="s">
        <v>65</v>
      </c>
      <c r="B39" s="52">
        <v>3</v>
      </c>
      <c r="C39" s="5"/>
      <c r="D39" s="5"/>
      <c r="E39" s="5"/>
    </row>
    <row r="40" spans="1:5" hidden="1" x14ac:dyDescent="0.25">
      <c r="A40" s="5" t="s">
        <v>46</v>
      </c>
      <c r="B40" s="52">
        <v>7</v>
      </c>
      <c r="C40" s="5"/>
      <c r="D40" s="5"/>
      <c r="E40" s="5"/>
    </row>
    <row r="41" spans="1:5" hidden="1" x14ac:dyDescent="0.25">
      <c r="A41" s="5" t="s">
        <v>47</v>
      </c>
      <c r="B41" s="52">
        <v>7</v>
      </c>
      <c r="C41" s="5"/>
      <c r="D41" s="5"/>
      <c r="E41" s="5"/>
    </row>
    <row r="42" spans="1:5" hidden="1" x14ac:dyDescent="0.25">
      <c r="A42" s="5" t="s">
        <v>27</v>
      </c>
      <c r="B42" s="52">
        <v>1</v>
      </c>
      <c r="C42" s="5"/>
      <c r="D42" s="5"/>
      <c r="E42" s="5"/>
    </row>
    <row r="43" spans="1:5" hidden="1" x14ac:dyDescent="0.25">
      <c r="A43" s="5" t="s">
        <v>66</v>
      </c>
      <c r="B43" s="52">
        <v>3</v>
      </c>
      <c r="C43" s="5"/>
      <c r="D43" s="5"/>
      <c r="E43" s="5"/>
    </row>
    <row r="44" spans="1:5" hidden="1" x14ac:dyDescent="0.25">
      <c r="A44" s="5" t="s">
        <v>176</v>
      </c>
      <c r="B44" s="52">
        <v>1</v>
      </c>
      <c r="C44" s="5"/>
      <c r="D44" s="5"/>
      <c r="E44" s="5"/>
    </row>
    <row r="45" spans="1:5" hidden="1" x14ac:dyDescent="0.25">
      <c r="A45" s="5" t="s">
        <v>102</v>
      </c>
      <c r="B45" s="52">
        <v>1</v>
      </c>
      <c r="C45" s="5"/>
      <c r="D45" s="5"/>
      <c r="E45" s="5"/>
    </row>
    <row r="46" spans="1:5" hidden="1" x14ac:dyDescent="0.25">
      <c r="A46" s="5" t="s">
        <v>92</v>
      </c>
      <c r="B46" s="52">
        <v>1</v>
      </c>
      <c r="C46" s="5"/>
      <c r="D46" s="5"/>
      <c r="E46" s="5"/>
    </row>
    <row r="47" spans="1:5" hidden="1" x14ac:dyDescent="0.25">
      <c r="A47" s="5" t="s">
        <v>35</v>
      </c>
      <c r="B47" s="52">
        <v>2</v>
      </c>
      <c r="C47" s="5"/>
      <c r="D47" s="5"/>
      <c r="E47" s="5"/>
    </row>
    <row r="48" spans="1:5" hidden="1" x14ac:dyDescent="0.25">
      <c r="A48" s="5" t="s">
        <v>123</v>
      </c>
      <c r="B48" s="52">
        <v>1</v>
      </c>
      <c r="C48" s="5"/>
      <c r="D48" s="5"/>
      <c r="E48" s="5"/>
    </row>
    <row r="49" spans="1:5" hidden="1" x14ac:dyDescent="0.25">
      <c r="A49" s="5" t="s">
        <v>38</v>
      </c>
      <c r="B49" s="52">
        <v>2</v>
      </c>
      <c r="C49" s="5"/>
      <c r="D49" s="5"/>
      <c r="E49" s="5"/>
    </row>
    <row r="50" spans="1:5" hidden="1" x14ac:dyDescent="0.25">
      <c r="A50" s="5" t="s">
        <v>44</v>
      </c>
      <c r="B50" s="52">
        <v>1</v>
      </c>
      <c r="C50" s="5"/>
      <c r="D50" s="5"/>
      <c r="E50" s="5"/>
    </row>
    <row r="51" spans="1:5" hidden="1" x14ac:dyDescent="0.25">
      <c r="A51" s="5" t="s">
        <v>39</v>
      </c>
      <c r="B51" s="52">
        <v>1</v>
      </c>
      <c r="C51" s="5"/>
      <c r="D51" s="5"/>
      <c r="E51" s="5"/>
    </row>
    <row r="52" spans="1:5" hidden="1" x14ac:dyDescent="0.25">
      <c r="A52" s="5" t="s">
        <v>13</v>
      </c>
      <c r="B52" s="52">
        <v>1</v>
      </c>
      <c r="C52" s="5"/>
      <c r="D52" s="5"/>
      <c r="E52" s="5"/>
    </row>
    <row r="53" spans="1:5" hidden="1" x14ac:dyDescent="0.25">
      <c r="A53" s="5" t="s">
        <v>85</v>
      </c>
      <c r="B53" s="52">
        <v>1</v>
      </c>
      <c r="C53" s="5"/>
      <c r="D53" s="5"/>
      <c r="E53" s="5"/>
    </row>
    <row r="54" spans="1:5" hidden="1" x14ac:dyDescent="0.25">
      <c r="A54" s="5" t="s">
        <v>69</v>
      </c>
      <c r="B54" s="52">
        <v>16</v>
      </c>
      <c r="C54" s="5"/>
      <c r="D54" s="5"/>
      <c r="E54" s="5"/>
    </row>
    <row r="55" spans="1:5" hidden="1" x14ac:dyDescent="0.25">
      <c r="A55" s="5" t="s">
        <v>53</v>
      </c>
      <c r="B55" s="52">
        <v>1</v>
      </c>
      <c r="C55" s="5"/>
      <c r="D55" s="5"/>
      <c r="E55" s="5"/>
    </row>
    <row r="56" spans="1:5" hidden="1" x14ac:dyDescent="0.25">
      <c r="A56" s="5" t="s">
        <v>178</v>
      </c>
      <c r="B56" s="52">
        <v>3</v>
      </c>
      <c r="C56" s="5"/>
      <c r="D56" s="5"/>
      <c r="E56" s="5"/>
    </row>
    <row r="57" spans="1:5" hidden="1" x14ac:dyDescent="0.25">
      <c r="A57" s="5" t="s">
        <v>197</v>
      </c>
      <c r="B57" s="52">
        <v>1</v>
      </c>
      <c r="C57" s="5"/>
      <c r="D57" s="5"/>
      <c r="E57" s="5"/>
    </row>
    <row r="58" spans="1:5" hidden="1" x14ac:dyDescent="0.25">
      <c r="A58" s="5" t="s">
        <v>60</v>
      </c>
      <c r="B58" s="52">
        <v>4</v>
      </c>
      <c r="C58" s="5"/>
      <c r="D58" s="5"/>
      <c r="E58" s="5"/>
    </row>
    <row r="59" spans="1:5" hidden="1" x14ac:dyDescent="0.25">
      <c r="A59" s="5" t="s">
        <v>106</v>
      </c>
      <c r="B59" s="52">
        <v>1</v>
      </c>
      <c r="C59" s="5"/>
      <c r="D59" s="5"/>
      <c r="E59" s="5"/>
    </row>
    <row r="60" spans="1:5" hidden="1" x14ac:dyDescent="0.25">
      <c r="A60" s="5" t="s">
        <v>73</v>
      </c>
      <c r="B60" s="52">
        <v>1</v>
      </c>
      <c r="C60" s="5"/>
      <c r="D60" s="5"/>
      <c r="E60" s="5"/>
    </row>
    <row r="61" spans="1:5" hidden="1" x14ac:dyDescent="0.25">
      <c r="A61" s="5" t="s">
        <v>89</v>
      </c>
      <c r="B61" s="52">
        <v>1</v>
      </c>
      <c r="C61" s="5"/>
      <c r="D61" s="5"/>
      <c r="E61" s="5"/>
    </row>
    <row r="62" spans="1:5" hidden="1" x14ac:dyDescent="0.25">
      <c r="A62" s="5" t="s">
        <v>206</v>
      </c>
      <c r="B62" s="52">
        <v>2</v>
      </c>
      <c r="C62" s="5"/>
      <c r="D62" s="5"/>
      <c r="E62" s="5"/>
    </row>
    <row r="63" spans="1:5" hidden="1" x14ac:dyDescent="0.25">
      <c r="A63" s="5" t="s">
        <v>49</v>
      </c>
      <c r="B63" s="52">
        <v>1</v>
      </c>
      <c r="C63" s="5"/>
      <c r="D63" s="5"/>
      <c r="E63" s="5"/>
    </row>
    <row r="64" spans="1:5" hidden="1" x14ac:dyDescent="0.25">
      <c r="A64" s="5" t="s">
        <v>94</v>
      </c>
      <c r="B64" s="52">
        <v>2</v>
      </c>
      <c r="C64" s="5"/>
      <c r="D64" s="5"/>
      <c r="E64" s="5"/>
    </row>
    <row r="65" spans="1:5" hidden="1" x14ac:dyDescent="0.25">
      <c r="A65" s="5" t="s">
        <v>42</v>
      </c>
      <c r="B65" s="52">
        <v>2</v>
      </c>
      <c r="C65" s="5"/>
      <c r="D65" s="5"/>
      <c r="E65" s="5"/>
    </row>
    <row r="66" spans="1:5" s="3" customFormat="1" hidden="1" x14ac:dyDescent="0.25">
      <c r="A66" s="9"/>
      <c r="B66" s="11"/>
      <c r="C66" s="11"/>
      <c r="D66" s="12"/>
    </row>
    <row r="67" spans="1:5" s="3" customFormat="1" hidden="1" x14ac:dyDescent="0.25">
      <c r="A67" s="9"/>
      <c r="B67" s="11"/>
      <c r="C67" s="11"/>
      <c r="D67" s="12"/>
    </row>
    <row r="68" spans="1:5" s="3" customFormat="1" hidden="1" x14ac:dyDescent="0.25">
      <c r="A68" s="9"/>
      <c r="B68" s="11"/>
      <c r="C68" s="11"/>
      <c r="D68" s="12"/>
    </row>
    <row r="69" spans="1:5" s="3" customFormat="1" x14ac:dyDescent="0.25">
      <c r="A69" s="9"/>
      <c r="B69" s="11"/>
      <c r="C69" s="11"/>
      <c r="D69" s="12"/>
    </row>
    <row r="70" spans="1:5" s="3" customFormat="1" x14ac:dyDescent="0.25">
      <c r="A70" s="9"/>
      <c r="B70" s="11"/>
      <c r="C70" s="11"/>
      <c r="D70" s="12"/>
    </row>
    <row r="71" spans="1:5" s="3" customFormat="1" x14ac:dyDescent="0.25">
      <c r="A71" s="9"/>
      <c r="B71" s="11"/>
      <c r="C71" s="11"/>
      <c r="D71" s="12"/>
    </row>
    <row r="72" spans="1:5" s="3" customFormat="1" x14ac:dyDescent="0.25">
      <c r="A72" s="9"/>
      <c r="B72" s="11"/>
      <c r="C72" s="11"/>
      <c r="D72" s="12"/>
    </row>
    <row r="73" spans="1:5" s="3" customFormat="1" x14ac:dyDescent="0.25">
      <c r="A73" s="9"/>
      <c r="B73" s="11"/>
      <c r="C73" s="11"/>
      <c r="D73" s="12"/>
    </row>
    <row r="74" spans="1:5" s="3" customFormat="1" x14ac:dyDescent="0.25">
      <c r="A74" s="9"/>
      <c r="B74" s="11"/>
      <c r="C74" s="11"/>
      <c r="D74" s="12"/>
    </row>
    <row r="75" spans="1:5" s="3" customFormat="1" x14ac:dyDescent="0.25">
      <c r="A75" s="9"/>
      <c r="B75" s="11"/>
      <c r="C75" s="11"/>
      <c r="D75" s="12"/>
    </row>
    <row r="76" spans="1:5" s="3" customFormat="1" x14ac:dyDescent="0.25">
      <c r="A76" s="9"/>
      <c r="B76" s="11"/>
      <c r="C76" s="11"/>
      <c r="D76" s="12"/>
    </row>
    <row r="77" spans="1:5" s="3" customFormat="1" x14ac:dyDescent="0.25">
      <c r="A77" s="9"/>
      <c r="B77" s="11"/>
      <c r="C77" s="11"/>
      <c r="D77" s="12"/>
    </row>
    <row r="78" spans="1:5" s="3" customFormat="1" x14ac:dyDescent="0.25">
      <c r="A78" s="9"/>
      <c r="B78" s="11"/>
      <c r="C78" s="11"/>
      <c r="D78" s="12"/>
    </row>
    <row r="79" spans="1:5" s="3" customFormat="1" x14ac:dyDescent="0.25">
      <c r="A79" s="9"/>
      <c r="B79" s="11"/>
      <c r="C79" s="11"/>
      <c r="D79" s="12"/>
    </row>
    <row r="80" spans="1:5" s="3" customFormat="1" x14ac:dyDescent="0.25">
      <c r="A80" s="9"/>
      <c r="B80" s="11"/>
      <c r="C80" s="11"/>
      <c r="D80" s="12"/>
    </row>
    <row r="81" spans="1:4" s="3" customFormat="1" x14ac:dyDescent="0.25">
      <c r="A81" s="9"/>
      <c r="B81" s="11"/>
      <c r="C81" s="11"/>
      <c r="D81" s="12"/>
    </row>
    <row r="82" spans="1:4" s="3" customFormat="1" x14ac:dyDescent="0.25">
      <c r="A82" s="9"/>
      <c r="B82" s="11"/>
      <c r="C82" s="11"/>
      <c r="D82" s="12"/>
    </row>
    <row r="83" spans="1:4" s="3" customFormat="1" x14ac:dyDescent="0.25">
      <c r="A83" s="9"/>
      <c r="B83" s="11"/>
      <c r="C83" s="11"/>
      <c r="D83" s="12"/>
    </row>
    <row r="84" spans="1:4" s="3" customFormat="1" x14ac:dyDescent="0.25">
      <c r="A84" s="9"/>
      <c r="B84" s="11"/>
      <c r="C84" s="11"/>
      <c r="D84" s="12"/>
    </row>
    <row r="85" spans="1:4" s="3" customFormat="1" x14ac:dyDescent="0.25">
      <c r="A85" s="9"/>
      <c r="B85" s="11"/>
      <c r="C85" s="11"/>
      <c r="D85" s="12"/>
    </row>
    <row r="86" spans="1:4" s="3" customFormat="1" x14ac:dyDescent="0.25">
      <c r="A86" s="9"/>
      <c r="B86" s="11"/>
      <c r="C86" s="11"/>
      <c r="D86" s="12"/>
    </row>
    <row r="87" spans="1:4" s="3" customFormat="1" x14ac:dyDescent="0.25">
      <c r="A87" s="9"/>
      <c r="B87" s="11"/>
      <c r="C87" s="11"/>
      <c r="D87" s="12"/>
    </row>
    <row r="88" spans="1:4" s="3" customFormat="1" x14ac:dyDescent="0.25">
      <c r="A88" s="9"/>
      <c r="B88" s="11"/>
      <c r="C88" s="11"/>
      <c r="D88" s="12"/>
    </row>
    <row r="89" spans="1:4" s="3" customFormat="1" x14ac:dyDescent="0.25">
      <c r="A89" s="9"/>
      <c r="B89" s="11"/>
      <c r="C89" s="11"/>
      <c r="D89" s="12"/>
    </row>
    <row r="90" spans="1:4" s="3" customFormat="1" x14ac:dyDescent="0.25">
      <c r="A90" s="9"/>
      <c r="B90" s="11"/>
      <c r="C90" s="11"/>
      <c r="D90" s="12"/>
    </row>
    <row r="91" spans="1:4" s="3" customFormat="1" x14ac:dyDescent="0.25">
      <c r="A91" s="9"/>
      <c r="B91" s="11"/>
      <c r="C91" s="11"/>
      <c r="D91" s="12"/>
    </row>
    <row r="92" spans="1:4" s="3" customFormat="1" x14ac:dyDescent="0.25">
      <c r="A92" s="9"/>
      <c r="B92" s="11"/>
      <c r="C92" s="11"/>
      <c r="D92" s="12"/>
    </row>
    <row r="93" spans="1:4" x14ac:dyDescent="0.25">
      <c r="A93" s="9"/>
      <c r="B93" s="11"/>
      <c r="C93" s="11"/>
      <c r="D93" s="12"/>
    </row>
    <row r="94" spans="1:4" x14ac:dyDescent="0.25">
      <c r="A94" s="9"/>
      <c r="B94" s="11"/>
      <c r="C94" s="11"/>
      <c r="D94" s="12"/>
    </row>
    <row r="95" spans="1:4" x14ac:dyDescent="0.25">
      <c r="A95" s="9"/>
      <c r="B95" s="11"/>
      <c r="C95" s="11"/>
      <c r="D95" s="12"/>
    </row>
    <row r="96" spans="1:4" x14ac:dyDescent="0.25">
      <c r="A96" s="9"/>
      <c r="B96" s="11"/>
      <c r="C96" s="11"/>
      <c r="D96" s="12"/>
    </row>
    <row r="97" spans="1:4" x14ac:dyDescent="0.25">
      <c r="A97" s="9"/>
      <c r="B97" s="11"/>
      <c r="C97" s="11"/>
      <c r="D97" s="12"/>
    </row>
    <row r="98" spans="1:4" x14ac:dyDescent="0.25">
      <c r="A98" s="9"/>
      <c r="B98" s="11"/>
      <c r="C98" s="11"/>
      <c r="D98" s="12"/>
    </row>
    <row r="99" spans="1:4" x14ac:dyDescent="0.25">
      <c r="A99" s="9"/>
      <c r="B99" s="11"/>
      <c r="C99" s="11"/>
      <c r="D99" s="12"/>
    </row>
    <row r="100" spans="1:4" x14ac:dyDescent="0.25">
      <c r="A100" s="9"/>
      <c r="B100" s="11"/>
      <c r="C100" s="11"/>
      <c r="D100" s="12"/>
    </row>
    <row r="101" spans="1:4" x14ac:dyDescent="0.25">
      <c r="A101" s="9"/>
      <c r="B101" s="11"/>
      <c r="C101" s="11"/>
      <c r="D101" s="12"/>
    </row>
    <row r="102" spans="1:4" x14ac:dyDescent="0.25">
      <c r="A102" s="9"/>
      <c r="B102" s="11"/>
      <c r="C102" s="11"/>
      <c r="D102" s="12"/>
    </row>
  </sheetData>
  <mergeCells count="1">
    <mergeCell ref="B22:D22"/>
  </mergeCells>
  <pageMargins left="0.7" right="0.7" top="0.75" bottom="0.75" header="0.3" footer="0.3"/>
  <pageSetup scale="95" fitToHeight="0" orientation="portrait" r:id="rId1"/>
  <headerFooter>
    <oddHeader>&amp;L&amp;"Times New Roman,Bold"&amp;F, &amp;A</oddHeader>
    <oddFooter>&amp;L&amp;"Times New Roman,Bold"&amp;8Office of Institutional Research and Assessment
&amp;F, &amp;A&amp;R&amp;"Times New Roman,Bold"&amp;8Page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E99"/>
  <sheetViews>
    <sheetView topLeftCell="A16" workbookViewId="0">
      <selection activeCell="A15" sqref="A15"/>
    </sheetView>
  </sheetViews>
  <sheetFormatPr defaultColWidth="8.85546875" defaultRowHeight="15" x14ac:dyDescent="0.25"/>
  <cols>
    <col min="1" max="1" width="28.85546875" style="1" bestFit="1" customWidth="1"/>
    <col min="2" max="2" width="17.28515625" style="3" bestFit="1" customWidth="1"/>
    <col min="3" max="3" width="12.85546875" style="3" bestFit="1" customWidth="1"/>
    <col min="4" max="4" width="10.5703125" style="3" bestFit="1" customWidth="1"/>
    <col min="5" max="5" width="11.85546875" style="3" bestFit="1" customWidth="1"/>
    <col min="6" max="16384" width="8.85546875" style="5"/>
  </cols>
  <sheetData>
    <row r="11" spans="1:5" s="1" customFormat="1" x14ac:dyDescent="0.25">
      <c r="A11" s="1" t="s">
        <v>5</v>
      </c>
      <c r="B11" s="2"/>
      <c r="C11" s="2"/>
      <c r="D11" s="2"/>
      <c r="E11" s="2"/>
    </row>
    <row r="12" spans="1:5" s="1" customFormat="1" x14ac:dyDescent="0.25">
      <c r="B12" s="2" t="s">
        <v>6</v>
      </c>
      <c r="C12" s="2" t="s">
        <v>10</v>
      </c>
      <c r="D12" s="2" t="s">
        <v>7</v>
      </c>
      <c r="E12" s="2" t="s">
        <v>8</v>
      </c>
    </row>
    <row r="13" spans="1:5" x14ac:dyDescent="0.25">
      <c r="A13" s="1" t="s">
        <v>0</v>
      </c>
      <c r="B13" s="3">
        <v>152</v>
      </c>
      <c r="C13" s="4">
        <v>1</v>
      </c>
      <c r="D13" s="4">
        <v>1.06</v>
      </c>
      <c r="E13" s="4">
        <v>1.44</v>
      </c>
    </row>
    <row r="14" spans="1:5" x14ac:dyDescent="0.25">
      <c r="A14" s="1" t="s">
        <v>1</v>
      </c>
      <c r="B14" s="3">
        <v>19</v>
      </c>
      <c r="C14" s="4">
        <v>1.38</v>
      </c>
      <c r="D14" s="4">
        <v>1.61</v>
      </c>
      <c r="E14" s="4">
        <v>1.48</v>
      </c>
    </row>
    <row r="15" spans="1:5" x14ac:dyDescent="0.25">
      <c r="A15" s="1" t="s">
        <v>2</v>
      </c>
      <c r="B15" s="3">
        <v>13</v>
      </c>
      <c r="C15" s="4">
        <v>1.62</v>
      </c>
      <c r="D15" s="4">
        <v>1.79</v>
      </c>
      <c r="E15" s="4">
        <v>1.63</v>
      </c>
    </row>
    <row r="16" spans="1:5" x14ac:dyDescent="0.25">
      <c r="A16" s="1" t="s">
        <v>3</v>
      </c>
      <c r="B16" s="3">
        <v>3</v>
      </c>
      <c r="C16" s="4">
        <v>1.59</v>
      </c>
      <c r="D16" s="4">
        <v>1.86</v>
      </c>
      <c r="E16" s="4">
        <v>2.14</v>
      </c>
    </row>
    <row r="17" spans="1:5" x14ac:dyDescent="0.25">
      <c r="C17" s="4"/>
      <c r="D17" s="4"/>
      <c r="E17" s="4"/>
    </row>
    <row r="18" spans="1:5" x14ac:dyDescent="0.25">
      <c r="A18" s="1" t="s">
        <v>4</v>
      </c>
      <c r="B18" s="3">
        <v>1</v>
      </c>
      <c r="C18" s="4">
        <v>1.39</v>
      </c>
      <c r="D18" s="4">
        <v>1.67</v>
      </c>
      <c r="E18" s="4"/>
    </row>
    <row r="19" spans="1:5" x14ac:dyDescent="0.25">
      <c r="C19" s="4"/>
      <c r="D19" s="4"/>
      <c r="E19" s="4"/>
    </row>
    <row r="20" spans="1:5" x14ac:dyDescent="0.25">
      <c r="A20" s="1" t="s">
        <v>139</v>
      </c>
      <c r="B20" s="3">
        <f>SUM(B13:B18)</f>
        <v>188</v>
      </c>
      <c r="C20" s="4"/>
      <c r="D20" s="4"/>
      <c r="E20" s="4"/>
    </row>
    <row r="21" spans="1:5" x14ac:dyDescent="0.25">
      <c r="C21" s="4"/>
      <c r="D21" s="4"/>
      <c r="E21" s="4"/>
    </row>
    <row r="22" spans="1:5" x14ac:dyDescent="0.25">
      <c r="A22" s="1" t="s">
        <v>9</v>
      </c>
      <c r="B22" s="3">
        <v>91</v>
      </c>
      <c r="C22" s="4">
        <v>0.96</v>
      </c>
      <c r="D22" s="4">
        <v>0.97</v>
      </c>
      <c r="E22" s="4"/>
    </row>
    <row r="24" spans="1:5" s="1" customFormat="1" x14ac:dyDescent="0.25">
      <c r="B24" s="68" t="s">
        <v>132</v>
      </c>
      <c r="C24" s="68"/>
      <c r="D24" s="68"/>
      <c r="E24" s="18"/>
    </row>
    <row r="25" spans="1:5" s="1" customFormat="1" x14ac:dyDescent="0.25">
      <c r="B25" s="18" t="s">
        <v>126</v>
      </c>
      <c r="C25" s="18" t="s">
        <v>75</v>
      </c>
      <c r="D25" s="18" t="s">
        <v>136</v>
      </c>
      <c r="E25" s="18" t="s">
        <v>133</v>
      </c>
    </row>
    <row r="26" spans="1:5" x14ac:dyDescent="0.25">
      <c r="A26" s="1" t="s">
        <v>127</v>
      </c>
      <c r="B26" s="4">
        <v>21.69</v>
      </c>
      <c r="C26" s="3">
        <v>19.420000000000002</v>
      </c>
      <c r="D26" s="3">
        <v>0.67500000000000004</v>
      </c>
      <c r="E26" s="3" t="s">
        <v>135</v>
      </c>
    </row>
    <row r="27" spans="1:5" x14ac:dyDescent="0.25">
      <c r="A27" s="1" t="s">
        <v>128</v>
      </c>
      <c r="B27" s="4">
        <v>20.97</v>
      </c>
      <c r="C27" s="3">
        <v>18.03</v>
      </c>
      <c r="D27" s="3">
        <v>0.71140000000000003</v>
      </c>
      <c r="E27" s="3" t="s">
        <v>135</v>
      </c>
    </row>
    <row r="28" spans="1:5" x14ac:dyDescent="0.25">
      <c r="A28" s="1" t="s">
        <v>129</v>
      </c>
      <c r="B28" s="4">
        <v>21.04</v>
      </c>
      <c r="C28" s="3">
        <v>18.96</v>
      </c>
      <c r="D28" s="3">
        <v>0.50329999999999997</v>
      </c>
      <c r="E28" s="3" t="s">
        <v>135</v>
      </c>
    </row>
    <row r="29" spans="1:5" x14ac:dyDescent="0.25">
      <c r="A29" s="1" t="s">
        <v>130</v>
      </c>
      <c r="B29" s="4">
        <v>22.35</v>
      </c>
      <c r="C29" s="3">
        <v>20.47</v>
      </c>
      <c r="D29" s="3">
        <v>0.375</v>
      </c>
      <c r="E29" s="3" t="s">
        <v>135</v>
      </c>
    </row>
    <row r="30" spans="1:5" x14ac:dyDescent="0.25">
      <c r="A30" s="1" t="s">
        <v>131</v>
      </c>
      <c r="B30" s="4">
        <v>21.8</v>
      </c>
      <c r="C30" s="3">
        <v>19.760000000000002</v>
      </c>
      <c r="D30" s="3">
        <v>0.56120000000000003</v>
      </c>
      <c r="E30" s="3" t="s">
        <v>135</v>
      </c>
    </row>
    <row r="31" spans="1:5" x14ac:dyDescent="0.25">
      <c r="B31" s="4"/>
    </row>
    <row r="32" spans="1:5" x14ac:dyDescent="0.25">
      <c r="A32" s="1" t="s">
        <v>134</v>
      </c>
      <c r="B32" s="4"/>
    </row>
    <row r="35" spans="1:5" s="1" customFormat="1" x14ac:dyDescent="0.25">
      <c r="A35" s="1" t="s">
        <v>11</v>
      </c>
      <c r="B35" s="2" t="s">
        <v>77</v>
      </c>
      <c r="C35" s="2" t="s">
        <v>76</v>
      </c>
      <c r="D35" s="2" t="s">
        <v>78</v>
      </c>
      <c r="E35" s="2"/>
    </row>
    <row r="36" spans="1:5" x14ac:dyDescent="0.25">
      <c r="A36" s="6" t="s">
        <v>12</v>
      </c>
      <c r="B36" s="7">
        <v>1</v>
      </c>
      <c r="C36" s="7">
        <v>62</v>
      </c>
      <c r="D36" s="8">
        <v>1.6129032258064516E-2</v>
      </c>
    </row>
    <row r="37" spans="1:5" x14ac:dyDescent="0.25">
      <c r="A37" s="6" t="s">
        <v>13</v>
      </c>
      <c r="B37" s="7">
        <v>2</v>
      </c>
      <c r="C37" s="7">
        <v>51</v>
      </c>
      <c r="D37" s="8">
        <v>3.9215686274509803E-2</v>
      </c>
    </row>
    <row r="38" spans="1:5" x14ac:dyDescent="0.25">
      <c r="A38" s="6" t="s">
        <v>14</v>
      </c>
      <c r="B38" s="7">
        <v>3</v>
      </c>
      <c r="C38" s="7">
        <v>32</v>
      </c>
      <c r="D38" s="8">
        <v>9.375E-2</v>
      </c>
    </row>
    <row r="39" spans="1:5" x14ac:dyDescent="0.25">
      <c r="A39" s="6" t="s">
        <v>15</v>
      </c>
      <c r="B39" s="7">
        <v>2</v>
      </c>
      <c r="C39" s="7">
        <v>52</v>
      </c>
      <c r="D39" s="8">
        <v>3.8461538461538464E-2</v>
      </c>
    </row>
    <row r="40" spans="1:5" x14ac:dyDescent="0.25">
      <c r="A40" s="6" t="s">
        <v>16</v>
      </c>
      <c r="B40" s="7">
        <v>4</v>
      </c>
      <c r="C40" s="7">
        <v>82</v>
      </c>
      <c r="D40" s="8">
        <v>4.878048780487805E-2</v>
      </c>
    </row>
    <row r="41" spans="1:5" x14ac:dyDescent="0.25">
      <c r="A41" s="6" t="s">
        <v>17</v>
      </c>
      <c r="B41" s="7">
        <v>2</v>
      </c>
      <c r="C41" s="7">
        <v>44</v>
      </c>
      <c r="D41" s="8">
        <v>4.5454545454545456E-2</v>
      </c>
    </row>
    <row r="42" spans="1:5" x14ac:dyDescent="0.25">
      <c r="A42" s="6" t="s">
        <v>18</v>
      </c>
      <c r="B42" s="7">
        <v>2</v>
      </c>
      <c r="C42" s="7">
        <v>27</v>
      </c>
      <c r="D42" s="8">
        <v>7.407407407407407E-2</v>
      </c>
    </row>
    <row r="43" spans="1:5" x14ac:dyDescent="0.25">
      <c r="A43" s="6" t="s">
        <v>19</v>
      </c>
      <c r="B43" s="7">
        <v>3</v>
      </c>
      <c r="C43" s="7">
        <v>48</v>
      </c>
      <c r="D43" s="8">
        <v>6.25E-2</v>
      </c>
    </row>
    <row r="44" spans="1:5" x14ac:dyDescent="0.25">
      <c r="A44" s="6" t="s">
        <v>20</v>
      </c>
      <c r="B44" s="7">
        <v>1</v>
      </c>
      <c r="C44" s="7">
        <v>25</v>
      </c>
      <c r="D44" s="8">
        <v>0.04</v>
      </c>
    </row>
    <row r="45" spans="1:5" x14ac:dyDescent="0.25">
      <c r="A45" s="6" t="s">
        <v>21</v>
      </c>
      <c r="B45" s="7">
        <v>19</v>
      </c>
      <c r="C45" s="7">
        <v>90</v>
      </c>
      <c r="D45" s="8">
        <v>0.21111111111111111</v>
      </c>
    </row>
    <row r="46" spans="1:5" x14ac:dyDescent="0.25">
      <c r="A46" s="6" t="s">
        <v>22</v>
      </c>
      <c r="B46" s="7">
        <v>1</v>
      </c>
      <c r="C46" s="7">
        <v>4</v>
      </c>
      <c r="D46" s="8">
        <v>0.25</v>
      </c>
    </row>
    <row r="47" spans="1:5" x14ac:dyDescent="0.25">
      <c r="A47" s="6" t="s">
        <v>23</v>
      </c>
      <c r="B47" s="7">
        <v>1</v>
      </c>
      <c r="C47" s="7">
        <v>21</v>
      </c>
      <c r="D47" s="8">
        <v>4.7619047619047616E-2</v>
      </c>
    </row>
    <row r="48" spans="1:5" x14ac:dyDescent="0.25">
      <c r="A48" s="6" t="s">
        <v>24</v>
      </c>
      <c r="B48" s="7">
        <v>2</v>
      </c>
      <c r="C48" s="7">
        <v>40</v>
      </c>
      <c r="D48" s="8">
        <v>0.05</v>
      </c>
    </row>
    <row r="49" spans="1:4" x14ac:dyDescent="0.25">
      <c r="A49" s="6" t="s">
        <v>25</v>
      </c>
      <c r="B49" s="7">
        <v>2</v>
      </c>
      <c r="C49" s="7">
        <v>27</v>
      </c>
      <c r="D49" s="8">
        <v>7.407407407407407E-2</v>
      </c>
    </row>
    <row r="50" spans="1:4" x14ac:dyDescent="0.25">
      <c r="A50" s="6" t="s">
        <v>26</v>
      </c>
      <c r="B50" s="7">
        <v>2</v>
      </c>
      <c r="C50" s="7">
        <v>53</v>
      </c>
      <c r="D50" s="8">
        <v>3.7735849056603772E-2</v>
      </c>
    </row>
    <row r="51" spans="1:4" x14ac:dyDescent="0.25">
      <c r="A51" s="6" t="s">
        <v>27</v>
      </c>
      <c r="B51" s="7">
        <v>2</v>
      </c>
      <c r="C51" s="7">
        <v>51</v>
      </c>
      <c r="D51" s="8">
        <v>3.9215686274509803E-2</v>
      </c>
    </row>
    <row r="52" spans="1:4" x14ac:dyDescent="0.25">
      <c r="A52" s="6" t="s">
        <v>28</v>
      </c>
      <c r="B52" s="7">
        <v>2</v>
      </c>
      <c r="C52" s="7">
        <v>8</v>
      </c>
      <c r="D52" s="8">
        <v>0.25</v>
      </c>
    </row>
    <row r="53" spans="1:4" x14ac:dyDescent="0.25">
      <c r="A53" s="6" t="s">
        <v>29</v>
      </c>
      <c r="B53" s="7">
        <v>3</v>
      </c>
      <c r="C53" s="7">
        <v>6</v>
      </c>
      <c r="D53" s="8">
        <v>0.5</v>
      </c>
    </row>
    <row r="54" spans="1:4" x14ac:dyDescent="0.25">
      <c r="A54" s="6" t="s">
        <v>30</v>
      </c>
      <c r="B54" s="7">
        <v>2</v>
      </c>
      <c r="C54" s="7">
        <v>12</v>
      </c>
      <c r="D54" s="8">
        <v>0.16666666666666666</v>
      </c>
    </row>
    <row r="55" spans="1:4" x14ac:dyDescent="0.25">
      <c r="A55" s="6" t="s">
        <v>31</v>
      </c>
      <c r="B55" s="7">
        <v>1</v>
      </c>
      <c r="C55" s="7">
        <v>16</v>
      </c>
      <c r="D55" s="8">
        <v>6.25E-2</v>
      </c>
    </row>
    <row r="56" spans="1:4" x14ac:dyDescent="0.25">
      <c r="A56" s="6" t="s">
        <v>32</v>
      </c>
      <c r="B56" s="7">
        <v>2</v>
      </c>
      <c r="C56" s="7">
        <v>28</v>
      </c>
      <c r="D56" s="8">
        <v>7.1428571428571425E-2</v>
      </c>
    </row>
    <row r="57" spans="1:4" x14ac:dyDescent="0.25">
      <c r="A57" s="6" t="s">
        <v>33</v>
      </c>
      <c r="B57" s="7">
        <v>1</v>
      </c>
      <c r="C57" s="7">
        <v>27</v>
      </c>
      <c r="D57" s="8">
        <v>3.7037037037037035E-2</v>
      </c>
    </row>
    <row r="58" spans="1:4" x14ac:dyDescent="0.25">
      <c r="A58" s="6" t="s">
        <v>34</v>
      </c>
      <c r="B58" s="7">
        <v>1</v>
      </c>
      <c r="C58" s="7">
        <v>39</v>
      </c>
      <c r="D58" s="8">
        <v>2.564102564102564E-2</v>
      </c>
    </row>
    <row r="59" spans="1:4" x14ac:dyDescent="0.25">
      <c r="A59" s="6" t="s">
        <v>35</v>
      </c>
      <c r="B59" s="7">
        <v>3</v>
      </c>
      <c r="C59" s="7">
        <v>33</v>
      </c>
      <c r="D59" s="8">
        <v>9.0909090909090912E-2</v>
      </c>
    </row>
    <row r="60" spans="1:4" x14ac:dyDescent="0.25">
      <c r="A60" s="6" t="s">
        <v>36</v>
      </c>
      <c r="B60" s="7">
        <v>1</v>
      </c>
      <c r="C60" s="7">
        <v>14</v>
      </c>
      <c r="D60" s="8">
        <v>7.1428571428571425E-2</v>
      </c>
    </row>
    <row r="61" spans="1:4" x14ac:dyDescent="0.25">
      <c r="A61" s="6" t="s">
        <v>37</v>
      </c>
      <c r="B61" s="7">
        <v>1</v>
      </c>
      <c r="C61" s="7">
        <v>34</v>
      </c>
      <c r="D61" s="8">
        <v>2.9411764705882353E-2</v>
      </c>
    </row>
    <row r="62" spans="1:4" x14ac:dyDescent="0.25">
      <c r="A62" s="6" t="s">
        <v>38</v>
      </c>
      <c r="B62" s="7">
        <v>1</v>
      </c>
      <c r="C62" s="7">
        <v>33</v>
      </c>
      <c r="D62" s="8">
        <v>3.0303030303030304E-2</v>
      </c>
    </row>
    <row r="63" spans="1:4" x14ac:dyDescent="0.25">
      <c r="A63" s="6" t="s">
        <v>39</v>
      </c>
      <c r="B63" s="7">
        <v>1</v>
      </c>
      <c r="C63" s="7">
        <v>23</v>
      </c>
      <c r="D63" s="8">
        <v>4.3478260869565216E-2</v>
      </c>
    </row>
    <row r="64" spans="1:4" x14ac:dyDescent="0.25">
      <c r="A64" s="6" t="s">
        <v>40</v>
      </c>
      <c r="B64" s="7">
        <v>8</v>
      </c>
      <c r="C64" s="7">
        <v>143</v>
      </c>
      <c r="D64" s="8">
        <v>5.5944055944055944E-2</v>
      </c>
    </row>
    <row r="65" spans="1:4" x14ac:dyDescent="0.25">
      <c r="A65" s="6" t="s">
        <v>41</v>
      </c>
      <c r="B65" s="7">
        <v>1</v>
      </c>
      <c r="C65" s="7">
        <v>21</v>
      </c>
      <c r="D65" s="8">
        <v>4.7619047619047616E-2</v>
      </c>
    </row>
    <row r="66" spans="1:4" x14ac:dyDescent="0.25">
      <c r="A66" s="6" t="s">
        <v>42</v>
      </c>
      <c r="B66" s="7">
        <v>1</v>
      </c>
      <c r="C66" s="7">
        <v>9</v>
      </c>
      <c r="D66" s="8">
        <v>0.1111111111111111</v>
      </c>
    </row>
    <row r="67" spans="1:4" x14ac:dyDescent="0.25">
      <c r="A67" s="6" t="s">
        <v>43</v>
      </c>
      <c r="B67" s="7">
        <v>2</v>
      </c>
      <c r="C67" s="7">
        <v>53</v>
      </c>
      <c r="D67" s="8">
        <v>3.7735849056603772E-2</v>
      </c>
    </row>
    <row r="68" spans="1:4" x14ac:dyDescent="0.25">
      <c r="A68" s="6" t="s">
        <v>44</v>
      </c>
      <c r="B68" s="7">
        <v>1</v>
      </c>
      <c r="C68" s="7">
        <v>38</v>
      </c>
      <c r="D68" s="8">
        <v>2.6315789473684209E-2</v>
      </c>
    </row>
    <row r="69" spans="1:4" x14ac:dyDescent="0.25">
      <c r="A69" s="6" t="s">
        <v>45</v>
      </c>
      <c r="B69" s="7">
        <v>2</v>
      </c>
      <c r="C69" s="7">
        <v>46</v>
      </c>
      <c r="D69" s="8">
        <v>4.3478260869565216E-2</v>
      </c>
    </row>
    <row r="70" spans="1:4" x14ac:dyDescent="0.25">
      <c r="A70" s="6" t="s">
        <v>46</v>
      </c>
      <c r="B70" s="7">
        <v>19</v>
      </c>
      <c r="C70" s="7">
        <v>159</v>
      </c>
      <c r="D70" s="8">
        <v>0.11949685534591195</v>
      </c>
    </row>
    <row r="71" spans="1:4" x14ac:dyDescent="0.25">
      <c r="A71" s="6" t="s">
        <v>47</v>
      </c>
      <c r="B71" s="7">
        <v>15</v>
      </c>
      <c r="C71" s="7">
        <v>200</v>
      </c>
      <c r="D71" s="8">
        <v>7.4999999999999997E-2</v>
      </c>
    </row>
    <row r="72" spans="1:4" x14ac:dyDescent="0.25">
      <c r="A72" s="6" t="s">
        <v>48</v>
      </c>
      <c r="B72" s="7">
        <v>3</v>
      </c>
      <c r="C72" s="7">
        <v>22</v>
      </c>
      <c r="D72" s="8">
        <v>0.13636363636363635</v>
      </c>
    </row>
    <row r="73" spans="1:4" x14ac:dyDescent="0.25">
      <c r="A73" s="6" t="s">
        <v>49</v>
      </c>
      <c r="B73" s="7">
        <v>2</v>
      </c>
      <c r="C73" s="7">
        <v>46</v>
      </c>
      <c r="D73" s="8">
        <v>4.3478260869565216E-2</v>
      </c>
    </row>
    <row r="74" spans="1:4" x14ac:dyDescent="0.25">
      <c r="A74" s="6" t="s">
        <v>50</v>
      </c>
      <c r="B74" s="7">
        <v>1</v>
      </c>
      <c r="C74" s="7">
        <v>11</v>
      </c>
      <c r="D74" s="8">
        <v>9.0909090909090912E-2</v>
      </c>
    </row>
    <row r="75" spans="1:4" x14ac:dyDescent="0.25">
      <c r="A75" s="6" t="s">
        <v>51</v>
      </c>
      <c r="B75" s="7">
        <v>1</v>
      </c>
      <c r="C75" s="7">
        <v>14</v>
      </c>
      <c r="D75" s="8">
        <v>7.1428571428571425E-2</v>
      </c>
    </row>
    <row r="76" spans="1:4" x14ac:dyDescent="0.25">
      <c r="A76" s="6" t="s">
        <v>52</v>
      </c>
      <c r="B76" s="7">
        <v>1</v>
      </c>
      <c r="C76" s="7">
        <v>22</v>
      </c>
      <c r="D76" s="8">
        <v>4.5454545454545456E-2</v>
      </c>
    </row>
    <row r="77" spans="1:4" x14ac:dyDescent="0.25">
      <c r="A77" s="6" t="s">
        <v>53</v>
      </c>
      <c r="B77" s="7">
        <v>1</v>
      </c>
      <c r="C77" s="7">
        <v>33</v>
      </c>
      <c r="D77" s="8">
        <v>3.0303030303030304E-2</v>
      </c>
    </row>
    <row r="78" spans="1:4" x14ac:dyDescent="0.25">
      <c r="A78" s="6" t="s">
        <v>54</v>
      </c>
      <c r="B78" s="7">
        <v>1</v>
      </c>
      <c r="C78" s="7">
        <v>29</v>
      </c>
      <c r="D78" s="8">
        <v>3.4482758620689655E-2</v>
      </c>
    </row>
    <row r="79" spans="1:4" x14ac:dyDescent="0.25">
      <c r="A79" s="6" t="s">
        <v>55</v>
      </c>
      <c r="B79" s="7">
        <v>2</v>
      </c>
      <c r="C79" s="7">
        <v>42</v>
      </c>
      <c r="D79" s="8">
        <v>4.7619047619047616E-2</v>
      </c>
    </row>
    <row r="80" spans="1:4" x14ac:dyDescent="0.25">
      <c r="A80" s="6" t="s">
        <v>56</v>
      </c>
      <c r="B80" s="7">
        <v>2</v>
      </c>
      <c r="C80" s="7">
        <v>29</v>
      </c>
      <c r="D80" s="8">
        <v>6.8965517241379309E-2</v>
      </c>
    </row>
    <row r="81" spans="1:4" x14ac:dyDescent="0.25">
      <c r="A81" s="6" t="s">
        <v>57</v>
      </c>
      <c r="B81" s="7">
        <v>1</v>
      </c>
      <c r="C81" s="7">
        <v>10</v>
      </c>
      <c r="D81" s="8">
        <v>0.1</v>
      </c>
    </row>
    <row r="82" spans="1:4" x14ac:dyDescent="0.25">
      <c r="A82" s="6" t="s">
        <v>58</v>
      </c>
      <c r="B82" s="7">
        <v>1</v>
      </c>
      <c r="C82" s="7">
        <v>17</v>
      </c>
      <c r="D82" s="8">
        <v>5.8823529411764705E-2</v>
      </c>
    </row>
    <row r="83" spans="1:4" x14ac:dyDescent="0.25">
      <c r="A83" s="6" t="s">
        <v>59</v>
      </c>
      <c r="B83" s="7">
        <v>1</v>
      </c>
      <c r="C83" s="7">
        <v>30</v>
      </c>
      <c r="D83" s="8">
        <v>3.3333333333333333E-2</v>
      </c>
    </row>
    <row r="84" spans="1:4" x14ac:dyDescent="0.25">
      <c r="A84" s="6" t="s">
        <v>60</v>
      </c>
      <c r="B84" s="7">
        <v>1</v>
      </c>
      <c r="C84" s="7">
        <v>36</v>
      </c>
      <c r="D84" s="8">
        <v>2.7777777777777776E-2</v>
      </c>
    </row>
    <row r="85" spans="1:4" x14ac:dyDescent="0.25">
      <c r="A85" s="6" t="s">
        <v>61</v>
      </c>
      <c r="B85" s="7">
        <v>1</v>
      </c>
      <c r="C85" s="7">
        <v>114</v>
      </c>
      <c r="D85" s="8">
        <v>8.771929824561403E-3</v>
      </c>
    </row>
    <row r="86" spans="1:4" x14ac:dyDescent="0.25">
      <c r="A86" s="6" t="s">
        <v>62</v>
      </c>
      <c r="B86" s="7">
        <v>1</v>
      </c>
      <c r="C86" s="7">
        <v>13</v>
      </c>
      <c r="D86" s="8">
        <v>7.6923076923076927E-2</v>
      </c>
    </row>
    <row r="87" spans="1:4" x14ac:dyDescent="0.25">
      <c r="A87" s="6" t="s">
        <v>63</v>
      </c>
      <c r="B87" s="7">
        <v>2</v>
      </c>
      <c r="C87" s="7">
        <v>9</v>
      </c>
      <c r="D87" s="8">
        <v>0.22222222222222221</v>
      </c>
    </row>
    <row r="88" spans="1:4" x14ac:dyDescent="0.25">
      <c r="A88" s="6" t="s">
        <v>64</v>
      </c>
      <c r="B88" s="7">
        <v>5</v>
      </c>
      <c r="C88" s="7">
        <v>50</v>
      </c>
      <c r="D88" s="8">
        <v>0.1</v>
      </c>
    </row>
    <row r="89" spans="1:4" x14ac:dyDescent="0.25">
      <c r="A89" s="6" t="s">
        <v>65</v>
      </c>
      <c r="B89" s="7">
        <v>3</v>
      </c>
      <c r="C89" s="7">
        <v>37</v>
      </c>
      <c r="D89" s="8">
        <v>8.1081081081081086E-2</v>
      </c>
    </row>
    <row r="90" spans="1:4" x14ac:dyDescent="0.25">
      <c r="A90" s="6" t="s">
        <v>66</v>
      </c>
      <c r="B90" s="7">
        <v>2</v>
      </c>
      <c r="C90" s="7">
        <v>25</v>
      </c>
      <c r="D90" s="8">
        <v>0.08</v>
      </c>
    </row>
    <row r="91" spans="1:4" x14ac:dyDescent="0.25">
      <c r="A91" s="6" t="s">
        <v>67</v>
      </c>
      <c r="B91" s="7">
        <v>3</v>
      </c>
      <c r="C91" s="7">
        <v>30</v>
      </c>
      <c r="D91" s="8">
        <v>0.1</v>
      </c>
    </row>
    <row r="92" spans="1:4" x14ac:dyDescent="0.25">
      <c r="A92" s="6" t="s">
        <v>68</v>
      </c>
      <c r="B92" s="7">
        <v>2</v>
      </c>
      <c r="C92" s="7">
        <v>31</v>
      </c>
      <c r="D92" s="8">
        <v>6.4516129032258063E-2</v>
      </c>
    </row>
    <row r="93" spans="1:4" x14ac:dyDescent="0.25">
      <c r="A93" s="6" t="s">
        <v>69</v>
      </c>
      <c r="B93" s="7">
        <v>22</v>
      </c>
      <c r="C93" s="7">
        <v>124</v>
      </c>
      <c r="D93" s="8">
        <v>0.17741935483870969</v>
      </c>
    </row>
    <row r="94" spans="1:4" x14ac:dyDescent="0.25">
      <c r="A94" s="6" t="s">
        <v>70</v>
      </c>
      <c r="B94" s="7">
        <v>3</v>
      </c>
      <c r="C94" s="7">
        <v>20</v>
      </c>
      <c r="D94" s="8">
        <v>0.15</v>
      </c>
    </row>
    <row r="95" spans="1:4" x14ac:dyDescent="0.25">
      <c r="A95" s="6" t="s">
        <v>71</v>
      </c>
      <c r="B95" s="7">
        <v>1</v>
      </c>
      <c r="C95" s="7">
        <v>13</v>
      </c>
      <c r="D95" s="8">
        <v>7.6923076923076927E-2</v>
      </c>
    </row>
    <row r="96" spans="1:4" x14ac:dyDescent="0.25">
      <c r="A96" s="6" t="s">
        <v>72</v>
      </c>
      <c r="B96" s="7">
        <v>3</v>
      </c>
      <c r="C96" s="7">
        <v>26</v>
      </c>
      <c r="D96" s="8">
        <v>0.11538461538461539</v>
      </c>
    </row>
    <row r="97" spans="1:4" x14ac:dyDescent="0.25">
      <c r="A97" s="6" t="s">
        <v>73</v>
      </c>
      <c r="B97" s="7">
        <v>4</v>
      </c>
      <c r="C97" s="7">
        <v>23</v>
      </c>
      <c r="D97" s="8">
        <v>0.17391304347826086</v>
      </c>
    </row>
    <row r="99" spans="1:4" x14ac:dyDescent="0.25">
      <c r="B99" s="3">
        <f>SUM(B36:B97)</f>
        <v>187</v>
      </c>
    </row>
  </sheetData>
  <mergeCells count="1">
    <mergeCell ref="B24:D24"/>
  </mergeCells>
  <pageMargins left="0.7" right="0.7" top="0.75" bottom="0.75" header="0.3" footer="0.3"/>
  <pageSetup orientation="portrait" r:id="rId1"/>
  <headerFooter>
    <oddHeader>&amp;L&amp;"Times New Roman,Bold"&amp;F, &amp;A</oddHeader>
    <oddFooter>&amp;L&amp;"Times New Roman,Bold"&amp;8Office of Institutional Research and Assessment
&amp;F, &amp;A&amp;R&amp;"Times New Roman,Bold"&amp;8Page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E95"/>
  <sheetViews>
    <sheetView topLeftCell="A4" workbookViewId="0">
      <selection activeCell="F47" sqref="F47:F49"/>
    </sheetView>
  </sheetViews>
  <sheetFormatPr defaultColWidth="8.85546875" defaultRowHeight="15" x14ac:dyDescent="0.25"/>
  <cols>
    <col min="1" max="1" width="28.85546875" style="1" bestFit="1" customWidth="1"/>
    <col min="2" max="2" width="18.28515625" style="3" bestFit="1" customWidth="1"/>
    <col min="3" max="3" width="12.85546875" style="3" bestFit="1" customWidth="1"/>
    <col min="4" max="4" width="10.5703125" style="3" bestFit="1" customWidth="1"/>
    <col min="5" max="5" width="11.85546875" style="3" bestFit="1" customWidth="1"/>
    <col min="6" max="16384" width="8.85546875" style="5"/>
  </cols>
  <sheetData>
    <row r="10" spans="1:5" s="1" customFormat="1" x14ac:dyDescent="0.25">
      <c r="A10" s="1" t="s">
        <v>156</v>
      </c>
      <c r="B10" s="25"/>
      <c r="C10" s="25"/>
      <c r="D10" s="25"/>
      <c r="E10" s="25"/>
    </row>
    <row r="11" spans="1:5" s="1" customFormat="1" x14ac:dyDescent="0.25">
      <c r="B11" s="25" t="s">
        <v>6</v>
      </c>
      <c r="C11" s="25" t="s">
        <v>10</v>
      </c>
      <c r="D11" s="25" t="s">
        <v>7</v>
      </c>
      <c r="E11" s="25" t="s">
        <v>8</v>
      </c>
    </row>
    <row r="12" spans="1:5" x14ac:dyDescent="0.25">
      <c r="A12" s="1" t="s">
        <v>0</v>
      </c>
      <c r="B12" s="30">
        <v>44</v>
      </c>
      <c r="C12" s="31">
        <v>1.1617499999999998</v>
      </c>
      <c r="D12" s="31">
        <v>1.2673181818181818</v>
      </c>
      <c r="E12" s="31">
        <v>1.8580999999999999</v>
      </c>
    </row>
    <row r="13" spans="1:5" x14ac:dyDescent="0.25">
      <c r="A13" s="1" t="s">
        <v>1</v>
      </c>
      <c r="B13" s="30">
        <v>19</v>
      </c>
      <c r="C13" s="31">
        <v>1.5443684210526318</v>
      </c>
      <c r="D13" s="31">
        <v>1.8193157894736838</v>
      </c>
      <c r="E13" s="31">
        <v>2.5107500000000003</v>
      </c>
    </row>
    <row r="14" spans="1:5" x14ac:dyDescent="0.25">
      <c r="A14" s="1" t="s">
        <v>2</v>
      </c>
      <c r="B14" s="30">
        <v>6</v>
      </c>
      <c r="C14" s="31">
        <v>1.6583333333333332</v>
      </c>
      <c r="D14" s="31">
        <v>1.8673333333333335</v>
      </c>
      <c r="E14" s="31">
        <v>2.7635000000000001</v>
      </c>
    </row>
    <row r="15" spans="1:5" x14ac:dyDescent="0.25">
      <c r="A15" s="1" t="s">
        <v>3</v>
      </c>
      <c r="B15" s="30">
        <v>4</v>
      </c>
      <c r="C15" s="31">
        <v>1.79575</v>
      </c>
      <c r="D15" s="31">
        <v>1.9377499999999999</v>
      </c>
      <c r="E15" s="31">
        <v>2.347</v>
      </c>
    </row>
    <row r="17" spans="1:5" x14ac:dyDescent="0.25">
      <c r="A17" s="1" t="s">
        <v>4</v>
      </c>
      <c r="B17" s="3">
        <v>0</v>
      </c>
      <c r="C17" s="4">
        <v>0</v>
      </c>
      <c r="D17" s="4">
        <v>0</v>
      </c>
      <c r="E17" s="4">
        <v>0</v>
      </c>
    </row>
    <row r="18" spans="1:5" x14ac:dyDescent="0.25">
      <c r="C18" s="4"/>
      <c r="D18" s="4"/>
      <c r="E18" s="4"/>
    </row>
    <row r="19" spans="1:5" x14ac:dyDescent="0.25">
      <c r="A19" s="1" t="s">
        <v>139</v>
      </c>
      <c r="B19" s="3">
        <f>SUM(B12:B17)</f>
        <v>73</v>
      </c>
      <c r="C19" s="4"/>
      <c r="D19" s="4"/>
      <c r="E19" s="4"/>
    </row>
    <row r="20" spans="1:5" x14ac:dyDescent="0.25">
      <c r="C20" s="4"/>
      <c r="D20" s="4"/>
      <c r="E20" s="4"/>
    </row>
    <row r="21" spans="1:5" x14ac:dyDescent="0.25">
      <c r="A21" s="1" t="s">
        <v>157</v>
      </c>
      <c r="C21" s="4"/>
      <c r="D21" s="4"/>
      <c r="E21" s="4"/>
    </row>
    <row r="23" spans="1:5" s="1" customFormat="1" x14ac:dyDescent="0.25">
      <c r="B23" s="68" t="s">
        <v>132</v>
      </c>
      <c r="C23" s="68"/>
      <c r="D23" s="68"/>
      <c r="E23" s="25"/>
    </row>
    <row r="24" spans="1:5" s="1" customFormat="1" x14ac:dyDescent="0.25">
      <c r="B24" s="25" t="s">
        <v>126</v>
      </c>
      <c r="C24" s="25" t="s">
        <v>75</v>
      </c>
      <c r="D24" s="25" t="s">
        <v>136</v>
      </c>
      <c r="E24" s="25" t="s">
        <v>133</v>
      </c>
    </row>
    <row r="25" spans="1:5" x14ac:dyDescent="0.25">
      <c r="A25" s="1" t="s">
        <v>127</v>
      </c>
      <c r="B25" s="69" t="s">
        <v>174</v>
      </c>
      <c r="C25" s="69"/>
      <c r="D25" s="69"/>
      <c r="E25" s="69"/>
    </row>
    <row r="26" spans="1:5" x14ac:dyDescent="0.25">
      <c r="A26" s="1" t="s">
        <v>128</v>
      </c>
      <c r="B26" s="69"/>
      <c r="C26" s="69"/>
      <c r="D26" s="69"/>
      <c r="E26" s="69"/>
    </row>
    <row r="27" spans="1:5" x14ac:dyDescent="0.25">
      <c r="A27" s="1" t="s">
        <v>129</v>
      </c>
      <c r="B27" s="69"/>
      <c r="C27" s="69"/>
      <c r="D27" s="69"/>
      <c r="E27" s="69"/>
    </row>
    <row r="28" spans="1:5" x14ac:dyDescent="0.25">
      <c r="A28" s="1" t="s">
        <v>130</v>
      </c>
      <c r="B28" s="69"/>
      <c r="C28" s="69"/>
      <c r="D28" s="69"/>
      <c r="E28" s="69"/>
    </row>
    <row r="29" spans="1:5" x14ac:dyDescent="0.25">
      <c r="A29" s="1" t="s">
        <v>131</v>
      </c>
      <c r="B29" s="69"/>
      <c r="C29" s="69"/>
      <c r="D29" s="69"/>
      <c r="E29" s="69"/>
    </row>
    <row r="30" spans="1:5" x14ac:dyDescent="0.25">
      <c r="B30" s="4"/>
    </row>
    <row r="31" spans="1:5" x14ac:dyDescent="0.25">
      <c r="A31" s="1" t="s">
        <v>134</v>
      </c>
      <c r="B31" s="4"/>
    </row>
    <row r="33" spans="1:5" s="1" customFormat="1" x14ac:dyDescent="0.25">
      <c r="A33" s="1" t="s">
        <v>11</v>
      </c>
      <c r="B33" s="25" t="s">
        <v>77</v>
      </c>
      <c r="C33" s="25" t="s">
        <v>76</v>
      </c>
      <c r="D33" s="25" t="s">
        <v>78</v>
      </c>
      <c r="E33" s="25"/>
    </row>
    <row r="34" spans="1:5" x14ac:dyDescent="0.25">
      <c r="A34" s="32" t="s">
        <v>12</v>
      </c>
      <c r="B34" s="33">
        <v>1</v>
      </c>
      <c r="C34" s="3">
        <v>52</v>
      </c>
      <c r="D34" s="34">
        <f>B34/C34</f>
        <v>1.9230769230769232E-2</v>
      </c>
      <c r="E34" s="5"/>
    </row>
    <row r="35" spans="1:5" x14ac:dyDescent="0.25">
      <c r="A35" s="32" t="s">
        <v>13</v>
      </c>
      <c r="B35" s="33">
        <v>2</v>
      </c>
      <c r="C35" s="3">
        <v>45</v>
      </c>
      <c r="D35" s="34">
        <f t="shared" ref="D35:D76" si="0">B35/C35</f>
        <v>4.4444444444444446E-2</v>
      </c>
      <c r="E35" s="5"/>
    </row>
    <row r="36" spans="1:5" x14ac:dyDescent="0.25">
      <c r="A36" s="32" t="s">
        <v>15</v>
      </c>
      <c r="B36" s="33">
        <v>1</v>
      </c>
      <c r="C36" s="3">
        <v>65</v>
      </c>
      <c r="D36" s="34">
        <f t="shared" si="0"/>
        <v>1.5384615384615385E-2</v>
      </c>
      <c r="E36" s="5"/>
    </row>
    <row r="37" spans="1:5" x14ac:dyDescent="0.25">
      <c r="A37" s="32" t="s">
        <v>16</v>
      </c>
      <c r="B37" s="33">
        <v>2</v>
      </c>
      <c r="C37" s="29">
        <v>78</v>
      </c>
      <c r="D37" s="34">
        <f t="shared" si="0"/>
        <v>2.564102564102564E-2</v>
      </c>
      <c r="E37" s="5"/>
    </row>
    <row r="38" spans="1:5" x14ac:dyDescent="0.25">
      <c r="A38" s="32" t="s">
        <v>17</v>
      </c>
      <c r="B38" s="33">
        <v>1</v>
      </c>
      <c r="C38" s="29">
        <v>56</v>
      </c>
      <c r="D38" s="34">
        <f t="shared" si="0"/>
        <v>1.7857142857142856E-2</v>
      </c>
      <c r="E38" s="5"/>
    </row>
    <row r="39" spans="1:5" x14ac:dyDescent="0.25">
      <c r="A39" s="32" t="s">
        <v>19</v>
      </c>
      <c r="B39" s="33">
        <v>1</v>
      </c>
      <c r="C39" s="29">
        <v>57</v>
      </c>
      <c r="D39" s="34">
        <f t="shared" si="0"/>
        <v>1.7543859649122806E-2</v>
      </c>
      <c r="E39" s="5"/>
    </row>
    <row r="40" spans="1:5" x14ac:dyDescent="0.25">
      <c r="A40" s="32" t="s">
        <v>20</v>
      </c>
      <c r="B40" s="33">
        <v>1</v>
      </c>
      <c r="C40" s="29">
        <v>39</v>
      </c>
      <c r="D40" s="34">
        <f t="shared" si="0"/>
        <v>2.564102564102564E-2</v>
      </c>
      <c r="E40" s="5"/>
    </row>
    <row r="41" spans="1:5" x14ac:dyDescent="0.25">
      <c r="A41" s="32" t="s">
        <v>123</v>
      </c>
      <c r="B41" s="33">
        <v>1</v>
      </c>
      <c r="C41" s="29">
        <v>14</v>
      </c>
      <c r="D41" s="34">
        <f t="shared" si="0"/>
        <v>7.1428571428571425E-2</v>
      </c>
      <c r="E41" s="5"/>
    </row>
    <row r="42" spans="1:5" x14ac:dyDescent="0.25">
      <c r="A42" s="32" t="s">
        <v>21</v>
      </c>
      <c r="B42" s="33">
        <v>8</v>
      </c>
      <c r="C42" s="29">
        <v>77</v>
      </c>
      <c r="D42" s="34">
        <f t="shared" si="0"/>
        <v>0.1038961038961039</v>
      </c>
      <c r="E42" s="5"/>
    </row>
    <row r="43" spans="1:5" x14ac:dyDescent="0.25">
      <c r="A43" s="32" t="s">
        <v>114</v>
      </c>
      <c r="B43" s="33">
        <v>1</v>
      </c>
      <c r="C43" s="29">
        <v>58</v>
      </c>
      <c r="D43" s="34">
        <f t="shared" si="0"/>
        <v>1.7241379310344827E-2</v>
      </c>
      <c r="E43" s="5"/>
    </row>
    <row r="44" spans="1:5" x14ac:dyDescent="0.25">
      <c r="A44" s="32" t="s">
        <v>27</v>
      </c>
      <c r="B44" s="33">
        <v>1</v>
      </c>
      <c r="C44" s="29">
        <v>64</v>
      </c>
      <c r="D44" s="34">
        <f t="shared" si="0"/>
        <v>1.5625E-2</v>
      </c>
      <c r="E44" s="5"/>
    </row>
    <row r="45" spans="1:5" x14ac:dyDescent="0.25">
      <c r="A45" s="32" t="s">
        <v>175</v>
      </c>
      <c r="B45" s="33">
        <v>1</v>
      </c>
      <c r="C45" s="29">
        <v>44</v>
      </c>
      <c r="D45" s="34">
        <f t="shared" si="0"/>
        <v>2.2727272727272728E-2</v>
      </c>
      <c r="E45" s="5"/>
    </row>
    <row r="46" spans="1:5" x14ac:dyDescent="0.25">
      <c r="A46" s="32" t="s">
        <v>176</v>
      </c>
      <c r="B46" s="33">
        <v>1</v>
      </c>
      <c r="C46" s="29">
        <v>50</v>
      </c>
      <c r="D46" s="34">
        <f t="shared" si="0"/>
        <v>0.02</v>
      </c>
      <c r="E46" s="5"/>
    </row>
    <row r="47" spans="1:5" x14ac:dyDescent="0.25">
      <c r="A47" s="32" t="s">
        <v>32</v>
      </c>
      <c r="B47" s="33">
        <v>1</v>
      </c>
      <c r="C47" s="29">
        <v>28</v>
      </c>
      <c r="D47" s="34">
        <f t="shared" si="0"/>
        <v>3.5714285714285712E-2</v>
      </c>
      <c r="E47" s="5"/>
    </row>
    <row r="48" spans="1:5" x14ac:dyDescent="0.25">
      <c r="A48" s="32" t="s">
        <v>34</v>
      </c>
      <c r="B48" s="33">
        <v>1</v>
      </c>
      <c r="C48" s="29">
        <v>47</v>
      </c>
      <c r="D48" s="34">
        <f t="shared" si="0"/>
        <v>2.1276595744680851E-2</v>
      </c>
      <c r="E48" s="5"/>
    </row>
    <row r="49" spans="1:5" x14ac:dyDescent="0.25">
      <c r="A49" s="32" t="s">
        <v>85</v>
      </c>
      <c r="B49" s="33">
        <v>1</v>
      </c>
      <c r="C49" s="29">
        <v>9</v>
      </c>
      <c r="D49" s="34">
        <f t="shared" si="0"/>
        <v>0.1111111111111111</v>
      </c>
      <c r="E49" s="5"/>
    </row>
    <row r="50" spans="1:5" x14ac:dyDescent="0.25">
      <c r="A50" s="32" t="s">
        <v>86</v>
      </c>
      <c r="B50" s="33">
        <v>2</v>
      </c>
      <c r="C50" s="29">
        <v>14</v>
      </c>
      <c r="D50" s="34">
        <f t="shared" si="0"/>
        <v>0.14285714285714285</v>
      </c>
      <c r="E50" s="5"/>
    </row>
    <row r="51" spans="1:5" x14ac:dyDescent="0.25">
      <c r="A51" s="32" t="s">
        <v>37</v>
      </c>
      <c r="B51" s="33">
        <v>1</v>
      </c>
      <c r="C51" s="29">
        <v>41</v>
      </c>
      <c r="D51" s="34">
        <f t="shared" si="0"/>
        <v>2.4390243902439025E-2</v>
      </c>
      <c r="E51" s="5"/>
    </row>
    <row r="52" spans="1:5" x14ac:dyDescent="0.25">
      <c r="A52" s="32" t="s">
        <v>38</v>
      </c>
      <c r="B52" s="33">
        <v>2</v>
      </c>
      <c r="C52" s="29">
        <v>41</v>
      </c>
      <c r="D52" s="34">
        <f t="shared" si="0"/>
        <v>4.878048780487805E-2</v>
      </c>
      <c r="E52" s="5"/>
    </row>
    <row r="53" spans="1:5" x14ac:dyDescent="0.25">
      <c r="A53" s="32" t="s">
        <v>89</v>
      </c>
      <c r="B53" s="33">
        <v>1</v>
      </c>
      <c r="C53" s="29">
        <v>49</v>
      </c>
      <c r="D53" s="34">
        <f t="shared" si="0"/>
        <v>2.0408163265306121E-2</v>
      </c>
      <c r="E53" s="5"/>
    </row>
    <row r="54" spans="1:5" x14ac:dyDescent="0.25">
      <c r="A54" s="32" t="s">
        <v>104</v>
      </c>
      <c r="B54" s="33">
        <v>1</v>
      </c>
      <c r="C54" s="29">
        <v>44</v>
      </c>
      <c r="D54" s="34">
        <f t="shared" si="0"/>
        <v>2.2727272727272728E-2</v>
      </c>
      <c r="E54" s="5"/>
    </row>
    <row r="55" spans="1:5" x14ac:dyDescent="0.25">
      <c r="A55" s="32" t="s">
        <v>39</v>
      </c>
      <c r="B55" s="33">
        <v>1</v>
      </c>
      <c r="C55" s="29">
        <v>28</v>
      </c>
      <c r="D55" s="34">
        <f t="shared" si="0"/>
        <v>3.5714285714285712E-2</v>
      </c>
      <c r="E55" s="5"/>
    </row>
    <row r="56" spans="1:5" x14ac:dyDescent="0.25">
      <c r="A56" s="32" t="s">
        <v>42</v>
      </c>
      <c r="B56" s="33">
        <v>1</v>
      </c>
      <c r="C56" s="29">
        <v>24</v>
      </c>
      <c r="D56" s="34">
        <f t="shared" si="0"/>
        <v>4.1666666666666664E-2</v>
      </c>
      <c r="E56" s="5"/>
    </row>
    <row r="57" spans="1:5" x14ac:dyDescent="0.25">
      <c r="A57" s="32" t="s">
        <v>177</v>
      </c>
      <c r="B57" s="33">
        <v>1</v>
      </c>
      <c r="C57" s="29">
        <v>4</v>
      </c>
      <c r="D57" s="34">
        <f t="shared" si="0"/>
        <v>0.25</v>
      </c>
      <c r="E57" s="5"/>
    </row>
    <row r="58" spans="1:5" x14ac:dyDescent="0.25">
      <c r="A58" s="32" t="s">
        <v>43</v>
      </c>
      <c r="B58" s="33">
        <v>4</v>
      </c>
      <c r="C58" s="29">
        <v>70</v>
      </c>
      <c r="D58" s="34">
        <f t="shared" si="0"/>
        <v>5.7142857142857141E-2</v>
      </c>
      <c r="E58" s="5"/>
    </row>
    <row r="59" spans="1:5" x14ac:dyDescent="0.25">
      <c r="A59" s="32" t="s">
        <v>44</v>
      </c>
      <c r="B59" s="33">
        <v>1</v>
      </c>
      <c r="C59" s="29">
        <v>38</v>
      </c>
      <c r="D59" s="34">
        <f t="shared" si="0"/>
        <v>2.6315789473684209E-2</v>
      </c>
      <c r="E59" s="5"/>
    </row>
    <row r="60" spans="1:5" x14ac:dyDescent="0.25">
      <c r="A60" s="32" t="s">
        <v>46</v>
      </c>
      <c r="B60" s="33">
        <v>7</v>
      </c>
      <c r="C60" s="29">
        <v>162</v>
      </c>
      <c r="D60" s="34">
        <f t="shared" si="0"/>
        <v>4.3209876543209874E-2</v>
      </c>
      <c r="E60" s="5"/>
    </row>
    <row r="61" spans="1:5" x14ac:dyDescent="0.25">
      <c r="A61" s="32" t="s">
        <v>91</v>
      </c>
      <c r="B61" s="33">
        <v>1</v>
      </c>
      <c r="C61" s="29">
        <v>20</v>
      </c>
      <c r="D61" s="34">
        <f t="shared" si="0"/>
        <v>0.05</v>
      </c>
      <c r="E61" s="5"/>
    </row>
    <row r="62" spans="1:5" x14ac:dyDescent="0.25">
      <c r="A62" s="32" t="s">
        <v>47</v>
      </c>
      <c r="B62" s="33">
        <v>4</v>
      </c>
      <c r="C62" s="29">
        <v>220</v>
      </c>
      <c r="D62" s="34">
        <f t="shared" si="0"/>
        <v>1.8181818181818181E-2</v>
      </c>
      <c r="E62" s="5"/>
    </row>
    <row r="63" spans="1:5" x14ac:dyDescent="0.25">
      <c r="A63" s="32" t="s">
        <v>92</v>
      </c>
      <c r="B63" s="33">
        <v>2</v>
      </c>
      <c r="C63" s="29">
        <v>30</v>
      </c>
      <c r="D63" s="34">
        <f t="shared" si="0"/>
        <v>6.6666666666666666E-2</v>
      </c>
      <c r="E63" s="5"/>
    </row>
    <row r="64" spans="1:5" x14ac:dyDescent="0.25">
      <c r="A64" s="32" t="s">
        <v>48</v>
      </c>
      <c r="B64" s="33">
        <v>1</v>
      </c>
      <c r="C64" s="29">
        <v>28</v>
      </c>
      <c r="D64" s="34">
        <f t="shared" si="0"/>
        <v>3.5714285714285712E-2</v>
      </c>
      <c r="E64" s="5"/>
    </row>
    <row r="65" spans="1:5" x14ac:dyDescent="0.25">
      <c r="A65" s="32" t="s">
        <v>49</v>
      </c>
      <c r="B65" s="33">
        <v>1</v>
      </c>
      <c r="C65" s="29">
        <v>45</v>
      </c>
      <c r="D65" s="34">
        <f t="shared" si="0"/>
        <v>2.2222222222222223E-2</v>
      </c>
      <c r="E65" s="5"/>
    </row>
    <row r="66" spans="1:5" x14ac:dyDescent="0.25">
      <c r="A66" s="32" t="s">
        <v>54</v>
      </c>
      <c r="B66" s="33">
        <v>1</v>
      </c>
      <c r="C66" s="29">
        <v>32</v>
      </c>
      <c r="D66" s="34">
        <f t="shared" si="0"/>
        <v>3.125E-2</v>
      </c>
      <c r="E66" s="5"/>
    </row>
    <row r="67" spans="1:5" x14ac:dyDescent="0.25">
      <c r="A67" s="32" t="s">
        <v>93</v>
      </c>
      <c r="B67" s="33">
        <v>1</v>
      </c>
      <c r="C67" s="29">
        <v>19</v>
      </c>
      <c r="D67" s="34">
        <f t="shared" si="0"/>
        <v>5.2631578947368418E-2</v>
      </c>
      <c r="E67" s="5"/>
    </row>
    <row r="68" spans="1:5" x14ac:dyDescent="0.25">
      <c r="A68" s="32" t="s">
        <v>178</v>
      </c>
      <c r="B68" s="33">
        <v>1</v>
      </c>
      <c r="C68" s="29">
        <v>526</v>
      </c>
      <c r="D68" s="34">
        <f t="shared" si="0"/>
        <v>1.9011406844106464E-3</v>
      </c>
      <c r="E68" s="5"/>
    </row>
    <row r="69" spans="1:5" x14ac:dyDescent="0.25">
      <c r="A69" s="32" t="s">
        <v>59</v>
      </c>
      <c r="B69" s="33">
        <v>1</v>
      </c>
      <c r="C69" s="29">
        <v>31</v>
      </c>
      <c r="D69" s="34">
        <f t="shared" si="0"/>
        <v>3.2258064516129031E-2</v>
      </c>
      <c r="E69" s="5"/>
    </row>
    <row r="70" spans="1:5" x14ac:dyDescent="0.25">
      <c r="A70" s="32" t="s">
        <v>61</v>
      </c>
      <c r="B70" s="33">
        <v>1</v>
      </c>
      <c r="C70" s="29">
        <v>138</v>
      </c>
      <c r="D70" s="34">
        <f t="shared" si="0"/>
        <v>7.246376811594203E-3</v>
      </c>
      <c r="E70" s="5"/>
    </row>
    <row r="71" spans="1:5" x14ac:dyDescent="0.25">
      <c r="A71" s="32" t="s">
        <v>62</v>
      </c>
      <c r="B71" s="33">
        <v>1</v>
      </c>
      <c r="C71" s="3">
        <v>21</v>
      </c>
      <c r="D71" s="34">
        <f t="shared" si="0"/>
        <v>4.7619047619047616E-2</v>
      </c>
      <c r="E71" s="5"/>
    </row>
    <row r="72" spans="1:5" x14ac:dyDescent="0.25">
      <c r="A72" s="32" t="s">
        <v>63</v>
      </c>
      <c r="B72" s="33">
        <v>2</v>
      </c>
      <c r="C72" s="3">
        <v>17</v>
      </c>
      <c r="D72" s="34">
        <f t="shared" si="0"/>
        <v>0.11764705882352941</v>
      </c>
      <c r="E72" s="5"/>
    </row>
    <row r="73" spans="1:5" x14ac:dyDescent="0.25">
      <c r="A73" s="32" t="s">
        <v>65</v>
      </c>
      <c r="B73" s="33">
        <v>2</v>
      </c>
      <c r="C73" s="29">
        <v>47</v>
      </c>
      <c r="D73" s="34">
        <f t="shared" si="0"/>
        <v>4.2553191489361701E-2</v>
      </c>
      <c r="E73" s="5"/>
    </row>
    <row r="74" spans="1:5" x14ac:dyDescent="0.25">
      <c r="A74" s="32" t="s">
        <v>68</v>
      </c>
      <c r="B74" s="33">
        <v>1</v>
      </c>
      <c r="C74" s="29">
        <v>25</v>
      </c>
      <c r="D74" s="34">
        <f t="shared" si="0"/>
        <v>0.04</v>
      </c>
      <c r="E74" s="5"/>
    </row>
    <row r="75" spans="1:5" x14ac:dyDescent="0.25">
      <c r="A75" s="32" t="s">
        <v>69</v>
      </c>
      <c r="B75" s="33">
        <v>5</v>
      </c>
      <c r="C75" s="29">
        <v>150</v>
      </c>
      <c r="D75" s="34">
        <f t="shared" si="0"/>
        <v>3.3333333333333333E-2</v>
      </c>
      <c r="E75" s="5"/>
    </row>
    <row r="76" spans="1:5" x14ac:dyDescent="0.25">
      <c r="A76" s="32" t="s">
        <v>102</v>
      </c>
      <c r="B76" s="33">
        <v>1</v>
      </c>
      <c r="C76" s="29">
        <v>47</v>
      </c>
      <c r="D76" s="34">
        <f t="shared" si="0"/>
        <v>2.1276595744680851E-2</v>
      </c>
      <c r="E76" s="5"/>
    </row>
    <row r="77" spans="1:5" x14ac:dyDescent="0.25">
      <c r="A77" s="6"/>
      <c r="B77" s="7"/>
      <c r="C77" s="7"/>
      <c r="D77" s="8"/>
    </row>
    <row r="78" spans="1:5" x14ac:dyDescent="0.25">
      <c r="A78" s="6"/>
      <c r="B78" s="7"/>
      <c r="C78" s="7"/>
      <c r="D78" s="8"/>
    </row>
    <row r="79" spans="1:5" x14ac:dyDescent="0.25">
      <c r="A79" s="6"/>
      <c r="B79" s="7"/>
      <c r="C79" s="7"/>
      <c r="D79" s="8"/>
    </row>
    <row r="80" spans="1:5" x14ac:dyDescent="0.25">
      <c r="A80" s="6"/>
      <c r="B80" s="7"/>
      <c r="C80" s="7"/>
      <c r="D80" s="8"/>
    </row>
    <row r="81" spans="1:4" x14ac:dyDescent="0.25">
      <c r="A81" s="6"/>
      <c r="B81" s="7"/>
      <c r="C81" s="7"/>
      <c r="D81" s="8"/>
    </row>
    <row r="82" spans="1:4" x14ac:dyDescent="0.25">
      <c r="A82" s="6"/>
      <c r="B82" s="7"/>
      <c r="C82" s="7"/>
      <c r="D82" s="8"/>
    </row>
    <row r="83" spans="1:4" x14ac:dyDescent="0.25">
      <c r="A83" s="6"/>
      <c r="B83" s="7"/>
      <c r="C83" s="7"/>
      <c r="D83" s="8"/>
    </row>
    <row r="84" spans="1:4" x14ac:dyDescent="0.25">
      <c r="A84" s="6"/>
      <c r="B84" s="7"/>
      <c r="C84" s="7"/>
      <c r="D84" s="8"/>
    </row>
    <row r="85" spans="1:4" x14ac:dyDescent="0.25">
      <c r="A85" s="6"/>
      <c r="B85" s="7"/>
      <c r="C85" s="7"/>
      <c r="D85" s="8"/>
    </row>
    <row r="86" spans="1:4" x14ac:dyDescent="0.25">
      <c r="A86" s="6"/>
      <c r="B86" s="7"/>
      <c r="C86" s="7"/>
      <c r="D86" s="8"/>
    </row>
    <row r="87" spans="1:4" x14ac:dyDescent="0.25">
      <c r="A87" s="6"/>
      <c r="B87" s="7"/>
      <c r="C87" s="7"/>
      <c r="D87" s="8"/>
    </row>
    <row r="88" spans="1:4" x14ac:dyDescent="0.25">
      <c r="A88" s="6"/>
      <c r="B88" s="7"/>
      <c r="C88" s="7"/>
      <c r="D88" s="8"/>
    </row>
    <row r="89" spans="1:4" x14ac:dyDescent="0.25">
      <c r="A89" s="6"/>
      <c r="B89" s="7"/>
      <c r="C89" s="7"/>
      <c r="D89" s="8"/>
    </row>
    <row r="90" spans="1:4" x14ac:dyDescent="0.25">
      <c r="A90" s="6"/>
      <c r="B90" s="7"/>
      <c r="C90" s="7"/>
      <c r="D90" s="8"/>
    </row>
    <row r="91" spans="1:4" x14ac:dyDescent="0.25">
      <c r="A91" s="6"/>
      <c r="B91" s="7"/>
      <c r="C91" s="7"/>
      <c r="D91" s="8"/>
    </row>
    <row r="92" spans="1:4" x14ac:dyDescent="0.25">
      <c r="A92" s="6"/>
      <c r="B92" s="7"/>
      <c r="C92" s="7"/>
      <c r="D92" s="8"/>
    </row>
    <row r="93" spans="1:4" x14ac:dyDescent="0.25">
      <c r="A93" s="6"/>
      <c r="B93" s="7"/>
      <c r="C93" s="7"/>
      <c r="D93" s="8"/>
    </row>
    <row r="94" spans="1:4" x14ac:dyDescent="0.25">
      <c r="A94" s="6"/>
      <c r="B94" s="7"/>
      <c r="C94" s="7"/>
      <c r="D94" s="8"/>
    </row>
    <row r="95" spans="1:4" x14ac:dyDescent="0.25">
      <c r="A95" s="6"/>
      <c r="B95" s="7"/>
      <c r="C95" s="7"/>
      <c r="D95" s="8"/>
    </row>
  </sheetData>
  <mergeCells count="2">
    <mergeCell ref="B23:D23"/>
    <mergeCell ref="B25:E29"/>
  </mergeCells>
  <pageMargins left="0.7" right="0.7" top="0.75" bottom="0.75" header="0.3" footer="0.3"/>
  <pageSetup orientation="portrait" r:id="rId1"/>
  <headerFooter>
    <oddHeader>&amp;L&amp;"Times New Roman,Bold"&amp;F, &amp;A</oddHeader>
    <oddFooter>&amp;L&amp;"Times New Roman,Bold"&amp;8Office of Institutional Research and Assessment
&amp;F, &amp;A&amp;R&amp;"Times New Roman,Bold"&amp;8Page 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E122"/>
  <sheetViews>
    <sheetView topLeftCell="A4" workbookViewId="0">
      <selection activeCell="B20" sqref="B20"/>
    </sheetView>
  </sheetViews>
  <sheetFormatPr defaultColWidth="8.85546875" defaultRowHeight="15" x14ac:dyDescent="0.25"/>
  <cols>
    <col min="1" max="1" width="29.7109375" style="1" customWidth="1"/>
    <col min="2" max="2" width="13.7109375" style="3" customWidth="1"/>
    <col min="3" max="3" width="11.7109375" style="3" bestFit="1" customWidth="1"/>
    <col min="4" max="4" width="9.42578125" style="3" bestFit="1" customWidth="1"/>
    <col min="5" max="5" width="11.85546875" style="3" bestFit="1" customWidth="1"/>
    <col min="6" max="16384" width="8.85546875" style="5"/>
  </cols>
  <sheetData>
    <row r="10" spans="1:5" s="1" customFormat="1" ht="45" x14ac:dyDescent="0.25">
      <c r="A10" s="17" t="s">
        <v>179</v>
      </c>
      <c r="B10" s="27"/>
      <c r="C10" s="27"/>
      <c r="D10" s="27"/>
      <c r="E10" s="27"/>
    </row>
    <row r="11" spans="1:5" s="1" customFormat="1" x14ac:dyDescent="0.25">
      <c r="B11" s="27" t="s">
        <v>6</v>
      </c>
      <c r="C11" s="27" t="s">
        <v>10</v>
      </c>
      <c r="D11" s="27" t="s">
        <v>7</v>
      </c>
      <c r="E11" s="27" t="s">
        <v>8</v>
      </c>
    </row>
    <row r="12" spans="1:5" x14ac:dyDescent="0.25">
      <c r="A12" s="1" t="s">
        <v>0</v>
      </c>
      <c r="B12" s="35">
        <v>263</v>
      </c>
      <c r="C12" s="36">
        <v>1.1234562737642591</v>
      </c>
      <c r="D12" s="36">
        <v>1.1116768060836506</v>
      </c>
      <c r="E12" s="36">
        <v>1.4346666666666665</v>
      </c>
    </row>
    <row r="13" spans="1:5" x14ac:dyDescent="0.25">
      <c r="A13" s="1" t="s">
        <v>1</v>
      </c>
      <c r="B13" s="35">
        <v>27</v>
      </c>
      <c r="C13" s="36">
        <v>1.766888888888889</v>
      </c>
      <c r="D13" s="36">
        <v>1.9267037037037038</v>
      </c>
      <c r="E13" s="36">
        <v>2.0994545454545457</v>
      </c>
    </row>
    <row r="14" spans="1:5" x14ac:dyDescent="0.25">
      <c r="A14" s="1" t="s">
        <v>2</v>
      </c>
      <c r="B14" s="35">
        <v>10</v>
      </c>
      <c r="C14" s="36">
        <v>1.7241999999999997</v>
      </c>
      <c r="D14" s="36">
        <v>1.8768999999999998</v>
      </c>
      <c r="E14" s="36">
        <v>1.7875714285714286</v>
      </c>
    </row>
    <row r="15" spans="1:5" x14ac:dyDescent="0.25">
      <c r="A15" s="1" t="s">
        <v>3</v>
      </c>
      <c r="B15" s="35">
        <v>7</v>
      </c>
      <c r="C15" s="36">
        <v>1.6709999999999998</v>
      </c>
      <c r="D15" s="36">
        <v>1.9121428571428571</v>
      </c>
      <c r="E15" s="36">
        <v>2.1379999999999999</v>
      </c>
    </row>
    <row r="16" spans="1:5" x14ac:dyDescent="0.25">
      <c r="B16" s="35">
        <v>3</v>
      </c>
      <c r="C16" s="36">
        <v>1</v>
      </c>
      <c r="D16" s="36">
        <v>0.85066666666666668</v>
      </c>
      <c r="E16" s="36">
        <v>1.4350000000000001</v>
      </c>
    </row>
    <row r="17" spans="1:5" x14ac:dyDescent="0.25">
      <c r="A17" s="1" t="s">
        <v>4</v>
      </c>
      <c r="C17" s="4"/>
      <c r="D17" s="4"/>
      <c r="E17" s="4"/>
    </row>
    <row r="18" spans="1:5" x14ac:dyDescent="0.25">
      <c r="C18" s="4"/>
      <c r="D18" s="4"/>
      <c r="E18" s="4"/>
    </row>
    <row r="19" spans="1:5" x14ac:dyDescent="0.25">
      <c r="A19" s="1" t="s">
        <v>139</v>
      </c>
      <c r="B19" s="3">
        <f>SUM(B12:B18)</f>
        <v>310</v>
      </c>
      <c r="C19" s="4"/>
      <c r="D19" s="4"/>
      <c r="E19" s="4"/>
    </row>
    <row r="20" spans="1:5" x14ac:dyDescent="0.25">
      <c r="C20" s="4"/>
      <c r="D20" s="4"/>
      <c r="E20" s="4"/>
    </row>
    <row r="21" spans="1:5" x14ac:dyDescent="0.25">
      <c r="A21" s="1" t="s">
        <v>157</v>
      </c>
      <c r="C21" s="4"/>
      <c r="D21" s="4"/>
      <c r="E21" s="4"/>
    </row>
    <row r="23" spans="1:5" s="1" customFormat="1" x14ac:dyDescent="0.25">
      <c r="B23" s="68" t="s">
        <v>132</v>
      </c>
      <c r="C23" s="68"/>
      <c r="D23" s="68"/>
      <c r="E23" s="27"/>
    </row>
    <row r="24" spans="1:5" s="17" customFormat="1" ht="30" x14ac:dyDescent="0.25">
      <c r="B24" s="26" t="s">
        <v>137</v>
      </c>
      <c r="C24" s="26" t="s">
        <v>138</v>
      </c>
      <c r="D24" s="26" t="s">
        <v>136</v>
      </c>
      <c r="E24" s="26" t="s">
        <v>133</v>
      </c>
    </row>
    <row r="25" spans="1:5" x14ac:dyDescent="0.25">
      <c r="A25" s="1" t="s">
        <v>127</v>
      </c>
      <c r="B25" s="4">
        <v>21.65</v>
      </c>
      <c r="C25" s="3">
        <v>19.579999999999998</v>
      </c>
      <c r="D25" s="3">
        <v>-0.64029000000000003</v>
      </c>
      <c r="E25" s="3" t="s">
        <v>135</v>
      </c>
    </row>
    <row r="26" spans="1:5" x14ac:dyDescent="0.25">
      <c r="A26" s="1" t="s">
        <v>128</v>
      </c>
      <c r="B26" s="4">
        <v>20.93</v>
      </c>
      <c r="C26" s="3">
        <v>18.47</v>
      </c>
      <c r="D26" s="3">
        <v>-0.57369999999999999</v>
      </c>
      <c r="E26" s="3" t="s">
        <v>190</v>
      </c>
    </row>
    <row r="27" spans="1:5" x14ac:dyDescent="0.25">
      <c r="A27" s="1" t="s">
        <v>129</v>
      </c>
      <c r="B27" s="4">
        <v>20.86</v>
      </c>
      <c r="C27" s="3">
        <v>19.03</v>
      </c>
      <c r="D27" s="3">
        <v>-0.50060000000000004</v>
      </c>
      <c r="E27" s="3" t="s">
        <v>135</v>
      </c>
    </row>
    <row r="28" spans="1:5" x14ac:dyDescent="0.25">
      <c r="A28" s="1" t="s">
        <v>130</v>
      </c>
      <c r="B28" s="4">
        <v>22.39</v>
      </c>
      <c r="C28" s="3">
        <v>20.22</v>
      </c>
      <c r="D28" s="3">
        <v>-0.48180000000000001</v>
      </c>
      <c r="E28" s="3" t="s">
        <v>190</v>
      </c>
    </row>
    <row r="29" spans="1:5" x14ac:dyDescent="0.25">
      <c r="A29" s="1" t="s">
        <v>131</v>
      </c>
      <c r="B29" s="4">
        <v>21.61</v>
      </c>
      <c r="C29" s="3">
        <v>19.93</v>
      </c>
      <c r="D29" s="3">
        <v>-0.48480000000000001</v>
      </c>
      <c r="E29" s="3" t="s">
        <v>190</v>
      </c>
    </row>
    <row r="30" spans="1:5" x14ac:dyDescent="0.25">
      <c r="B30" s="4"/>
    </row>
    <row r="31" spans="1:5" x14ac:dyDescent="0.25">
      <c r="A31" s="1" t="s">
        <v>134</v>
      </c>
      <c r="B31" s="4"/>
    </row>
    <row r="33" spans="1:5" s="17" customFormat="1" ht="30" x14ac:dyDescent="0.25">
      <c r="A33" s="17" t="s">
        <v>74</v>
      </c>
      <c r="B33" s="26" t="s">
        <v>125</v>
      </c>
      <c r="C33" s="26" t="s">
        <v>76</v>
      </c>
      <c r="D33" s="26" t="s">
        <v>124</v>
      </c>
      <c r="E33" s="26"/>
    </row>
    <row r="34" spans="1:5" x14ac:dyDescent="0.25">
      <c r="A34" s="32" t="s">
        <v>80</v>
      </c>
      <c r="B34" s="33">
        <v>4</v>
      </c>
      <c r="C34" s="29">
        <v>19</v>
      </c>
      <c r="D34" s="37">
        <f>B34/C34</f>
        <v>0.21052631578947367</v>
      </c>
      <c r="E34" s="5"/>
    </row>
    <row r="35" spans="1:5" x14ac:dyDescent="0.25">
      <c r="A35" s="32" t="s">
        <v>12</v>
      </c>
      <c r="B35" s="33">
        <v>1</v>
      </c>
      <c r="C35" s="29">
        <v>52</v>
      </c>
      <c r="D35" s="37">
        <f t="shared" ref="D35:D98" si="0">B35/C35</f>
        <v>1.9230769230769232E-2</v>
      </c>
      <c r="E35" s="5"/>
    </row>
    <row r="36" spans="1:5" x14ac:dyDescent="0.25">
      <c r="A36" s="32" t="s">
        <v>13</v>
      </c>
      <c r="B36" s="33">
        <v>6</v>
      </c>
      <c r="C36" s="3">
        <v>45</v>
      </c>
      <c r="D36" s="37">
        <f t="shared" si="0"/>
        <v>0.13333333333333333</v>
      </c>
      <c r="E36" s="5"/>
    </row>
    <row r="37" spans="1:5" x14ac:dyDescent="0.25">
      <c r="A37" s="32" t="s">
        <v>14</v>
      </c>
      <c r="B37" s="33">
        <v>3</v>
      </c>
      <c r="C37" s="29">
        <v>22</v>
      </c>
      <c r="D37" s="37">
        <f t="shared" si="0"/>
        <v>0.13636363636363635</v>
      </c>
      <c r="E37" s="5"/>
    </row>
    <row r="38" spans="1:5" x14ac:dyDescent="0.25">
      <c r="A38" s="32" t="s">
        <v>81</v>
      </c>
      <c r="B38" s="33">
        <v>3</v>
      </c>
      <c r="C38" s="29">
        <v>37</v>
      </c>
      <c r="D38" s="37">
        <f t="shared" si="0"/>
        <v>8.1081081081081086E-2</v>
      </c>
      <c r="E38" s="5"/>
    </row>
    <row r="39" spans="1:5" x14ac:dyDescent="0.25">
      <c r="A39" s="32" t="s">
        <v>15</v>
      </c>
      <c r="B39" s="33">
        <v>1</v>
      </c>
      <c r="C39" s="3">
        <v>65</v>
      </c>
      <c r="D39" s="37">
        <f t="shared" si="0"/>
        <v>1.5384615384615385E-2</v>
      </c>
      <c r="E39" s="5"/>
    </row>
    <row r="40" spans="1:5" x14ac:dyDescent="0.25">
      <c r="A40" s="32" t="s">
        <v>82</v>
      </c>
      <c r="B40" s="33">
        <v>2</v>
      </c>
      <c r="C40" s="29">
        <v>59</v>
      </c>
      <c r="D40" s="37">
        <f t="shared" si="0"/>
        <v>3.3898305084745763E-2</v>
      </c>
      <c r="E40" s="5"/>
    </row>
    <row r="41" spans="1:5" x14ac:dyDescent="0.25">
      <c r="A41" s="32" t="s">
        <v>16</v>
      </c>
      <c r="B41" s="33">
        <v>3</v>
      </c>
      <c r="C41" s="3">
        <v>78</v>
      </c>
      <c r="D41" s="37">
        <f t="shared" si="0"/>
        <v>3.8461538461538464E-2</v>
      </c>
      <c r="E41" s="5"/>
    </row>
    <row r="42" spans="1:5" x14ac:dyDescent="0.25">
      <c r="A42" s="32" t="s">
        <v>180</v>
      </c>
      <c r="B42" s="33">
        <v>5</v>
      </c>
      <c r="C42" s="29">
        <v>30</v>
      </c>
      <c r="D42" s="37">
        <f t="shared" si="0"/>
        <v>0.16666666666666666</v>
      </c>
      <c r="E42" s="5"/>
    </row>
    <row r="43" spans="1:5" x14ac:dyDescent="0.25">
      <c r="A43" s="32" t="s">
        <v>17</v>
      </c>
      <c r="B43" s="33">
        <v>3</v>
      </c>
      <c r="C43" s="3">
        <v>56</v>
      </c>
      <c r="D43" s="37">
        <f t="shared" si="0"/>
        <v>5.3571428571428568E-2</v>
      </c>
      <c r="E43" s="5"/>
    </row>
    <row r="44" spans="1:5" x14ac:dyDescent="0.25">
      <c r="A44" s="32" t="s">
        <v>19</v>
      </c>
      <c r="B44" s="33">
        <v>4</v>
      </c>
      <c r="C44" s="29">
        <v>57</v>
      </c>
      <c r="D44" s="37">
        <f t="shared" si="0"/>
        <v>7.0175438596491224E-2</v>
      </c>
      <c r="E44" s="5"/>
    </row>
    <row r="45" spans="1:5" x14ac:dyDescent="0.25">
      <c r="A45" s="32" t="s">
        <v>123</v>
      </c>
      <c r="B45" s="33">
        <v>2</v>
      </c>
      <c r="C45" s="29">
        <v>14</v>
      </c>
      <c r="D45" s="37">
        <f t="shared" si="0"/>
        <v>0.14285714285714285</v>
      </c>
      <c r="E45" s="5"/>
    </row>
    <row r="46" spans="1:5" x14ac:dyDescent="0.25">
      <c r="A46" s="32" t="s">
        <v>21</v>
      </c>
      <c r="B46" s="33">
        <v>8</v>
      </c>
      <c r="C46" s="29">
        <v>77</v>
      </c>
      <c r="D46" s="37">
        <f t="shared" si="0"/>
        <v>0.1038961038961039</v>
      </c>
      <c r="E46" s="5"/>
    </row>
    <row r="47" spans="1:5" x14ac:dyDescent="0.25">
      <c r="A47" s="32" t="s">
        <v>181</v>
      </c>
      <c r="B47" s="33">
        <v>1</v>
      </c>
      <c r="C47" s="29">
        <v>5</v>
      </c>
      <c r="D47" s="37">
        <f t="shared" si="0"/>
        <v>0.2</v>
      </c>
      <c r="E47" s="5"/>
    </row>
    <row r="48" spans="1:5" x14ac:dyDescent="0.25">
      <c r="A48" s="32" t="s">
        <v>109</v>
      </c>
      <c r="B48" s="33">
        <v>2</v>
      </c>
      <c r="C48" s="3">
        <v>35</v>
      </c>
      <c r="D48" s="37">
        <f t="shared" si="0"/>
        <v>5.7142857142857141E-2</v>
      </c>
      <c r="E48" s="5"/>
    </row>
    <row r="49" spans="1:5" x14ac:dyDescent="0.25">
      <c r="A49" s="32" t="s">
        <v>26</v>
      </c>
      <c r="B49" s="33">
        <v>2</v>
      </c>
      <c r="C49" s="3">
        <v>47</v>
      </c>
      <c r="D49" s="37">
        <f t="shared" si="0"/>
        <v>4.2553191489361701E-2</v>
      </c>
      <c r="E49" s="5"/>
    </row>
    <row r="50" spans="1:5" x14ac:dyDescent="0.25">
      <c r="A50" s="32" t="s">
        <v>118</v>
      </c>
      <c r="B50" s="33">
        <v>2</v>
      </c>
      <c r="C50" s="3">
        <v>75</v>
      </c>
      <c r="D50" s="37">
        <f t="shared" si="0"/>
        <v>2.6666666666666668E-2</v>
      </c>
      <c r="E50" s="5"/>
    </row>
    <row r="51" spans="1:5" x14ac:dyDescent="0.25">
      <c r="A51" s="32" t="s">
        <v>83</v>
      </c>
      <c r="B51" s="33">
        <v>5</v>
      </c>
      <c r="C51" s="3">
        <v>37</v>
      </c>
      <c r="D51" s="37">
        <f t="shared" si="0"/>
        <v>0.13513513513513514</v>
      </c>
      <c r="E51" s="5"/>
    </row>
    <row r="52" spans="1:5" x14ac:dyDescent="0.25">
      <c r="A52" s="32" t="s">
        <v>27</v>
      </c>
      <c r="B52" s="33">
        <v>4</v>
      </c>
      <c r="C52" s="29">
        <v>64</v>
      </c>
      <c r="D52" s="37">
        <f t="shared" si="0"/>
        <v>6.25E-2</v>
      </c>
      <c r="E52" s="5"/>
    </row>
    <row r="53" spans="1:5" x14ac:dyDescent="0.25">
      <c r="A53" s="32" t="s">
        <v>28</v>
      </c>
      <c r="B53" s="33">
        <v>1</v>
      </c>
      <c r="C53" s="3">
        <v>7</v>
      </c>
      <c r="D53" s="37">
        <f t="shared" si="0"/>
        <v>0.14285714285714285</v>
      </c>
      <c r="E53" s="5"/>
    </row>
    <row r="54" spans="1:5" x14ac:dyDescent="0.25">
      <c r="A54" s="32" t="s">
        <v>29</v>
      </c>
      <c r="B54" s="33">
        <v>1</v>
      </c>
      <c r="C54" s="3">
        <v>16</v>
      </c>
      <c r="D54" s="37">
        <f t="shared" si="0"/>
        <v>6.25E-2</v>
      </c>
      <c r="E54" s="5"/>
    </row>
    <row r="55" spans="1:5" x14ac:dyDescent="0.25">
      <c r="A55" s="32" t="s">
        <v>175</v>
      </c>
      <c r="B55" s="33">
        <v>1</v>
      </c>
      <c r="C55" s="29">
        <v>44</v>
      </c>
      <c r="D55" s="37">
        <f t="shared" si="0"/>
        <v>2.2727272727272728E-2</v>
      </c>
      <c r="E55" s="5"/>
    </row>
    <row r="56" spans="1:5" x14ac:dyDescent="0.25">
      <c r="A56" s="32" t="s">
        <v>30</v>
      </c>
      <c r="B56" s="33">
        <v>1</v>
      </c>
      <c r="C56" s="3">
        <v>12</v>
      </c>
      <c r="D56" s="37">
        <f t="shared" si="0"/>
        <v>8.3333333333333329E-2</v>
      </c>
      <c r="E56" s="5"/>
    </row>
    <row r="57" spans="1:5" x14ac:dyDescent="0.25">
      <c r="A57" s="32" t="s">
        <v>176</v>
      </c>
      <c r="B57" s="33">
        <v>4</v>
      </c>
      <c r="C57" s="29">
        <v>50</v>
      </c>
      <c r="D57" s="37">
        <f t="shared" si="0"/>
        <v>0.08</v>
      </c>
      <c r="E57" s="5"/>
    </row>
    <row r="58" spans="1:5" x14ac:dyDescent="0.25">
      <c r="A58" s="32" t="s">
        <v>31</v>
      </c>
      <c r="B58" s="33">
        <v>1</v>
      </c>
      <c r="C58" s="29">
        <v>10</v>
      </c>
      <c r="D58" s="37">
        <f t="shared" si="0"/>
        <v>0.1</v>
      </c>
      <c r="E58" s="5"/>
    </row>
    <row r="59" spans="1:5" x14ac:dyDescent="0.25">
      <c r="A59" s="32" t="s">
        <v>32</v>
      </c>
      <c r="B59" s="33">
        <v>1</v>
      </c>
      <c r="C59" s="3">
        <v>28</v>
      </c>
      <c r="D59" s="37">
        <f t="shared" si="0"/>
        <v>3.5714285714285712E-2</v>
      </c>
      <c r="E59" s="5"/>
    </row>
    <row r="60" spans="1:5" x14ac:dyDescent="0.25">
      <c r="A60" s="32" t="s">
        <v>33</v>
      </c>
      <c r="B60" s="33">
        <v>2</v>
      </c>
      <c r="C60" s="3">
        <v>27</v>
      </c>
      <c r="D60" s="37">
        <f t="shared" si="0"/>
        <v>7.407407407407407E-2</v>
      </c>
      <c r="E60" s="5"/>
    </row>
    <row r="61" spans="1:5" x14ac:dyDescent="0.25">
      <c r="A61" s="32" t="s">
        <v>182</v>
      </c>
      <c r="B61" s="33">
        <v>1</v>
      </c>
      <c r="C61" s="29">
        <v>16</v>
      </c>
      <c r="D61" s="37">
        <f t="shared" si="0"/>
        <v>6.25E-2</v>
      </c>
      <c r="E61" s="5"/>
    </row>
    <row r="62" spans="1:5" x14ac:dyDescent="0.25">
      <c r="A62" s="32" t="s">
        <v>34</v>
      </c>
      <c r="B62" s="33">
        <v>2</v>
      </c>
      <c r="C62" s="3">
        <v>47</v>
      </c>
      <c r="D62" s="37">
        <f t="shared" si="0"/>
        <v>4.2553191489361701E-2</v>
      </c>
      <c r="E62" s="5"/>
    </row>
    <row r="63" spans="1:5" x14ac:dyDescent="0.25">
      <c r="A63" s="32" t="s">
        <v>85</v>
      </c>
      <c r="B63" s="33">
        <v>1</v>
      </c>
      <c r="C63" s="3">
        <v>9</v>
      </c>
      <c r="D63" s="37">
        <f t="shared" si="0"/>
        <v>0.1111111111111111</v>
      </c>
      <c r="E63" s="5"/>
    </row>
    <row r="64" spans="1:5" x14ac:dyDescent="0.25">
      <c r="A64" s="32" t="s">
        <v>86</v>
      </c>
      <c r="B64" s="33">
        <v>1</v>
      </c>
      <c r="C64" s="29">
        <v>14</v>
      </c>
      <c r="D64" s="37">
        <f t="shared" si="0"/>
        <v>7.1428571428571425E-2</v>
      </c>
      <c r="E64" s="5"/>
    </row>
    <row r="65" spans="1:5" x14ac:dyDescent="0.25">
      <c r="A65" s="32" t="s">
        <v>87</v>
      </c>
      <c r="B65" s="33">
        <v>2</v>
      </c>
      <c r="C65" s="3">
        <v>30</v>
      </c>
      <c r="D65" s="37">
        <f t="shared" si="0"/>
        <v>6.6666666666666666E-2</v>
      </c>
      <c r="E65" s="5"/>
    </row>
    <row r="66" spans="1:5" x14ac:dyDescent="0.25">
      <c r="A66" s="32" t="s">
        <v>88</v>
      </c>
      <c r="B66" s="33">
        <v>1</v>
      </c>
      <c r="C66" s="3">
        <v>10</v>
      </c>
      <c r="D66" s="37">
        <f t="shared" si="0"/>
        <v>0.1</v>
      </c>
      <c r="E66" s="5"/>
    </row>
    <row r="67" spans="1:5" x14ac:dyDescent="0.25">
      <c r="A67" s="32" t="s">
        <v>35</v>
      </c>
      <c r="B67" s="33">
        <v>1</v>
      </c>
      <c r="C67" s="29">
        <v>41</v>
      </c>
      <c r="D67" s="37">
        <f t="shared" si="0"/>
        <v>2.4390243902439025E-2</v>
      </c>
      <c r="E67" s="5"/>
    </row>
    <row r="68" spans="1:5" x14ac:dyDescent="0.25">
      <c r="A68" s="32" t="s">
        <v>36</v>
      </c>
      <c r="B68" s="33">
        <v>1</v>
      </c>
      <c r="C68" s="3">
        <v>19</v>
      </c>
      <c r="D68" s="37">
        <f t="shared" si="0"/>
        <v>5.2631578947368418E-2</v>
      </c>
      <c r="E68" s="5"/>
    </row>
    <row r="69" spans="1:5" x14ac:dyDescent="0.25">
      <c r="A69" s="32" t="s">
        <v>37</v>
      </c>
      <c r="B69" s="33">
        <v>2</v>
      </c>
      <c r="C69" s="29">
        <v>41</v>
      </c>
      <c r="D69" s="37">
        <f t="shared" si="0"/>
        <v>4.878048780487805E-2</v>
      </c>
      <c r="E69" s="5"/>
    </row>
    <row r="70" spans="1:5" x14ac:dyDescent="0.25">
      <c r="A70" s="32" t="s">
        <v>38</v>
      </c>
      <c r="B70" s="33">
        <v>3</v>
      </c>
      <c r="C70" s="3">
        <v>41</v>
      </c>
      <c r="D70" s="37">
        <f t="shared" si="0"/>
        <v>7.3170731707317069E-2</v>
      </c>
      <c r="E70" s="5"/>
    </row>
    <row r="71" spans="1:5" x14ac:dyDescent="0.25">
      <c r="A71" s="32" t="s">
        <v>89</v>
      </c>
      <c r="B71" s="33">
        <v>1</v>
      </c>
      <c r="C71" s="3">
        <v>49</v>
      </c>
      <c r="D71" s="37">
        <f t="shared" si="0"/>
        <v>2.0408163265306121E-2</v>
      </c>
      <c r="E71" s="5"/>
    </row>
    <row r="72" spans="1:5" x14ac:dyDescent="0.25">
      <c r="A72" s="32" t="s">
        <v>116</v>
      </c>
      <c r="B72" s="33">
        <v>1</v>
      </c>
      <c r="C72" s="29">
        <v>532</v>
      </c>
      <c r="D72" s="37">
        <f t="shared" si="0"/>
        <v>1.8796992481203006E-3</v>
      </c>
      <c r="E72" s="5"/>
    </row>
    <row r="73" spans="1:5" x14ac:dyDescent="0.25">
      <c r="A73" s="32" t="s">
        <v>104</v>
      </c>
      <c r="B73" s="33">
        <v>2</v>
      </c>
      <c r="C73" s="3">
        <v>44</v>
      </c>
      <c r="D73" s="37">
        <f t="shared" si="0"/>
        <v>4.5454545454545456E-2</v>
      </c>
      <c r="E73" s="5"/>
    </row>
    <row r="74" spans="1:5" x14ac:dyDescent="0.25">
      <c r="A74" s="32" t="s">
        <v>39</v>
      </c>
      <c r="B74" s="33">
        <v>5</v>
      </c>
      <c r="C74" s="29">
        <v>28</v>
      </c>
      <c r="D74" s="37">
        <f t="shared" si="0"/>
        <v>0.17857142857142858</v>
      </c>
      <c r="E74" s="5"/>
    </row>
    <row r="75" spans="1:5" x14ac:dyDescent="0.25">
      <c r="A75" s="32" t="s">
        <v>40</v>
      </c>
      <c r="B75" s="33">
        <v>1</v>
      </c>
      <c r="C75" s="3">
        <v>23</v>
      </c>
      <c r="D75" s="37">
        <f t="shared" si="0"/>
        <v>4.3478260869565216E-2</v>
      </c>
      <c r="E75" s="5"/>
    </row>
    <row r="76" spans="1:5" x14ac:dyDescent="0.25">
      <c r="A76" s="32" t="s">
        <v>183</v>
      </c>
      <c r="B76" s="33">
        <v>1</v>
      </c>
      <c r="D76" s="37"/>
      <c r="E76" s="5"/>
    </row>
    <row r="77" spans="1:5" x14ac:dyDescent="0.25">
      <c r="A77" s="32" t="s">
        <v>184</v>
      </c>
      <c r="B77" s="33">
        <v>1</v>
      </c>
      <c r="C77" s="29">
        <v>21</v>
      </c>
      <c r="D77" s="37">
        <f t="shared" si="0"/>
        <v>4.7619047619047616E-2</v>
      </c>
      <c r="E77" s="5"/>
    </row>
    <row r="78" spans="1:5" x14ac:dyDescent="0.25">
      <c r="A78" s="32" t="s">
        <v>42</v>
      </c>
      <c r="B78" s="33">
        <v>5</v>
      </c>
      <c r="C78" s="3">
        <v>24</v>
      </c>
      <c r="D78" s="37">
        <f t="shared" si="0"/>
        <v>0.20833333333333334</v>
      </c>
      <c r="E78" s="5"/>
    </row>
    <row r="79" spans="1:5" x14ac:dyDescent="0.25">
      <c r="A79" s="32" t="s">
        <v>177</v>
      </c>
      <c r="B79" s="33">
        <v>1</v>
      </c>
      <c r="C79" s="3">
        <v>4</v>
      </c>
      <c r="D79" s="37">
        <f t="shared" si="0"/>
        <v>0.25</v>
      </c>
      <c r="E79" s="5"/>
    </row>
    <row r="80" spans="1:5" x14ac:dyDescent="0.25">
      <c r="A80" s="32" t="s">
        <v>43</v>
      </c>
      <c r="B80" s="33">
        <v>3</v>
      </c>
      <c r="C80" s="29">
        <v>70</v>
      </c>
      <c r="D80" s="37">
        <f t="shared" si="0"/>
        <v>4.2857142857142858E-2</v>
      </c>
      <c r="E80" s="5"/>
    </row>
    <row r="81" spans="1:5" x14ac:dyDescent="0.25">
      <c r="A81" s="32" t="s">
        <v>44</v>
      </c>
      <c r="B81" s="33">
        <v>2</v>
      </c>
      <c r="C81" s="3">
        <v>38</v>
      </c>
      <c r="D81" s="37">
        <f t="shared" si="0"/>
        <v>5.2631578947368418E-2</v>
      </c>
      <c r="E81" s="5"/>
    </row>
    <row r="82" spans="1:5" x14ac:dyDescent="0.25">
      <c r="A82" s="32" t="s">
        <v>45</v>
      </c>
      <c r="B82" s="33">
        <v>4</v>
      </c>
      <c r="C82" s="3">
        <v>36</v>
      </c>
      <c r="D82" s="37">
        <f t="shared" si="0"/>
        <v>0.1111111111111111</v>
      </c>
      <c r="E82" s="5"/>
    </row>
    <row r="83" spans="1:5" x14ac:dyDescent="0.25">
      <c r="A83" s="32" t="s">
        <v>46</v>
      </c>
      <c r="B83" s="33">
        <v>33</v>
      </c>
      <c r="C83" s="29">
        <v>162</v>
      </c>
      <c r="D83" s="37">
        <f t="shared" si="0"/>
        <v>0.20370370370370369</v>
      </c>
      <c r="E83" s="5"/>
    </row>
    <row r="84" spans="1:5" x14ac:dyDescent="0.25">
      <c r="A84" s="32" t="s">
        <v>47</v>
      </c>
      <c r="B84" s="33">
        <v>26</v>
      </c>
      <c r="C84" s="29">
        <v>220</v>
      </c>
      <c r="D84" s="37">
        <f t="shared" si="0"/>
        <v>0.11818181818181818</v>
      </c>
      <c r="E84" s="5"/>
    </row>
    <row r="85" spans="1:5" x14ac:dyDescent="0.25">
      <c r="A85" s="32" t="s">
        <v>112</v>
      </c>
      <c r="B85" s="33">
        <v>1</v>
      </c>
      <c r="C85" s="29">
        <v>10</v>
      </c>
      <c r="D85" s="37">
        <f t="shared" si="0"/>
        <v>0.1</v>
      </c>
      <c r="E85" s="5"/>
    </row>
    <row r="86" spans="1:5" x14ac:dyDescent="0.25">
      <c r="A86" s="32" t="s">
        <v>185</v>
      </c>
      <c r="B86" s="33">
        <v>1</v>
      </c>
      <c r="C86" s="3">
        <v>54</v>
      </c>
      <c r="D86" s="37">
        <f t="shared" si="0"/>
        <v>1.8518518518518517E-2</v>
      </c>
      <c r="E86" s="5"/>
    </row>
    <row r="87" spans="1:5" x14ac:dyDescent="0.25">
      <c r="A87" s="32" t="s">
        <v>92</v>
      </c>
      <c r="B87" s="33">
        <v>4</v>
      </c>
      <c r="C87" s="29">
        <v>30</v>
      </c>
      <c r="D87" s="37">
        <f t="shared" si="0"/>
        <v>0.13333333333333333</v>
      </c>
      <c r="E87" s="5"/>
    </row>
    <row r="88" spans="1:5" x14ac:dyDescent="0.25">
      <c r="A88" s="32" t="s">
        <v>48</v>
      </c>
      <c r="B88" s="33">
        <v>1</v>
      </c>
      <c r="C88" s="3">
        <v>28</v>
      </c>
      <c r="D88" s="37">
        <f t="shared" si="0"/>
        <v>3.5714285714285712E-2</v>
      </c>
      <c r="E88" s="5"/>
    </row>
    <row r="89" spans="1:5" x14ac:dyDescent="0.25">
      <c r="A89" s="32" t="s">
        <v>186</v>
      </c>
      <c r="B89" s="33">
        <v>2</v>
      </c>
      <c r="C89" s="3">
        <v>78</v>
      </c>
      <c r="D89" s="37">
        <f t="shared" si="0"/>
        <v>2.564102564102564E-2</v>
      </c>
      <c r="E89" s="5"/>
    </row>
    <row r="90" spans="1:5" x14ac:dyDescent="0.25">
      <c r="A90" s="32" t="s">
        <v>49</v>
      </c>
      <c r="B90" s="33">
        <v>1</v>
      </c>
      <c r="C90" s="3">
        <v>45</v>
      </c>
      <c r="D90" s="37">
        <f t="shared" si="0"/>
        <v>2.2222222222222223E-2</v>
      </c>
      <c r="E90" s="5"/>
    </row>
    <row r="91" spans="1:5" x14ac:dyDescent="0.25">
      <c r="A91" s="32" t="s">
        <v>52</v>
      </c>
      <c r="B91" s="33">
        <v>1</v>
      </c>
      <c r="C91" s="3">
        <v>35</v>
      </c>
      <c r="D91" s="37">
        <f t="shared" si="0"/>
        <v>2.8571428571428571E-2</v>
      </c>
      <c r="E91" s="5"/>
    </row>
    <row r="92" spans="1:5" x14ac:dyDescent="0.25">
      <c r="A92" s="32" t="s">
        <v>187</v>
      </c>
      <c r="B92" s="33">
        <v>1</v>
      </c>
      <c r="C92" s="3">
        <v>9</v>
      </c>
      <c r="D92" s="37">
        <f t="shared" si="0"/>
        <v>0.1111111111111111</v>
      </c>
      <c r="E92" s="5"/>
    </row>
    <row r="93" spans="1:5" x14ac:dyDescent="0.25">
      <c r="A93" s="32" t="s">
        <v>188</v>
      </c>
      <c r="B93" s="33">
        <v>1</v>
      </c>
      <c r="C93" s="3">
        <v>10</v>
      </c>
      <c r="D93" s="37">
        <f t="shared" si="0"/>
        <v>0.1</v>
      </c>
      <c r="E93" s="5"/>
    </row>
    <row r="94" spans="1:5" x14ac:dyDescent="0.25">
      <c r="A94" s="32" t="s">
        <v>53</v>
      </c>
      <c r="B94" s="33">
        <v>2</v>
      </c>
      <c r="C94" s="3">
        <v>62</v>
      </c>
      <c r="D94" s="37">
        <f t="shared" si="0"/>
        <v>3.2258064516129031E-2</v>
      </c>
      <c r="E94" s="5"/>
    </row>
    <row r="95" spans="1:5" x14ac:dyDescent="0.25">
      <c r="A95" s="32" t="s">
        <v>54</v>
      </c>
      <c r="B95" s="33">
        <v>4</v>
      </c>
      <c r="C95" s="29">
        <v>32</v>
      </c>
      <c r="D95" s="37">
        <f t="shared" si="0"/>
        <v>0.125</v>
      </c>
      <c r="E95" s="5"/>
    </row>
    <row r="96" spans="1:5" x14ac:dyDescent="0.25">
      <c r="A96" s="32" t="s">
        <v>93</v>
      </c>
      <c r="B96" s="33">
        <v>1</v>
      </c>
      <c r="C96" s="3">
        <v>19</v>
      </c>
      <c r="D96" s="37">
        <f t="shared" si="0"/>
        <v>5.2631578947368418E-2</v>
      </c>
      <c r="E96" s="5"/>
    </row>
    <row r="97" spans="1:5" x14ac:dyDescent="0.25">
      <c r="A97" s="32" t="s">
        <v>178</v>
      </c>
      <c r="B97" s="33">
        <v>15</v>
      </c>
      <c r="C97" s="3">
        <v>526</v>
      </c>
      <c r="D97" s="37">
        <f t="shared" si="0"/>
        <v>2.8517110266159697E-2</v>
      </c>
      <c r="E97" s="5"/>
    </row>
    <row r="98" spans="1:5" x14ac:dyDescent="0.25">
      <c r="A98" s="32" t="s">
        <v>55</v>
      </c>
      <c r="B98" s="33">
        <v>1</v>
      </c>
      <c r="C98" s="3">
        <v>46</v>
      </c>
      <c r="D98" s="37">
        <f t="shared" si="0"/>
        <v>2.1739130434782608E-2</v>
      </c>
      <c r="E98" s="5"/>
    </row>
    <row r="99" spans="1:5" x14ac:dyDescent="0.25">
      <c r="A99" s="32" t="s">
        <v>56</v>
      </c>
      <c r="B99" s="33">
        <v>4</v>
      </c>
      <c r="C99" s="29">
        <v>38</v>
      </c>
      <c r="D99" s="37">
        <f t="shared" ref="D99:D122" si="1">B99/C99</f>
        <v>0.10526315789473684</v>
      </c>
      <c r="E99" s="5"/>
    </row>
    <row r="100" spans="1:5" x14ac:dyDescent="0.25">
      <c r="A100" s="32" t="s">
        <v>106</v>
      </c>
      <c r="B100" s="33">
        <v>3</v>
      </c>
      <c r="C100" s="3">
        <v>91</v>
      </c>
      <c r="D100" s="37">
        <f t="shared" si="1"/>
        <v>3.2967032967032968E-2</v>
      </c>
      <c r="E100" s="5"/>
    </row>
    <row r="101" spans="1:5" x14ac:dyDescent="0.25">
      <c r="A101" s="32" t="s">
        <v>94</v>
      </c>
      <c r="B101" s="33">
        <v>2</v>
      </c>
      <c r="C101" s="3">
        <v>23</v>
      </c>
      <c r="D101" s="37">
        <f t="shared" si="1"/>
        <v>8.6956521739130432E-2</v>
      </c>
      <c r="E101" s="5"/>
    </row>
    <row r="102" spans="1:5" x14ac:dyDescent="0.25">
      <c r="A102" s="32" t="s">
        <v>57</v>
      </c>
      <c r="B102" s="33">
        <v>1</v>
      </c>
      <c r="C102" s="29">
        <v>12</v>
      </c>
      <c r="D102" s="37">
        <f t="shared" si="1"/>
        <v>8.3333333333333329E-2</v>
      </c>
      <c r="E102" s="5"/>
    </row>
    <row r="103" spans="1:5" x14ac:dyDescent="0.25">
      <c r="A103" s="32" t="s">
        <v>58</v>
      </c>
      <c r="B103" s="33">
        <v>2</v>
      </c>
      <c r="C103" s="29">
        <v>21</v>
      </c>
      <c r="D103" s="37">
        <f t="shared" si="1"/>
        <v>9.5238095238095233E-2</v>
      </c>
      <c r="E103" s="5"/>
    </row>
    <row r="104" spans="1:5" x14ac:dyDescent="0.25">
      <c r="A104" s="32" t="s">
        <v>95</v>
      </c>
      <c r="B104" s="33">
        <v>1</v>
      </c>
      <c r="C104" s="3">
        <v>7</v>
      </c>
      <c r="D104" s="37">
        <f t="shared" si="1"/>
        <v>0.14285714285714285</v>
      </c>
      <c r="E104" s="5"/>
    </row>
    <row r="105" spans="1:5" x14ac:dyDescent="0.25">
      <c r="A105" s="32" t="s">
        <v>189</v>
      </c>
      <c r="B105" s="33">
        <v>3</v>
      </c>
      <c r="C105" s="3">
        <v>8</v>
      </c>
      <c r="D105" s="37">
        <f t="shared" si="1"/>
        <v>0.375</v>
      </c>
      <c r="E105" s="5"/>
    </row>
    <row r="106" spans="1:5" x14ac:dyDescent="0.25">
      <c r="A106" s="32" t="s">
        <v>119</v>
      </c>
      <c r="B106" s="33">
        <v>2</v>
      </c>
      <c r="C106" s="29">
        <v>40</v>
      </c>
      <c r="D106" s="37">
        <f t="shared" si="1"/>
        <v>0.05</v>
      </c>
      <c r="E106" s="5"/>
    </row>
    <row r="107" spans="1:5" x14ac:dyDescent="0.25">
      <c r="A107" s="32" t="s">
        <v>96</v>
      </c>
      <c r="B107" s="33">
        <v>1</v>
      </c>
      <c r="C107" s="3">
        <v>6</v>
      </c>
      <c r="D107" s="37">
        <f t="shared" si="1"/>
        <v>0.16666666666666666</v>
      </c>
      <c r="E107" s="5"/>
    </row>
    <row r="108" spans="1:5" x14ac:dyDescent="0.25">
      <c r="A108" s="32" t="s">
        <v>60</v>
      </c>
      <c r="B108" s="33">
        <v>6</v>
      </c>
      <c r="C108" s="3">
        <v>48</v>
      </c>
      <c r="D108" s="37">
        <f t="shared" si="1"/>
        <v>0.125</v>
      </c>
      <c r="E108" s="5"/>
    </row>
    <row r="109" spans="1:5" x14ac:dyDescent="0.25">
      <c r="A109" s="32" t="s">
        <v>61</v>
      </c>
      <c r="B109" s="33">
        <v>1</v>
      </c>
      <c r="C109" s="3">
        <v>138</v>
      </c>
      <c r="D109" s="37">
        <f t="shared" si="1"/>
        <v>7.246376811594203E-3</v>
      </c>
      <c r="E109" s="5"/>
    </row>
    <row r="110" spans="1:5" x14ac:dyDescent="0.25">
      <c r="A110" s="32" t="s">
        <v>62</v>
      </c>
      <c r="B110" s="33">
        <v>1</v>
      </c>
      <c r="C110" s="3">
        <v>21</v>
      </c>
      <c r="D110" s="37">
        <f t="shared" si="1"/>
        <v>4.7619047619047616E-2</v>
      </c>
      <c r="E110" s="5"/>
    </row>
    <row r="111" spans="1:5" x14ac:dyDescent="0.25">
      <c r="A111" s="32" t="s">
        <v>97</v>
      </c>
      <c r="B111" s="33">
        <v>1</v>
      </c>
      <c r="C111" s="29">
        <v>21</v>
      </c>
      <c r="D111" s="37">
        <f t="shared" si="1"/>
        <v>4.7619047619047616E-2</v>
      </c>
      <c r="E111" s="5"/>
    </row>
    <row r="112" spans="1:5" x14ac:dyDescent="0.25">
      <c r="A112" s="32" t="s">
        <v>98</v>
      </c>
      <c r="B112" s="33">
        <v>1</v>
      </c>
      <c r="C112" s="29">
        <v>11</v>
      </c>
      <c r="D112" s="37">
        <f t="shared" si="1"/>
        <v>9.0909090909090912E-2</v>
      </c>
      <c r="E112" s="5"/>
    </row>
    <row r="113" spans="1:5" x14ac:dyDescent="0.25">
      <c r="A113" s="32" t="s">
        <v>63</v>
      </c>
      <c r="B113" s="33">
        <v>3</v>
      </c>
      <c r="C113" s="29">
        <v>17</v>
      </c>
      <c r="D113" s="37">
        <f t="shared" si="1"/>
        <v>0.17647058823529413</v>
      </c>
      <c r="E113" s="5"/>
    </row>
    <row r="114" spans="1:5" x14ac:dyDescent="0.25">
      <c r="A114" s="32" t="s">
        <v>99</v>
      </c>
      <c r="B114" s="33">
        <v>1</v>
      </c>
      <c r="C114" s="3">
        <v>157</v>
      </c>
      <c r="D114" s="37">
        <f t="shared" si="1"/>
        <v>6.369426751592357E-3</v>
      </c>
      <c r="E114" s="5"/>
    </row>
    <row r="115" spans="1:5" x14ac:dyDescent="0.25">
      <c r="A115" s="32" t="s">
        <v>65</v>
      </c>
      <c r="B115" s="33">
        <v>2</v>
      </c>
      <c r="C115" s="29">
        <v>47</v>
      </c>
      <c r="D115" s="37">
        <f t="shared" si="1"/>
        <v>4.2553191489361701E-2</v>
      </c>
      <c r="E115" s="5"/>
    </row>
    <row r="116" spans="1:5" x14ac:dyDescent="0.25">
      <c r="A116" s="32" t="s">
        <v>66</v>
      </c>
      <c r="B116" s="33">
        <v>4</v>
      </c>
      <c r="C116" s="29">
        <v>37</v>
      </c>
      <c r="D116" s="37">
        <f t="shared" si="1"/>
        <v>0.10810810810810811</v>
      </c>
      <c r="E116" s="5"/>
    </row>
    <row r="117" spans="1:5" x14ac:dyDescent="0.25">
      <c r="A117" s="32" t="s">
        <v>69</v>
      </c>
      <c r="B117" s="33">
        <v>38</v>
      </c>
      <c r="C117" s="3">
        <v>150</v>
      </c>
      <c r="D117" s="37">
        <f t="shared" si="1"/>
        <v>0.25333333333333335</v>
      </c>
      <c r="E117" s="5"/>
    </row>
    <row r="118" spans="1:5" x14ac:dyDescent="0.25">
      <c r="A118" s="32" t="s">
        <v>101</v>
      </c>
      <c r="B118" s="33">
        <v>2</v>
      </c>
      <c r="C118" s="29">
        <v>26</v>
      </c>
      <c r="D118" s="37">
        <f t="shared" si="1"/>
        <v>7.6923076923076927E-2</v>
      </c>
      <c r="E118" s="5"/>
    </row>
    <row r="119" spans="1:5" x14ac:dyDescent="0.25">
      <c r="A119" s="32" t="s">
        <v>102</v>
      </c>
      <c r="B119" s="33">
        <v>2</v>
      </c>
      <c r="C119" s="29">
        <v>47</v>
      </c>
      <c r="D119" s="37">
        <f t="shared" si="1"/>
        <v>4.2553191489361701E-2</v>
      </c>
      <c r="E119" s="5"/>
    </row>
    <row r="120" spans="1:5" x14ac:dyDescent="0.25">
      <c r="A120" s="32" t="s">
        <v>71</v>
      </c>
      <c r="B120" s="33">
        <v>3</v>
      </c>
      <c r="C120" s="3">
        <v>23</v>
      </c>
      <c r="D120" s="37">
        <f t="shared" si="1"/>
        <v>0.13043478260869565</v>
      </c>
      <c r="E120" s="5"/>
    </row>
    <row r="121" spans="1:5" x14ac:dyDescent="0.25">
      <c r="A121" s="32" t="s">
        <v>72</v>
      </c>
      <c r="B121" s="33">
        <v>3</v>
      </c>
      <c r="C121" s="3">
        <v>27</v>
      </c>
      <c r="D121" s="37">
        <f t="shared" si="1"/>
        <v>0.1111111111111111</v>
      </c>
      <c r="E121" s="5"/>
    </row>
    <row r="122" spans="1:5" x14ac:dyDescent="0.25">
      <c r="A122" s="32" t="s">
        <v>73</v>
      </c>
      <c r="B122" s="33">
        <v>4</v>
      </c>
      <c r="C122" s="3">
        <v>22</v>
      </c>
      <c r="D122" s="37">
        <f t="shared" si="1"/>
        <v>0.18181818181818182</v>
      </c>
      <c r="E122" s="5"/>
    </row>
  </sheetData>
  <mergeCells count="1">
    <mergeCell ref="B23:D23"/>
  </mergeCells>
  <pageMargins left="0.7" right="0.7" top="0.75" bottom="0.75" header="0.3" footer="0.3"/>
  <pageSetup orientation="portrait" r:id="rId1"/>
  <headerFooter>
    <oddHeader>&amp;L&amp;"Times New Roman,Bold"&amp;F, &amp;A</oddHeader>
    <oddFooter>&amp;L&amp;"Times New Roman,Bold"&amp;8Office of Institutional Research and Assessment
&amp;F, &amp;A&amp;R&amp;"Times New Roman,Bold"&amp;8Page 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D110"/>
  <sheetViews>
    <sheetView workbookViewId="0">
      <selection activeCell="B43" sqref="B43"/>
    </sheetView>
  </sheetViews>
  <sheetFormatPr defaultColWidth="18" defaultRowHeight="15" x14ac:dyDescent="0.25"/>
  <cols>
    <col min="1" max="1" width="24.42578125" style="5" customWidth="1"/>
    <col min="2" max="2" width="13.140625" style="3" bestFit="1" customWidth="1"/>
    <col min="3" max="3" width="12.5703125" style="3" customWidth="1"/>
    <col min="4" max="4" width="10.28515625" style="3" bestFit="1" customWidth="1"/>
    <col min="5" max="16384" width="18" style="5"/>
  </cols>
  <sheetData>
    <row r="11" spans="1:4" s="1" customFormat="1" x14ac:dyDescent="0.25">
      <c r="B11" s="70" t="s">
        <v>103</v>
      </c>
      <c r="C11" s="70"/>
      <c r="D11" s="70"/>
    </row>
    <row r="12" spans="1:4" s="1" customFormat="1" x14ac:dyDescent="0.25">
      <c r="A12" s="1" t="s">
        <v>74</v>
      </c>
      <c r="B12" s="2" t="s">
        <v>76</v>
      </c>
      <c r="C12" s="2" t="s">
        <v>79</v>
      </c>
      <c r="D12" s="2" t="s">
        <v>75</v>
      </c>
    </row>
    <row r="13" spans="1:4" x14ac:dyDescent="0.25">
      <c r="A13" s="13" t="s">
        <v>84</v>
      </c>
      <c r="B13" s="14">
        <v>3</v>
      </c>
      <c r="C13" s="15">
        <v>0</v>
      </c>
      <c r="D13" s="15">
        <v>0</v>
      </c>
    </row>
    <row r="14" spans="1:4" x14ac:dyDescent="0.25">
      <c r="A14" s="13" t="s">
        <v>23</v>
      </c>
      <c r="B14" s="14">
        <v>3</v>
      </c>
      <c r="C14" s="15">
        <v>0</v>
      </c>
      <c r="D14" s="14">
        <v>1</v>
      </c>
    </row>
    <row r="15" spans="1:4" x14ac:dyDescent="0.25">
      <c r="A15" s="13" t="s">
        <v>98</v>
      </c>
      <c r="B15" s="14">
        <v>2</v>
      </c>
      <c r="C15" s="15">
        <v>0</v>
      </c>
      <c r="D15" s="15">
        <v>0</v>
      </c>
    </row>
    <row r="16" spans="1:4" x14ac:dyDescent="0.25">
      <c r="A16" s="13" t="s">
        <v>21</v>
      </c>
      <c r="B16" s="14">
        <v>1</v>
      </c>
      <c r="C16" s="15">
        <v>0</v>
      </c>
      <c r="D16" s="15">
        <v>0</v>
      </c>
    </row>
    <row r="17" spans="1:4" x14ac:dyDescent="0.25">
      <c r="A17" s="13" t="s">
        <v>12</v>
      </c>
      <c r="B17" s="14">
        <v>1</v>
      </c>
      <c r="C17" s="15">
        <v>0</v>
      </c>
      <c r="D17" s="15">
        <v>0</v>
      </c>
    </row>
    <row r="18" spans="1:4" x14ac:dyDescent="0.25">
      <c r="A18" s="13" t="s">
        <v>37</v>
      </c>
      <c r="B18" s="14">
        <v>6</v>
      </c>
      <c r="C18" s="14">
        <v>1</v>
      </c>
      <c r="D18" s="14">
        <v>1</v>
      </c>
    </row>
    <row r="19" spans="1:4" x14ac:dyDescent="0.25">
      <c r="A19" s="13" t="s">
        <v>104</v>
      </c>
      <c r="B19" s="14">
        <v>4</v>
      </c>
      <c r="C19" s="15">
        <v>0</v>
      </c>
      <c r="D19" s="15">
        <v>0</v>
      </c>
    </row>
    <row r="20" spans="1:4" x14ac:dyDescent="0.25">
      <c r="A20" s="13" t="s">
        <v>32</v>
      </c>
      <c r="B20" s="14">
        <v>1</v>
      </c>
      <c r="C20" s="14">
        <v>1</v>
      </c>
      <c r="D20" s="15">
        <v>0</v>
      </c>
    </row>
    <row r="21" spans="1:4" x14ac:dyDescent="0.25">
      <c r="A21" s="13" t="s">
        <v>89</v>
      </c>
      <c r="B21" s="14">
        <v>9</v>
      </c>
      <c r="C21" s="14">
        <v>3</v>
      </c>
      <c r="D21" s="15">
        <v>0</v>
      </c>
    </row>
    <row r="22" spans="1:4" x14ac:dyDescent="0.25">
      <c r="A22" s="13" t="s">
        <v>71</v>
      </c>
      <c r="B22" s="14">
        <v>1</v>
      </c>
      <c r="C22" s="15">
        <v>0</v>
      </c>
      <c r="D22" s="14">
        <v>1</v>
      </c>
    </row>
    <row r="23" spans="1:4" x14ac:dyDescent="0.25">
      <c r="A23" s="13" t="s">
        <v>24</v>
      </c>
      <c r="B23" s="14">
        <v>8</v>
      </c>
      <c r="C23" s="15">
        <v>0</v>
      </c>
      <c r="D23" s="15">
        <v>0</v>
      </c>
    </row>
    <row r="24" spans="1:4" x14ac:dyDescent="0.25">
      <c r="A24" s="13" t="s">
        <v>60</v>
      </c>
      <c r="B24" s="14">
        <v>1</v>
      </c>
      <c r="C24" s="14">
        <v>1</v>
      </c>
      <c r="D24" s="15">
        <v>0</v>
      </c>
    </row>
    <row r="25" spans="1:4" x14ac:dyDescent="0.25">
      <c r="A25" s="13" t="s">
        <v>61</v>
      </c>
      <c r="B25" s="14">
        <v>5</v>
      </c>
      <c r="C25" s="15">
        <v>0</v>
      </c>
      <c r="D25" s="15">
        <v>0</v>
      </c>
    </row>
    <row r="26" spans="1:4" x14ac:dyDescent="0.25">
      <c r="A26" s="13" t="s">
        <v>105</v>
      </c>
      <c r="B26" s="14">
        <v>1</v>
      </c>
      <c r="C26" s="15">
        <v>0</v>
      </c>
      <c r="D26" s="15">
        <v>0</v>
      </c>
    </row>
    <row r="27" spans="1:4" x14ac:dyDescent="0.25">
      <c r="A27" s="13" t="s">
        <v>55</v>
      </c>
      <c r="B27" s="14">
        <v>4</v>
      </c>
      <c r="C27" s="15">
        <v>0</v>
      </c>
      <c r="D27" s="14">
        <v>2</v>
      </c>
    </row>
    <row r="28" spans="1:4" x14ac:dyDescent="0.25">
      <c r="A28" s="13" t="s">
        <v>41</v>
      </c>
      <c r="B28" s="14">
        <v>1</v>
      </c>
      <c r="C28" s="15">
        <v>0</v>
      </c>
      <c r="D28" s="15">
        <v>0</v>
      </c>
    </row>
    <row r="29" spans="1:4" x14ac:dyDescent="0.25">
      <c r="A29" s="13" t="s">
        <v>106</v>
      </c>
      <c r="B29" s="14">
        <v>1</v>
      </c>
      <c r="C29" s="15">
        <v>0</v>
      </c>
      <c r="D29" s="15">
        <v>0</v>
      </c>
    </row>
    <row r="30" spans="1:4" x14ac:dyDescent="0.25">
      <c r="A30" s="13" t="s">
        <v>69</v>
      </c>
      <c r="B30" s="14">
        <v>60</v>
      </c>
      <c r="C30" s="14">
        <v>13</v>
      </c>
      <c r="D30" s="14">
        <v>20</v>
      </c>
    </row>
    <row r="31" spans="1:4" x14ac:dyDescent="0.25">
      <c r="A31" s="13" t="s">
        <v>39</v>
      </c>
      <c r="B31" s="14">
        <v>4</v>
      </c>
      <c r="C31" s="15">
        <v>0</v>
      </c>
      <c r="D31" s="15">
        <v>0</v>
      </c>
    </row>
    <row r="32" spans="1:4" x14ac:dyDescent="0.25">
      <c r="A32" s="13" t="s">
        <v>63</v>
      </c>
      <c r="B32" s="14">
        <v>2</v>
      </c>
      <c r="C32" s="14">
        <v>1</v>
      </c>
      <c r="D32" s="14">
        <v>1</v>
      </c>
    </row>
    <row r="33" spans="1:4" x14ac:dyDescent="0.25">
      <c r="A33" s="13" t="s">
        <v>107</v>
      </c>
      <c r="B33" s="14">
        <v>1</v>
      </c>
      <c r="C33" s="15">
        <v>0</v>
      </c>
      <c r="D33" s="15">
        <v>0</v>
      </c>
    </row>
    <row r="34" spans="1:4" x14ac:dyDescent="0.25">
      <c r="A34" s="13" t="s">
        <v>108</v>
      </c>
      <c r="B34" s="14">
        <v>2</v>
      </c>
      <c r="C34" s="15">
        <v>0</v>
      </c>
      <c r="D34" s="15">
        <v>0</v>
      </c>
    </row>
    <row r="35" spans="1:4" x14ac:dyDescent="0.25">
      <c r="A35" s="13" t="s">
        <v>36</v>
      </c>
      <c r="B35" s="14">
        <v>4</v>
      </c>
      <c r="C35" s="15">
        <v>0</v>
      </c>
      <c r="D35" s="14">
        <v>1</v>
      </c>
    </row>
    <row r="36" spans="1:4" x14ac:dyDescent="0.25">
      <c r="A36" s="13" t="s">
        <v>48</v>
      </c>
      <c r="B36" s="14">
        <v>3</v>
      </c>
      <c r="C36" s="15">
        <v>0</v>
      </c>
      <c r="D36" s="14">
        <v>1</v>
      </c>
    </row>
    <row r="37" spans="1:4" x14ac:dyDescent="0.25">
      <c r="A37" s="13" t="s">
        <v>18</v>
      </c>
      <c r="B37" s="14">
        <v>3</v>
      </c>
      <c r="C37" s="15">
        <v>0</v>
      </c>
      <c r="D37" s="14">
        <v>2</v>
      </c>
    </row>
    <row r="38" spans="1:4" x14ac:dyDescent="0.25">
      <c r="A38" s="13" t="s">
        <v>15</v>
      </c>
      <c r="B38" s="14">
        <v>9</v>
      </c>
      <c r="C38" s="14">
        <v>1</v>
      </c>
      <c r="D38" s="14">
        <v>1</v>
      </c>
    </row>
    <row r="39" spans="1:4" x14ac:dyDescent="0.25">
      <c r="A39" s="13" t="s">
        <v>53</v>
      </c>
      <c r="B39" s="14">
        <v>7</v>
      </c>
      <c r="C39" s="15">
        <v>0</v>
      </c>
      <c r="D39" s="14">
        <v>1</v>
      </c>
    </row>
    <row r="40" spans="1:4" x14ac:dyDescent="0.25">
      <c r="A40" s="13" t="s">
        <v>109</v>
      </c>
      <c r="B40" s="14">
        <v>3</v>
      </c>
      <c r="C40" s="15">
        <v>0</v>
      </c>
      <c r="D40" s="15">
        <v>0</v>
      </c>
    </row>
    <row r="41" spans="1:4" x14ac:dyDescent="0.25">
      <c r="A41" s="13" t="s">
        <v>44</v>
      </c>
      <c r="B41" s="14">
        <v>4</v>
      </c>
      <c r="C41" s="14">
        <v>2</v>
      </c>
      <c r="D41" s="15">
        <v>0</v>
      </c>
    </row>
    <row r="42" spans="1:4" x14ac:dyDescent="0.25">
      <c r="A42" s="13" t="s">
        <v>19</v>
      </c>
      <c r="B42" s="14">
        <v>9</v>
      </c>
      <c r="C42" s="14">
        <v>1</v>
      </c>
      <c r="D42" s="14">
        <v>1</v>
      </c>
    </row>
    <row r="43" spans="1:4" x14ac:dyDescent="0.25">
      <c r="A43" s="13" t="s">
        <v>110</v>
      </c>
      <c r="B43" s="14">
        <v>22</v>
      </c>
      <c r="C43" s="15">
        <v>0</v>
      </c>
      <c r="D43" s="15">
        <v>0</v>
      </c>
    </row>
    <row r="44" spans="1:4" x14ac:dyDescent="0.25">
      <c r="A44" s="13" t="s">
        <v>88</v>
      </c>
      <c r="B44" s="14">
        <v>1</v>
      </c>
      <c r="C44" s="15">
        <v>0</v>
      </c>
      <c r="D44" s="15">
        <v>0</v>
      </c>
    </row>
    <row r="45" spans="1:4" x14ac:dyDescent="0.25">
      <c r="A45" s="13" t="s">
        <v>68</v>
      </c>
      <c r="B45" s="14">
        <v>2</v>
      </c>
      <c r="C45" s="14">
        <v>1</v>
      </c>
      <c r="D45" s="15">
        <v>0</v>
      </c>
    </row>
    <row r="46" spans="1:4" x14ac:dyDescent="0.25">
      <c r="A46" s="13" t="s">
        <v>50</v>
      </c>
      <c r="B46" s="14">
        <v>2</v>
      </c>
      <c r="C46" s="15">
        <v>0</v>
      </c>
      <c r="D46" s="15">
        <v>0</v>
      </c>
    </row>
    <row r="47" spans="1:4" x14ac:dyDescent="0.25">
      <c r="A47" s="13" t="s">
        <v>51</v>
      </c>
      <c r="B47" s="14">
        <v>2</v>
      </c>
      <c r="C47" s="15">
        <v>0</v>
      </c>
      <c r="D47" s="14">
        <v>1</v>
      </c>
    </row>
    <row r="48" spans="1:4" x14ac:dyDescent="0.25">
      <c r="A48" s="13" t="s">
        <v>56</v>
      </c>
      <c r="B48" s="14">
        <v>5</v>
      </c>
      <c r="C48" s="14">
        <v>1</v>
      </c>
      <c r="D48" s="14">
        <v>1</v>
      </c>
    </row>
    <row r="49" spans="1:4" x14ac:dyDescent="0.25">
      <c r="A49" s="13" t="s">
        <v>97</v>
      </c>
      <c r="B49" s="14">
        <v>4</v>
      </c>
      <c r="C49" s="15">
        <v>0</v>
      </c>
      <c r="D49" s="15">
        <v>0</v>
      </c>
    </row>
    <row r="50" spans="1:4" x14ac:dyDescent="0.25">
      <c r="A50" s="13" t="s">
        <v>87</v>
      </c>
      <c r="B50" s="14">
        <v>7</v>
      </c>
      <c r="C50" s="14">
        <v>1</v>
      </c>
      <c r="D50" s="15">
        <v>0</v>
      </c>
    </row>
    <row r="51" spans="1:4" x14ac:dyDescent="0.25">
      <c r="A51" s="13" t="s">
        <v>52</v>
      </c>
      <c r="B51" s="14">
        <v>2</v>
      </c>
      <c r="C51" s="15">
        <v>0</v>
      </c>
      <c r="D51" s="14">
        <v>1</v>
      </c>
    </row>
    <row r="52" spans="1:4" x14ac:dyDescent="0.25">
      <c r="A52" s="13" t="s">
        <v>20</v>
      </c>
      <c r="B52" s="14">
        <v>2</v>
      </c>
      <c r="C52" s="14">
        <v>1</v>
      </c>
      <c r="D52" s="15">
        <v>0</v>
      </c>
    </row>
    <row r="53" spans="1:4" ht="30" x14ac:dyDescent="0.25">
      <c r="A53" s="13" t="s">
        <v>111</v>
      </c>
      <c r="B53" s="14">
        <v>1</v>
      </c>
      <c r="C53" s="15">
        <v>0</v>
      </c>
      <c r="D53" s="15">
        <v>0</v>
      </c>
    </row>
    <row r="54" spans="1:4" x14ac:dyDescent="0.25">
      <c r="A54" s="13" t="s">
        <v>96</v>
      </c>
      <c r="B54" s="14">
        <v>3</v>
      </c>
      <c r="C54" s="14">
        <v>1</v>
      </c>
      <c r="D54" s="15">
        <v>0</v>
      </c>
    </row>
    <row r="55" spans="1:4" x14ac:dyDescent="0.25">
      <c r="A55" s="13" t="s">
        <v>45</v>
      </c>
      <c r="B55" s="14">
        <v>4</v>
      </c>
      <c r="C55" s="14">
        <v>2</v>
      </c>
      <c r="D55" s="14">
        <v>1</v>
      </c>
    </row>
    <row r="56" spans="1:4" x14ac:dyDescent="0.25">
      <c r="A56" s="13" t="s">
        <v>65</v>
      </c>
      <c r="B56" s="14">
        <v>7</v>
      </c>
      <c r="C56" s="14">
        <v>3</v>
      </c>
      <c r="D56" s="15">
        <v>0</v>
      </c>
    </row>
    <row r="57" spans="1:4" x14ac:dyDescent="0.25">
      <c r="A57" s="13" t="s">
        <v>95</v>
      </c>
      <c r="B57" s="14">
        <v>2</v>
      </c>
      <c r="C57" s="14">
        <v>1</v>
      </c>
      <c r="D57" s="15">
        <v>0</v>
      </c>
    </row>
    <row r="58" spans="1:4" x14ac:dyDescent="0.25">
      <c r="A58" s="13" t="s">
        <v>47</v>
      </c>
      <c r="B58" s="14">
        <v>54</v>
      </c>
      <c r="C58" s="14">
        <v>6</v>
      </c>
      <c r="D58" s="14">
        <v>8</v>
      </c>
    </row>
    <row r="59" spans="1:4" x14ac:dyDescent="0.25">
      <c r="A59" s="13" t="s">
        <v>31</v>
      </c>
      <c r="B59" s="14">
        <v>1</v>
      </c>
      <c r="C59" s="15">
        <v>0</v>
      </c>
      <c r="D59" s="15">
        <v>0</v>
      </c>
    </row>
    <row r="60" spans="1:4" x14ac:dyDescent="0.25">
      <c r="A60" s="13" t="s">
        <v>64</v>
      </c>
      <c r="B60" s="14">
        <v>5</v>
      </c>
      <c r="C60" s="15">
        <v>0</v>
      </c>
      <c r="D60" s="14">
        <v>2</v>
      </c>
    </row>
    <row r="61" spans="1:4" x14ac:dyDescent="0.25">
      <c r="A61" s="13" t="s">
        <v>112</v>
      </c>
      <c r="B61" s="14">
        <v>3</v>
      </c>
      <c r="C61" s="15">
        <v>0</v>
      </c>
      <c r="D61" s="15">
        <v>0</v>
      </c>
    </row>
    <row r="62" spans="1:4" x14ac:dyDescent="0.25">
      <c r="A62" s="13" t="s">
        <v>73</v>
      </c>
      <c r="B62" s="14">
        <v>6</v>
      </c>
      <c r="C62" s="15">
        <v>0</v>
      </c>
      <c r="D62" s="14">
        <v>2</v>
      </c>
    </row>
    <row r="63" spans="1:4" x14ac:dyDescent="0.25">
      <c r="A63" s="13" t="s">
        <v>30</v>
      </c>
      <c r="B63" s="14">
        <v>2</v>
      </c>
      <c r="C63" s="15">
        <v>0</v>
      </c>
      <c r="D63" s="14">
        <v>1</v>
      </c>
    </row>
    <row r="64" spans="1:4" x14ac:dyDescent="0.25">
      <c r="A64" s="13" t="s">
        <v>38</v>
      </c>
      <c r="B64" s="14">
        <v>4</v>
      </c>
      <c r="C64" s="15">
        <v>0</v>
      </c>
      <c r="D64" s="14">
        <v>1</v>
      </c>
    </row>
    <row r="65" spans="1:4" x14ac:dyDescent="0.25">
      <c r="A65" s="13" t="s">
        <v>81</v>
      </c>
      <c r="B65" s="14">
        <v>1</v>
      </c>
      <c r="C65" s="15">
        <v>0</v>
      </c>
      <c r="D65" s="15">
        <v>0</v>
      </c>
    </row>
    <row r="66" spans="1:4" x14ac:dyDescent="0.25">
      <c r="A66" s="13" t="s">
        <v>16</v>
      </c>
      <c r="B66" s="14">
        <v>12</v>
      </c>
      <c r="C66" s="14">
        <v>1</v>
      </c>
      <c r="D66" s="14">
        <v>1</v>
      </c>
    </row>
    <row r="67" spans="1:4" x14ac:dyDescent="0.25">
      <c r="A67" s="13" t="s">
        <v>13</v>
      </c>
      <c r="B67" s="14">
        <v>5</v>
      </c>
      <c r="C67" s="15">
        <v>0</v>
      </c>
      <c r="D67" s="14">
        <v>1</v>
      </c>
    </row>
    <row r="68" spans="1:4" x14ac:dyDescent="0.25">
      <c r="A68" s="13" t="s">
        <v>93</v>
      </c>
      <c r="B68" s="14">
        <v>3</v>
      </c>
      <c r="C68" s="15">
        <v>0</v>
      </c>
      <c r="D68" s="15">
        <v>0</v>
      </c>
    </row>
    <row r="69" spans="1:4" x14ac:dyDescent="0.25">
      <c r="A69" s="13" t="s">
        <v>113</v>
      </c>
      <c r="B69" s="14">
        <v>1</v>
      </c>
      <c r="C69" s="15">
        <v>0</v>
      </c>
      <c r="D69" s="15">
        <v>0</v>
      </c>
    </row>
    <row r="70" spans="1:4" x14ac:dyDescent="0.25">
      <c r="A70" s="13" t="s">
        <v>102</v>
      </c>
      <c r="B70" s="14">
        <v>4</v>
      </c>
      <c r="C70" s="15">
        <v>0</v>
      </c>
      <c r="D70" s="15">
        <v>0</v>
      </c>
    </row>
    <row r="71" spans="1:4" x14ac:dyDescent="0.25">
      <c r="A71" s="13" t="s">
        <v>27</v>
      </c>
      <c r="B71" s="14">
        <v>9</v>
      </c>
      <c r="C71" s="15">
        <v>0</v>
      </c>
      <c r="D71" s="14">
        <v>1</v>
      </c>
    </row>
    <row r="72" spans="1:4" x14ac:dyDescent="0.25">
      <c r="A72" s="13" t="s">
        <v>34</v>
      </c>
      <c r="B72" s="14">
        <v>5</v>
      </c>
      <c r="C72" s="14">
        <v>1</v>
      </c>
      <c r="D72" s="14">
        <v>1</v>
      </c>
    </row>
    <row r="73" spans="1:4" x14ac:dyDescent="0.25">
      <c r="A73" s="13" t="s">
        <v>14</v>
      </c>
      <c r="B73" s="14">
        <v>4</v>
      </c>
      <c r="C73" s="14">
        <v>1</v>
      </c>
      <c r="D73" s="14">
        <v>1</v>
      </c>
    </row>
    <row r="74" spans="1:4" x14ac:dyDescent="0.25">
      <c r="A74" s="13" t="s">
        <v>17</v>
      </c>
      <c r="B74" s="14">
        <v>1</v>
      </c>
      <c r="C74" s="15">
        <v>0</v>
      </c>
      <c r="D74" s="15">
        <v>0</v>
      </c>
    </row>
    <row r="75" spans="1:4" x14ac:dyDescent="0.25">
      <c r="A75" s="13" t="s">
        <v>46</v>
      </c>
      <c r="B75" s="14">
        <v>58</v>
      </c>
      <c r="C75" s="14">
        <v>10</v>
      </c>
      <c r="D75" s="14">
        <v>13</v>
      </c>
    </row>
    <row r="76" spans="1:4" x14ac:dyDescent="0.25">
      <c r="A76" s="13" t="s">
        <v>114</v>
      </c>
      <c r="B76" s="14">
        <v>3</v>
      </c>
      <c r="C76" s="15">
        <v>0</v>
      </c>
      <c r="D76" s="15">
        <v>0</v>
      </c>
    </row>
    <row r="77" spans="1:4" x14ac:dyDescent="0.25">
      <c r="A77" s="13" t="s">
        <v>115</v>
      </c>
      <c r="B77" s="14">
        <v>1</v>
      </c>
      <c r="C77" s="15">
        <v>0</v>
      </c>
      <c r="D77" s="15">
        <v>0</v>
      </c>
    </row>
    <row r="78" spans="1:4" x14ac:dyDescent="0.25">
      <c r="A78" s="13" t="s">
        <v>116</v>
      </c>
      <c r="B78" s="14">
        <v>1</v>
      </c>
      <c r="C78" s="15">
        <v>0</v>
      </c>
      <c r="D78" s="15">
        <v>0</v>
      </c>
    </row>
    <row r="79" spans="1:4" x14ac:dyDescent="0.25">
      <c r="A79" s="13" t="s">
        <v>33</v>
      </c>
      <c r="B79" s="14">
        <v>3</v>
      </c>
      <c r="C79" s="14">
        <v>1</v>
      </c>
      <c r="D79" s="15">
        <v>0</v>
      </c>
    </row>
    <row r="80" spans="1:4" x14ac:dyDescent="0.25">
      <c r="A80" s="13" t="s">
        <v>117</v>
      </c>
      <c r="B80" s="14">
        <v>3</v>
      </c>
      <c r="C80" s="15">
        <v>0</v>
      </c>
      <c r="D80" s="15">
        <v>0</v>
      </c>
    </row>
    <row r="81" spans="1:4" x14ac:dyDescent="0.25">
      <c r="A81" s="13" t="s">
        <v>70</v>
      </c>
      <c r="B81" s="14">
        <v>7</v>
      </c>
      <c r="C81" s="14">
        <v>1</v>
      </c>
      <c r="D81" s="14">
        <v>2</v>
      </c>
    </row>
    <row r="82" spans="1:4" x14ac:dyDescent="0.25">
      <c r="A82" s="13" t="s">
        <v>67</v>
      </c>
      <c r="B82" s="14">
        <v>3</v>
      </c>
      <c r="C82" s="15">
        <v>0</v>
      </c>
      <c r="D82" s="14">
        <v>2</v>
      </c>
    </row>
    <row r="83" spans="1:4" x14ac:dyDescent="0.25">
      <c r="A83" s="13" t="s">
        <v>26</v>
      </c>
      <c r="B83" s="14">
        <v>3</v>
      </c>
      <c r="C83" s="15">
        <v>0</v>
      </c>
      <c r="D83" s="14">
        <v>1</v>
      </c>
    </row>
    <row r="84" spans="1:4" x14ac:dyDescent="0.25">
      <c r="A84" s="13" t="s">
        <v>101</v>
      </c>
      <c r="B84" s="14">
        <v>3</v>
      </c>
      <c r="C84" s="14">
        <v>1</v>
      </c>
      <c r="D84" s="15">
        <v>0</v>
      </c>
    </row>
    <row r="85" spans="1:4" x14ac:dyDescent="0.25">
      <c r="A85" s="13" t="s">
        <v>72</v>
      </c>
      <c r="B85" s="14">
        <v>1</v>
      </c>
      <c r="C85" s="15">
        <v>0</v>
      </c>
      <c r="D85" s="14">
        <v>1</v>
      </c>
    </row>
    <row r="86" spans="1:4" x14ac:dyDescent="0.25">
      <c r="A86" s="13" t="s">
        <v>94</v>
      </c>
      <c r="B86" s="14">
        <v>3</v>
      </c>
      <c r="C86" s="15">
        <v>0</v>
      </c>
      <c r="D86" s="15">
        <v>0</v>
      </c>
    </row>
    <row r="87" spans="1:4" x14ac:dyDescent="0.25">
      <c r="A87" s="13" t="s">
        <v>66</v>
      </c>
      <c r="B87" s="14">
        <v>3</v>
      </c>
      <c r="C87" s="15">
        <v>0</v>
      </c>
      <c r="D87" s="14">
        <v>1</v>
      </c>
    </row>
    <row r="88" spans="1:4" x14ac:dyDescent="0.25">
      <c r="A88" s="13" t="s">
        <v>118</v>
      </c>
      <c r="B88" s="14">
        <v>3</v>
      </c>
      <c r="C88" s="15">
        <v>0</v>
      </c>
      <c r="D88" s="15">
        <v>0</v>
      </c>
    </row>
    <row r="89" spans="1:4" x14ac:dyDescent="0.25">
      <c r="A89" s="13" t="s">
        <v>57</v>
      </c>
      <c r="B89" s="14">
        <v>2</v>
      </c>
      <c r="C89" s="15">
        <v>0</v>
      </c>
      <c r="D89" s="14">
        <v>1</v>
      </c>
    </row>
    <row r="90" spans="1:4" x14ac:dyDescent="0.25">
      <c r="A90" s="13" t="s">
        <v>40</v>
      </c>
      <c r="B90" s="14">
        <v>14</v>
      </c>
      <c r="C90" s="14">
        <v>1</v>
      </c>
      <c r="D90" s="14">
        <v>4</v>
      </c>
    </row>
    <row r="91" spans="1:4" x14ac:dyDescent="0.25">
      <c r="A91" s="13" t="s">
        <v>90</v>
      </c>
      <c r="B91" s="14">
        <v>2</v>
      </c>
      <c r="C91" s="15">
        <v>0</v>
      </c>
      <c r="D91" s="15">
        <v>0</v>
      </c>
    </row>
    <row r="92" spans="1:4" x14ac:dyDescent="0.25">
      <c r="A92" s="13" t="s">
        <v>119</v>
      </c>
      <c r="B92" s="14">
        <v>5</v>
      </c>
      <c r="C92" s="15">
        <v>0</v>
      </c>
      <c r="D92" s="15">
        <v>0</v>
      </c>
    </row>
    <row r="93" spans="1:4" x14ac:dyDescent="0.25">
      <c r="A93" s="13" t="s">
        <v>62</v>
      </c>
      <c r="B93" s="14">
        <v>3</v>
      </c>
      <c r="C93" s="15">
        <v>0</v>
      </c>
      <c r="D93" s="14">
        <v>1</v>
      </c>
    </row>
    <row r="94" spans="1:4" x14ac:dyDescent="0.25">
      <c r="A94" s="13" t="s">
        <v>54</v>
      </c>
      <c r="B94" s="14">
        <v>4</v>
      </c>
      <c r="C94" s="14">
        <v>1</v>
      </c>
      <c r="D94" s="15">
        <v>0</v>
      </c>
    </row>
    <row r="95" spans="1:4" x14ac:dyDescent="0.25">
      <c r="A95" s="13" t="s">
        <v>49</v>
      </c>
      <c r="B95" s="14">
        <v>6</v>
      </c>
      <c r="C95" s="15">
        <v>0</v>
      </c>
      <c r="D95" s="14">
        <v>1</v>
      </c>
    </row>
    <row r="96" spans="1:4" x14ac:dyDescent="0.25">
      <c r="A96" s="13" t="s">
        <v>92</v>
      </c>
      <c r="B96" s="14">
        <v>4</v>
      </c>
      <c r="C96" s="14">
        <v>1</v>
      </c>
      <c r="D96" s="15">
        <v>0</v>
      </c>
    </row>
    <row r="97" spans="1:4" x14ac:dyDescent="0.25">
      <c r="A97" s="13" t="s">
        <v>59</v>
      </c>
      <c r="B97" s="14">
        <v>1</v>
      </c>
      <c r="C97" s="15">
        <v>0</v>
      </c>
      <c r="D97" s="15">
        <v>0</v>
      </c>
    </row>
    <row r="98" spans="1:4" x14ac:dyDescent="0.25">
      <c r="A98" s="13" t="s">
        <v>91</v>
      </c>
      <c r="B98" s="14">
        <v>3</v>
      </c>
      <c r="C98" s="15">
        <v>0</v>
      </c>
      <c r="D98" s="15">
        <v>0</v>
      </c>
    </row>
    <row r="99" spans="1:4" x14ac:dyDescent="0.25">
      <c r="A99" s="13" t="s">
        <v>25</v>
      </c>
      <c r="B99" s="14">
        <v>6</v>
      </c>
      <c r="C99" s="14">
        <v>1</v>
      </c>
      <c r="D99" s="14">
        <v>2</v>
      </c>
    </row>
    <row r="100" spans="1:4" x14ac:dyDescent="0.25">
      <c r="A100" s="13" t="s">
        <v>120</v>
      </c>
      <c r="B100" s="14">
        <v>3</v>
      </c>
      <c r="C100" s="15">
        <v>0</v>
      </c>
      <c r="D100" s="15">
        <v>0</v>
      </c>
    </row>
    <row r="101" spans="1:4" x14ac:dyDescent="0.25">
      <c r="A101" s="13" t="s">
        <v>83</v>
      </c>
      <c r="B101" s="14">
        <v>1</v>
      </c>
      <c r="C101" s="14">
        <v>1</v>
      </c>
      <c r="D101" s="15">
        <v>0</v>
      </c>
    </row>
    <row r="102" spans="1:4" x14ac:dyDescent="0.25">
      <c r="A102" s="13" t="s">
        <v>121</v>
      </c>
      <c r="B102" s="14">
        <v>2</v>
      </c>
      <c r="C102" s="15">
        <v>0</v>
      </c>
      <c r="D102" s="15">
        <v>0</v>
      </c>
    </row>
    <row r="103" spans="1:4" x14ac:dyDescent="0.25">
      <c r="A103" s="13" t="s">
        <v>122</v>
      </c>
      <c r="B103" s="14">
        <v>1</v>
      </c>
      <c r="C103" s="15">
        <v>0</v>
      </c>
      <c r="D103" s="15">
        <v>0</v>
      </c>
    </row>
    <row r="104" spans="1:4" x14ac:dyDescent="0.25">
      <c r="A104" s="13" t="s">
        <v>85</v>
      </c>
      <c r="B104" s="14">
        <v>1</v>
      </c>
      <c r="C104" s="15">
        <v>0</v>
      </c>
      <c r="D104" s="15">
        <v>0</v>
      </c>
    </row>
    <row r="105" spans="1:4" x14ac:dyDescent="0.25">
      <c r="A105" s="13" t="s">
        <v>29</v>
      </c>
      <c r="B105" s="14">
        <v>3</v>
      </c>
      <c r="C105" s="15">
        <v>0</v>
      </c>
      <c r="D105" s="14">
        <v>3</v>
      </c>
    </row>
    <row r="106" spans="1:4" x14ac:dyDescent="0.25">
      <c r="A106" s="13" t="s">
        <v>28</v>
      </c>
      <c r="B106" s="14">
        <v>4</v>
      </c>
      <c r="C106" s="15">
        <v>0</v>
      </c>
      <c r="D106" s="14">
        <v>2</v>
      </c>
    </row>
    <row r="107" spans="1:4" x14ac:dyDescent="0.25">
      <c r="A107" s="13" t="s">
        <v>35</v>
      </c>
      <c r="B107" s="14">
        <v>12</v>
      </c>
      <c r="C107" s="15">
        <v>0</v>
      </c>
      <c r="D107" s="14">
        <v>1</v>
      </c>
    </row>
    <row r="108" spans="1:4" x14ac:dyDescent="0.25">
      <c r="A108" s="13" t="s">
        <v>123</v>
      </c>
      <c r="B108" s="14">
        <v>1</v>
      </c>
      <c r="C108" s="15">
        <v>0</v>
      </c>
      <c r="D108" s="15">
        <v>0</v>
      </c>
    </row>
    <row r="109" spans="1:4" x14ac:dyDescent="0.25">
      <c r="A109" s="13" t="s">
        <v>82</v>
      </c>
      <c r="B109" s="14">
        <v>3</v>
      </c>
      <c r="C109" s="15">
        <v>0</v>
      </c>
      <c r="D109" s="15">
        <v>0</v>
      </c>
    </row>
    <row r="110" spans="1:4" x14ac:dyDescent="0.25">
      <c r="A110" s="13" t="s">
        <v>43</v>
      </c>
      <c r="B110" s="14">
        <v>4</v>
      </c>
      <c r="C110" s="15">
        <v>0</v>
      </c>
      <c r="D110" s="15">
        <v>0</v>
      </c>
    </row>
  </sheetData>
  <mergeCells count="1">
    <mergeCell ref="B11:D11"/>
  </mergeCells>
  <pageMargins left="0.7" right="0.7" top="0.75" bottom="0.75" header="0.3" footer="0.3"/>
  <pageSetup orientation="portrait" r:id="rId1"/>
  <headerFooter>
    <oddHeader>&amp;L&amp;F, &amp;A</oddHeader>
    <oddFooter>&amp;L&amp;"Times New Roman,Bold"&amp;8Office of Institutional Research&amp;R&amp;"Times New Roman,Bold"&amp;8Page 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D118"/>
  <sheetViews>
    <sheetView workbookViewId="0">
      <selection activeCell="B43" sqref="B43"/>
    </sheetView>
  </sheetViews>
  <sheetFormatPr defaultColWidth="18" defaultRowHeight="15" x14ac:dyDescent="0.25"/>
  <cols>
    <col min="1" max="1" width="24.42578125" style="41" customWidth="1"/>
    <col min="2" max="2" width="13.140625" style="3" bestFit="1" customWidth="1"/>
    <col min="3" max="3" width="12.5703125" style="3" customWidth="1"/>
    <col min="4" max="4" width="10.28515625" style="3" bestFit="1" customWidth="1"/>
    <col min="5" max="16384" width="18" style="5"/>
  </cols>
  <sheetData>
    <row r="10" spans="1:4" s="1" customFormat="1" x14ac:dyDescent="0.25">
      <c r="A10" s="39"/>
      <c r="B10" s="70" t="s">
        <v>191</v>
      </c>
      <c r="C10" s="70"/>
      <c r="D10" s="70"/>
    </row>
    <row r="11" spans="1:4" s="1" customFormat="1" x14ac:dyDescent="0.25">
      <c r="A11" s="39" t="s">
        <v>74</v>
      </c>
      <c r="B11" s="28" t="s">
        <v>76</v>
      </c>
      <c r="C11" s="28" t="s">
        <v>79</v>
      </c>
      <c r="D11" s="28" t="s">
        <v>201</v>
      </c>
    </row>
    <row r="12" spans="1:4" s="19" customFormat="1" x14ac:dyDescent="0.25">
      <c r="A12" s="40" t="s">
        <v>80</v>
      </c>
      <c r="B12" s="38">
        <v>5</v>
      </c>
      <c r="C12" s="38">
        <v>3</v>
      </c>
      <c r="D12" s="21"/>
    </row>
    <row r="13" spans="1:4" s="19" customFormat="1" x14ac:dyDescent="0.25">
      <c r="A13" s="40" t="s">
        <v>13</v>
      </c>
      <c r="B13" s="38">
        <v>5</v>
      </c>
      <c r="C13" s="38">
        <v>1</v>
      </c>
      <c r="D13" s="21"/>
    </row>
    <row r="14" spans="1:4" s="19" customFormat="1" x14ac:dyDescent="0.25">
      <c r="A14" s="40" t="s">
        <v>14</v>
      </c>
      <c r="B14" s="38">
        <v>2</v>
      </c>
      <c r="C14" s="38">
        <v>1</v>
      </c>
      <c r="D14" s="21"/>
    </row>
    <row r="15" spans="1:4" s="19" customFormat="1" x14ac:dyDescent="0.25">
      <c r="A15" s="40" t="s">
        <v>81</v>
      </c>
      <c r="B15" s="38">
        <v>7</v>
      </c>
      <c r="C15" s="38">
        <v>1</v>
      </c>
      <c r="D15" s="21"/>
    </row>
    <row r="16" spans="1:4" s="19" customFormat="1" x14ac:dyDescent="0.25">
      <c r="A16" s="40" t="s">
        <v>192</v>
      </c>
      <c r="B16" s="38">
        <v>1</v>
      </c>
      <c r="C16" s="38">
        <v>0</v>
      </c>
      <c r="D16" s="21"/>
    </row>
    <row r="17" spans="1:4" s="19" customFormat="1" x14ac:dyDescent="0.25">
      <c r="A17" s="40" t="s">
        <v>15</v>
      </c>
      <c r="B17" s="38">
        <v>5</v>
      </c>
      <c r="C17" s="38">
        <v>0</v>
      </c>
      <c r="D17" s="21"/>
    </row>
    <row r="18" spans="1:4" s="19" customFormat="1" x14ac:dyDescent="0.25">
      <c r="A18" s="40" t="s">
        <v>82</v>
      </c>
      <c r="B18" s="38">
        <v>4</v>
      </c>
      <c r="C18" s="38">
        <v>0</v>
      </c>
      <c r="D18" s="21"/>
    </row>
    <row r="19" spans="1:4" s="19" customFormat="1" x14ac:dyDescent="0.25">
      <c r="A19" s="40" t="s">
        <v>16</v>
      </c>
      <c r="B19" s="38">
        <v>4</v>
      </c>
      <c r="C19" s="38">
        <v>1</v>
      </c>
      <c r="D19" s="21"/>
    </row>
    <row r="20" spans="1:4" s="19" customFormat="1" x14ac:dyDescent="0.25">
      <c r="A20" s="40" t="s">
        <v>180</v>
      </c>
      <c r="B20" s="38">
        <v>15</v>
      </c>
      <c r="C20" s="38">
        <v>6</v>
      </c>
      <c r="D20" s="21"/>
    </row>
    <row r="21" spans="1:4" s="19" customFormat="1" x14ac:dyDescent="0.25">
      <c r="A21" s="40" t="s">
        <v>17</v>
      </c>
      <c r="B21" s="38">
        <v>4</v>
      </c>
      <c r="C21" s="38">
        <v>3</v>
      </c>
      <c r="D21" s="21"/>
    </row>
    <row r="22" spans="1:4" s="19" customFormat="1" x14ac:dyDescent="0.25">
      <c r="A22" s="40" t="s">
        <v>18</v>
      </c>
      <c r="B22" s="38">
        <v>4</v>
      </c>
      <c r="C22" s="38">
        <v>0</v>
      </c>
      <c r="D22" s="21"/>
    </row>
    <row r="23" spans="1:4" s="19" customFormat="1" x14ac:dyDescent="0.25">
      <c r="A23" s="40" t="s">
        <v>19</v>
      </c>
      <c r="B23" s="38">
        <v>6</v>
      </c>
      <c r="C23" s="38">
        <v>1</v>
      </c>
      <c r="D23" s="21"/>
    </row>
    <row r="24" spans="1:4" s="19" customFormat="1" x14ac:dyDescent="0.25">
      <c r="A24" s="40" t="s">
        <v>20</v>
      </c>
      <c r="B24" s="38">
        <v>4</v>
      </c>
      <c r="C24" s="38">
        <v>0</v>
      </c>
      <c r="D24" s="21"/>
    </row>
    <row r="25" spans="1:4" s="19" customFormat="1" x14ac:dyDescent="0.25">
      <c r="A25" s="40" t="s">
        <v>123</v>
      </c>
      <c r="B25" s="38">
        <v>3</v>
      </c>
      <c r="C25" s="38">
        <v>1</v>
      </c>
      <c r="D25" s="21"/>
    </row>
    <row r="26" spans="1:4" s="19" customFormat="1" x14ac:dyDescent="0.25">
      <c r="A26" s="40" t="s">
        <v>181</v>
      </c>
      <c r="B26" s="38">
        <v>1</v>
      </c>
      <c r="C26" s="38">
        <v>1</v>
      </c>
      <c r="D26" s="21"/>
    </row>
    <row r="27" spans="1:4" s="19" customFormat="1" x14ac:dyDescent="0.25">
      <c r="A27" s="40" t="s">
        <v>23</v>
      </c>
      <c r="B27" s="38">
        <v>1</v>
      </c>
      <c r="C27" s="38">
        <v>0</v>
      </c>
      <c r="D27" s="21"/>
    </row>
    <row r="28" spans="1:4" s="19" customFormat="1" x14ac:dyDescent="0.25">
      <c r="A28" s="40" t="s">
        <v>114</v>
      </c>
      <c r="B28" s="38">
        <v>3</v>
      </c>
      <c r="C28" s="38">
        <v>0</v>
      </c>
      <c r="D28" s="21"/>
    </row>
    <row r="29" spans="1:4" s="19" customFormat="1" x14ac:dyDescent="0.25">
      <c r="A29" s="40" t="s">
        <v>109</v>
      </c>
      <c r="B29" s="38">
        <v>4</v>
      </c>
      <c r="C29" s="38">
        <v>2</v>
      </c>
      <c r="D29" s="21"/>
    </row>
    <row r="30" spans="1:4" s="19" customFormat="1" x14ac:dyDescent="0.25">
      <c r="A30" s="40" t="s">
        <v>24</v>
      </c>
      <c r="B30" s="38">
        <v>14</v>
      </c>
      <c r="C30" s="38">
        <v>1</v>
      </c>
      <c r="D30" s="21"/>
    </row>
    <row r="31" spans="1:4" s="19" customFormat="1" x14ac:dyDescent="0.25">
      <c r="A31" s="40" t="s">
        <v>26</v>
      </c>
      <c r="B31" s="38">
        <v>3</v>
      </c>
      <c r="C31" s="38">
        <v>1</v>
      </c>
      <c r="D31" s="21"/>
    </row>
    <row r="32" spans="1:4" s="19" customFormat="1" x14ac:dyDescent="0.25">
      <c r="A32" s="40" t="s">
        <v>118</v>
      </c>
      <c r="B32" s="38">
        <v>2</v>
      </c>
      <c r="C32" s="38">
        <v>1</v>
      </c>
      <c r="D32" s="21"/>
    </row>
    <row r="33" spans="1:4" s="19" customFormat="1" x14ac:dyDescent="0.25">
      <c r="A33" s="40" t="s">
        <v>83</v>
      </c>
      <c r="B33" s="38">
        <v>8</v>
      </c>
      <c r="C33" s="38">
        <v>5</v>
      </c>
      <c r="D33" s="21"/>
    </row>
    <row r="34" spans="1:4" s="19" customFormat="1" x14ac:dyDescent="0.25">
      <c r="A34" s="40" t="s">
        <v>27</v>
      </c>
      <c r="B34" s="38">
        <v>18</v>
      </c>
      <c r="C34" s="38">
        <v>2</v>
      </c>
      <c r="D34" s="21"/>
    </row>
    <row r="35" spans="1:4" s="19" customFormat="1" x14ac:dyDescent="0.25">
      <c r="A35" s="40" t="s">
        <v>28</v>
      </c>
      <c r="B35" s="38">
        <v>2</v>
      </c>
      <c r="C35" s="38">
        <v>1</v>
      </c>
      <c r="D35" s="21"/>
    </row>
    <row r="36" spans="1:4" s="19" customFormat="1" x14ac:dyDescent="0.25">
      <c r="A36" s="40" t="s">
        <v>29</v>
      </c>
      <c r="B36" s="38">
        <v>2</v>
      </c>
      <c r="C36" s="38">
        <v>0</v>
      </c>
      <c r="D36" s="21"/>
    </row>
    <row r="37" spans="1:4" s="19" customFormat="1" x14ac:dyDescent="0.25">
      <c r="A37" s="40" t="s">
        <v>84</v>
      </c>
      <c r="B37" s="38">
        <v>1</v>
      </c>
      <c r="C37" s="38">
        <v>0</v>
      </c>
      <c r="D37" s="21"/>
    </row>
    <row r="38" spans="1:4" s="19" customFormat="1" x14ac:dyDescent="0.25">
      <c r="A38" s="40" t="s">
        <v>175</v>
      </c>
      <c r="B38" s="38">
        <v>7</v>
      </c>
      <c r="C38" s="38">
        <v>1</v>
      </c>
      <c r="D38" s="21"/>
    </row>
    <row r="39" spans="1:4" s="19" customFormat="1" x14ac:dyDescent="0.25">
      <c r="A39" s="40" t="s">
        <v>30</v>
      </c>
      <c r="B39" s="38">
        <v>1</v>
      </c>
      <c r="C39" s="38">
        <v>0</v>
      </c>
      <c r="D39" s="21"/>
    </row>
    <row r="40" spans="1:4" s="19" customFormat="1" x14ac:dyDescent="0.25">
      <c r="A40" s="40" t="s">
        <v>176</v>
      </c>
      <c r="B40" s="38">
        <v>6</v>
      </c>
      <c r="C40" s="38">
        <v>2</v>
      </c>
      <c r="D40" s="21"/>
    </row>
    <row r="41" spans="1:4" s="19" customFormat="1" x14ac:dyDescent="0.25">
      <c r="A41" s="40" t="s">
        <v>31</v>
      </c>
      <c r="B41" s="38">
        <v>1</v>
      </c>
      <c r="C41" s="38">
        <v>0</v>
      </c>
      <c r="D41" s="21"/>
    </row>
    <row r="42" spans="1:4" s="19" customFormat="1" x14ac:dyDescent="0.25">
      <c r="A42" s="40" t="s">
        <v>32</v>
      </c>
      <c r="B42" s="38">
        <v>5</v>
      </c>
      <c r="C42" s="38">
        <v>1</v>
      </c>
      <c r="D42" s="21"/>
    </row>
    <row r="43" spans="1:4" s="19" customFormat="1" x14ac:dyDescent="0.25">
      <c r="A43" s="40" t="s">
        <v>182</v>
      </c>
      <c r="B43" s="38">
        <v>1</v>
      </c>
      <c r="C43" s="38">
        <v>0</v>
      </c>
      <c r="D43" s="21"/>
    </row>
    <row r="44" spans="1:4" s="19" customFormat="1" x14ac:dyDescent="0.25">
      <c r="A44" s="40" t="s">
        <v>34</v>
      </c>
      <c r="B44" s="38">
        <v>4</v>
      </c>
      <c r="C44" s="38">
        <v>1</v>
      </c>
      <c r="D44" s="21"/>
    </row>
    <row r="45" spans="1:4" s="19" customFormat="1" x14ac:dyDescent="0.25">
      <c r="A45" s="40" t="s">
        <v>85</v>
      </c>
      <c r="B45" s="38">
        <v>4</v>
      </c>
      <c r="C45" s="38">
        <v>1</v>
      </c>
      <c r="D45" s="21"/>
    </row>
    <row r="46" spans="1:4" s="19" customFormat="1" x14ac:dyDescent="0.25">
      <c r="A46" s="40" t="s">
        <v>86</v>
      </c>
      <c r="B46" s="38">
        <v>1</v>
      </c>
      <c r="C46" s="38">
        <v>0</v>
      </c>
      <c r="D46" s="21"/>
    </row>
    <row r="47" spans="1:4" s="19" customFormat="1" x14ac:dyDescent="0.25">
      <c r="A47" s="40" t="s">
        <v>87</v>
      </c>
      <c r="B47" s="38">
        <v>7</v>
      </c>
      <c r="C47" s="38">
        <v>2</v>
      </c>
      <c r="D47" s="21"/>
    </row>
    <row r="48" spans="1:4" s="19" customFormat="1" x14ac:dyDescent="0.25">
      <c r="A48" s="40" t="s">
        <v>110</v>
      </c>
      <c r="B48" s="38">
        <v>22</v>
      </c>
      <c r="C48" s="38">
        <v>0</v>
      </c>
      <c r="D48" s="21"/>
    </row>
    <row r="49" spans="1:4" s="19" customFormat="1" x14ac:dyDescent="0.25">
      <c r="A49" s="40" t="s">
        <v>88</v>
      </c>
      <c r="B49" s="38">
        <v>3</v>
      </c>
      <c r="C49" s="38">
        <v>1</v>
      </c>
      <c r="D49" s="21"/>
    </row>
    <row r="50" spans="1:4" s="19" customFormat="1" x14ac:dyDescent="0.25">
      <c r="A50" s="40" t="s">
        <v>35</v>
      </c>
      <c r="B50" s="38">
        <v>8</v>
      </c>
      <c r="C50" s="38">
        <v>0</v>
      </c>
      <c r="D50" s="21"/>
    </row>
    <row r="51" spans="1:4" s="19" customFormat="1" x14ac:dyDescent="0.25">
      <c r="A51" s="40" t="s">
        <v>36</v>
      </c>
      <c r="B51" s="38">
        <v>1</v>
      </c>
      <c r="C51" s="38">
        <v>1</v>
      </c>
      <c r="D51" s="21"/>
    </row>
    <row r="52" spans="1:4" s="19" customFormat="1" x14ac:dyDescent="0.25">
      <c r="A52" s="40" t="s">
        <v>193</v>
      </c>
      <c r="B52" s="38">
        <v>1</v>
      </c>
      <c r="C52" s="38">
        <v>0</v>
      </c>
      <c r="D52" s="21"/>
    </row>
    <row r="53" spans="1:4" s="19" customFormat="1" x14ac:dyDescent="0.25">
      <c r="A53" s="40" t="s">
        <v>194</v>
      </c>
      <c r="B53" s="38">
        <v>1</v>
      </c>
      <c r="C53" s="38">
        <v>0</v>
      </c>
      <c r="D53" s="21"/>
    </row>
    <row r="54" spans="1:4" s="19" customFormat="1" x14ac:dyDescent="0.25">
      <c r="A54" s="40" t="s">
        <v>37</v>
      </c>
      <c r="B54" s="38">
        <v>5</v>
      </c>
      <c r="C54" s="38">
        <v>1</v>
      </c>
      <c r="D54" s="21"/>
    </row>
    <row r="55" spans="1:4" s="19" customFormat="1" x14ac:dyDescent="0.25">
      <c r="A55" s="40" t="s">
        <v>38</v>
      </c>
      <c r="B55" s="38">
        <v>7</v>
      </c>
      <c r="C55" s="38">
        <v>1</v>
      </c>
      <c r="D55" s="21"/>
    </row>
    <row r="56" spans="1:4" s="19" customFormat="1" x14ac:dyDescent="0.25">
      <c r="A56" s="40" t="s">
        <v>89</v>
      </c>
      <c r="B56" s="38">
        <v>8</v>
      </c>
      <c r="C56" s="38">
        <v>1</v>
      </c>
      <c r="D56" s="21"/>
    </row>
    <row r="57" spans="1:4" s="19" customFormat="1" x14ac:dyDescent="0.25">
      <c r="A57" s="40" t="s">
        <v>104</v>
      </c>
      <c r="B57" s="38">
        <v>1</v>
      </c>
      <c r="C57" s="38">
        <v>1</v>
      </c>
      <c r="D57" s="21"/>
    </row>
    <row r="58" spans="1:4" s="19" customFormat="1" x14ac:dyDescent="0.25">
      <c r="A58" s="40" t="s">
        <v>195</v>
      </c>
      <c r="B58" s="38">
        <v>7</v>
      </c>
      <c r="C58" s="38">
        <v>4</v>
      </c>
      <c r="D58" s="21"/>
    </row>
    <row r="59" spans="1:4" s="19" customFormat="1" x14ac:dyDescent="0.25">
      <c r="A59" s="40" t="s">
        <v>90</v>
      </c>
      <c r="B59" s="38">
        <v>1</v>
      </c>
      <c r="C59" s="38">
        <v>0</v>
      </c>
      <c r="D59" s="21"/>
    </row>
    <row r="60" spans="1:4" s="19" customFormat="1" x14ac:dyDescent="0.25">
      <c r="A60" s="40" t="s">
        <v>196</v>
      </c>
      <c r="B60" s="38">
        <v>5</v>
      </c>
      <c r="C60" s="38">
        <v>0</v>
      </c>
      <c r="D60" s="21"/>
    </row>
    <row r="61" spans="1:4" s="19" customFormat="1" x14ac:dyDescent="0.25">
      <c r="A61" s="40" t="s">
        <v>39</v>
      </c>
      <c r="B61" s="38">
        <v>4</v>
      </c>
      <c r="C61" s="38">
        <v>2</v>
      </c>
      <c r="D61" s="21"/>
    </row>
    <row r="62" spans="1:4" s="19" customFormat="1" x14ac:dyDescent="0.25">
      <c r="A62" s="40" t="s">
        <v>184</v>
      </c>
      <c r="B62" s="38">
        <v>1</v>
      </c>
      <c r="C62" s="38">
        <v>0</v>
      </c>
      <c r="D62" s="21"/>
    </row>
    <row r="63" spans="1:4" s="19" customFormat="1" x14ac:dyDescent="0.25">
      <c r="A63" s="40" t="s">
        <v>42</v>
      </c>
      <c r="B63" s="38">
        <v>12</v>
      </c>
      <c r="C63" s="38">
        <v>4</v>
      </c>
      <c r="D63" s="21"/>
    </row>
    <row r="64" spans="1:4" s="19" customFormat="1" x14ac:dyDescent="0.25">
      <c r="A64" s="40" t="s">
        <v>43</v>
      </c>
      <c r="B64" s="38">
        <v>6</v>
      </c>
      <c r="C64" s="38">
        <v>3</v>
      </c>
      <c r="D64" s="21"/>
    </row>
    <row r="65" spans="1:4" s="19" customFormat="1" x14ac:dyDescent="0.25">
      <c r="A65" s="40" t="s">
        <v>44</v>
      </c>
      <c r="B65" s="38">
        <v>6</v>
      </c>
      <c r="C65" s="38">
        <v>1</v>
      </c>
      <c r="D65" s="21"/>
    </row>
    <row r="66" spans="1:4" s="19" customFormat="1" x14ac:dyDescent="0.25">
      <c r="A66" s="40" t="s">
        <v>45</v>
      </c>
      <c r="B66" s="38">
        <v>2</v>
      </c>
      <c r="C66" s="38">
        <v>2</v>
      </c>
      <c r="D66" s="21"/>
    </row>
    <row r="67" spans="1:4" s="19" customFormat="1" x14ac:dyDescent="0.25">
      <c r="A67" s="40" t="s">
        <v>46</v>
      </c>
      <c r="B67" s="38">
        <v>62</v>
      </c>
      <c r="C67" s="38">
        <v>20</v>
      </c>
      <c r="D67" s="21"/>
    </row>
    <row r="68" spans="1:4" s="19" customFormat="1" x14ac:dyDescent="0.25">
      <c r="A68" s="40" t="s">
        <v>91</v>
      </c>
      <c r="B68" s="38">
        <v>1</v>
      </c>
      <c r="C68" s="38">
        <v>0</v>
      </c>
      <c r="D68" s="21"/>
    </row>
    <row r="69" spans="1:4" s="19" customFormat="1" x14ac:dyDescent="0.25">
      <c r="A69" s="40" t="s">
        <v>47</v>
      </c>
      <c r="B69" s="38">
        <v>57</v>
      </c>
      <c r="C69" s="38">
        <v>17</v>
      </c>
      <c r="D69" s="21"/>
    </row>
    <row r="70" spans="1:4" s="19" customFormat="1" x14ac:dyDescent="0.25">
      <c r="A70" s="40" t="s">
        <v>112</v>
      </c>
      <c r="B70" s="38">
        <v>2</v>
      </c>
      <c r="C70" s="38">
        <v>0</v>
      </c>
      <c r="D70" s="21"/>
    </row>
    <row r="71" spans="1:4" s="19" customFormat="1" x14ac:dyDescent="0.25">
      <c r="A71" s="40" t="s">
        <v>185</v>
      </c>
      <c r="B71" s="38">
        <v>13</v>
      </c>
      <c r="C71" s="38">
        <v>2</v>
      </c>
      <c r="D71" s="21"/>
    </row>
    <row r="72" spans="1:4" s="19" customFormat="1" x14ac:dyDescent="0.25">
      <c r="A72" s="40" t="s">
        <v>92</v>
      </c>
      <c r="B72" s="38">
        <v>3</v>
      </c>
      <c r="C72" s="38">
        <v>1</v>
      </c>
      <c r="D72" s="21"/>
    </row>
    <row r="73" spans="1:4" s="19" customFormat="1" x14ac:dyDescent="0.25">
      <c r="A73" s="40" t="s">
        <v>48</v>
      </c>
      <c r="B73" s="38">
        <v>4</v>
      </c>
      <c r="C73" s="38">
        <v>1</v>
      </c>
      <c r="D73" s="21"/>
    </row>
    <row r="74" spans="1:4" s="19" customFormat="1" x14ac:dyDescent="0.25">
      <c r="A74" s="40" t="s">
        <v>186</v>
      </c>
      <c r="B74" s="38">
        <v>14</v>
      </c>
      <c r="C74" s="38">
        <v>1</v>
      </c>
      <c r="D74" s="21"/>
    </row>
    <row r="75" spans="1:4" s="19" customFormat="1" x14ac:dyDescent="0.25">
      <c r="A75" s="40" t="s">
        <v>49</v>
      </c>
      <c r="B75" s="38">
        <v>1</v>
      </c>
      <c r="C75" s="38">
        <v>1</v>
      </c>
      <c r="D75" s="21"/>
    </row>
    <row r="76" spans="1:4" s="19" customFormat="1" x14ac:dyDescent="0.25">
      <c r="A76" s="40" t="s">
        <v>50</v>
      </c>
      <c r="B76" s="38">
        <v>1</v>
      </c>
      <c r="C76" s="38">
        <v>0</v>
      </c>
      <c r="D76" s="21"/>
    </row>
    <row r="77" spans="1:4" s="19" customFormat="1" x14ac:dyDescent="0.25">
      <c r="A77" s="40" t="s">
        <v>197</v>
      </c>
      <c r="B77" s="38">
        <v>8</v>
      </c>
      <c r="C77" s="38">
        <v>0</v>
      </c>
      <c r="D77" s="21"/>
    </row>
    <row r="78" spans="1:4" s="19" customFormat="1" x14ac:dyDescent="0.25">
      <c r="A78" s="40" t="s">
        <v>198</v>
      </c>
      <c r="B78" s="38">
        <v>5</v>
      </c>
      <c r="C78" s="38">
        <v>3</v>
      </c>
      <c r="D78" s="21"/>
    </row>
    <row r="79" spans="1:4" s="19" customFormat="1" x14ac:dyDescent="0.25">
      <c r="A79" s="40" t="s">
        <v>52</v>
      </c>
      <c r="B79" s="38">
        <v>4</v>
      </c>
      <c r="C79" s="38">
        <v>1</v>
      </c>
      <c r="D79" s="21"/>
    </row>
    <row r="80" spans="1:4" s="19" customFormat="1" x14ac:dyDescent="0.25">
      <c r="A80" s="40" t="s">
        <v>187</v>
      </c>
      <c r="B80" s="38">
        <v>1</v>
      </c>
      <c r="C80" s="38">
        <v>1</v>
      </c>
      <c r="D80" s="21"/>
    </row>
    <row r="81" spans="1:4" s="19" customFormat="1" x14ac:dyDescent="0.25">
      <c r="A81" s="40" t="s">
        <v>188</v>
      </c>
      <c r="B81" s="38">
        <v>2</v>
      </c>
      <c r="C81" s="38">
        <v>0</v>
      </c>
      <c r="D81" s="21"/>
    </row>
    <row r="82" spans="1:4" s="19" customFormat="1" x14ac:dyDescent="0.25">
      <c r="A82" s="40" t="s">
        <v>53</v>
      </c>
      <c r="B82" s="38">
        <v>13</v>
      </c>
      <c r="C82" s="38">
        <v>3</v>
      </c>
      <c r="D82" s="21"/>
    </row>
    <row r="83" spans="1:4" s="19" customFormat="1" x14ac:dyDescent="0.25">
      <c r="A83" s="40" t="s">
        <v>122</v>
      </c>
      <c r="B83" s="38">
        <v>3</v>
      </c>
      <c r="C83" s="38">
        <v>0</v>
      </c>
      <c r="D83" s="21"/>
    </row>
    <row r="84" spans="1:4" s="19" customFormat="1" x14ac:dyDescent="0.25">
      <c r="A84" s="40" t="s">
        <v>54</v>
      </c>
      <c r="B84" s="38">
        <v>3</v>
      </c>
      <c r="C84" s="38">
        <v>1</v>
      </c>
      <c r="D84" s="21"/>
    </row>
    <row r="85" spans="1:4" s="19" customFormat="1" x14ac:dyDescent="0.25">
      <c r="A85" s="40" t="s">
        <v>93</v>
      </c>
      <c r="B85" s="38">
        <v>6</v>
      </c>
      <c r="C85" s="38">
        <v>1</v>
      </c>
      <c r="D85" s="21"/>
    </row>
    <row r="86" spans="1:4" s="19" customFormat="1" x14ac:dyDescent="0.25">
      <c r="A86" s="40" t="s">
        <v>178</v>
      </c>
      <c r="B86" s="38">
        <v>47</v>
      </c>
      <c r="C86" s="38">
        <v>11</v>
      </c>
      <c r="D86" s="21"/>
    </row>
    <row r="87" spans="1:4" s="19" customFormat="1" x14ac:dyDescent="0.25">
      <c r="A87" s="40" t="s">
        <v>56</v>
      </c>
      <c r="B87" s="38">
        <v>8</v>
      </c>
      <c r="C87" s="38">
        <v>3</v>
      </c>
      <c r="D87" s="21"/>
    </row>
    <row r="88" spans="1:4" s="19" customFormat="1" x14ac:dyDescent="0.25">
      <c r="A88" s="40" t="s">
        <v>106</v>
      </c>
      <c r="B88" s="38">
        <v>1</v>
      </c>
      <c r="C88" s="38">
        <v>0</v>
      </c>
      <c r="D88" s="21"/>
    </row>
    <row r="89" spans="1:4" s="19" customFormat="1" x14ac:dyDescent="0.25">
      <c r="A89" s="40" t="s">
        <v>94</v>
      </c>
      <c r="B89" s="38">
        <v>3</v>
      </c>
      <c r="C89" s="38">
        <v>1</v>
      </c>
      <c r="D89" s="21"/>
    </row>
    <row r="90" spans="1:4" s="19" customFormat="1" x14ac:dyDescent="0.25">
      <c r="A90" s="40" t="s">
        <v>58</v>
      </c>
      <c r="B90" s="38">
        <v>2</v>
      </c>
      <c r="C90" s="38">
        <v>1</v>
      </c>
      <c r="D90" s="21"/>
    </row>
    <row r="91" spans="1:4" s="19" customFormat="1" x14ac:dyDescent="0.25">
      <c r="A91" s="40" t="s">
        <v>95</v>
      </c>
      <c r="B91" s="38">
        <v>1</v>
      </c>
      <c r="C91" s="38">
        <v>1</v>
      </c>
      <c r="D91" s="21"/>
    </row>
    <row r="92" spans="1:4" s="19" customFormat="1" x14ac:dyDescent="0.25">
      <c r="A92" s="40" t="s">
        <v>119</v>
      </c>
      <c r="B92" s="38">
        <v>6</v>
      </c>
      <c r="C92" s="38">
        <v>2</v>
      </c>
      <c r="D92" s="21"/>
    </row>
    <row r="93" spans="1:4" s="19" customFormat="1" x14ac:dyDescent="0.25">
      <c r="A93" s="40" t="s">
        <v>59</v>
      </c>
      <c r="B93" s="38">
        <v>1</v>
      </c>
      <c r="C93" s="38">
        <v>0</v>
      </c>
      <c r="D93" s="21"/>
    </row>
    <row r="94" spans="1:4" s="19" customFormat="1" x14ac:dyDescent="0.25">
      <c r="A94" s="40" t="s">
        <v>60</v>
      </c>
      <c r="B94" s="38">
        <v>6</v>
      </c>
      <c r="C94" s="38">
        <v>3</v>
      </c>
      <c r="D94" s="21"/>
    </row>
    <row r="95" spans="1:4" s="19" customFormat="1" x14ac:dyDescent="0.25">
      <c r="A95" s="40" t="s">
        <v>61</v>
      </c>
      <c r="B95" s="38">
        <v>7</v>
      </c>
      <c r="C95" s="38">
        <v>1</v>
      </c>
      <c r="D95" s="21"/>
    </row>
    <row r="96" spans="1:4" s="19" customFormat="1" x14ac:dyDescent="0.25">
      <c r="A96" s="40" t="s">
        <v>62</v>
      </c>
      <c r="B96" s="38">
        <v>5</v>
      </c>
      <c r="C96" s="38">
        <v>1</v>
      </c>
      <c r="D96" s="21"/>
    </row>
    <row r="97" spans="1:4" s="19" customFormat="1" ht="30" x14ac:dyDescent="0.25">
      <c r="A97" s="40" t="s">
        <v>111</v>
      </c>
      <c r="B97" s="38">
        <v>1</v>
      </c>
      <c r="C97" s="38">
        <v>0</v>
      </c>
      <c r="D97" s="21"/>
    </row>
    <row r="98" spans="1:4" s="19" customFormat="1" x14ac:dyDescent="0.25">
      <c r="A98" s="40" t="s">
        <v>97</v>
      </c>
      <c r="B98" s="38">
        <v>3</v>
      </c>
      <c r="C98" s="38">
        <v>1</v>
      </c>
      <c r="D98" s="21"/>
    </row>
    <row r="99" spans="1:4" s="19" customFormat="1" x14ac:dyDescent="0.25">
      <c r="A99" s="40" t="s">
        <v>98</v>
      </c>
      <c r="B99" s="38">
        <v>3</v>
      </c>
      <c r="C99" s="38">
        <v>0</v>
      </c>
      <c r="D99" s="21"/>
    </row>
    <row r="100" spans="1:4" s="19" customFormat="1" x14ac:dyDescent="0.25">
      <c r="A100" s="40" t="s">
        <v>63</v>
      </c>
      <c r="B100" s="38">
        <v>6</v>
      </c>
      <c r="C100" s="38">
        <v>3</v>
      </c>
      <c r="D100" s="21"/>
    </row>
    <row r="101" spans="1:4" s="19" customFormat="1" x14ac:dyDescent="0.25">
      <c r="A101" s="40" t="s">
        <v>64</v>
      </c>
      <c r="B101" s="38">
        <v>4</v>
      </c>
      <c r="C101" s="38">
        <v>0</v>
      </c>
      <c r="D101" s="21"/>
    </row>
    <row r="102" spans="1:4" s="19" customFormat="1" x14ac:dyDescent="0.25">
      <c r="A102" s="40" t="s">
        <v>99</v>
      </c>
      <c r="B102" s="38">
        <v>1</v>
      </c>
      <c r="C102" s="38">
        <v>1</v>
      </c>
      <c r="D102" s="21"/>
    </row>
    <row r="103" spans="1:4" s="19" customFormat="1" x14ac:dyDescent="0.25">
      <c r="A103" s="40" t="s">
        <v>65</v>
      </c>
      <c r="B103" s="38">
        <v>9</v>
      </c>
      <c r="C103" s="38">
        <v>4</v>
      </c>
      <c r="D103" s="21"/>
    </row>
    <row r="104" spans="1:4" s="19" customFormat="1" x14ac:dyDescent="0.25">
      <c r="A104" s="40" t="s">
        <v>66</v>
      </c>
      <c r="B104" s="38">
        <v>9</v>
      </c>
      <c r="C104" s="38">
        <v>4</v>
      </c>
      <c r="D104" s="21"/>
    </row>
    <row r="105" spans="1:4" s="19" customFormat="1" x14ac:dyDescent="0.25">
      <c r="A105" s="40" t="s">
        <v>100</v>
      </c>
      <c r="B105" s="38">
        <v>1</v>
      </c>
      <c r="C105" s="38">
        <v>0</v>
      </c>
      <c r="D105" s="21"/>
    </row>
    <row r="106" spans="1:4" s="19" customFormat="1" x14ac:dyDescent="0.25">
      <c r="A106" s="40" t="s">
        <v>120</v>
      </c>
      <c r="B106" s="38">
        <v>2</v>
      </c>
      <c r="C106" s="38">
        <v>0</v>
      </c>
      <c r="D106" s="21"/>
    </row>
    <row r="107" spans="1:4" s="19" customFormat="1" x14ac:dyDescent="0.25">
      <c r="A107" s="40" t="s">
        <v>199</v>
      </c>
      <c r="B107" s="38">
        <v>1</v>
      </c>
      <c r="C107" s="38">
        <v>0</v>
      </c>
      <c r="D107" s="21"/>
    </row>
    <row r="108" spans="1:4" s="19" customFormat="1" x14ac:dyDescent="0.25">
      <c r="A108" s="40" t="s">
        <v>115</v>
      </c>
      <c r="B108" s="38">
        <v>2</v>
      </c>
      <c r="C108" s="38">
        <v>0</v>
      </c>
      <c r="D108" s="21"/>
    </row>
    <row r="109" spans="1:4" s="19" customFormat="1" x14ac:dyDescent="0.25">
      <c r="A109" s="40" t="s">
        <v>68</v>
      </c>
      <c r="B109" s="38">
        <v>5</v>
      </c>
      <c r="C109" s="38">
        <v>0</v>
      </c>
      <c r="D109" s="21"/>
    </row>
    <row r="110" spans="1:4" s="19" customFormat="1" x14ac:dyDescent="0.25">
      <c r="A110" s="40" t="s">
        <v>69</v>
      </c>
      <c r="B110" s="38">
        <v>61</v>
      </c>
      <c r="C110" s="38">
        <v>28</v>
      </c>
      <c r="D110" s="21"/>
    </row>
    <row r="111" spans="1:4" s="19" customFormat="1" x14ac:dyDescent="0.25">
      <c r="A111" s="40" t="s">
        <v>101</v>
      </c>
      <c r="B111" s="38">
        <v>5</v>
      </c>
      <c r="C111" s="38">
        <v>1</v>
      </c>
      <c r="D111" s="21"/>
    </row>
    <row r="112" spans="1:4" s="19" customFormat="1" x14ac:dyDescent="0.25">
      <c r="A112" s="40" t="s">
        <v>102</v>
      </c>
      <c r="B112" s="38">
        <v>2</v>
      </c>
      <c r="C112" s="38">
        <v>1</v>
      </c>
      <c r="D112" s="21"/>
    </row>
    <row r="113" spans="1:4" s="19" customFormat="1" x14ac:dyDescent="0.25">
      <c r="A113" s="40" t="s">
        <v>70</v>
      </c>
      <c r="B113" s="38">
        <v>5</v>
      </c>
      <c r="C113" s="38">
        <v>0</v>
      </c>
      <c r="D113" s="21"/>
    </row>
    <row r="114" spans="1:4" s="19" customFormat="1" x14ac:dyDescent="0.25">
      <c r="A114" s="40" t="s">
        <v>71</v>
      </c>
      <c r="B114" s="38">
        <v>2</v>
      </c>
      <c r="C114" s="38">
        <v>1</v>
      </c>
      <c r="D114" s="21"/>
    </row>
    <row r="115" spans="1:4" s="19" customFormat="1" x14ac:dyDescent="0.25">
      <c r="A115" s="40" t="s">
        <v>72</v>
      </c>
      <c r="B115" s="38">
        <v>5</v>
      </c>
      <c r="C115" s="38">
        <v>3</v>
      </c>
      <c r="D115" s="21"/>
    </row>
    <row r="116" spans="1:4" s="19" customFormat="1" x14ac:dyDescent="0.25">
      <c r="A116" s="40" t="s">
        <v>73</v>
      </c>
      <c r="B116" s="38">
        <v>4</v>
      </c>
      <c r="C116" s="38">
        <v>1</v>
      </c>
      <c r="D116" s="21"/>
    </row>
    <row r="118" spans="1:4" x14ac:dyDescent="0.25">
      <c r="A118" s="41" t="s">
        <v>200</v>
      </c>
    </row>
  </sheetData>
  <mergeCells count="1">
    <mergeCell ref="B10:D10"/>
  </mergeCells>
  <pageMargins left="0.7" right="0.7" top="0.75" bottom="0.75" header="0.3" footer="0.3"/>
  <pageSetup orientation="portrait" r:id="rId1"/>
  <headerFooter>
    <oddHeader>&amp;L&amp;F, &amp;A</oddHeader>
    <oddFooter>&amp;L&amp;"Times New Roman,Bold"&amp;8Office of Institutional Research&amp;R&amp;"Times New Roman,Bold"&amp;8Page 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10</vt:i4>
      </vt:variant>
    </vt:vector>
  </HeadingPairs>
  <TitlesOfParts>
    <vt:vector size="26" baseType="lpstr">
      <vt:lpstr>Institutional Comparisons</vt:lpstr>
      <vt:lpstr>Suspension Trends</vt:lpstr>
      <vt:lpstr>Probation Trends</vt:lpstr>
      <vt:lpstr>Institutional Trends</vt:lpstr>
      <vt:lpstr>Suspended, 2011SP</vt:lpstr>
      <vt:lpstr>Probation, 2011SP</vt:lpstr>
      <vt:lpstr>Suspended, 2010FA</vt:lpstr>
      <vt:lpstr>Probation, 2010FA</vt:lpstr>
      <vt:lpstr>Suspended, 2010SP</vt:lpstr>
      <vt:lpstr>Probation, 2010SP</vt:lpstr>
      <vt:lpstr>Suspended, 2009SP</vt:lpstr>
      <vt:lpstr>Suspended, 2009FA</vt:lpstr>
      <vt:lpstr>Probation, 2009FA</vt:lpstr>
      <vt:lpstr>Cohort Advisors, 2009SP</vt:lpstr>
      <vt:lpstr>Cohort Advisors, 2009FA</vt:lpstr>
      <vt:lpstr>Sheet1</vt:lpstr>
      <vt:lpstr>'Institutional Comparisons'!Print_Area</vt:lpstr>
      <vt:lpstr>'Probation, 2009FA'!Print_Area</vt:lpstr>
      <vt:lpstr>'Probation, 2010FA'!Print_Area</vt:lpstr>
      <vt:lpstr>'Probation, 2010SP'!Print_Area</vt:lpstr>
      <vt:lpstr>'Probation, 2011SP'!Print_Area</vt:lpstr>
      <vt:lpstr>'Suspended, 2009FA'!Print_Area</vt:lpstr>
      <vt:lpstr>'Suspended, 2009SP'!Print_Area</vt:lpstr>
      <vt:lpstr>'Suspended, 2010FA'!Print_Area</vt:lpstr>
      <vt:lpstr>'Cohort Advisors, 2009FA'!Print_Titles</vt:lpstr>
      <vt:lpstr>'Probation, 2009FA'!Print_Titles</vt:lpstr>
    </vt:vector>
  </TitlesOfParts>
  <Company>Black Hills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BHSU</cp:lastModifiedBy>
  <cp:lastPrinted>2011-07-12T18:55:32Z</cp:lastPrinted>
  <dcterms:created xsi:type="dcterms:W3CDTF">2009-05-26T14:32:20Z</dcterms:created>
  <dcterms:modified xsi:type="dcterms:W3CDTF">2011-07-12T19:03:30Z</dcterms:modified>
</cp:coreProperties>
</file>