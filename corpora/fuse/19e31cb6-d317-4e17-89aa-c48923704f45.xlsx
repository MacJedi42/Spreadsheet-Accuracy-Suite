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80" windowWidth="24795" windowHeight="12150" firstSheet="2" activeTab="2"/>
  </bookViews>
  <sheets>
    <sheet name="Core measures_12monthchange" sheetId="5" state="hidden" r:id="rId1"/>
    <sheet name="Headline measures_12monthchange" sheetId="4" state="hidden" r:id="rId2"/>
    <sheet name="Data" sheetId="1" r:id="rId3"/>
    <sheet name="CPI data" sheetId="2" state="hidden" r:id="rId4"/>
  </sheets>
  <definedNames>
    <definedName name="_DLX1.USE">'CPI data'!$A$2:$Q$4</definedName>
  </definedNames>
  <calcPr calcId="145621"/>
</workbook>
</file>

<file path=xl/calcChain.xml><?xml version="1.0" encoding="utf-8"?>
<calcChain xmlns="http://schemas.openxmlformats.org/spreadsheetml/2006/main">
  <c r="C373" i="1" l="1"/>
  <c r="D373" i="1"/>
  <c r="E373" i="1"/>
  <c r="G373" i="1"/>
  <c r="H373" i="1"/>
  <c r="I373" i="1"/>
  <c r="K373" i="1"/>
  <c r="L373" i="1"/>
  <c r="M373" i="1"/>
  <c r="O373" i="1"/>
  <c r="P373" i="1"/>
  <c r="Q373" i="1"/>
  <c r="T373" i="1"/>
  <c r="U373" i="1"/>
  <c r="X373" i="1"/>
  <c r="Y373" i="1"/>
  <c r="C374" i="1"/>
  <c r="D374" i="1"/>
  <c r="E374" i="1"/>
  <c r="G374" i="1"/>
  <c r="H374" i="1"/>
  <c r="I374" i="1"/>
  <c r="K374" i="1"/>
  <c r="L374" i="1"/>
  <c r="M374" i="1"/>
  <c r="O374" i="1"/>
  <c r="P374" i="1"/>
  <c r="Q374" i="1"/>
  <c r="T374" i="1"/>
  <c r="U374" i="1"/>
  <c r="X374" i="1"/>
  <c r="Y374" i="1"/>
  <c r="C375" i="1"/>
  <c r="D375" i="1"/>
  <c r="E375" i="1"/>
  <c r="G375" i="1"/>
  <c r="H375" i="1"/>
  <c r="I375" i="1"/>
  <c r="K375" i="1"/>
  <c r="L375" i="1"/>
  <c r="M375" i="1"/>
  <c r="O375" i="1"/>
  <c r="P375" i="1"/>
  <c r="Q375" i="1"/>
  <c r="T375" i="1"/>
  <c r="U375" i="1"/>
  <c r="X375" i="1"/>
  <c r="Y375" i="1"/>
  <c r="C376" i="1"/>
  <c r="D376" i="1"/>
  <c r="E376" i="1"/>
  <c r="G376" i="1"/>
  <c r="H376" i="1"/>
  <c r="I376" i="1"/>
  <c r="K376" i="1"/>
  <c r="L376" i="1"/>
  <c r="M376" i="1"/>
  <c r="O376" i="1"/>
  <c r="P376" i="1"/>
  <c r="Q376" i="1"/>
  <c r="T376" i="1"/>
  <c r="U376" i="1"/>
  <c r="X376" i="1"/>
  <c r="Y376" i="1"/>
  <c r="C377" i="1"/>
  <c r="D377" i="1"/>
  <c r="E377" i="1"/>
  <c r="G377" i="1"/>
  <c r="H377" i="1"/>
  <c r="I377" i="1"/>
  <c r="K377" i="1"/>
  <c r="L377" i="1"/>
  <c r="M377" i="1"/>
  <c r="O377" i="1"/>
  <c r="P377" i="1"/>
  <c r="Q377" i="1"/>
  <c r="T377" i="1"/>
  <c r="U377" i="1"/>
  <c r="X377" i="1"/>
  <c r="Y377" i="1"/>
  <c r="C378" i="1"/>
  <c r="D378" i="1"/>
  <c r="E378" i="1"/>
  <c r="G378" i="1"/>
  <c r="H378" i="1"/>
  <c r="I378" i="1"/>
  <c r="K378" i="1"/>
  <c r="L378" i="1"/>
  <c r="M378" i="1"/>
  <c r="O378" i="1"/>
  <c r="P378" i="1"/>
  <c r="Q378" i="1"/>
  <c r="T378" i="1"/>
  <c r="U378" i="1"/>
  <c r="X378" i="1"/>
  <c r="Y378" i="1"/>
  <c r="C379" i="1"/>
  <c r="D379" i="1"/>
  <c r="E379" i="1"/>
  <c r="G379" i="1"/>
  <c r="H379" i="1"/>
  <c r="I379" i="1"/>
  <c r="K379" i="1"/>
  <c r="L379" i="1"/>
  <c r="M379" i="1"/>
  <c r="O379" i="1"/>
  <c r="P379" i="1"/>
  <c r="Q379" i="1"/>
  <c r="T379" i="1"/>
  <c r="U379" i="1"/>
  <c r="X379" i="1"/>
  <c r="Y379" i="1"/>
  <c r="C380" i="1"/>
  <c r="D380" i="1"/>
  <c r="E380" i="1"/>
  <c r="G380" i="1"/>
  <c r="H380" i="1"/>
  <c r="I380" i="1"/>
  <c r="K380" i="1"/>
  <c r="L380" i="1"/>
  <c r="M380" i="1"/>
  <c r="O380" i="1"/>
  <c r="P380" i="1"/>
  <c r="Q380" i="1"/>
  <c r="T380" i="1"/>
  <c r="U380" i="1"/>
  <c r="X380" i="1"/>
  <c r="Y380" i="1"/>
  <c r="C381" i="1"/>
  <c r="D381" i="1"/>
  <c r="E381" i="1"/>
  <c r="G381" i="1"/>
  <c r="H381" i="1"/>
  <c r="I381" i="1"/>
  <c r="K381" i="1"/>
  <c r="L381" i="1"/>
  <c r="M381" i="1"/>
  <c r="O381" i="1"/>
  <c r="P381" i="1"/>
  <c r="Q381" i="1"/>
  <c r="T381" i="1"/>
  <c r="U381" i="1"/>
  <c r="X381" i="1"/>
  <c r="Y381" i="1"/>
  <c r="C382" i="1"/>
  <c r="D382" i="1"/>
  <c r="E382" i="1"/>
  <c r="G382" i="1"/>
  <c r="H382" i="1"/>
  <c r="I382" i="1"/>
  <c r="K382" i="1"/>
  <c r="L382" i="1"/>
  <c r="M382" i="1"/>
  <c r="O382" i="1"/>
  <c r="P382" i="1"/>
  <c r="Q382" i="1"/>
  <c r="T382" i="1"/>
  <c r="U382" i="1"/>
  <c r="X382" i="1"/>
  <c r="Y382" i="1"/>
  <c r="C383" i="1"/>
  <c r="D383" i="1"/>
  <c r="E383" i="1"/>
  <c r="G383" i="1"/>
  <c r="H383" i="1"/>
  <c r="I383" i="1"/>
  <c r="K383" i="1"/>
  <c r="L383" i="1"/>
  <c r="M383" i="1"/>
  <c r="O383" i="1"/>
  <c r="P383" i="1"/>
  <c r="Q383" i="1"/>
  <c r="T383" i="1"/>
  <c r="U383" i="1"/>
  <c r="X383" i="1"/>
  <c r="Y383" i="1"/>
  <c r="C384" i="1"/>
  <c r="D384" i="1"/>
  <c r="E384" i="1"/>
  <c r="G384" i="1"/>
  <c r="H384" i="1"/>
  <c r="I384" i="1"/>
  <c r="K384" i="1"/>
  <c r="L384" i="1"/>
  <c r="M384" i="1"/>
  <c r="O384" i="1"/>
  <c r="P384" i="1"/>
  <c r="Q384" i="1"/>
  <c r="T384" i="1"/>
  <c r="U384" i="1"/>
  <c r="X384" i="1"/>
  <c r="Y384" i="1"/>
  <c r="Y14" i="1" l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13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4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E13" i="1"/>
  <c r="Q372" i="1"/>
  <c r="P372" i="1"/>
  <c r="O372" i="1"/>
  <c r="M372" i="1"/>
  <c r="L372" i="1"/>
  <c r="K372" i="1"/>
  <c r="I372" i="1"/>
  <c r="H372" i="1"/>
  <c r="G372" i="1"/>
  <c r="E372" i="1"/>
  <c r="D372" i="1"/>
  <c r="C372" i="1"/>
  <c r="Q371" i="1"/>
  <c r="P371" i="1"/>
  <c r="O371" i="1"/>
  <c r="M371" i="1"/>
  <c r="L371" i="1"/>
  <c r="K371" i="1"/>
  <c r="I371" i="1"/>
  <c r="H371" i="1"/>
  <c r="G371" i="1"/>
  <c r="E371" i="1"/>
  <c r="D371" i="1"/>
  <c r="C371" i="1"/>
  <c r="Q370" i="1"/>
  <c r="P370" i="1"/>
  <c r="O370" i="1"/>
  <c r="M370" i="1"/>
  <c r="L370" i="1"/>
  <c r="K370" i="1"/>
  <c r="I370" i="1"/>
  <c r="H370" i="1"/>
  <c r="G370" i="1"/>
  <c r="E370" i="1"/>
  <c r="D370" i="1"/>
  <c r="C370" i="1"/>
  <c r="Q369" i="1"/>
  <c r="P369" i="1"/>
  <c r="O369" i="1"/>
  <c r="M369" i="1"/>
  <c r="L369" i="1"/>
  <c r="K369" i="1"/>
  <c r="I369" i="1"/>
  <c r="H369" i="1"/>
  <c r="G369" i="1"/>
  <c r="E369" i="1"/>
  <c r="D369" i="1"/>
  <c r="C369" i="1"/>
  <c r="Q368" i="1"/>
  <c r="P368" i="1"/>
  <c r="O368" i="1"/>
  <c r="M368" i="1"/>
  <c r="L368" i="1"/>
  <c r="K368" i="1"/>
  <c r="I368" i="1"/>
  <c r="H368" i="1"/>
  <c r="G368" i="1"/>
  <c r="E368" i="1"/>
  <c r="D368" i="1"/>
  <c r="C368" i="1"/>
  <c r="Q367" i="1"/>
  <c r="P367" i="1"/>
  <c r="O367" i="1"/>
  <c r="M367" i="1"/>
  <c r="L367" i="1"/>
  <c r="K367" i="1"/>
  <c r="I367" i="1"/>
  <c r="H367" i="1"/>
  <c r="G367" i="1"/>
  <c r="E367" i="1"/>
  <c r="D367" i="1"/>
  <c r="C367" i="1"/>
  <c r="Q366" i="1"/>
  <c r="P366" i="1"/>
  <c r="O366" i="1"/>
  <c r="M366" i="1"/>
  <c r="L366" i="1"/>
  <c r="K366" i="1"/>
  <c r="I366" i="1"/>
  <c r="H366" i="1"/>
  <c r="G366" i="1"/>
  <c r="E366" i="1"/>
  <c r="D366" i="1"/>
  <c r="C366" i="1"/>
  <c r="Q365" i="1"/>
  <c r="P365" i="1"/>
  <c r="O365" i="1"/>
  <c r="M365" i="1"/>
  <c r="L365" i="1"/>
  <c r="K365" i="1"/>
  <c r="I365" i="1"/>
  <c r="H365" i="1"/>
  <c r="G365" i="1"/>
  <c r="E365" i="1"/>
  <c r="D365" i="1"/>
  <c r="C365" i="1"/>
  <c r="Q364" i="1"/>
  <c r="P364" i="1"/>
  <c r="O364" i="1"/>
  <c r="M364" i="1"/>
  <c r="L364" i="1"/>
  <c r="K364" i="1"/>
  <c r="I364" i="1"/>
  <c r="H364" i="1"/>
  <c r="G364" i="1"/>
  <c r="E364" i="1"/>
  <c r="D364" i="1"/>
  <c r="C364" i="1"/>
  <c r="Q363" i="1"/>
  <c r="P363" i="1"/>
  <c r="O363" i="1"/>
  <c r="M363" i="1"/>
  <c r="L363" i="1"/>
  <c r="K363" i="1"/>
  <c r="I363" i="1"/>
  <c r="H363" i="1"/>
  <c r="G363" i="1"/>
  <c r="E363" i="1"/>
  <c r="D363" i="1"/>
  <c r="C363" i="1"/>
  <c r="Q362" i="1"/>
  <c r="P362" i="1"/>
  <c r="O362" i="1"/>
  <c r="M362" i="1"/>
  <c r="L362" i="1"/>
  <c r="K362" i="1"/>
  <c r="I362" i="1"/>
  <c r="H362" i="1"/>
  <c r="G362" i="1"/>
  <c r="E362" i="1"/>
  <c r="D362" i="1"/>
  <c r="C362" i="1"/>
  <c r="Q361" i="1"/>
  <c r="P361" i="1"/>
  <c r="O361" i="1"/>
  <c r="M361" i="1"/>
  <c r="L361" i="1"/>
  <c r="K361" i="1"/>
  <c r="I361" i="1"/>
  <c r="H361" i="1"/>
  <c r="G361" i="1"/>
  <c r="E361" i="1"/>
  <c r="D361" i="1"/>
  <c r="C361" i="1"/>
  <c r="Q360" i="1"/>
  <c r="P360" i="1"/>
  <c r="O360" i="1"/>
  <c r="M360" i="1"/>
  <c r="L360" i="1"/>
  <c r="K360" i="1"/>
  <c r="I360" i="1"/>
  <c r="H360" i="1"/>
  <c r="G360" i="1"/>
  <c r="E360" i="1"/>
  <c r="D360" i="1"/>
  <c r="C360" i="1"/>
  <c r="Q359" i="1"/>
  <c r="P359" i="1"/>
  <c r="O359" i="1"/>
  <c r="M359" i="1"/>
  <c r="L359" i="1"/>
  <c r="K359" i="1"/>
  <c r="I359" i="1"/>
  <c r="H359" i="1"/>
  <c r="G359" i="1"/>
  <c r="E359" i="1"/>
  <c r="D359" i="1"/>
  <c r="C359" i="1"/>
  <c r="Q358" i="1"/>
  <c r="P358" i="1"/>
  <c r="O358" i="1"/>
  <c r="M358" i="1"/>
  <c r="L358" i="1"/>
  <c r="K358" i="1"/>
  <c r="I358" i="1"/>
  <c r="H358" i="1"/>
  <c r="G358" i="1"/>
  <c r="E358" i="1"/>
  <c r="D358" i="1"/>
  <c r="C358" i="1"/>
  <c r="Q357" i="1"/>
  <c r="P357" i="1"/>
  <c r="O357" i="1"/>
  <c r="M357" i="1"/>
  <c r="L357" i="1"/>
  <c r="K357" i="1"/>
  <c r="I357" i="1"/>
  <c r="H357" i="1"/>
  <c r="G357" i="1"/>
  <c r="E357" i="1"/>
  <c r="D357" i="1"/>
  <c r="C357" i="1"/>
  <c r="Q356" i="1"/>
  <c r="P356" i="1"/>
  <c r="O356" i="1"/>
  <c r="M356" i="1"/>
  <c r="L356" i="1"/>
  <c r="K356" i="1"/>
  <c r="I356" i="1"/>
  <c r="H356" i="1"/>
  <c r="G356" i="1"/>
  <c r="E356" i="1"/>
  <c r="D356" i="1"/>
  <c r="C356" i="1"/>
  <c r="Q355" i="1"/>
  <c r="P355" i="1"/>
  <c r="O355" i="1"/>
  <c r="M355" i="1"/>
  <c r="L355" i="1"/>
  <c r="K355" i="1"/>
  <c r="I355" i="1"/>
  <c r="H355" i="1"/>
  <c r="G355" i="1"/>
  <c r="E355" i="1"/>
  <c r="D355" i="1"/>
  <c r="C355" i="1"/>
  <c r="Q354" i="1"/>
  <c r="P354" i="1"/>
  <c r="O354" i="1"/>
  <c r="M354" i="1"/>
  <c r="L354" i="1"/>
  <c r="K354" i="1"/>
  <c r="I354" i="1"/>
  <c r="H354" i="1"/>
  <c r="G354" i="1"/>
  <c r="E354" i="1"/>
  <c r="D354" i="1"/>
  <c r="C354" i="1"/>
  <c r="Q353" i="1"/>
  <c r="P353" i="1"/>
  <c r="O353" i="1"/>
  <c r="M353" i="1"/>
  <c r="L353" i="1"/>
  <c r="K353" i="1"/>
  <c r="I353" i="1"/>
  <c r="H353" i="1"/>
  <c r="G353" i="1"/>
  <c r="E353" i="1"/>
  <c r="D353" i="1"/>
  <c r="C353" i="1"/>
  <c r="Q352" i="1"/>
  <c r="P352" i="1"/>
  <c r="O352" i="1"/>
  <c r="M352" i="1"/>
  <c r="L352" i="1"/>
  <c r="K352" i="1"/>
  <c r="I352" i="1"/>
  <c r="H352" i="1"/>
  <c r="G352" i="1"/>
  <c r="E352" i="1"/>
  <c r="D352" i="1"/>
  <c r="C352" i="1"/>
  <c r="Q351" i="1"/>
  <c r="P351" i="1"/>
  <c r="O351" i="1"/>
  <c r="M351" i="1"/>
  <c r="L351" i="1"/>
  <c r="K351" i="1"/>
  <c r="I351" i="1"/>
  <c r="H351" i="1"/>
  <c r="G351" i="1"/>
  <c r="E351" i="1"/>
  <c r="D351" i="1"/>
  <c r="C351" i="1"/>
  <c r="Q350" i="1"/>
  <c r="P350" i="1"/>
  <c r="O350" i="1"/>
  <c r="M350" i="1"/>
  <c r="L350" i="1"/>
  <c r="K350" i="1"/>
  <c r="I350" i="1"/>
  <c r="H350" i="1"/>
  <c r="G350" i="1"/>
  <c r="E350" i="1"/>
  <c r="D350" i="1"/>
  <c r="C350" i="1"/>
  <c r="Q349" i="1"/>
  <c r="P349" i="1"/>
  <c r="O349" i="1"/>
  <c r="M349" i="1"/>
  <c r="L349" i="1"/>
  <c r="K349" i="1"/>
  <c r="I349" i="1"/>
  <c r="H349" i="1"/>
  <c r="G349" i="1"/>
  <c r="E349" i="1"/>
  <c r="D349" i="1"/>
  <c r="C349" i="1"/>
  <c r="Q348" i="1"/>
  <c r="P348" i="1"/>
  <c r="O348" i="1"/>
  <c r="M348" i="1"/>
  <c r="L348" i="1"/>
  <c r="K348" i="1"/>
  <c r="I348" i="1"/>
  <c r="H348" i="1"/>
  <c r="G348" i="1"/>
  <c r="E348" i="1"/>
  <c r="D348" i="1"/>
  <c r="C348" i="1"/>
  <c r="Q347" i="1"/>
  <c r="P347" i="1"/>
  <c r="O347" i="1"/>
  <c r="M347" i="1"/>
  <c r="L347" i="1"/>
  <c r="K347" i="1"/>
  <c r="I347" i="1"/>
  <c r="H347" i="1"/>
  <c r="G347" i="1"/>
  <c r="E347" i="1"/>
  <c r="D347" i="1"/>
  <c r="C347" i="1"/>
  <c r="Q346" i="1"/>
  <c r="P346" i="1"/>
  <c r="O346" i="1"/>
  <c r="M346" i="1"/>
  <c r="L346" i="1"/>
  <c r="K346" i="1"/>
  <c r="I346" i="1"/>
  <c r="H346" i="1"/>
  <c r="G346" i="1"/>
  <c r="E346" i="1"/>
  <c r="D346" i="1"/>
  <c r="C346" i="1"/>
  <c r="Q345" i="1"/>
  <c r="P345" i="1"/>
  <c r="O345" i="1"/>
  <c r="M345" i="1"/>
  <c r="L345" i="1"/>
  <c r="K345" i="1"/>
  <c r="I345" i="1"/>
  <c r="H345" i="1"/>
  <c r="G345" i="1"/>
  <c r="E345" i="1"/>
  <c r="D345" i="1"/>
  <c r="C345" i="1"/>
  <c r="Q344" i="1"/>
  <c r="P344" i="1"/>
  <c r="O344" i="1"/>
  <c r="M344" i="1"/>
  <c r="L344" i="1"/>
  <c r="K344" i="1"/>
  <c r="I344" i="1"/>
  <c r="H344" i="1"/>
  <c r="G344" i="1"/>
  <c r="E344" i="1"/>
  <c r="D344" i="1"/>
  <c r="C344" i="1"/>
  <c r="Q343" i="1"/>
  <c r="P343" i="1"/>
  <c r="O343" i="1"/>
  <c r="M343" i="1"/>
  <c r="L343" i="1"/>
  <c r="K343" i="1"/>
  <c r="I343" i="1"/>
  <c r="H343" i="1"/>
  <c r="G343" i="1"/>
  <c r="E343" i="1"/>
  <c r="D343" i="1"/>
  <c r="C343" i="1"/>
  <c r="Q342" i="1"/>
  <c r="P342" i="1"/>
  <c r="O342" i="1"/>
  <c r="M342" i="1"/>
  <c r="L342" i="1"/>
  <c r="K342" i="1"/>
  <c r="I342" i="1"/>
  <c r="H342" i="1"/>
  <c r="G342" i="1"/>
  <c r="E342" i="1"/>
  <c r="D342" i="1"/>
  <c r="C342" i="1"/>
  <c r="Q341" i="1"/>
  <c r="P341" i="1"/>
  <c r="O341" i="1"/>
  <c r="M341" i="1"/>
  <c r="L341" i="1"/>
  <c r="K341" i="1"/>
  <c r="I341" i="1"/>
  <c r="H341" i="1"/>
  <c r="G341" i="1"/>
  <c r="E341" i="1"/>
  <c r="D341" i="1"/>
  <c r="C341" i="1"/>
  <c r="Q340" i="1"/>
  <c r="P340" i="1"/>
  <c r="O340" i="1"/>
  <c r="M340" i="1"/>
  <c r="L340" i="1"/>
  <c r="K340" i="1"/>
  <c r="I340" i="1"/>
  <c r="H340" i="1"/>
  <c r="G340" i="1"/>
  <c r="E340" i="1"/>
  <c r="D340" i="1"/>
  <c r="C340" i="1"/>
  <c r="Q339" i="1"/>
  <c r="P339" i="1"/>
  <c r="O339" i="1"/>
  <c r="M339" i="1"/>
  <c r="L339" i="1"/>
  <c r="K339" i="1"/>
  <c r="I339" i="1"/>
  <c r="H339" i="1"/>
  <c r="G339" i="1"/>
  <c r="E339" i="1"/>
  <c r="D339" i="1"/>
  <c r="C339" i="1"/>
  <c r="Q338" i="1"/>
  <c r="P338" i="1"/>
  <c r="O338" i="1"/>
  <c r="M338" i="1"/>
  <c r="L338" i="1"/>
  <c r="K338" i="1"/>
  <c r="I338" i="1"/>
  <c r="H338" i="1"/>
  <c r="G338" i="1"/>
  <c r="E338" i="1"/>
  <c r="D338" i="1"/>
  <c r="C338" i="1"/>
  <c r="Q337" i="1"/>
  <c r="P337" i="1"/>
  <c r="O337" i="1"/>
  <c r="M337" i="1"/>
  <c r="L337" i="1"/>
  <c r="K337" i="1"/>
  <c r="I337" i="1"/>
  <c r="H337" i="1"/>
  <c r="G337" i="1"/>
  <c r="E337" i="1"/>
  <c r="D337" i="1"/>
  <c r="C337" i="1"/>
  <c r="Q336" i="1"/>
  <c r="P336" i="1"/>
  <c r="O336" i="1"/>
  <c r="M336" i="1"/>
  <c r="L336" i="1"/>
  <c r="K336" i="1"/>
  <c r="I336" i="1"/>
  <c r="H336" i="1"/>
  <c r="G336" i="1"/>
  <c r="E336" i="1"/>
  <c r="D336" i="1"/>
  <c r="C336" i="1"/>
  <c r="Q335" i="1"/>
  <c r="P335" i="1"/>
  <c r="O335" i="1"/>
  <c r="M335" i="1"/>
  <c r="L335" i="1"/>
  <c r="K335" i="1"/>
  <c r="I335" i="1"/>
  <c r="H335" i="1"/>
  <c r="G335" i="1"/>
  <c r="E335" i="1"/>
  <c r="D335" i="1"/>
  <c r="C335" i="1"/>
  <c r="Q334" i="1"/>
  <c r="P334" i="1"/>
  <c r="O334" i="1"/>
  <c r="M334" i="1"/>
  <c r="L334" i="1"/>
  <c r="K334" i="1"/>
  <c r="I334" i="1"/>
  <c r="H334" i="1"/>
  <c r="G334" i="1"/>
  <c r="E334" i="1"/>
  <c r="D334" i="1"/>
  <c r="C334" i="1"/>
  <c r="Q333" i="1"/>
  <c r="P333" i="1"/>
  <c r="O333" i="1"/>
  <c r="M333" i="1"/>
  <c r="L333" i="1"/>
  <c r="K333" i="1"/>
  <c r="I333" i="1"/>
  <c r="H333" i="1"/>
  <c r="G333" i="1"/>
  <c r="E333" i="1"/>
  <c r="D333" i="1"/>
  <c r="C333" i="1"/>
  <c r="Q332" i="1"/>
  <c r="P332" i="1"/>
  <c r="O332" i="1"/>
  <c r="M332" i="1"/>
  <c r="L332" i="1"/>
  <c r="K332" i="1"/>
  <c r="I332" i="1"/>
  <c r="H332" i="1"/>
  <c r="G332" i="1"/>
  <c r="E332" i="1"/>
  <c r="D332" i="1"/>
  <c r="C332" i="1"/>
  <c r="Q331" i="1"/>
  <c r="P331" i="1"/>
  <c r="O331" i="1"/>
  <c r="M331" i="1"/>
  <c r="L331" i="1"/>
  <c r="K331" i="1"/>
  <c r="I331" i="1"/>
  <c r="H331" i="1"/>
  <c r="G331" i="1"/>
  <c r="E331" i="1"/>
  <c r="D331" i="1"/>
  <c r="C331" i="1"/>
  <c r="Q330" i="1"/>
  <c r="P330" i="1"/>
  <c r="O330" i="1"/>
  <c r="M330" i="1"/>
  <c r="L330" i="1"/>
  <c r="K330" i="1"/>
  <c r="I330" i="1"/>
  <c r="H330" i="1"/>
  <c r="G330" i="1"/>
  <c r="E330" i="1"/>
  <c r="D330" i="1"/>
  <c r="C330" i="1"/>
  <c r="Q329" i="1"/>
  <c r="P329" i="1"/>
  <c r="O329" i="1"/>
  <c r="M329" i="1"/>
  <c r="L329" i="1"/>
  <c r="K329" i="1"/>
  <c r="I329" i="1"/>
  <c r="H329" i="1"/>
  <c r="G329" i="1"/>
  <c r="E329" i="1"/>
  <c r="D329" i="1"/>
  <c r="C329" i="1"/>
  <c r="Q328" i="1"/>
  <c r="P328" i="1"/>
  <c r="O328" i="1"/>
  <c r="M328" i="1"/>
  <c r="L328" i="1"/>
  <c r="K328" i="1"/>
  <c r="I328" i="1"/>
  <c r="H328" i="1"/>
  <c r="G328" i="1"/>
  <c r="E328" i="1"/>
  <c r="D328" i="1"/>
  <c r="C328" i="1"/>
  <c r="Q327" i="1"/>
  <c r="P327" i="1"/>
  <c r="O327" i="1"/>
  <c r="M327" i="1"/>
  <c r="L327" i="1"/>
  <c r="K327" i="1"/>
  <c r="I327" i="1"/>
  <c r="H327" i="1"/>
  <c r="G327" i="1"/>
  <c r="E327" i="1"/>
  <c r="D327" i="1"/>
  <c r="C327" i="1"/>
  <c r="Q326" i="1"/>
  <c r="P326" i="1"/>
  <c r="O326" i="1"/>
  <c r="M326" i="1"/>
  <c r="L326" i="1"/>
  <c r="K326" i="1"/>
  <c r="I326" i="1"/>
  <c r="H326" i="1"/>
  <c r="G326" i="1"/>
  <c r="E326" i="1"/>
  <c r="D326" i="1"/>
  <c r="C326" i="1"/>
  <c r="Q325" i="1"/>
  <c r="P325" i="1"/>
  <c r="O325" i="1"/>
  <c r="M325" i="1"/>
  <c r="L325" i="1"/>
  <c r="K325" i="1"/>
  <c r="I325" i="1"/>
  <c r="H325" i="1"/>
  <c r="G325" i="1"/>
  <c r="E325" i="1"/>
  <c r="D325" i="1"/>
  <c r="C325" i="1"/>
  <c r="Q324" i="1"/>
  <c r="P324" i="1"/>
  <c r="O324" i="1"/>
  <c r="M324" i="1"/>
  <c r="L324" i="1"/>
  <c r="K324" i="1"/>
  <c r="I324" i="1"/>
  <c r="H324" i="1"/>
  <c r="G324" i="1"/>
  <c r="E324" i="1"/>
  <c r="D324" i="1"/>
  <c r="C324" i="1"/>
  <c r="Q323" i="1"/>
  <c r="P323" i="1"/>
  <c r="O323" i="1"/>
  <c r="M323" i="1"/>
  <c r="L323" i="1"/>
  <c r="K323" i="1"/>
  <c r="I323" i="1"/>
  <c r="H323" i="1"/>
  <c r="G323" i="1"/>
  <c r="E323" i="1"/>
  <c r="D323" i="1"/>
  <c r="C323" i="1"/>
  <c r="Q322" i="1"/>
  <c r="P322" i="1"/>
  <c r="O322" i="1"/>
  <c r="M322" i="1"/>
  <c r="L322" i="1"/>
  <c r="K322" i="1"/>
  <c r="I322" i="1"/>
  <c r="H322" i="1"/>
  <c r="G322" i="1"/>
  <c r="E322" i="1"/>
  <c r="D322" i="1"/>
  <c r="C322" i="1"/>
  <c r="Q321" i="1"/>
  <c r="P321" i="1"/>
  <c r="O321" i="1"/>
  <c r="M321" i="1"/>
  <c r="L321" i="1"/>
  <c r="K321" i="1"/>
  <c r="I321" i="1"/>
  <c r="H321" i="1"/>
  <c r="G321" i="1"/>
  <c r="E321" i="1"/>
  <c r="D321" i="1"/>
  <c r="C321" i="1"/>
  <c r="Q320" i="1"/>
  <c r="P320" i="1"/>
  <c r="O320" i="1"/>
  <c r="M320" i="1"/>
  <c r="L320" i="1"/>
  <c r="K320" i="1"/>
  <c r="I320" i="1"/>
  <c r="H320" i="1"/>
  <c r="G320" i="1"/>
  <c r="E320" i="1"/>
  <c r="D320" i="1"/>
  <c r="C320" i="1"/>
  <c r="Q319" i="1"/>
  <c r="P319" i="1"/>
  <c r="O319" i="1"/>
  <c r="M319" i="1"/>
  <c r="L319" i="1"/>
  <c r="K319" i="1"/>
  <c r="I319" i="1"/>
  <c r="H319" i="1"/>
  <c r="G319" i="1"/>
  <c r="E319" i="1"/>
  <c r="D319" i="1"/>
  <c r="C319" i="1"/>
  <c r="Q318" i="1"/>
  <c r="P318" i="1"/>
  <c r="O318" i="1"/>
  <c r="M318" i="1"/>
  <c r="L318" i="1"/>
  <c r="K318" i="1"/>
  <c r="I318" i="1"/>
  <c r="H318" i="1"/>
  <c r="G318" i="1"/>
  <c r="E318" i="1"/>
  <c r="D318" i="1"/>
  <c r="C318" i="1"/>
  <c r="Q317" i="1"/>
  <c r="P317" i="1"/>
  <c r="O317" i="1"/>
  <c r="M317" i="1"/>
  <c r="L317" i="1"/>
  <c r="K317" i="1"/>
  <c r="I317" i="1"/>
  <c r="H317" i="1"/>
  <c r="G317" i="1"/>
  <c r="E317" i="1"/>
  <c r="D317" i="1"/>
  <c r="C317" i="1"/>
  <c r="Q316" i="1"/>
  <c r="P316" i="1"/>
  <c r="O316" i="1"/>
  <c r="M316" i="1"/>
  <c r="L316" i="1"/>
  <c r="K316" i="1"/>
  <c r="I316" i="1"/>
  <c r="H316" i="1"/>
  <c r="G316" i="1"/>
  <c r="E316" i="1"/>
  <c r="D316" i="1"/>
  <c r="C316" i="1"/>
  <c r="Q315" i="1"/>
  <c r="P315" i="1"/>
  <c r="O315" i="1"/>
  <c r="M315" i="1"/>
  <c r="L315" i="1"/>
  <c r="K315" i="1"/>
  <c r="I315" i="1"/>
  <c r="H315" i="1"/>
  <c r="G315" i="1"/>
  <c r="E315" i="1"/>
  <c r="D315" i="1"/>
  <c r="C315" i="1"/>
  <c r="Q314" i="1"/>
  <c r="P314" i="1"/>
  <c r="O314" i="1"/>
  <c r="M314" i="1"/>
  <c r="L314" i="1"/>
  <c r="K314" i="1"/>
  <c r="I314" i="1"/>
  <c r="H314" i="1"/>
  <c r="G314" i="1"/>
  <c r="E314" i="1"/>
  <c r="D314" i="1"/>
  <c r="C314" i="1"/>
  <c r="Q313" i="1"/>
  <c r="P313" i="1"/>
  <c r="O313" i="1"/>
  <c r="M313" i="1"/>
  <c r="L313" i="1"/>
  <c r="K313" i="1"/>
  <c r="I313" i="1"/>
  <c r="H313" i="1"/>
  <c r="G313" i="1"/>
  <c r="E313" i="1"/>
  <c r="D313" i="1"/>
  <c r="C313" i="1"/>
  <c r="Q312" i="1"/>
  <c r="P312" i="1"/>
  <c r="O312" i="1"/>
  <c r="M312" i="1"/>
  <c r="L312" i="1"/>
  <c r="K312" i="1"/>
  <c r="I312" i="1"/>
  <c r="H312" i="1"/>
  <c r="G312" i="1"/>
  <c r="E312" i="1"/>
  <c r="D312" i="1"/>
  <c r="C312" i="1"/>
  <c r="Q311" i="1"/>
  <c r="P311" i="1"/>
  <c r="O311" i="1"/>
  <c r="M311" i="1"/>
  <c r="L311" i="1"/>
  <c r="K311" i="1"/>
  <c r="I311" i="1"/>
  <c r="H311" i="1"/>
  <c r="G311" i="1"/>
  <c r="E311" i="1"/>
  <c r="D311" i="1"/>
  <c r="C311" i="1"/>
  <c r="Q310" i="1"/>
  <c r="P310" i="1"/>
  <c r="O310" i="1"/>
  <c r="M310" i="1"/>
  <c r="L310" i="1"/>
  <c r="K310" i="1"/>
  <c r="I310" i="1"/>
  <c r="H310" i="1"/>
  <c r="G310" i="1"/>
  <c r="E310" i="1"/>
  <c r="D310" i="1"/>
  <c r="C310" i="1"/>
  <c r="Q309" i="1"/>
  <c r="P309" i="1"/>
  <c r="O309" i="1"/>
  <c r="M309" i="1"/>
  <c r="L309" i="1"/>
  <c r="K309" i="1"/>
  <c r="I309" i="1"/>
  <c r="H309" i="1"/>
  <c r="G309" i="1"/>
  <c r="E309" i="1"/>
  <c r="D309" i="1"/>
  <c r="C309" i="1"/>
  <c r="Q308" i="1"/>
  <c r="P308" i="1"/>
  <c r="O308" i="1"/>
  <c r="M308" i="1"/>
  <c r="L308" i="1"/>
  <c r="K308" i="1"/>
  <c r="I308" i="1"/>
  <c r="H308" i="1"/>
  <c r="G308" i="1"/>
  <c r="E308" i="1"/>
  <c r="D308" i="1"/>
  <c r="C308" i="1"/>
  <c r="Q307" i="1"/>
  <c r="P307" i="1"/>
  <c r="O307" i="1"/>
  <c r="M307" i="1"/>
  <c r="L307" i="1"/>
  <c r="K307" i="1"/>
  <c r="I307" i="1"/>
  <c r="H307" i="1"/>
  <c r="G307" i="1"/>
  <c r="E307" i="1"/>
  <c r="D307" i="1"/>
  <c r="C307" i="1"/>
  <c r="Q306" i="1"/>
  <c r="P306" i="1"/>
  <c r="O306" i="1"/>
  <c r="M306" i="1"/>
  <c r="L306" i="1"/>
  <c r="K306" i="1"/>
  <c r="I306" i="1"/>
  <c r="H306" i="1"/>
  <c r="G306" i="1"/>
  <c r="E306" i="1"/>
  <c r="D306" i="1"/>
  <c r="C306" i="1"/>
  <c r="Q305" i="1"/>
  <c r="P305" i="1"/>
  <c r="O305" i="1"/>
  <c r="M305" i="1"/>
  <c r="L305" i="1"/>
  <c r="K305" i="1"/>
  <c r="I305" i="1"/>
  <c r="H305" i="1"/>
  <c r="G305" i="1"/>
  <c r="E305" i="1"/>
  <c r="D305" i="1"/>
  <c r="C305" i="1"/>
  <c r="Q304" i="1"/>
  <c r="P304" i="1"/>
  <c r="O304" i="1"/>
  <c r="M304" i="1"/>
  <c r="L304" i="1"/>
  <c r="K304" i="1"/>
  <c r="I304" i="1"/>
  <c r="H304" i="1"/>
  <c r="G304" i="1"/>
  <c r="E304" i="1"/>
  <c r="D304" i="1"/>
  <c r="C304" i="1"/>
  <c r="Q303" i="1"/>
  <c r="P303" i="1"/>
  <c r="O303" i="1"/>
  <c r="M303" i="1"/>
  <c r="L303" i="1"/>
  <c r="K303" i="1"/>
  <c r="I303" i="1"/>
  <c r="H303" i="1"/>
  <c r="G303" i="1"/>
  <c r="E303" i="1"/>
  <c r="D303" i="1"/>
  <c r="C303" i="1"/>
  <c r="Q302" i="1"/>
  <c r="P302" i="1"/>
  <c r="O302" i="1"/>
  <c r="M302" i="1"/>
  <c r="L302" i="1"/>
  <c r="K302" i="1"/>
  <c r="I302" i="1"/>
  <c r="H302" i="1"/>
  <c r="G302" i="1"/>
  <c r="E302" i="1"/>
  <c r="D302" i="1"/>
  <c r="C302" i="1"/>
  <c r="Q301" i="1"/>
  <c r="P301" i="1"/>
  <c r="O301" i="1"/>
  <c r="M301" i="1"/>
  <c r="L301" i="1"/>
  <c r="K301" i="1"/>
  <c r="I301" i="1"/>
  <c r="H301" i="1"/>
  <c r="G301" i="1"/>
  <c r="E301" i="1"/>
  <c r="D301" i="1"/>
  <c r="C301" i="1"/>
  <c r="Q300" i="1"/>
  <c r="P300" i="1"/>
  <c r="O300" i="1"/>
  <c r="M300" i="1"/>
  <c r="L300" i="1"/>
  <c r="K300" i="1"/>
  <c r="I300" i="1"/>
  <c r="H300" i="1"/>
  <c r="G300" i="1"/>
  <c r="E300" i="1"/>
  <c r="D300" i="1"/>
  <c r="C300" i="1"/>
  <c r="Q299" i="1"/>
  <c r="P299" i="1"/>
  <c r="O299" i="1"/>
  <c r="M299" i="1"/>
  <c r="L299" i="1"/>
  <c r="K299" i="1"/>
  <c r="I299" i="1"/>
  <c r="H299" i="1"/>
  <c r="G299" i="1"/>
  <c r="E299" i="1"/>
  <c r="D299" i="1"/>
  <c r="C299" i="1"/>
  <c r="Q298" i="1"/>
  <c r="P298" i="1"/>
  <c r="O298" i="1"/>
  <c r="M298" i="1"/>
  <c r="L298" i="1"/>
  <c r="K298" i="1"/>
  <c r="I298" i="1"/>
  <c r="H298" i="1"/>
  <c r="G298" i="1"/>
  <c r="E298" i="1"/>
  <c r="D298" i="1"/>
  <c r="C298" i="1"/>
  <c r="Q297" i="1"/>
  <c r="P297" i="1"/>
  <c r="O297" i="1"/>
  <c r="M297" i="1"/>
  <c r="L297" i="1"/>
  <c r="K297" i="1"/>
  <c r="I297" i="1"/>
  <c r="H297" i="1"/>
  <c r="G297" i="1"/>
  <c r="E297" i="1"/>
  <c r="D297" i="1"/>
  <c r="C297" i="1"/>
  <c r="Q296" i="1"/>
  <c r="P296" i="1"/>
  <c r="O296" i="1"/>
  <c r="M296" i="1"/>
  <c r="L296" i="1"/>
  <c r="K296" i="1"/>
  <c r="I296" i="1"/>
  <c r="H296" i="1"/>
  <c r="G296" i="1"/>
  <c r="E296" i="1"/>
  <c r="D296" i="1"/>
  <c r="C296" i="1"/>
  <c r="Q295" i="1"/>
  <c r="P295" i="1"/>
  <c r="O295" i="1"/>
  <c r="M295" i="1"/>
  <c r="L295" i="1"/>
  <c r="K295" i="1"/>
  <c r="I295" i="1"/>
  <c r="H295" i="1"/>
  <c r="G295" i="1"/>
  <c r="E295" i="1"/>
  <c r="D295" i="1"/>
  <c r="C295" i="1"/>
  <c r="Q294" i="1"/>
  <c r="P294" i="1"/>
  <c r="O294" i="1"/>
  <c r="M294" i="1"/>
  <c r="L294" i="1"/>
  <c r="K294" i="1"/>
  <c r="I294" i="1"/>
  <c r="H294" i="1"/>
  <c r="G294" i="1"/>
  <c r="E294" i="1"/>
  <c r="D294" i="1"/>
  <c r="C294" i="1"/>
  <c r="Q293" i="1"/>
  <c r="P293" i="1"/>
  <c r="O293" i="1"/>
  <c r="M293" i="1"/>
  <c r="L293" i="1"/>
  <c r="K293" i="1"/>
  <c r="I293" i="1"/>
  <c r="H293" i="1"/>
  <c r="G293" i="1"/>
  <c r="E293" i="1"/>
  <c r="D293" i="1"/>
  <c r="C293" i="1"/>
  <c r="Q292" i="1"/>
  <c r="P292" i="1"/>
  <c r="O292" i="1"/>
  <c r="M292" i="1"/>
  <c r="L292" i="1"/>
  <c r="K292" i="1"/>
  <c r="I292" i="1"/>
  <c r="H292" i="1"/>
  <c r="G292" i="1"/>
  <c r="E292" i="1"/>
  <c r="D292" i="1"/>
  <c r="C292" i="1"/>
  <c r="Q291" i="1"/>
  <c r="P291" i="1"/>
  <c r="O291" i="1"/>
  <c r="M291" i="1"/>
  <c r="L291" i="1"/>
  <c r="K291" i="1"/>
  <c r="I291" i="1"/>
  <c r="H291" i="1"/>
  <c r="G291" i="1"/>
  <c r="E291" i="1"/>
  <c r="D291" i="1"/>
  <c r="C291" i="1"/>
  <c r="Q290" i="1"/>
  <c r="P290" i="1"/>
  <c r="O290" i="1"/>
  <c r="M290" i="1"/>
  <c r="L290" i="1"/>
  <c r="K290" i="1"/>
  <c r="I290" i="1"/>
  <c r="H290" i="1"/>
  <c r="G290" i="1"/>
  <c r="E290" i="1"/>
  <c r="D290" i="1"/>
  <c r="C290" i="1"/>
  <c r="Q289" i="1"/>
  <c r="P289" i="1"/>
  <c r="O289" i="1"/>
  <c r="M289" i="1"/>
  <c r="L289" i="1"/>
  <c r="K289" i="1"/>
  <c r="I289" i="1"/>
  <c r="H289" i="1"/>
  <c r="G289" i="1"/>
  <c r="E289" i="1"/>
  <c r="D289" i="1"/>
  <c r="C289" i="1"/>
  <c r="Q288" i="1"/>
  <c r="P288" i="1"/>
  <c r="O288" i="1"/>
  <c r="M288" i="1"/>
  <c r="L288" i="1"/>
  <c r="K288" i="1"/>
  <c r="I288" i="1"/>
  <c r="H288" i="1"/>
  <c r="G288" i="1"/>
  <c r="E288" i="1"/>
  <c r="D288" i="1"/>
  <c r="C288" i="1"/>
  <c r="Q287" i="1"/>
  <c r="P287" i="1"/>
  <c r="O287" i="1"/>
  <c r="M287" i="1"/>
  <c r="L287" i="1"/>
  <c r="K287" i="1"/>
  <c r="I287" i="1"/>
  <c r="H287" i="1"/>
  <c r="G287" i="1"/>
  <c r="E287" i="1"/>
  <c r="D287" i="1"/>
  <c r="C287" i="1"/>
  <c r="Q286" i="1"/>
  <c r="P286" i="1"/>
  <c r="O286" i="1"/>
  <c r="M286" i="1"/>
  <c r="L286" i="1"/>
  <c r="K286" i="1"/>
  <c r="I286" i="1"/>
  <c r="H286" i="1"/>
  <c r="G286" i="1"/>
  <c r="E286" i="1"/>
  <c r="D286" i="1"/>
  <c r="C286" i="1"/>
  <c r="Q285" i="1"/>
  <c r="P285" i="1"/>
  <c r="O285" i="1"/>
  <c r="M285" i="1"/>
  <c r="L285" i="1"/>
  <c r="K285" i="1"/>
  <c r="I285" i="1"/>
  <c r="H285" i="1"/>
  <c r="G285" i="1"/>
  <c r="E285" i="1"/>
  <c r="D285" i="1"/>
  <c r="C285" i="1"/>
  <c r="Q284" i="1"/>
  <c r="P284" i="1"/>
  <c r="O284" i="1"/>
  <c r="M284" i="1"/>
  <c r="L284" i="1"/>
  <c r="K284" i="1"/>
  <c r="I284" i="1"/>
  <c r="H284" i="1"/>
  <c r="G284" i="1"/>
  <c r="E284" i="1"/>
  <c r="D284" i="1"/>
  <c r="C284" i="1"/>
  <c r="Q283" i="1"/>
  <c r="P283" i="1"/>
  <c r="O283" i="1"/>
  <c r="M283" i="1"/>
  <c r="L283" i="1"/>
  <c r="K283" i="1"/>
  <c r="I283" i="1"/>
  <c r="H283" i="1"/>
  <c r="G283" i="1"/>
  <c r="E283" i="1"/>
  <c r="D283" i="1"/>
  <c r="C283" i="1"/>
  <c r="Q282" i="1"/>
  <c r="P282" i="1"/>
  <c r="O282" i="1"/>
  <c r="M282" i="1"/>
  <c r="L282" i="1"/>
  <c r="K282" i="1"/>
  <c r="I282" i="1"/>
  <c r="H282" i="1"/>
  <c r="G282" i="1"/>
  <c r="E282" i="1"/>
  <c r="D282" i="1"/>
  <c r="C282" i="1"/>
  <c r="Q281" i="1"/>
  <c r="P281" i="1"/>
  <c r="O281" i="1"/>
  <c r="M281" i="1"/>
  <c r="L281" i="1"/>
  <c r="K281" i="1"/>
  <c r="I281" i="1"/>
  <c r="H281" i="1"/>
  <c r="G281" i="1"/>
  <c r="E281" i="1"/>
  <c r="D281" i="1"/>
  <c r="C281" i="1"/>
  <c r="Q280" i="1"/>
  <c r="P280" i="1"/>
  <c r="O280" i="1"/>
  <c r="M280" i="1"/>
  <c r="L280" i="1"/>
  <c r="K280" i="1"/>
  <c r="I280" i="1"/>
  <c r="H280" i="1"/>
  <c r="G280" i="1"/>
  <c r="E280" i="1"/>
  <c r="D280" i="1"/>
  <c r="C280" i="1"/>
  <c r="Q279" i="1"/>
  <c r="P279" i="1"/>
  <c r="O279" i="1"/>
  <c r="M279" i="1"/>
  <c r="L279" i="1"/>
  <c r="K279" i="1"/>
  <c r="I279" i="1"/>
  <c r="H279" i="1"/>
  <c r="G279" i="1"/>
  <c r="E279" i="1"/>
  <c r="D279" i="1"/>
  <c r="C279" i="1"/>
  <c r="Q278" i="1"/>
  <c r="P278" i="1"/>
  <c r="O278" i="1"/>
  <c r="M278" i="1"/>
  <c r="L278" i="1"/>
  <c r="K278" i="1"/>
  <c r="I278" i="1"/>
  <c r="H278" i="1"/>
  <c r="G278" i="1"/>
  <c r="E278" i="1"/>
  <c r="D278" i="1"/>
  <c r="C278" i="1"/>
  <c r="Q277" i="1"/>
  <c r="P277" i="1"/>
  <c r="O277" i="1"/>
  <c r="M277" i="1"/>
  <c r="L277" i="1"/>
  <c r="K277" i="1"/>
  <c r="I277" i="1"/>
  <c r="H277" i="1"/>
  <c r="G277" i="1"/>
  <c r="E277" i="1"/>
  <c r="D277" i="1"/>
  <c r="C277" i="1"/>
  <c r="Q276" i="1"/>
  <c r="P276" i="1"/>
  <c r="O276" i="1"/>
  <c r="M276" i="1"/>
  <c r="L276" i="1"/>
  <c r="K276" i="1"/>
  <c r="I276" i="1"/>
  <c r="H276" i="1"/>
  <c r="G276" i="1"/>
  <c r="E276" i="1"/>
  <c r="D276" i="1"/>
  <c r="C276" i="1"/>
  <c r="Q275" i="1"/>
  <c r="P275" i="1"/>
  <c r="O275" i="1"/>
  <c r="M275" i="1"/>
  <c r="L275" i="1"/>
  <c r="K275" i="1"/>
  <c r="I275" i="1"/>
  <c r="H275" i="1"/>
  <c r="G275" i="1"/>
  <c r="E275" i="1"/>
  <c r="D275" i="1"/>
  <c r="C275" i="1"/>
  <c r="Q274" i="1"/>
  <c r="P274" i="1"/>
  <c r="O274" i="1"/>
  <c r="M274" i="1"/>
  <c r="L274" i="1"/>
  <c r="K274" i="1"/>
  <c r="I274" i="1"/>
  <c r="H274" i="1"/>
  <c r="G274" i="1"/>
  <c r="E274" i="1"/>
  <c r="D274" i="1"/>
  <c r="C274" i="1"/>
  <c r="Q273" i="1"/>
  <c r="P273" i="1"/>
  <c r="O273" i="1"/>
  <c r="M273" i="1"/>
  <c r="L273" i="1"/>
  <c r="K273" i="1"/>
  <c r="I273" i="1"/>
  <c r="H273" i="1"/>
  <c r="G273" i="1"/>
  <c r="E273" i="1"/>
  <c r="D273" i="1"/>
  <c r="C273" i="1"/>
  <c r="Q272" i="1"/>
  <c r="P272" i="1"/>
  <c r="O272" i="1"/>
  <c r="M272" i="1"/>
  <c r="L272" i="1"/>
  <c r="K272" i="1"/>
  <c r="I272" i="1"/>
  <c r="H272" i="1"/>
  <c r="G272" i="1"/>
  <c r="E272" i="1"/>
  <c r="D272" i="1"/>
  <c r="C272" i="1"/>
  <c r="Q271" i="1"/>
  <c r="P271" i="1"/>
  <c r="O271" i="1"/>
  <c r="M271" i="1"/>
  <c r="L271" i="1"/>
  <c r="K271" i="1"/>
  <c r="I271" i="1"/>
  <c r="H271" i="1"/>
  <c r="G271" i="1"/>
  <c r="E271" i="1"/>
  <c r="D271" i="1"/>
  <c r="C271" i="1"/>
  <c r="Q270" i="1"/>
  <c r="P270" i="1"/>
  <c r="O270" i="1"/>
  <c r="M270" i="1"/>
  <c r="L270" i="1"/>
  <c r="K270" i="1"/>
  <c r="I270" i="1"/>
  <c r="H270" i="1"/>
  <c r="G270" i="1"/>
  <c r="E270" i="1"/>
  <c r="D270" i="1"/>
  <c r="C270" i="1"/>
  <c r="Q269" i="1"/>
  <c r="P269" i="1"/>
  <c r="O269" i="1"/>
  <c r="M269" i="1"/>
  <c r="L269" i="1"/>
  <c r="K269" i="1"/>
  <c r="I269" i="1"/>
  <c r="H269" i="1"/>
  <c r="G269" i="1"/>
  <c r="E269" i="1"/>
  <c r="D269" i="1"/>
  <c r="C269" i="1"/>
  <c r="Q268" i="1"/>
  <c r="P268" i="1"/>
  <c r="O268" i="1"/>
  <c r="M268" i="1"/>
  <c r="L268" i="1"/>
  <c r="K268" i="1"/>
  <c r="I268" i="1"/>
  <c r="H268" i="1"/>
  <c r="G268" i="1"/>
  <c r="E268" i="1"/>
  <c r="D268" i="1"/>
  <c r="C268" i="1"/>
  <c r="Q267" i="1"/>
  <c r="P267" i="1"/>
  <c r="O267" i="1"/>
  <c r="M267" i="1"/>
  <c r="L267" i="1"/>
  <c r="K267" i="1"/>
  <c r="I267" i="1"/>
  <c r="H267" i="1"/>
  <c r="G267" i="1"/>
  <c r="E267" i="1"/>
  <c r="D267" i="1"/>
  <c r="C267" i="1"/>
  <c r="Q266" i="1"/>
  <c r="P266" i="1"/>
  <c r="O266" i="1"/>
  <c r="M266" i="1"/>
  <c r="L266" i="1"/>
  <c r="K266" i="1"/>
  <c r="I266" i="1"/>
  <c r="H266" i="1"/>
  <c r="G266" i="1"/>
  <c r="E266" i="1"/>
  <c r="D266" i="1"/>
  <c r="C266" i="1"/>
  <c r="Q265" i="1"/>
  <c r="P265" i="1"/>
  <c r="O265" i="1"/>
  <c r="M265" i="1"/>
  <c r="L265" i="1"/>
  <c r="K265" i="1"/>
  <c r="I265" i="1"/>
  <c r="H265" i="1"/>
  <c r="G265" i="1"/>
  <c r="E265" i="1"/>
  <c r="D265" i="1"/>
  <c r="C265" i="1"/>
  <c r="Q264" i="1"/>
  <c r="P264" i="1"/>
  <c r="O264" i="1"/>
  <c r="M264" i="1"/>
  <c r="L264" i="1"/>
  <c r="K264" i="1"/>
  <c r="I264" i="1"/>
  <c r="H264" i="1"/>
  <c r="G264" i="1"/>
  <c r="E264" i="1"/>
  <c r="D264" i="1"/>
  <c r="C264" i="1"/>
  <c r="Q263" i="1"/>
  <c r="P263" i="1"/>
  <c r="O263" i="1"/>
  <c r="M263" i="1"/>
  <c r="L263" i="1"/>
  <c r="K263" i="1"/>
  <c r="I263" i="1"/>
  <c r="H263" i="1"/>
  <c r="G263" i="1"/>
  <c r="E263" i="1"/>
  <c r="D263" i="1"/>
  <c r="C263" i="1"/>
  <c r="Q262" i="1"/>
  <c r="P262" i="1"/>
  <c r="O262" i="1"/>
  <c r="M262" i="1"/>
  <c r="L262" i="1"/>
  <c r="K262" i="1"/>
  <c r="I262" i="1"/>
  <c r="H262" i="1"/>
  <c r="G262" i="1"/>
  <c r="E262" i="1"/>
  <c r="D262" i="1"/>
  <c r="C262" i="1"/>
  <c r="Q261" i="1"/>
  <c r="P261" i="1"/>
  <c r="O261" i="1"/>
  <c r="M261" i="1"/>
  <c r="L261" i="1"/>
  <c r="K261" i="1"/>
  <c r="I261" i="1"/>
  <c r="H261" i="1"/>
  <c r="G261" i="1"/>
  <c r="E261" i="1"/>
  <c r="D261" i="1"/>
  <c r="C261" i="1"/>
  <c r="Q260" i="1"/>
  <c r="P260" i="1"/>
  <c r="O260" i="1"/>
  <c r="M260" i="1"/>
  <c r="L260" i="1"/>
  <c r="K260" i="1"/>
  <c r="I260" i="1"/>
  <c r="H260" i="1"/>
  <c r="G260" i="1"/>
  <c r="E260" i="1"/>
  <c r="D260" i="1"/>
  <c r="C260" i="1"/>
  <c r="Q259" i="1"/>
  <c r="P259" i="1"/>
  <c r="O259" i="1"/>
  <c r="M259" i="1"/>
  <c r="L259" i="1"/>
  <c r="K259" i="1"/>
  <c r="I259" i="1"/>
  <c r="H259" i="1"/>
  <c r="G259" i="1"/>
  <c r="E259" i="1"/>
  <c r="D259" i="1"/>
  <c r="C259" i="1"/>
  <c r="Q258" i="1"/>
  <c r="P258" i="1"/>
  <c r="O258" i="1"/>
  <c r="M258" i="1"/>
  <c r="L258" i="1"/>
  <c r="K258" i="1"/>
  <c r="I258" i="1"/>
  <c r="H258" i="1"/>
  <c r="G258" i="1"/>
  <c r="E258" i="1"/>
  <c r="D258" i="1"/>
  <c r="C258" i="1"/>
  <c r="Q257" i="1"/>
  <c r="P257" i="1"/>
  <c r="O257" i="1"/>
  <c r="M257" i="1"/>
  <c r="L257" i="1"/>
  <c r="K257" i="1"/>
  <c r="I257" i="1"/>
  <c r="H257" i="1"/>
  <c r="G257" i="1"/>
  <c r="E257" i="1"/>
  <c r="D257" i="1"/>
  <c r="C257" i="1"/>
  <c r="Q256" i="1"/>
  <c r="P256" i="1"/>
  <c r="O256" i="1"/>
  <c r="M256" i="1"/>
  <c r="L256" i="1"/>
  <c r="K256" i="1"/>
  <c r="I256" i="1"/>
  <c r="H256" i="1"/>
  <c r="G256" i="1"/>
  <c r="E256" i="1"/>
  <c r="D256" i="1"/>
  <c r="C256" i="1"/>
  <c r="Q255" i="1"/>
  <c r="P255" i="1"/>
  <c r="O255" i="1"/>
  <c r="M255" i="1"/>
  <c r="L255" i="1"/>
  <c r="K255" i="1"/>
  <c r="I255" i="1"/>
  <c r="H255" i="1"/>
  <c r="G255" i="1"/>
  <c r="E255" i="1"/>
  <c r="D255" i="1"/>
  <c r="C255" i="1"/>
  <c r="Q254" i="1"/>
  <c r="P254" i="1"/>
  <c r="O254" i="1"/>
  <c r="M254" i="1"/>
  <c r="L254" i="1"/>
  <c r="K254" i="1"/>
  <c r="I254" i="1"/>
  <c r="H254" i="1"/>
  <c r="G254" i="1"/>
  <c r="E254" i="1"/>
  <c r="D254" i="1"/>
  <c r="C254" i="1"/>
  <c r="Q253" i="1"/>
  <c r="P253" i="1"/>
  <c r="O253" i="1"/>
  <c r="M253" i="1"/>
  <c r="L253" i="1"/>
  <c r="K253" i="1"/>
  <c r="I253" i="1"/>
  <c r="H253" i="1"/>
  <c r="G253" i="1"/>
  <c r="E253" i="1"/>
  <c r="D253" i="1"/>
  <c r="C253" i="1"/>
  <c r="Q252" i="1"/>
  <c r="P252" i="1"/>
  <c r="O252" i="1"/>
  <c r="M252" i="1"/>
  <c r="L252" i="1"/>
  <c r="K252" i="1"/>
  <c r="I252" i="1"/>
  <c r="H252" i="1"/>
  <c r="G252" i="1"/>
  <c r="E252" i="1"/>
  <c r="D252" i="1"/>
  <c r="C252" i="1"/>
  <c r="Q251" i="1"/>
  <c r="P251" i="1"/>
  <c r="O251" i="1"/>
  <c r="M251" i="1"/>
  <c r="L251" i="1"/>
  <c r="K251" i="1"/>
  <c r="I251" i="1"/>
  <c r="H251" i="1"/>
  <c r="G251" i="1"/>
  <c r="E251" i="1"/>
  <c r="D251" i="1"/>
  <c r="C251" i="1"/>
  <c r="Q250" i="1"/>
  <c r="P250" i="1"/>
  <c r="O250" i="1"/>
  <c r="M250" i="1"/>
  <c r="L250" i="1"/>
  <c r="K250" i="1"/>
  <c r="I250" i="1"/>
  <c r="H250" i="1"/>
  <c r="G250" i="1"/>
  <c r="E250" i="1"/>
  <c r="D250" i="1"/>
  <c r="C250" i="1"/>
  <c r="Q249" i="1"/>
  <c r="P249" i="1"/>
  <c r="O249" i="1"/>
  <c r="M249" i="1"/>
  <c r="L249" i="1"/>
  <c r="K249" i="1"/>
  <c r="I249" i="1"/>
  <c r="H249" i="1"/>
  <c r="G249" i="1"/>
  <c r="E249" i="1"/>
  <c r="D249" i="1"/>
  <c r="C249" i="1"/>
  <c r="Q248" i="1"/>
  <c r="P248" i="1"/>
  <c r="O248" i="1"/>
  <c r="M248" i="1"/>
  <c r="L248" i="1"/>
  <c r="K248" i="1"/>
  <c r="I248" i="1"/>
  <c r="H248" i="1"/>
  <c r="G248" i="1"/>
  <c r="E248" i="1"/>
  <c r="D248" i="1"/>
  <c r="C248" i="1"/>
  <c r="Q247" i="1"/>
  <c r="P247" i="1"/>
  <c r="O247" i="1"/>
  <c r="M247" i="1"/>
  <c r="L247" i="1"/>
  <c r="K247" i="1"/>
  <c r="I247" i="1"/>
  <c r="H247" i="1"/>
  <c r="G247" i="1"/>
  <c r="E247" i="1"/>
  <c r="D247" i="1"/>
  <c r="C247" i="1"/>
  <c r="Q246" i="1"/>
  <c r="P246" i="1"/>
  <c r="O246" i="1"/>
  <c r="M246" i="1"/>
  <c r="L246" i="1"/>
  <c r="K246" i="1"/>
  <c r="I246" i="1"/>
  <c r="H246" i="1"/>
  <c r="G246" i="1"/>
  <c r="E246" i="1"/>
  <c r="D246" i="1"/>
  <c r="C246" i="1"/>
  <c r="Q245" i="1"/>
  <c r="P245" i="1"/>
  <c r="O245" i="1"/>
  <c r="M245" i="1"/>
  <c r="L245" i="1"/>
  <c r="K245" i="1"/>
  <c r="I245" i="1"/>
  <c r="H245" i="1"/>
  <c r="G245" i="1"/>
  <c r="E245" i="1"/>
  <c r="D245" i="1"/>
  <c r="C245" i="1"/>
  <c r="Q244" i="1"/>
  <c r="P244" i="1"/>
  <c r="O244" i="1"/>
  <c r="M244" i="1"/>
  <c r="L244" i="1"/>
  <c r="K244" i="1"/>
  <c r="I244" i="1"/>
  <c r="H244" i="1"/>
  <c r="G244" i="1"/>
  <c r="E244" i="1"/>
  <c r="D244" i="1"/>
  <c r="C244" i="1"/>
  <c r="Q243" i="1"/>
  <c r="P243" i="1"/>
  <c r="O243" i="1"/>
  <c r="M243" i="1"/>
  <c r="L243" i="1"/>
  <c r="K243" i="1"/>
  <c r="I243" i="1"/>
  <c r="H243" i="1"/>
  <c r="G243" i="1"/>
  <c r="E243" i="1"/>
  <c r="D243" i="1"/>
  <c r="C243" i="1"/>
  <c r="Q242" i="1"/>
  <c r="P242" i="1"/>
  <c r="O242" i="1"/>
  <c r="M242" i="1"/>
  <c r="L242" i="1"/>
  <c r="K242" i="1"/>
  <c r="I242" i="1"/>
  <c r="H242" i="1"/>
  <c r="G242" i="1"/>
  <c r="E242" i="1"/>
  <c r="D242" i="1"/>
  <c r="C242" i="1"/>
  <c r="Q241" i="1"/>
  <c r="P241" i="1"/>
  <c r="O241" i="1"/>
  <c r="M241" i="1"/>
  <c r="L241" i="1"/>
  <c r="K241" i="1"/>
  <c r="I241" i="1"/>
  <c r="H241" i="1"/>
  <c r="G241" i="1"/>
  <c r="E241" i="1"/>
  <c r="D241" i="1"/>
  <c r="C241" i="1"/>
  <c r="Q240" i="1"/>
  <c r="P240" i="1"/>
  <c r="O240" i="1"/>
  <c r="M240" i="1"/>
  <c r="L240" i="1"/>
  <c r="K240" i="1"/>
  <c r="I240" i="1"/>
  <c r="H240" i="1"/>
  <c r="G240" i="1"/>
  <c r="E240" i="1"/>
  <c r="D240" i="1"/>
  <c r="C240" i="1"/>
  <c r="Q239" i="1"/>
  <c r="P239" i="1"/>
  <c r="O239" i="1"/>
  <c r="M239" i="1"/>
  <c r="L239" i="1"/>
  <c r="K239" i="1"/>
  <c r="I239" i="1"/>
  <c r="H239" i="1"/>
  <c r="G239" i="1"/>
  <c r="E239" i="1"/>
  <c r="D239" i="1"/>
  <c r="C239" i="1"/>
  <c r="Q238" i="1"/>
  <c r="P238" i="1"/>
  <c r="O238" i="1"/>
  <c r="M238" i="1"/>
  <c r="L238" i="1"/>
  <c r="K238" i="1"/>
  <c r="I238" i="1"/>
  <c r="H238" i="1"/>
  <c r="G238" i="1"/>
  <c r="E238" i="1"/>
  <c r="D238" i="1"/>
  <c r="C238" i="1"/>
  <c r="Q237" i="1"/>
  <c r="P237" i="1"/>
  <c r="O237" i="1"/>
  <c r="M237" i="1"/>
  <c r="L237" i="1"/>
  <c r="K237" i="1"/>
  <c r="I237" i="1"/>
  <c r="H237" i="1"/>
  <c r="G237" i="1"/>
  <c r="E237" i="1"/>
  <c r="D237" i="1"/>
  <c r="C237" i="1"/>
  <c r="Q236" i="1"/>
  <c r="P236" i="1"/>
  <c r="O236" i="1"/>
  <c r="M236" i="1"/>
  <c r="L236" i="1"/>
  <c r="K236" i="1"/>
  <c r="I236" i="1"/>
  <c r="H236" i="1"/>
  <c r="G236" i="1"/>
  <c r="E236" i="1"/>
  <c r="D236" i="1"/>
  <c r="C236" i="1"/>
  <c r="Q235" i="1"/>
  <c r="P235" i="1"/>
  <c r="O235" i="1"/>
  <c r="M235" i="1"/>
  <c r="L235" i="1"/>
  <c r="K235" i="1"/>
  <c r="I235" i="1"/>
  <c r="H235" i="1"/>
  <c r="G235" i="1"/>
  <c r="E235" i="1"/>
  <c r="D235" i="1"/>
  <c r="C235" i="1"/>
  <c r="Q234" i="1"/>
  <c r="P234" i="1"/>
  <c r="O234" i="1"/>
  <c r="M234" i="1"/>
  <c r="L234" i="1"/>
  <c r="K234" i="1"/>
  <c r="I234" i="1"/>
  <c r="H234" i="1"/>
  <c r="G234" i="1"/>
  <c r="E234" i="1"/>
  <c r="D234" i="1"/>
  <c r="C234" i="1"/>
  <c r="Q233" i="1"/>
  <c r="P233" i="1"/>
  <c r="O233" i="1"/>
  <c r="M233" i="1"/>
  <c r="L233" i="1"/>
  <c r="K233" i="1"/>
  <c r="I233" i="1"/>
  <c r="H233" i="1"/>
  <c r="G233" i="1"/>
  <c r="E233" i="1"/>
  <c r="D233" i="1"/>
  <c r="C233" i="1"/>
  <c r="Q232" i="1"/>
  <c r="P232" i="1"/>
  <c r="O232" i="1"/>
  <c r="M232" i="1"/>
  <c r="L232" i="1"/>
  <c r="K232" i="1"/>
  <c r="I232" i="1"/>
  <c r="H232" i="1"/>
  <c r="G232" i="1"/>
  <c r="E232" i="1"/>
  <c r="D232" i="1"/>
  <c r="C232" i="1"/>
  <c r="Q231" i="1"/>
  <c r="P231" i="1"/>
  <c r="O231" i="1"/>
  <c r="M231" i="1"/>
  <c r="L231" i="1"/>
  <c r="K231" i="1"/>
  <c r="I231" i="1"/>
  <c r="H231" i="1"/>
  <c r="G231" i="1"/>
  <c r="E231" i="1"/>
  <c r="D231" i="1"/>
  <c r="C231" i="1"/>
  <c r="Q230" i="1"/>
  <c r="P230" i="1"/>
  <c r="O230" i="1"/>
  <c r="M230" i="1"/>
  <c r="L230" i="1"/>
  <c r="K230" i="1"/>
  <c r="I230" i="1"/>
  <c r="H230" i="1"/>
  <c r="G230" i="1"/>
  <c r="E230" i="1"/>
  <c r="D230" i="1"/>
  <c r="C230" i="1"/>
  <c r="Q229" i="1"/>
  <c r="P229" i="1"/>
  <c r="O229" i="1"/>
  <c r="M229" i="1"/>
  <c r="L229" i="1"/>
  <c r="K229" i="1"/>
  <c r="I229" i="1"/>
  <c r="H229" i="1"/>
  <c r="G229" i="1"/>
  <c r="E229" i="1"/>
  <c r="D229" i="1"/>
  <c r="C229" i="1"/>
  <c r="Q228" i="1"/>
  <c r="P228" i="1"/>
  <c r="O228" i="1"/>
  <c r="M228" i="1"/>
  <c r="L228" i="1"/>
  <c r="K228" i="1"/>
  <c r="I228" i="1"/>
  <c r="H228" i="1"/>
  <c r="G228" i="1"/>
  <c r="E228" i="1"/>
  <c r="D228" i="1"/>
  <c r="C228" i="1"/>
  <c r="Q227" i="1"/>
  <c r="P227" i="1"/>
  <c r="O227" i="1"/>
  <c r="M227" i="1"/>
  <c r="L227" i="1"/>
  <c r="K227" i="1"/>
  <c r="I227" i="1"/>
  <c r="H227" i="1"/>
  <c r="G227" i="1"/>
  <c r="E227" i="1"/>
  <c r="D227" i="1"/>
  <c r="C227" i="1"/>
  <c r="Q226" i="1"/>
  <c r="P226" i="1"/>
  <c r="O226" i="1"/>
  <c r="M226" i="1"/>
  <c r="L226" i="1"/>
  <c r="K226" i="1"/>
  <c r="I226" i="1"/>
  <c r="H226" i="1"/>
  <c r="G226" i="1"/>
  <c r="E226" i="1"/>
  <c r="D226" i="1"/>
  <c r="C226" i="1"/>
  <c r="Q225" i="1"/>
  <c r="P225" i="1"/>
  <c r="O225" i="1"/>
  <c r="M225" i="1"/>
  <c r="L225" i="1"/>
  <c r="K225" i="1"/>
  <c r="I225" i="1"/>
  <c r="H225" i="1"/>
  <c r="G225" i="1"/>
  <c r="E225" i="1"/>
  <c r="D225" i="1"/>
  <c r="C225" i="1"/>
  <c r="Q224" i="1"/>
  <c r="P224" i="1"/>
  <c r="O224" i="1"/>
  <c r="M224" i="1"/>
  <c r="L224" i="1"/>
  <c r="K224" i="1"/>
  <c r="I224" i="1"/>
  <c r="H224" i="1"/>
  <c r="G224" i="1"/>
  <c r="E224" i="1"/>
  <c r="D224" i="1"/>
  <c r="C224" i="1"/>
  <c r="Q223" i="1"/>
  <c r="P223" i="1"/>
  <c r="O223" i="1"/>
  <c r="M223" i="1"/>
  <c r="L223" i="1"/>
  <c r="K223" i="1"/>
  <c r="I223" i="1"/>
  <c r="H223" i="1"/>
  <c r="G223" i="1"/>
  <c r="E223" i="1"/>
  <c r="D223" i="1"/>
  <c r="C223" i="1"/>
  <c r="Q222" i="1"/>
  <c r="P222" i="1"/>
  <c r="O222" i="1"/>
  <c r="M222" i="1"/>
  <c r="L222" i="1"/>
  <c r="K222" i="1"/>
  <c r="I222" i="1"/>
  <c r="H222" i="1"/>
  <c r="G222" i="1"/>
  <c r="E222" i="1"/>
  <c r="D222" i="1"/>
  <c r="C222" i="1"/>
  <c r="Q221" i="1"/>
  <c r="P221" i="1"/>
  <c r="O221" i="1"/>
  <c r="M221" i="1"/>
  <c r="L221" i="1"/>
  <c r="K221" i="1"/>
  <c r="I221" i="1"/>
  <c r="H221" i="1"/>
  <c r="G221" i="1"/>
  <c r="E221" i="1"/>
  <c r="D221" i="1"/>
  <c r="C221" i="1"/>
  <c r="Q220" i="1"/>
  <c r="P220" i="1"/>
  <c r="O220" i="1"/>
  <c r="M220" i="1"/>
  <c r="L220" i="1"/>
  <c r="K220" i="1"/>
  <c r="I220" i="1"/>
  <c r="H220" i="1"/>
  <c r="G220" i="1"/>
  <c r="E220" i="1"/>
  <c r="D220" i="1"/>
  <c r="C220" i="1"/>
  <c r="Q219" i="1"/>
  <c r="P219" i="1"/>
  <c r="O219" i="1"/>
  <c r="M219" i="1"/>
  <c r="L219" i="1"/>
  <c r="K219" i="1"/>
  <c r="I219" i="1"/>
  <c r="H219" i="1"/>
  <c r="G219" i="1"/>
  <c r="E219" i="1"/>
  <c r="D219" i="1"/>
  <c r="C219" i="1"/>
  <c r="Q218" i="1"/>
  <c r="P218" i="1"/>
  <c r="O218" i="1"/>
  <c r="M218" i="1"/>
  <c r="L218" i="1"/>
  <c r="K218" i="1"/>
  <c r="I218" i="1"/>
  <c r="H218" i="1"/>
  <c r="G218" i="1"/>
  <c r="E218" i="1"/>
  <c r="D218" i="1"/>
  <c r="C218" i="1"/>
  <c r="Q217" i="1"/>
  <c r="P217" i="1"/>
  <c r="O217" i="1"/>
  <c r="M217" i="1"/>
  <c r="L217" i="1"/>
  <c r="K217" i="1"/>
  <c r="I217" i="1"/>
  <c r="H217" i="1"/>
  <c r="G217" i="1"/>
  <c r="E217" i="1"/>
  <c r="D217" i="1"/>
  <c r="C217" i="1"/>
  <c r="Q216" i="1"/>
  <c r="P216" i="1"/>
  <c r="O216" i="1"/>
  <c r="M216" i="1"/>
  <c r="L216" i="1"/>
  <c r="K216" i="1"/>
  <c r="I216" i="1"/>
  <c r="H216" i="1"/>
  <c r="G216" i="1"/>
  <c r="E216" i="1"/>
  <c r="D216" i="1"/>
  <c r="C216" i="1"/>
  <c r="Q215" i="1"/>
  <c r="P215" i="1"/>
  <c r="O215" i="1"/>
  <c r="M215" i="1"/>
  <c r="L215" i="1"/>
  <c r="K215" i="1"/>
  <c r="I215" i="1"/>
  <c r="H215" i="1"/>
  <c r="G215" i="1"/>
  <c r="E215" i="1"/>
  <c r="D215" i="1"/>
  <c r="C215" i="1"/>
  <c r="Q214" i="1"/>
  <c r="P214" i="1"/>
  <c r="O214" i="1"/>
  <c r="M214" i="1"/>
  <c r="L214" i="1"/>
  <c r="K214" i="1"/>
  <c r="I214" i="1"/>
  <c r="H214" i="1"/>
  <c r="G214" i="1"/>
  <c r="E214" i="1"/>
  <c r="D214" i="1"/>
  <c r="C214" i="1"/>
  <c r="Q213" i="1"/>
  <c r="P213" i="1"/>
  <c r="O213" i="1"/>
  <c r="M213" i="1"/>
  <c r="L213" i="1"/>
  <c r="K213" i="1"/>
  <c r="I213" i="1"/>
  <c r="H213" i="1"/>
  <c r="G213" i="1"/>
  <c r="E213" i="1"/>
  <c r="D213" i="1"/>
  <c r="C213" i="1"/>
  <c r="Q212" i="1"/>
  <c r="P212" i="1"/>
  <c r="O212" i="1"/>
  <c r="M212" i="1"/>
  <c r="L212" i="1"/>
  <c r="K212" i="1"/>
  <c r="I212" i="1"/>
  <c r="H212" i="1"/>
  <c r="G212" i="1"/>
  <c r="E212" i="1"/>
  <c r="D212" i="1"/>
  <c r="C212" i="1"/>
  <c r="Q211" i="1"/>
  <c r="P211" i="1"/>
  <c r="O211" i="1"/>
  <c r="M211" i="1"/>
  <c r="L211" i="1"/>
  <c r="K211" i="1"/>
  <c r="I211" i="1"/>
  <c r="H211" i="1"/>
  <c r="G211" i="1"/>
  <c r="E211" i="1"/>
  <c r="D211" i="1"/>
  <c r="C211" i="1"/>
  <c r="Q210" i="1"/>
  <c r="P210" i="1"/>
  <c r="O210" i="1"/>
  <c r="M210" i="1"/>
  <c r="L210" i="1"/>
  <c r="K210" i="1"/>
  <c r="I210" i="1"/>
  <c r="H210" i="1"/>
  <c r="G210" i="1"/>
  <c r="E210" i="1"/>
  <c r="D210" i="1"/>
  <c r="C210" i="1"/>
  <c r="Q209" i="1"/>
  <c r="P209" i="1"/>
  <c r="O209" i="1"/>
  <c r="M209" i="1"/>
  <c r="L209" i="1"/>
  <c r="K209" i="1"/>
  <c r="I209" i="1"/>
  <c r="H209" i="1"/>
  <c r="G209" i="1"/>
  <c r="E209" i="1"/>
  <c r="D209" i="1"/>
  <c r="C209" i="1"/>
  <c r="Q208" i="1"/>
  <c r="P208" i="1"/>
  <c r="O208" i="1"/>
  <c r="M208" i="1"/>
  <c r="L208" i="1"/>
  <c r="K208" i="1"/>
  <c r="I208" i="1"/>
  <c r="H208" i="1"/>
  <c r="G208" i="1"/>
  <c r="E208" i="1"/>
  <c r="D208" i="1"/>
  <c r="C208" i="1"/>
  <c r="Q207" i="1"/>
  <c r="P207" i="1"/>
  <c r="O207" i="1"/>
  <c r="M207" i="1"/>
  <c r="L207" i="1"/>
  <c r="K207" i="1"/>
  <c r="I207" i="1"/>
  <c r="H207" i="1"/>
  <c r="G207" i="1"/>
  <c r="E207" i="1"/>
  <c r="D207" i="1"/>
  <c r="C207" i="1"/>
  <c r="Q206" i="1"/>
  <c r="P206" i="1"/>
  <c r="O206" i="1"/>
  <c r="M206" i="1"/>
  <c r="L206" i="1"/>
  <c r="K206" i="1"/>
  <c r="I206" i="1"/>
  <c r="H206" i="1"/>
  <c r="G206" i="1"/>
  <c r="E206" i="1"/>
  <c r="D206" i="1"/>
  <c r="C206" i="1"/>
  <c r="Q205" i="1"/>
  <c r="P205" i="1"/>
  <c r="O205" i="1"/>
  <c r="M205" i="1"/>
  <c r="L205" i="1"/>
  <c r="K205" i="1"/>
  <c r="I205" i="1"/>
  <c r="H205" i="1"/>
  <c r="G205" i="1"/>
  <c r="E205" i="1"/>
  <c r="D205" i="1"/>
  <c r="C205" i="1"/>
  <c r="Q204" i="1"/>
  <c r="P204" i="1"/>
  <c r="O204" i="1"/>
  <c r="M204" i="1"/>
  <c r="L204" i="1"/>
  <c r="K204" i="1"/>
  <c r="I204" i="1"/>
  <c r="H204" i="1"/>
  <c r="G204" i="1"/>
  <c r="E204" i="1"/>
  <c r="D204" i="1"/>
  <c r="C204" i="1"/>
  <c r="Q203" i="1"/>
  <c r="P203" i="1"/>
  <c r="O203" i="1"/>
  <c r="M203" i="1"/>
  <c r="L203" i="1"/>
  <c r="K203" i="1"/>
  <c r="I203" i="1"/>
  <c r="H203" i="1"/>
  <c r="G203" i="1"/>
  <c r="E203" i="1"/>
  <c r="D203" i="1"/>
  <c r="C203" i="1"/>
  <c r="Q202" i="1"/>
  <c r="P202" i="1"/>
  <c r="O202" i="1"/>
  <c r="M202" i="1"/>
  <c r="L202" i="1"/>
  <c r="K202" i="1"/>
  <c r="I202" i="1"/>
  <c r="H202" i="1"/>
  <c r="G202" i="1"/>
  <c r="E202" i="1"/>
  <c r="D202" i="1"/>
  <c r="C202" i="1"/>
  <c r="Q201" i="1"/>
  <c r="P201" i="1"/>
  <c r="O201" i="1"/>
  <c r="M201" i="1"/>
  <c r="L201" i="1"/>
  <c r="K201" i="1"/>
  <c r="I201" i="1"/>
  <c r="H201" i="1"/>
  <c r="G201" i="1"/>
  <c r="E201" i="1"/>
  <c r="D201" i="1"/>
  <c r="C201" i="1"/>
  <c r="Q200" i="1"/>
  <c r="P200" i="1"/>
  <c r="O200" i="1"/>
  <c r="M200" i="1"/>
  <c r="L200" i="1"/>
  <c r="K200" i="1"/>
  <c r="I200" i="1"/>
  <c r="H200" i="1"/>
  <c r="G200" i="1"/>
  <c r="E200" i="1"/>
  <c r="D200" i="1"/>
  <c r="C200" i="1"/>
  <c r="Q199" i="1"/>
  <c r="P199" i="1"/>
  <c r="O199" i="1"/>
  <c r="M199" i="1"/>
  <c r="L199" i="1"/>
  <c r="K199" i="1"/>
  <c r="I199" i="1"/>
  <c r="H199" i="1"/>
  <c r="G199" i="1"/>
  <c r="E199" i="1"/>
  <c r="D199" i="1"/>
  <c r="C199" i="1"/>
  <c r="Q198" i="1"/>
  <c r="P198" i="1"/>
  <c r="O198" i="1"/>
  <c r="M198" i="1"/>
  <c r="L198" i="1"/>
  <c r="K198" i="1"/>
  <c r="I198" i="1"/>
  <c r="H198" i="1"/>
  <c r="G198" i="1"/>
  <c r="E198" i="1"/>
  <c r="D198" i="1"/>
  <c r="C198" i="1"/>
  <c r="Q197" i="1"/>
  <c r="P197" i="1"/>
  <c r="O197" i="1"/>
  <c r="M197" i="1"/>
  <c r="L197" i="1"/>
  <c r="K197" i="1"/>
  <c r="I197" i="1"/>
  <c r="H197" i="1"/>
  <c r="G197" i="1"/>
  <c r="E197" i="1"/>
  <c r="D197" i="1"/>
  <c r="C197" i="1"/>
  <c r="Q196" i="1"/>
  <c r="P196" i="1"/>
  <c r="O196" i="1"/>
  <c r="M196" i="1"/>
  <c r="L196" i="1"/>
  <c r="K196" i="1"/>
  <c r="I196" i="1"/>
  <c r="H196" i="1"/>
  <c r="G196" i="1"/>
  <c r="E196" i="1"/>
  <c r="D196" i="1"/>
  <c r="C196" i="1"/>
  <c r="Q195" i="1"/>
  <c r="P195" i="1"/>
  <c r="O195" i="1"/>
  <c r="M195" i="1"/>
  <c r="L195" i="1"/>
  <c r="K195" i="1"/>
  <c r="I195" i="1"/>
  <c r="H195" i="1"/>
  <c r="G195" i="1"/>
  <c r="E195" i="1"/>
  <c r="D195" i="1"/>
  <c r="C195" i="1"/>
  <c r="Q194" i="1"/>
  <c r="P194" i="1"/>
  <c r="O194" i="1"/>
  <c r="M194" i="1"/>
  <c r="L194" i="1"/>
  <c r="K194" i="1"/>
  <c r="I194" i="1"/>
  <c r="H194" i="1"/>
  <c r="G194" i="1"/>
  <c r="E194" i="1"/>
  <c r="D194" i="1"/>
  <c r="C194" i="1"/>
  <c r="Q193" i="1"/>
  <c r="P193" i="1"/>
  <c r="O193" i="1"/>
  <c r="M193" i="1"/>
  <c r="L193" i="1"/>
  <c r="K193" i="1"/>
  <c r="I193" i="1"/>
  <c r="H193" i="1"/>
  <c r="G193" i="1"/>
  <c r="E193" i="1"/>
  <c r="D193" i="1"/>
  <c r="C193" i="1"/>
  <c r="Q192" i="1"/>
  <c r="P192" i="1"/>
  <c r="O192" i="1"/>
  <c r="M192" i="1"/>
  <c r="L192" i="1"/>
  <c r="K192" i="1"/>
  <c r="I192" i="1"/>
  <c r="H192" i="1"/>
  <c r="G192" i="1"/>
  <c r="E192" i="1"/>
  <c r="D192" i="1"/>
  <c r="C192" i="1"/>
  <c r="Q191" i="1"/>
  <c r="P191" i="1"/>
  <c r="O191" i="1"/>
  <c r="M191" i="1"/>
  <c r="L191" i="1"/>
  <c r="K191" i="1"/>
  <c r="I191" i="1"/>
  <c r="H191" i="1"/>
  <c r="G191" i="1"/>
  <c r="E191" i="1"/>
  <c r="D191" i="1"/>
  <c r="C191" i="1"/>
  <c r="Q190" i="1"/>
  <c r="P190" i="1"/>
  <c r="O190" i="1"/>
  <c r="M190" i="1"/>
  <c r="L190" i="1"/>
  <c r="K190" i="1"/>
  <c r="I190" i="1"/>
  <c r="H190" i="1"/>
  <c r="G190" i="1"/>
  <c r="E190" i="1"/>
  <c r="D190" i="1"/>
  <c r="C190" i="1"/>
  <c r="Q189" i="1"/>
  <c r="P189" i="1"/>
  <c r="O189" i="1"/>
  <c r="M189" i="1"/>
  <c r="L189" i="1"/>
  <c r="K189" i="1"/>
  <c r="I189" i="1"/>
  <c r="H189" i="1"/>
  <c r="G189" i="1"/>
  <c r="E189" i="1"/>
  <c r="D189" i="1"/>
  <c r="C189" i="1"/>
  <c r="Q188" i="1"/>
  <c r="P188" i="1"/>
  <c r="O188" i="1"/>
  <c r="M188" i="1"/>
  <c r="L188" i="1"/>
  <c r="K188" i="1"/>
  <c r="I188" i="1"/>
  <c r="H188" i="1"/>
  <c r="G188" i="1"/>
  <c r="E188" i="1"/>
  <c r="D188" i="1"/>
  <c r="C188" i="1"/>
  <c r="Q187" i="1"/>
  <c r="P187" i="1"/>
  <c r="O187" i="1"/>
  <c r="M187" i="1"/>
  <c r="L187" i="1"/>
  <c r="K187" i="1"/>
  <c r="I187" i="1"/>
  <c r="H187" i="1"/>
  <c r="G187" i="1"/>
  <c r="E187" i="1"/>
  <c r="D187" i="1"/>
  <c r="C187" i="1"/>
  <c r="Q186" i="1"/>
  <c r="P186" i="1"/>
  <c r="O186" i="1"/>
  <c r="M186" i="1"/>
  <c r="L186" i="1"/>
  <c r="K186" i="1"/>
  <c r="I186" i="1"/>
  <c r="H186" i="1"/>
  <c r="G186" i="1"/>
  <c r="E186" i="1"/>
  <c r="D186" i="1"/>
  <c r="C186" i="1"/>
  <c r="Q185" i="1"/>
  <c r="P185" i="1"/>
  <c r="O185" i="1"/>
  <c r="M185" i="1"/>
  <c r="L185" i="1"/>
  <c r="K185" i="1"/>
  <c r="I185" i="1"/>
  <c r="H185" i="1"/>
  <c r="G185" i="1"/>
  <c r="E185" i="1"/>
  <c r="D185" i="1"/>
  <c r="C185" i="1"/>
  <c r="Q184" i="1"/>
  <c r="P184" i="1"/>
  <c r="O184" i="1"/>
  <c r="M184" i="1"/>
  <c r="L184" i="1"/>
  <c r="K184" i="1"/>
  <c r="I184" i="1"/>
  <c r="H184" i="1"/>
  <c r="G184" i="1"/>
  <c r="E184" i="1"/>
  <c r="D184" i="1"/>
  <c r="C184" i="1"/>
  <c r="Q183" i="1"/>
  <c r="P183" i="1"/>
  <c r="O183" i="1"/>
  <c r="M183" i="1"/>
  <c r="L183" i="1"/>
  <c r="K183" i="1"/>
  <c r="I183" i="1"/>
  <c r="H183" i="1"/>
  <c r="G183" i="1"/>
  <c r="E183" i="1"/>
  <c r="D183" i="1"/>
  <c r="C183" i="1"/>
  <c r="Q182" i="1"/>
  <c r="P182" i="1"/>
  <c r="O182" i="1"/>
  <c r="M182" i="1"/>
  <c r="L182" i="1"/>
  <c r="K182" i="1"/>
  <c r="I182" i="1"/>
  <c r="H182" i="1"/>
  <c r="G182" i="1"/>
  <c r="E182" i="1"/>
  <c r="D182" i="1"/>
  <c r="C182" i="1"/>
  <c r="Q181" i="1"/>
  <c r="P181" i="1"/>
  <c r="O181" i="1"/>
  <c r="M181" i="1"/>
  <c r="L181" i="1"/>
  <c r="K181" i="1"/>
  <c r="I181" i="1"/>
  <c r="H181" i="1"/>
  <c r="G181" i="1"/>
  <c r="E181" i="1"/>
  <c r="D181" i="1"/>
  <c r="C181" i="1"/>
  <c r="Q180" i="1"/>
  <c r="P180" i="1"/>
  <c r="O180" i="1"/>
  <c r="M180" i="1"/>
  <c r="L180" i="1"/>
  <c r="K180" i="1"/>
  <c r="I180" i="1"/>
  <c r="H180" i="1"/>
  <c r="G180" i="1"/>
  <c r="E180" i="1"/>
  <c r="D180" i="1"/>
  <c r="C180" i="1"/>
  <c r="Q179" i="1"/>
  <c r="P179" i="1"/>
  <c r="O179" i="1"/>
  <c r="M179" i="1"/>
  <c r="L179" i="1"/>
  <c r="K179" i="1"/>
  <c r="I179" i="1"/>
  <c r="H179" i="1"/>
  <c r="G179" i="1"/>
  <c r="E179" i="1"/>
  <c r="D179" i="1"/>
  <c r="C179" i="1"/>
  <c r="Q178" i="1"/>
  <c r="P178" i="1"/>
  <c r="O178" i="1"/>
  <c r="M178" i="1"/>
  <c r="L178" i="1"/>
  <c r="K178" i="1"/>
  <c r="I178" i="1"/>
  <c r="H178" i="1"/>
  <c r="G178" i="1"/>
  <c r="E178" i="1"/>
  <c r="D178" i="1"/>
  <c r="C178" i="1"/>
  <c r="Q177" i="1"/>
  <c r="P177" i="1"/>
  <c r="O177" i="1"/>
  <c r="M177" i="1"/>
  <c r="L177" i="1"/>
  <c r="K177" i="1"/>
  <c r="I177" i="1"/>
  <c r="H177" i="1"/>
  <c r="G177" i="1"/>
  <c r="E177" i="1"/>
  <c r="D177" i="1"/>
  <c r="C177" i="1"/>
  <c r="Q176" i="1"/>
  <c r="P176" i="1"/>
  <c r="O176" i="1"/>
  <c r="M176" i="1"/>
  <c r="L176" i="1"/>
  <c r="K176" i="1"/>
  <c r="I176" i="1"/>
  <c r="H176" i="1"/>
  <c r="G176" i="1"/>
  <c r="E176" i="1"/>
  <c r="D176" i="1"/>
  <c r="C176" i="1"/>
  <c r="Q175" i="1"/>
  <c r="P175" i="1"/>
  <c r="O175" i="1"/>
  <c r="M175" i="1"/>
  <c r="L175" i="1"/>
  <c r="K175" i="1"/>
  <c r="I175" i="1"/>
  <c r="H175" i="1"/>
  <c r="G175" i="1"/>
  <c r="E175" i="1"/>
  <c r="D175" i="1"/>
  <c r="C175" i="1"/>
  <c r="Q174" i="1"/>
  <c r="P174" i="1"/>
  <c r="O174" i="1"/>
  <c r="M174" i="1"/>
  <c r="L174" i="1"/>
  <c r="K174" i="1"/>
  <c r="I174" i="1"/>
  <c r="H174" i="1"/>
  <c r="G174" i="1"/>
  <c r="E174" i="1"/>
  <c r="D174" i="1"/>
  <c r="C174" i="1"/>
  <c r="Q173" i="1"/>
  <c r="P173" i="1"/>
  <c r="O173" i="1"/>
  <c r="M173" i="1"/>
  <c r="L173" i="1"/>
  <c r="K173" i="1"/>
  <c r="I173" i="1"/>
  <c r="H173" i="1"/>
  <c r="G173" i="1"/>
  <c r="E173" i="1"/>
  <c r="D173" i="1"/>
  <c r="C173" i="1"/>
  <c r="Q172" i="1"/>
  <c r="P172" i="1"/>
  <c r="O172" i="1"/>
  <c r="M172" i="1"/>
  <c r="L172" i="1"/>
  <c r="K172" i="1"/>
  <c r="I172" i="1"/>
  <c r="H172" i="1"/>
  <c r="G172" i="1"/>
  <c r="E172" i="1"/>
  <c r="D172" i="1"/>
  <c r="C172" i="1"/>
  <c r="Q171" i="1"/>
  <c r="P171" i="1"/>
  <c r="O171" i="1"/>
  <c r="M171" i="1"/>
  <c r="L171" i="1"/>
  <c r="K171" i="1"/>
  <c r="I171" i="1"/>
  <c r="H171" i="1"/>
  <c r="G171" i="1"/>
  <c r="E171" i="1"/>
  <c r="D171" i="1"/>
  <c r="C171" i="1"/>
  <c r="Q170" i="1"/>
  <c r="P170" i="1"/>
  <c r="O170" i="1"/>
  <c r="M170" i="1"/>
  <c r="L170" i="1"/>
  <c r="K170" i="1"/>
  <c r="I170" i="1"/>
  <c r="H170" i="1"/>
  <c r="G170" i="1"/>
  <c r="E170" i="1"/>
  <c r="D170" i="1"/>
  <c r="C170" i="1"/>
  <c r="Q169" i="1"/>
  <c r="P169" i="1"/>
  <c r="O169" i="1"/>
  <c r="M169" i="1"/>
  <c r="L169" i="1"/>
  <c r="K169" i="1"/>
  <c r="I169" i="1"/>
  <c r="H169" i="1"/>
  <c r="G169" i="1"/>
  <c r="E169" i="1"/>
  <c r="D169" i="1"/>
  <c r="C169" i="1"/>
  <c r="Q168" i="1"/>
  <c r="P168" i="1"/>
  <c r="O168" i="1"/>
  <c r="M168" i="1"/>
  <c r="L168" i="1"/>
  <c r="K168" i="1"/>
  <c r="I168" i="1"/>
  <c r="H168" i="1"/>
  <c r="G168" i="1"/>
  <c r="E168" i="1"/>
  <c r="D168" i="1"/>
  <c r="C168" i="1"/>
  <c r="Q167" i="1"/>
  <c r="P167" i="1"/>
  <c r="O167" i="1"/>
  <c r="M167" i="1"/>
  <c r="L167" i="1"/>
  <c r="K167" i="1"/>
  <c r="I167" i="1"/>
  <c r="H167" i="1"/>
  <c r="G167" i="1"/>
  <c r="E167" i="1"/>
  <c r="D167" i="1"/>
  <c r="C167" i="1"/>
  <c r="Q166" i="1"/>
  <c r="P166" i="1"/>
  <c r="O166" i="1"/>
  <c r="M166" i="1"/>
  <c r="L166" i="1"/>
  <c r="K166" i="1"/>
  <c r="I166" i="1"/>
  <c r="H166" i="1"/>
  <c r="G166" i="1"/>
  <c r="E166" i="1"/>
  <c r="D166" i="1"/>
  <c r="C166" i="1"/>
  <c r="Q165" i="1"/>
  <c r="P165" i="1"/>
  <c r="O165" i="1"/>
  <c r="M165" i="1"/>
  <c r="L165" i="1"/>
  <c r="K165" i="1"/>
  <c r="I165" i="1"/>
  <c r="H165" i="1"/>
  <c r="G165" i="1"/>
  <c r="E165" i="1"/>
  <c r="D165" i="1"/>
  <c r="C165" i="1"/>
  <c r="Q164" i="1"/>
  <c r="P164" i="1"/>
  <c r="O164" i="1"/>
  <c r="M164" i="1"/>
  <c r="L164" i="1"/>
  <c r="K164" i="1"/>
  <c r="I164" i="1"/>
  <c r="H164" i="1"/>
  <c r="G164" i="1"/>
  <c r="E164" i="1"/>
  <c r="D164" i="1"/>
  <c r="C164" i="1"/>
  <c r="Q163" i="1"/>
  <c r="P163" i="1"/>
  <c r="O163" i="1"/>
  <c r="M163" i="1"/>
  <c r="L163" i="1"/>
  <c r="K163" i="1"/>
  <c r="I163" i="1"/>
  <c r="H163" i="1"/>
  <c r="G163" i="1"/>
  <c r="E163" i="1"/>
  <c r="D163" i="1"/>
  <c r="C163" i="1"/>
  <c r="Q162" i="1"/>
  <c r="P162" i="1"/>
  <c r="O162" i="1"/>
  <c r="M162" i="1"/>
  <c r="L162" i="1"/>
  <c r="K162" i="1"/>
  <c r="I162" i="1"/>
  <c r="H162" i="1"/>
  <c r="G162" i="1"/>
  <c r="E162" i="1"/>
  <c r="D162" i="1"/>
  <c r="C162" i="1"/>
  <c r="Q161" i="1"/>
  <c r="P161" i="1"/>
  <c r="O161" i="1"/>
  <c r="M161" i="1"/>
  <c r="L161" i="1"/>
  <c r="K161" i="1"/>
  <c r="I161" i="1"/>
  <c r="H161" i="1"/>
  <c r="G161" i="1"/>
  <c r="E161" i="1"/>
  <c r="D161" i="1"/>
  <c r="C161" i="1"/>
  <c r="Q160" i="1"/>
  <c r="P160" i="1"/>
  <c r="O160" i="1"/>
  <c r="M160" i="1"/>
  <c r="L160" i="1"/>
  <c r="K160" i="1"/>
  <c r="I160" i="1"/>
  <c r="H160" i="1"/>
  <c r="G160" i="1"/>
  <c r="E160" i="1"/>
  <c r="D160" i="1"/>
  <c r="C160" i="1"/>
  <c r="Q159" i="1"/>
  <c r="P159" i="1"/>
  <c r="O159" i="1"/>
  <c r="M159" i="1"/>
  <c r="L159" i="1"/>
  <c r="K159" i="1"/>
  <c r="I159" i="1"/>
  <c r="H159" i="1"/>
  <c r="G159" i="1"/>
  <c r="E159" i="1"/>
  <c r="D159" i="1"/>
  <c r="C159" i="1"/>
  <c r="Q158" i="1"/>
  <c r="P158" i="1"/>
  <c r="O158" i="1"/>
  <c r="M158" i="1"/>
  <c r="L158" i="1"/>
  <c r="K158" i="1"/>
  <c r="I158" i="1"/>
  <c r="H158" i="1"/>
  <c r="G158" i="1"/>
  <c r="E158" i="1"/>
  <c r="D158" i="1"/>
  <c r="C158" i="1"/>
  <c r="Q157" i="1"/>
  <c r="P157" i="1"/>
  <c r="O157" i="1"/>
  <c r="M157" i="1"/>
  <c r="L157" i="1"/>
  <c r="K157" i="1"/>
  <c r="I157" i="1"/>
  <c r="H157" i="1"/>
  <c r="G157" i="1"/>
  <c r="E157" i="1"/>
  <c r="D157" i="1"/>
  <c r="C157" i="1"/>
  <c r="Q156" i="1"/>
  <c r="P156" i="1"/>
  <c r="O156" i="1"/>
  <c r="M156" i="1"/>
  <c r="L156" i="1"/>
  <c r="K156" i="1"/>
  <c r="I156" i="1"/>
  <c r="H156" i="1"/>
  <c r="G156" i="1"/>
  <c r="E156" i="1"/>
  <c r="D156" i="1"/>
  <c r="C156" i="1"/>
  <c r="Q155" i="1"/>
  <c r="P155" i="1"/>
  <c r="O155" i="1"/>
  <c r="M155" i="1"/>
  <c r="L155" i="1"/>
  <c r="K155" i="1"/>
  <c r="I155" i="1"/>
  <c r="H155" i="1"/>
  <c r="G155" i="1"/>
  <c r="E155" i="1"/>
  <c r="D155" i="1"/>
  <c r="C155" i="1"/>
  <c r="Q154" i="1"/>
  <c r="P154" i="1"/>
  <c r="O154" i="1"/>
  <c r="M154" i="1"/>
  <c r="L154" i="1"/>
  <c r="K154" i="1"/>
  <c r="I154" i="1"/>
  <c r="H154" i="1"/>
  <c r="G154" i="1"/>
  <c r="E154" i="1"/>
  <c r="D154" i="1"/>
  <c r="C154" i="1"/>
  <c r="Q153" i="1"/>
  <c r="P153" i="1"/>
  <c r="O153" i="1"/>
  <c r="M153" i="1"/>
  <c r="L153" i="1"/>
  <c r="K153" i="1"/>
  <c r="I153" i="1"/>
  <c r="H153" i="1"/>
  <c r="G153" i="1"/>
  <c r="E153" i="1"/>
  <c r="D153" i="1"/>
  <c r="C153" i="1"/>
  <c r="Q152" i="1"/>
  <c r="P152" i="1"/>
  <c r="O152" i="1"/>
  <c r="M152" i="1"/>
  <c r="L152" i="1"/>
  <c r="K152" i="1"/>
  <c r="I152" i="1"/>
  <c r="H152" i="1"/>
  <c r="G152" i="1"/>
  <c r="E152" i="1"/>
  <c r="D152" i="1"/>
  <c r="C152" i="1"/>
  <c r="Q151" i="1"/>
  <c r="P151" i="1"/>
  <c r="O151" i="1"/>
  <c r="M151" i="1"/>
  <c r="L151" i="1"/>
  <c r="K151" i="1"/>
  <c r="I151" i="1"/>
  <c r="H151" i="1"/>
  <c r="G151" i="1"/>
  <c r="E151" i="1"/>
  <c r="D151" i="1"/>
  <c r="C151" i="1"/>
  <c r="Q150" i="1"/>
  <c r="P150" i="1"/>
  <c r="O150" i="1"/>
  <c r="M150" i="1"/>
  <c r="L150" i="1"/>
  <c r="K150" i="1"/>
  <c r="I150" i="1"/>
  <c r="H150" i="1"/>
  <c r="G150" i="1"/>
  <c r="E150" i="1"/>
  <c r="D150" i="1"/>
  <c r="C150" i="1"/>
  <c r="Q149" i="1"/>
  <c r="P149" i="1"/>
  <c r="O149" i="1"/>
  <c r="M149" i="1"/>
  <c r="L149" i="1"/>
  <c r="K149" i="1"/>
  <c r="I149" i="1"/>
  <c r="H149" i="1"/>
  <c r="G149" i="1"/>
  <c r="E149" i="1"/>
  <c r="D149" i="1"/>
  <c r="C149" i="1"/>
  <c r="Q148" i="1"/>
  <c r="P148" i="1"/>
  <c r="O148" i="1"/>
  <c r="M148" i="1"/>
  <c r="L148" i="1"/>
  <c r="K148" i="1"/>
  <c r="I148" i="1"/>
  <c r="H148" i="1"/>
  <c r="G148" i="1"/>
  <c r="E148" i="1"/>
  <c r="D148" i="1"/>
  <c r="C148" i="1"/>
  <c r="Q147" i="1"/>
  <c r="P147" i="1"/>
  <c r="O147" i="1"/>
  <c r="M147" i="1"/>
  <c r="L147" i="1"/>
  <c r="K147" i="1"/>
  <c r="I147" i="1"/>
  <c r="H147" i="1"/>
  <c r="G147" i="1"/>
  <c r="E147" i="1"/>
  <c r="D147" i="1"/>
  <c r="C147" i="1"/>
  <c r="Q146" i="1"/>
  <c r="P146" i="1"/>
  <c r="O146" i="1"/>
  <c r="M146" i="1"/>
  <c r="L146" i="1"/>
  <c r="K146" i="1"/>
  <c r="I146" i="1"/>
  <c r="H146" i="1"/>
  <c r="G146" i="1"/>
  <c r="E146" i="1"/>
  <c r="D146" i="1"/>
  <c r="C146" i="1"/>
  <c r="Q145" i="1"/>
  <c r="P145" i="1"/>
  <c r="O145" i="1"/>
  <c r="M145" i="1"/>
  <c r="L145" i="1"/>
  <c r="K145" i="1"/>
  <c r="I145" i="1"/>
  <c r="H145" i="1"/>
  <c r="G145" i="1"/>
  <c r="E145" i="1"/>
  <c r="D145" i="1"/>
  <c r="C145" i="1"/>
  <c r="Q144" i="1"/>
  <c r="P144" i="1"/>
  <c r="O144" i="1"/>
  <c r="M144" i="1"/>
  <c r="L144" i="1"/>
  <c r="K144" i="1"/>
  <c r="I144" i="1"/>
  <c r="H144" i="1"/>
  <c r="G144" i="1"/>
  <c r="E144" i="1"/>
  <c r="D144" i="1"/>
  <c r="C144" i="1"/>
  <c r="Q143" i="1"/>
  <c r="P143" i="1"/>
  <c r="O143" i="1"/>
  <c r="M143" i="1"/>
  <c r="L143" i="1"/>
  <c r="K143" i="1"/>
  <c r="I143" i="1"/>
  <c r="H143" i="1"/>
  <c r="G143" i="1"/>
  <c r="E143" i="1"/>
  <c r="D143" i="1"/>
  <c r="C143" i="1"/>
  <c r="Q142" i="1"/>
  <c r="P142" i="1"/>
  <c r="O142" i="1"/>
  <c r="M142" i="1"/>
  <c r="L142" i="1"/>
  <c r="K142" i="1"/>
  <c r="I142" i="1"/>
  <c r="H142" i="1"/>
  <c r="G142" i="1"/>
  <c r="E142" i="1"/>
  <c r="D142" i="1"/>
  <c r="C142" i="1"/>
  <c r="Q141" i="1"/>
  <c r="P141" i="1"/>
  <c r="O141" i="1"/>
  <c r="M141" i="1"/>
  <c r="L141" i="1"/>
  <c r="K141" i="1"/>
  <c r="I141" i="1"/>
  <c r="H141" i="1"/>
  <c r="G141" i="1"/>
  <c r="E141" i="1"/>
  <c r="D141" i="1"/>
  <c r="C141" i="1"/>
  <c r="Q140" i="1"/>
  <c r="P140" i="1"/>
  <c r="O140" i="1"/>
  <c r="M140" i="1"/>
  <c r="L140" i="1"/>
  <c r="K140" i="1"/>
  <c r="I140" i="1"/>
  <c r="H140" i="1"/>
  <c r="G140" i="1"/>
  <c r="E140" i="1"/>
  <c r="D140" i="1"/>
  <c r="C140" i="1"/>
  <c r="Q139" i="1"/>
  <c r="P139" i="1"/>
  <c r="O139" i="1"/>
  <c r="M139" i="1"/>
  <c r="L139" i="1"/>
  <c r="K139" i="1"/>
  <c r="I139" i="1"/>
  <c r="H139" i="1"/>
  <c r="G139" i="1"/>
  <c r="E139" i="1"/>
  <c r="D139" i="1"/>
  <c r="C139" i="1"/>
  <c r="Q138" i="1"/>
  <c r="P138" i="1"/>
  <c r="O138" i="1"/>
  <c r="M138" i="1"/>
  <c r="L138" i="1"/>
  <c r="K138" i="1"/>
  <c r="I138" i="1"/>
  <c r="H138" i="1"/>
  <c r="G138" i="1"/>
  <c r="E138" i="1"/>
  <c r="D138" i="1"/>
  <c r="C138" i="1"/>
  <c r="Q137" i="1"/>
  <c r="P137" i="1"/>
  <c r="O137" i="1"/>
  <c r="M137" i="1"/>
  <c r="L137" i="1"/>
  <c r="K137" i="1"/>
  <c r="I137" i="1"/>
  <c r="H137" i="1"/>
  <c r="G137" i="1"/>
  <c r="E137" i="1"/>
  <c r="D137" i="1"/>
  <c r="C137" i="1"/>
  <c r="Q136" i="1"/>
  <c r="P136" i="1"/>
  <c r="O136" i="1"/>
  <c r="M136" i="1"/>
  <c r="L136" i="1"/>
  <c r="K136" i="1"/>
  <c r="I136" i="1"/>
  <c r="H136" i="1"/>
  <c r="G136" i="1"/>
  <c r="E136" i="1"/>
  <c r="D136" i="1"/>
  <c r="C136" i="1"/>
  <c r="Q135" i="1"/>
  <c r="P135" i="1"/>
  <c r="O135" i="1"/>
  <c r="M135" i="1"/>
  <c r="L135" i="1"/>
  <c r="K135" i="1"/>
  <c r="I135" i="1"/>
  <c r="H135" i="1"/>
  <c r="G135" i="1"/>
  <c r="E135" i="1"/>
  <c r="D135" i="1"/>
  <c r="C135" i="1"/>
  <c r="Q134" i="1"/>
  <c r="P134" i="1"/>
  <c r="O134" i="1"/>
  <c r="M134" i="1"/>
  <c r="L134" i="1"/>
  <c r="K134" i="1"/>
  <c r="I134" i="1"/>
  <c r="H134" i="1"/>
  <c r="G134" i="1"/>
  <c r="E134" i="1"/>
  <c r="D134" i="1"/>
  <c r="C134" i="1"/>
  <c r="Q133" i="1"/>
  <c r="P133" i="1"/>
  <c r="O133" i="1"/>
  <c r="M133" i="1"/>
  <c r="L133" i="1"/>
  <c r="K133" i="1"/>
  <c r="I133" i="1"/>
  <c r="H133" i="1"/>
  <c r="G133" i="1"/>
  <c r="E133" i="1"/>
  <c r="D133" i="1"/>
  <c r="C133" i="1"/>
  <c r="Q132" i="1"/>
  <c r="P132" i="1"/>
  <c r="O132" i="1"/>
  <c r="M132" i="1"/>
  <c r="L132" i="1"/>
  <c r="K132" i="1"/>
  <c r="I132" i="1"/>
  <c r="H132" i="1"/>
  <c r="G132" i="1"/>
  <c r="E132" i="1"/>
  <c r="D132" i="1"/>
  <c r="C132" i="1"/>
  <c r="Q131" i="1"/>
  <c r="P131" i="1"/>
  <c r="O131" i="1"/>
  <c r="M131" i="1"/>
  <c r="L131" i="1"/>
  <c r="K131" i="1"/>
  <c r="I131" i="1"/>
  <c r="H131" i="1"/>
  <c r="G131" i="1"/>
  <c r="E131" i="1"/>
  <c r="D131" i="1"/>
  <c r="C131" i="1"/>
  <c r="Q130" i="1"/>
  <c r="P130" i="1"/>
  <c r="O130" i="1"/>
  <c r="M130" i="1"/>
  <c r="L130" i="1"/>
  <c r="K130" i="1"/>
  <c r="I130" i="1"/>
  <c r="H130" i="1"/>
  <c r="G130" i="1"/>
  <c r="E130" i="1"/>
  <c r="D130" i="1"/>
  <c r="C130" i="1"/>
  <c r="Q129" i="1"/>
  <c r="P129" i="1"/>
  <c r="O129" i="1"/>
  <c r="M129" i="1"/>
  <c r="L129" i="1"/>
  <c r="K129" i="1"/>
  <c r="I129" i="1"/>
  <c r="H129" i="1"/>
  <c r="G129" i="1"/>
  <c r="E129" i="1"/>
  <c r="D129" i="1"/>
  <c r="C129" i="1"/>
  <c r="Q128" i="1"/>
  <c r="P128" i="1"/>
  <c r="O128" i="1"/>
  <c r="M128" i="1"/>
  <c r="L128" i="1"/>
  <c r="K128" i="1"/>
  <c r="I128" i="1"/>
  <c r="H128" i="1"/>
  <c r="G128" i="1"/>
  <c r="E128" i="1"/>
  <c r="D128" i="1"/>
  <c r="C128" i="1"/>
  <c r="Q127" i="1"/>
  <c r="P127" i="1"/>
  <c r="O127" i="1"/>
  <c r="M127" i="1"/>
  <c r="L127" i="1"/>
  <c r="K127" i="1"/>
  <c r="I127" i="1"/>
  <c r="H127" i="1"/>
  <c r="G127" i="1"/>
  <c r="E127" i="1"/>
  <c r="D127" i="1"/>
  <c r="C127" i="1"/>
  <c r="Q126" i="1"/>
  <c r="P126" i="1"/>
  <c r="O126" i="1"/>
  <c r="M126" i="1"/>
  <c r="L126" i="1"/>
  <c r="K126" i="1"/>
  <c r="I126" i="1"/>
  <c r="H126" i="1"/>
  <c r="G126" i="1"/>
  <c r="E126" i="1"/>
  <c r="D126" i="1"/>
  <c r="C126" i="1"/>
  <c r="Q125" i="1"/>
  <c r="P125" i="1"/>
  <c r="O125" i="1"/>
  <c r="M125" i="1"/>
  <c r="L125" i="1"/>
  <c r="K125" i="1"/>
  <c r="I125" i="1"/>
  <c r="H125" i="1"/>
  <c r="G125" i="1"/>
  <c r="E125" i="1"/>
  <c r="D125" i="1"/>
  <c r="C125" i="1"/>
  <c r="Q124" i="1"/>
  <c r="P124" i="1"/>
  <c r="O124" i="1"/>
  <c r="M124" i="1"/>
  <c r="L124" i="1"/>
  <c r="K124" i="1"/>
  <c r="I124" i="1"/>
  <c r="H124" i="1"/>
  <c r="G124" i="1"/>
  <c r="E124" i="1"/>
  <c r="D124" i="1"/>
  <c r="C124" i="1"/>
  <c r="Q123" i="1"/>
  <c r="P123" i="1"/>
  <c r="O123" i="1"/>
  <c r="M123" i="1"/>
  <c r="L123" i="1"/>
  <c r="K123" i="1"/>
  <c r="I123" i="1"/>
  <c r="H123" i="1"/>
  <c r="G123" i="1"/>
  <c r="E123" i="1"/>
  <c r="D123" i="1"/>
  <c r="C123" i="1"/>
  <c r="Q122" i="1"/>
  <c r="P122" i="1"/>
  <c r="O122" i="1"/>
  <c r="M122" i="1"/>
  <c r="L122" i="1"/>
  <c r="K122" i="1"/>
  <c r="I122" i="1"/>
  <c r="H122" i="1"/>
  <c r="G122" i="1"/>
  <c r="E122" i="1"/>
  <c r="D122" i="1"/>
  <c r="C122" i="1"/>
  <c r="Q121" i="1"/>
  <c r="P121" i="1"/>
  <c r="O121" i="1"/>
  <c r="M121" i="1"/>
  <c r="L121" i="1"/>
  <c r="K121" i="1"/>
  <c r="I121" i="1"/>
  <c r="H121" i="1"/>
  <c r="G121" i="1"/>
  <c r="E121" i="1"/>
  <c r="D121" i="1"/>
  <c r="C121" i="1"/>
  <c r="Q120" i="1"/>
  <c r="P120" i="1"/>
  <c r="O120" i="1"/>
  <c r="M120" i="1"/>
  <c r="L120" i="1"/>
  <c r="K120" i="1"/>
  <c r="I120" i="1"/>
  <c r="H120" i="1"/>
  <c r="G120" i="1"/>
  <c r="E120" i="1"/>
  <c r="D120" i="1"/>
  <c r="C120" i="1"/>
  <c r="Q119" i="1"/>
  <c r="P119" i="1"/>
  <c r="O119" i="1"/>
  <c r="M119" i="1"/>
  <c r="L119" i="1"/>
  <c r="K119" i="1"/>
  <c r="I119" i="1"/>
  <c r="H119" i="1"/>
  <c r="G119" i="1"/>
  <c r="E119" i="1"/>
  <c r="D119" i="1"/>
  <c r="C119" i="1"/>
  <c r="Q118" i="1"/>
  <c r="P118" i="1"/>
  <c r="O118" i="1"/>
  <c r="M118" i="1"/>
  <c r="L118" i="1"/>
  <c r="K118" i="1"/>
  <c r="I118" i="1"/>
  <c r="H118" i="1"/>
  <c r="G118" i="1"/>
  <c r="E118" i="1"/>
  <c r="D118" i="1"/>
  <c r="C118" i="1"/>
  <c r="Q117" i="1"/>
  <c r="P117" i="1"/>
  <c r="O117" i="1"/>
  <c r="M117" i="1"/>
  <c r="L117" i="1"/>
  <c r="K117" i="1"/>
  <c r="I117" i="1"/>
  <c r="H117" i="1"/>
  <c r="G117" i="1"/>
  <c r="E117" i="1"/>
  <c r="D117" i="1"/>
  <c r="C117" i="1"/>
  <c r="Q116" i="1"/>
  <c r="P116" i="1"/>
  <c r="O116" i="1"/>
  <c r="M116" i="1"/>
  <c r="L116" i="1"/>
  <c r="K116" i="1"/>
  <c r="I116" i="1"/>
  <c r="H116" i="1"/>
  <c r="G116" i="1"/>
  <c r="E116" i="1"/>
  <c r="D116" i="1"/>
  <c r="C116" i="1"/>
  <c r="Q115" i="1"/>
  <c r="P115" i="1"/>
  <c r="O115" i="1"/>
  <c r="M115" i="1"/>
  <c r="L115" i="1"/>
  <c r="K115" i="1"/>
  <c r="I115" i="1"/>
  <c r="H115" i="1"/>
  <c r="G115" i="1"/>
  <c r="E115" i="1"/>
  <c r="D115" i="1"/>
  <c r="C115" i="1"/>
  <c r="Q114" i="1"/>
  <c r="P114" i="1"/>
  <c r="O114" i="1"/>
  <c r="M114" i="1"/>
  <c r="L114" i="1"/>
  <c r="K114" i="1"/>
  <c r="I114" i="1"/>
  <c r="H114" i="1"/>
  <c r="G114" i="1"/>
  <c r="E114" i="1"/>
  <c r="D114" i="1"/>
  <c r="C114" i="1"/>
  <c r="Q113" i="1"/>
  <c r="P113" i="1"/>
  <c r="O113" i="1"/>
  <c r="M113" i="1"/>
  <c r="L113" i="1"/>
  <c r="K113" i="1"/>
  <c r="I113" i="1"/>
  <c r="H113" i="1"/>
  <c r="G113" i="1"/>
  <c r="E113" i="1"/>
  <c r="D113" i="1"/>
  <c r="C113" i="1"/>
  <c r="Q112" i="1"/>
  <c r="P112" i="1"/>
  <c r="O112" i="1"/>
  <c r="M112" i="1"/>
  <c r="L112" i="1"/>
  <c r="K112" i="1"/>
  <c r="I112" i="1"/>
  <c r="H112" i="1"/>
  <c r="G112" i="1"/>
  <c r="E112" i="1"/>
  <c r="D112" i="1"/>
  <c r="C112" i="1"/>
  <c r="Q111" i="1"/>
  <c r="P111" i="1"/>
  <c r="O111" i="1"/>
  <c r="M111" i="1"/>
  <c r="L111" i="1"/>
  <c r="K111" i="1"/>
  <c r="I111" i="1"/>
  <c r="H111" i="1"/>
  <c r="G111" i="1"/>
  <c r="E111" i="1"/>
  <c r="D111" i="1"/>
  <c r="C111" i="1"/>
  <c r="Q110" i="1"/>
  <c r="P110" i="1"/>
  <c r="O110" i="1"/>
  <c r="M110" i="1"/>
  <c r="L110" i="1"/>
  <c r="K110" i="1"/>
  <c r="I110" i="1"/>
  <c r="H110" i="1"/>
  <c r="G110" i="1"/>
  <c r="E110" i="1"/>
  <c r="D110" i="1"/>
  <c r="C110" i="1"/>
  <c r="Q109" i="1"/>
  <c r="P109" i="1"/>
  <c r="O109" i="1"/>
  <c r="M109" i="1"/>
  <c r="L109" i="1"/>
  <c r="K109" i="1"/>
  <c r="I109" i="1"/>
  <c r="H109" i="1"/>
  <c r="G109" i="1"/>
  <c r="E109" i="1"/>
  <c r="D109" i="1"/>
  <c r="C109" i="1"/>
  <c r="Q108" i="1"/>
  <c r="P108" i="1"/>
  <c r="O108" i="1"/>
  <c r="M108" i="1"/>
  <c r="L108" i="1"/>
  <c r="K108" i="1"/>
  <c r="I108" i="1"/>
  <c r="H108" i="1"/>
  <c r="G108" i="1"/>
  <c r="E108" i="1"/>
  <c r="D108" i="1"/>
  <c r="C108" i="1"/>
  <c r="Q107" i="1"/>
  <c r="P107" i="1"/>
  <c r="O107" i="1"/>
  <c r="M107" i="1"/>
  <c r="L107" i="1"/>
  <c r="K107" i="1"/>
  <c r="I107" i="1"/>
  <c r="H107" i="1"/>
  <c r="G107" i="1"/>
  <c r="E107" i="1"/>
  <c r="D107" i="1"/>
  <c r="C107" i="1"/>
  <c r="Q106" i="1"/>
  <c r="P106" i="1"/>
  <c r="O106" i="1"/>
  <c r="M106" i="1"/>
  <c r="L106" i="1"/>
  <c r="K106" i="1"/>
  <c r="I106" i="1"/>
  <c r="H106" i="1"/>
  <c r="G106" i="1"/>
  <c r="E106" i="1"/>
  <c r="D106" i="1"/>
  <c r="C106" i="1"/>
  <c r="Q105" i="1"/>
  <c r="P105" i="1"/>
  <c r="O105" i="1"/>
  <c r="M105" i="1"/>
  <c r="L105" i="1"/>
  <c r="K105" i="1"/>
  <c r="I105" i="1"/>
  <c r="H105" i="1"/>
  <c r="G105" i="1"/>
  <c r="E105" i="1"/>
  <c r="D105" i="1"/>
  <c r="C105" i="1"/>
  <c r="Q104" i="1"/>
  <c r="P104" i="1"/>
  <c r="O104" i="1"/>
  <c r="M104" i="1"/>
  <c r="L104" i="1"/>
  <c r="K104" i="1"/>
  <c r="I104" i="1"/>
  <c r="H104" i="1"/>
  <c r="G104" i="1"/>
  <c r="E104" i="1"/>
  <c r="D104" i="1"/>
  <c r="C104" i="1"/>
  <c r="Q103" i="1"/>
  <c r="P103" i="1"/>
  <c r="O103" i="1"/>
  <c r="M103" i="1"/>
  <c r="L103" i="1"/>
  <c r="K103" i="1"/>
  <c r="I103" i="1"/>
  <c r="H103" i="1"/>
  <c r="G103" i="1"/>
  <c r="E103" i="1"/>
  <c r="D103" i="1"/>
  <c r="C103" i="1"/>
  <c r="Q102" i="1"/>
  <c r="P102" i="1"/>
  <c r="O102" i="1"/>
  <c r="M102" i="1"/>
  <c r="L102" i="1"/>
  <c r="K102" i="1"/>
  <c r="I102" i="1"/>
  <c r="H102" i="1"/>
  <c r="G102" i="1"/>
  <c r="E102" i="1"/>
  <c r="D102" i="1"/>
  <c r="C102" i="1"/>
  <c r="Q101" i="1"/>
  <c r="P101" i="1"/>
  <c r="O101" i="1"/>
  <c r="M101" i="1"/>
  <c r="L101" i="1"/>
  <c r="K101" i="1"/>
  <c r="I101" i="1"/>
  <c r="H101" i="1"/>
  <c r="G101" i="1"/>
  <c r="E101" i="1"/>
  <c r="D101" i="1"/>
  <c r="C101" i="1"/>
  <c r="Q100" i="1"/>
  <c r="P100" i="1"/>
  <c r="O100" i="1"/>
  <c r="M100" i="1"/>
  <c r="L100" i="1"/>
  <c r="K100" i="1"/>
  <c r="I100" i="1"/>
  <c r="H100" i="1"/>
  <c r="G100" i="1"/>
  <c r="E100" i="1"/>
  <c r="D100" i="1"/>
  <c r="C100" i="1"/>
  <c r="Q99" i="1"/>
  <c r="P99" i="1"/>
  <c r="O99" i="1"/>
  <c r="M99" i="1"/>
  <c r="L99" i="1"/>
  <c r="K99" i="1"/>
  <c r="I99" i="1"/>
  <c r="H99" i="1"/>
  <c r="G99" i="1"/>
  <c r="E99" i="1"/>
  <c r="D99" i="1"/>
  <c r="C99" i="1"/>
  <c r="Q98" i="1"/>
  <c r="P98" i="1"/>
  <c r="O98" i="1"/>
  <c r="M98" i="1"/>
  <c r="L98" i="1"/>
  <c r="K98" i="1"/>
  <c r="I98" i="1"/>
  <c r="H98" i="1"/>
  <c r="G98" i="1"/>
  <c r="E98" i="1"/>
  <c r="D98" i="1"/>
  <c r="C98" i="1"/>
  <c r="Q97" i="1"/>
  <c r="P97" i="1"/>
  <c r="O97" i="1"/>
  <c r="M97" i="1"/>
  <c r="L97" i="1"/>
  <c r="K97" i="1"/>
  <c r="I97" i="1"/>
  <c r="H97" i="1"/>
  <c r="G97" i="1"/>
  <c r="E97" i="1"/>
  <c r="D97" i="1"/>
  <c r="C97" i="1"/>
  <c r="Q96" i="1"/>
  <c r="P96" i="1"/>
  <c r="O96" i="1"/>
  <c r="M96" i="1"/>
  <c r="L96" i="1"/>
  <c r="K96" i="1"/>
  <c r="I96" i="1"/>
  <c r="H96" i="1"/>
  <c r="G96" i="1"/>
  <c r="E96" i="1"/>
  <c r="D96" i="1"/>
  <c r="C96" i="1"/>
  <c r="Q95" i="1"/>
  <c r="P95" i="1"/>
  <c r="O95" i="1"/>
  <c r="M95" i="1"/>
  <c r="L95" i="1"/>
  <c r="K95" i="1"/>
  <c r="I95" i="1"/>
  <c r="H95" i="1"/>
  <c r="G95" i="1"/>
  <c r="E95" i="1"/>
  <c r="D95" i="1"/>
  <c r="C95" i="1"/>
  <c r="Q94" i="1"/>
  <c r="P94" i="1"/>
  <c r="O94" i="1"/>
  <c r="M94" i="1"/>
  <c r="L94" i="1"/>
  <c r="K94" i="1"/>
  <c r="I94" i="1"/>
  <c r="H94" i="1"/>
  <c r="G94" i="1"/>
  <c r="E94" i="1"/>
  <c r="D94" i="1"/>
  <c r="C94" i="1"/>
  <c r="Q93" i="1"/>
  <c r="P93" i="1"/>
  <c r="O93" i="1"/>
  <c r="M93" i="1"/>
  <c r="L93" i="1"/>
  <c r="K93" i="1"/>
  <c r="I93" i="1"/>
  <c r="H93" i="1"/>
  <c r="G93" i="1"/>
  <c r="E93" i="1"/>
  <c r="D93" i="1"/>
  <c r="C93" i="1"/>
  <c r="Q92" i="1"/>
  <c r="P92" i="1"/>
  <c r="O92" i="1"/>
  <c r="M92" i="1"/>
  <c r="L92" i="1"/>
  <c r="K92" i="1"/>
  <c r="I92" i="1"/>
  <c r="H92" i="1"/>
  <c r="G92" i="1"/>
  <c r="E92" i="1"/>
  <c r="D92" i="1"/>
  <c r="C92" i="1"/>
  <c r="Q91" i="1"/>
  <c r="P91" i="1"/>
  <c r="O91" i="1"/>
  <c r="M91" i="1"/>
  <c r="L91" i="1"/>
  <c r="K91" i="1"/>
  <c r="I91" i="1"/>
  <c r="H91" i="1"/>
  <c r="G91" i="1"/>
  <c r="E91" i="1"/>
  <c r="D91" i="1"/>
  <c r="C91" i="1"/>
  <c r="Q90" i="1"/>
  <c r="P90" i="1"/>
  <c r="O90" i="1"/>
  <c r="M90" i="1"/>
  <c r="L90" i="1"/>
  <c r="K90" i="1"/>
  <c r="I90" i="1"/>
  <c r="H90" i="1"/>
  <c r="G90" i="1"/>
  <c r="E90" i="1"/>
  <c r="D90" i="1"/>
  <c r="C90" i="1"/>
  <c r="Q89" i="1"/>
  <c r="P89" i="1"/>
  <c r="O89" i="1"/>
  <c r="M89" i="1"/>
  <c r="L89" i="1"/>
  <c r="K89" i="1"/>
  <c r="I89" i="1"/>
  <c r="H89" i="1"/>
  <c r="G89" i="1"/>
  <c r="E89" i="1"/>
  <c r="D89" i="1"/>
  <c r="C89" i="1"/>
  <c r="Q88" i="1"/>
  <c r="P88" i="1"/>
  <c r="O88" i="1"/>
  <c r="M88" i="1"/>
  <c r="L88" i="1"/>
  <c r="K88" i="1"/>
  <c r="I88" i="1"/>
  <c r="H88" i="1"/>
  <c r="G88" i="1"/>
  <c r="E88" i="1"/>
  <c r="D88" i="1"/>
  <c r="C88" i="1"/>
  <c r="Q87" i="1"/>
  <c r="P87" i="1"/>
  <c r="O87" i="1"/>
  <c r="M87" i="1"/>
  <c r="L87" i="1"/>
  <c r="K87" i="1"/>
  <c r="I87" i="1"/>
  <c r="H87" i="1"/>
  <c r="G87" i="1"/>
  <c r="E87" i="1"/>
  <c r="D87" i="1"/>
  <c r="C87" i="1"/>
  <c r="Q86" i="1"/>
  <c r="P86" i="1"/>
  <c r="O86" i="1"/>
  <c r="M86" i="1"/>
  <c r="L86" i="1"/>
  <c r="K86" i="1"/>
  <c r="I86" i="1"/>
  <c r="H86" i="1"/>
  <c r="G86" i="1"/>
  <c r="E86" i="1"/>
  <c r="D86" i="1"/>
  <c r="C86" i="1"/>
  <c r="Q85" i="1"/>
  <c r="P85" i="1"/>
  <c r="O85" i="1"/>
  <c r="M85" i="1"/>
  <c r="L85" i="1"/>
  <c r="K85" i="1"/>
  <c r="I85" i="1"/>
  <c r="H85" i="1"/>
  <c r="G85" i="1"/>
  <c r="E85" i="1"/>
  <c r="D85" i="1"/>
  <c r="C85" i="1"/>
  <c r="Q84" i="1"/>
  <c r="P84" i="1"/>
  <c r="O84" i="1"/>
  <c r="M84" i="1"/>
  <c r="L84" i="1"/>
  <c r="K84" i="1"/>
  <c r="I84" i="1"/>
  <c r="H84" i="1"/>
  <c r="G84" i="1"/>
  <c r="E84" i="1"/>
  <c r="D84" i="1"/>
  <c r="C84" i="1"/>
  <c r="Q83" i="1"/>
  <c r="P83" i="1"/>
  <c r="O83" i="1"/>
  <c r="M83" i="1"/>
  <c r="L83" i="1"/>
  <c r="K83" i="1"/>
  <c r="I83" i="1"/>
  <c r="H83" i="1"/>
  <c r="G83" i="1"/>
  <c r="E83" i="1"/>
  <c r="D83" i="1"/>
  <c r="C83" i="1"/>
  <c r="Q82" i="1"/>
  <c r="P82" i="1"/>
  <c r="O82" i="1"/>
  <c r="M82" i="1"/>
  <c r="L82" i="1"/>
  <c r="K82" i="1"/>
  <c r="I82" i="1"/>
  <c r="H82" i="1"/>
  <c r="G82" i="1"/>
  <c r="E82" i="1"/>
  <c r="D82" i="1"/>
  <c r="C82" i="1"/>
  <c r="Q81" i="1"/>
  <c r="P81" i="1"/>
  <c r="O81" i="1"/>
  <c r="M81" i="1"/>
  <c r="L81" i="1"/>
  <c r="K81" i="1"/>
  <c r="I81" i="1"/>
  <c r="H81" i="1"/>
  <c r="G81" i="1"/>
  <c r="E81" i="1"/>
  <c r="D81" i="1"/>
  <c r="C81" i="1"/>
  <c r="Q80" i="1"/>
  <c r="P80" i="1"/>
  <c r="O80" i="1"/>
  <c r="M80" i="1"/>
  <c r="L80" i="1"/>
  <c r="K80" i="1"/>
  <c r="I80" i="1"/>
  <c r="H80" i="1"/>
  <c r="G80" i="1"/>
  <c r="E80" i="1"/>
  <c r="D80" i="1"/>
  <c r="C80" i="1"/>
  <c r="Q79" i="1"/>
  <c r="P79" i="1"/>
  <c r="O79" i="1"/>
  <c r="M79" i="1"/>
  <c r="L79" i="1"/>
  <c r="K79" i="1"/>
  <c r="I79" i="1"/>
  <c r="H79" i="1"/>
  <c r="G79" i="1"/>
  <c r="E79" i="1"/>
  <c r="D79" i="1"/>
  <c r="C79" i="1"/>
  <c r="Q78" i="1"/>
  <c r="P78" i="1"/>
  <c r="O78" i="1"/>
  <c r="M78" i="1"/>
  <c r="L78" i="1"/>
  <c r="K78" i="1"/>
  <c r="I78" i="1"/>
  <c r="H78" i="1"/>
  <c r="G78" i="1"/>
  <c r="E78" i="1"/>
  <c r="D78" i="1"/>
  <c r="C78" i="1"/>
  <c r="Q77" i="1"/>
  <c r="P77" i="1"/>
  <c r="O77" i="1"/>
  <c r="M77" i="1"/>
  <c r="L77" i="1"/>
  <c r="K77" i="1"/>
  <c r="I77" i="1"/>
  <c r="H77" i="1"/>
  <c r="G77" i="1"/>
  <c r="E77" i="1"/>
  <c r="D77" i="1"/>
  <c r="C77" i="1"/>
  <c r="Q76" i="1"/>
  <c r="P76" i="1"/>
  <c r="O76" i="1"/>
  <c r="M76" i="1"/>
  <c r="L76" i="1"/>
  <c r="K76" i="1"/>
  <c r="I76" i="1"/>
  <c r="H76" i="1"/>
  <c r="G76" i="1"/>
  <c r="E76" i="1"/>
  <c r="D76" i="1"/>
  <c r="C76" i="1"/>
  <c r="Q75" i="1"/>
  <c r="P75" i="1"/>
  <c r="O75" i="1"/>
  <c r="M75" i="1"/>
  <c r="L75" i="1"/>
  <c r="K75" i="1"/>
  <c r="I75" i="1"/>
  <c r="H75" i="1"/>
  <c r="G75" i="1"/>
  <c r="E75" i="1"/>
  <c r="D75" i="1"/>
  <c r="C75" i="1"/>
  <c r="Q74" i="1"/>
  <c r="P74" i="1"/>
  <c r="O74" i="1"/>
  <c r="M74" i="1"/>
  <c r="L74" i="1"/>
  <c r="K74" i="1"/>
  <c r="I74" i="1"/>
  <c r="H74" i="1"/>
  <c r="G74" i="1"/>
  <c r="E74" i="1"/>
  <c r="D74" i="1"/>
  <c r="C74" i="1"/>
  <c r="Q73" i="1"/>
  <c r="P73" i="1"/>
  <c r="O73" i="1"/>
  <c r="M73" i="1"/>
  <c r="L73" i="1"/>
  <c r="K73" i="1"/>
  <c r="I73" i="1"/>
  <c r="H73" i="1"/>
  <c r="G73" i="1"/>
  <c r="E73" i="1"/>
  <c r="D73" i="1"/>
  <c r="C73" i="1"/>
  <c r="Q72" i="1"/>
  <c r="P72" i="1"/>
  <c r="O72" i="1"/>
  <c r="M72" i="1"/>
  <c r="L72" i="1"/>
  <c r="K72" i="1"/>
  <c r="I72" i="1"/>
  <c r="H72" i="1"/>
  <c r="G72" i="1"/>
  <c r="E72" i="1"/>
  <c r="D72" i="1"/>
  <c r="C72" i="1"/>
  <c r="Q71" i="1"/>
  <c r="P71" i="1"/>
  <c r="O71" i="1"/>
  <c r="M71" i="1"/>
  <c r="L71" i="1"/>
  <c r="K71" i="1"/>
  <c r="I71" i="1"/>
  <c r="H71" i="1"/>
  <c r="G71" i="1"/>
  <c r="E71" i="1"/>
  <c r="D71" i="1"/>
  <c r="C71" i="1"/>
  <c r="Q70" i="1"/>
  <c r="P70" i="1"/>
  <c r="O70" i="1"/>
  <c r="M70" i="1"/>
  <c r="L70" i="1"/>
  <c r="K70" i="1"/>
  <c r="I70" i="1"/>
  <c r="H70" i="1"/>
  <c r="G70" i="1"/>
  <c r="E70" i="1"/>
  <c r="D70" i="1"/>
  <c r="C70" i="1"/>
  <c r="Q69" i="1"/>
  <c r="P69" i="1"/>
  <c r="O69" i="1"/>
  <c r="M69" i="1"/>
  <c r="L69" i="1"/>
  <c r="K69" i="1"/>
  <c r="I69" i="1"/>
  <c r="H69" i="1"/>
  <c r="G69" i="1"/>
  <c r="E69" i="1"/>
  <c r="D69" i="1"/>
  <c r="C69" i="1"/>
  <c r="Q68" i="1"/>
  <c r="P68" i="1"/>
  <c r="O68" i="1"/>
  <c r="M68" i="1"/>
  <c r="L68" i="1"/>
  <c r="K68" i="1"/>
  <c r="I68" i="1"/>
  <c r="H68" i="1"/>
  <c r="G68" i="1"/>
  <c r="E68" i="1"/>
  <c r="D68" i="1"/>
  <c r="C68" i="1"/>
  <c r="Q67" i="1"/>
  <c r="P67" i="1"/>
  <c r="O67" i="1"/>
  <c r="M67" i="1"/>
  <c r="L67" i="1"/>
  <c r="K67" i="1"/>
  <c r="I67" i="1"/>
  <c r="H67" i="1"/>
  <c r="G67" i="1"/>
  <c r="E67" i="1"/>
  <c r="D67" i="1"/>
  <c r="C67" i="1"/>
  <c r="Q66" i="1"/>
  <c r="P66" i="1"/>
  <c r="O66" i="1"/>
  <c r="M66" i="1"/>
  <c r="L66" i="1"/>
  <c r="K66" i="1"/>
  <c r="I66" i="1"/>
  <c r="H66" i="1"/>
  <c r="G66" i="1"/>
  <c r="E66" i="1"/>
  <c r="D66" i="1"/>
  <c r="C66" i="1"/>
  <c r="Q65" i="1"/>
  <c r="P65" i="1"/>
  <c r="O65" i="1"/>
  <c r="M65" i="1"/>
  <c r="L65" i="1"/>
  <c r="K65" i="1"/>
  <c r="I65" i="1"/>
  <c r="H65" i="1"/>
  <c r="G65" i="1"/>
  <c r="E65" i="1"/>
  <c r="D65" i="1"/>
  <c r="C65" i="1"/>
  <c r="Q64" i="1"/>
  <c r="P64" i="1"/>
  <c r="O64" i="1"/>
  <c r="M64" i="1"/>
  <c r="L64" i="1"/>
  <c r="K64" i="1"/>
  <c r="I64" i="1"/>
  <c r="H64" i="1"/>
  <c r="G64" i="1"/>
  <c r="E64" i="1"/>
  <c r="D64" i="1"/>
  <c r="C64" i="1"/>
  <c r="Q63" i="1"/>
  <c r="P63" i="1"/>
  <c r="O63" i="1"/>
  <c r="M63" i="1"/>
  <c r="L63" i="1"/>
  <c r="K63" i="1"/>
  <c r="I63" i="1"/>
  <c r="H63" i="1"/>
  <c r="G63" i="1"/>
  <c r="E63" i="1"/>
  <c r="D63" i="1"/>
  <c r="C63" i="1"/>
  <c r="Q62" i="1"/>
  <c r="P62" i="1"/>
  <c r="O62" i="1"/>
  <c r="M62" i="1"/>
  <c r="L62" i="1"/>
  <c r="K62" i="1"/>
  <c r="I62" i="1"/>
  <c r="H62" i="1"/>
  <c r="G62" i="1"/>
  <c r="E62" i="1"/>
  <c r="D62" i="1"/>
  <c r="C62" i="1"/>
  <c r="Q61" i="1"/>
  <c r="P61" i="1"/>
  <c r="O61" i="1"/>
  <c r="M61" i="1"/>
  <c r="L61" i="1"/>
  <c r="K61" i="1"/>
  <c r="I61" i="1"/>
  <c r="H61" i="1"/>
  <c r="G61" i="1"/>
  <c r="E61" i="1"/>
  <c r="D61" i="1"/>
  <c r="C61" i="1"/>
  <c r="Q60" i="1"/>
  <c r="P60" i="1"/>
  <c r="O60" i="1"/>
  <c r="M60" i="1"/>
  <c r="L60" i="1"/>
  <c r="K60" i="1"/>
  <c r="I60" i="1"/>
  <c r="H60" i="1"/>
  <c r="G60" i="1"/>
  <c r="E60" i="1"/>
  <c r="D60" i="1"/>
  <c r="C60" i="1"/>
  <c r="Q59" i="1"/>
  <c r="P59" i="1"/>
  <c r="O59" i="1"/>
  <c r="M59" i="1"/>
  <c r="L59" i="1"/>
  <c r="K59" i="1"/>
  <c r="I59" i="1"/>
  <c r="H59" i="1"/>
  <c r="G59" i="1"/>
  <c r="E59" i="1"/>
  <c r="D59" i="1"/>
  <c r="C59" i="1"/>
  <c r="Q58" i="1"/>
  <c r="P58" i="1"/>
  <c r="O58" i="1"/>
  <c r="M58" i="1"/>
  <c r="L58" i="1"/>
  <c r="K58" i="1"/>
  <c r="I58" i="1"/>
  <c r="H58" i="1"/>
  <c r="G58" i="1"/>
  <c r="E58" i="1"/>
  <c r="D58" i="1"/>
  <c r="C58" i="1"/>
  <c r="Q57" i="1"/>
  <c r="P57" i="1"/>
  <c r="O57" i="1"/>
  <c r="M57" i="1"/>
  <c r="L57" i="1"/>
  <c r="K57" i="1"/>
  <c r="I57" i="1"/>
  <c r="H57" i="1"/>
  <c r="G57" i="1"/>
  <c r="E57" i="1"/>
  <c r="D57" i="1"/>
  <c r="C57" i="1"/>
  <c r="Q56" i="1"/>
  <c r="P56" i="1"/>
  <c r="O56" i="1"/>
  <c r="M56" i="1"/>
  <c r="L56" i="1"/>
  <c r="K56" i="1"/>
  <c r="I56" i="1"/>
  <c r="H56" i="1"/>
  <c r="G56" i="1"/>
  <c r="E56" i="1"/>
  <c r="D56" i="1"/>
  <c r="C56" i="1"/>
  <c r="Q55" i="1"/>
  <c r="P55" i="1"/>
  <c r="O55" i="1"/>
  <c r="M55" i="1"/>
  <c r="L55" i="1"/>
  <c r="K55" i="1"/>
  <c r="I55" i="1"/>
  <c r="H55" i="1"/>
  <c r="G55" i="1"/>
  <c r="E55" i="1"/>
  <c r="D55" i="1"/>
  <c r="C55" i="1"/>
  <c r="Q54" i="1"/>
  <c r="P54" i="1"/>
  <c r="O54" i="1"/>
  <c r="M54" i="1"/>
  <c r="L54" i="1"/>
  <c r="K54" i="1"/>
  <c r="I54" i="1"/>
  <c r="H54" i="1"/>
  <c r="G54" i="1"/>
  <c r="E54" i="1"/>
  <c r="D54" i="1"/>
  <c r="C54" i="1"/>
  <c r="Q53" i="1"/>
  <c r="P53" i="1"/>
  <c r="O53" i="1"/>
  <c r="M53" i="1"/>
  <c r="L53" i="1"/>
  <c r="K53" i="1"/>
  <c r="I53" i="1"/>
  <c r="H53" i="1"/>
  <c r="G53" i="1"/>
  <c r="E53" i="1"/>
  <c r="D53" i="1"/>
  <c r="C53" i="1"/>
  <c r="Q52" i="1"/>
  <c r="P52" i="1"/>
  <c r="O52" i="1"/>
  <c r="M52" i="1"/>
  <c r="L52" i="1"/>
  <c r="K52" i="1"/>
  <c r="I52" i="1"/>
  <c r="H52" i="1"/>
  <c r="G52" i="1"/>
  <c r="E52" i="1"/>
  <c r="D52" i="1"/>
  <c r="C52" i="1"/>
  <c r="Q51" i="1"/>
  <c r="P51" i="1"/>
  <c r="O51" i="1"/>
  <c r="M51" i="1"/>
  <c r="L51" i="1"/>
  <c r="K51" i="1"/>
  <c r="I51" i="1"/>
  <c r="H51" i="1"/>
  <c r="G51" i="1"/>
  <c r="E51" i="1"/>
  <c r="D51" i="1"/>
  <c r="C51" i="1"/>
  <c r="Q50" i="1"/>
  <c r="P50" i="1"/>
  <c r="O50" i="1"/>
  <c r="M50" i="1"/>
  <c r="L50" i="1"/>
  <c r="K50" i="1"/>
  <c r="I50" i="1"/>
  <c r="H50" i="1"/>
  <c r="G50" i="1"/>
  <c r="E50" i="1"/>
  <c r="D50" i="1"/>
  <c r="C50" i="1"/>
  <c r="Q49" i="1"/>
  <c r="P49" i="1"/>
  <c r="O49" i="1"/>
  <c r="M49" i="1"/>
  <c r="L49" i="1"/>
  <c r="K49" i="1"/>
  <c r="I49" i="1"/>
  <c r="H49" i="1"/>
  <c r="G49" i="1"/>
  <c r="E49" i="1"/>
  <c r="D49" i="1"/>
  <c r="C49" i="1"/>
  <c r="Q48" i="1"/>
  <c r="P48" i="1"/>
  <c r="O48" i="1"/>
  <c r="M48" i="1"/>
  <c r="L48" i="1"/>
  <c r="K48" i="1"/>
  <c r="I48" i="1"/>
  <c r="H48" i="1"/>
  <c r="G48" i="1"/>
  <c r="E48" i="1"/>
  <c r="D48" i="1"/>
  <c r="C48" i="1"/>
  <c r="Q47" i="1"/>
  <c r="P47" i="1"/>
  <c r="O47" i="1"/>
  <c r="M47" i="1"/>
  <c r="L47" i="1"/>
  <c r="K47" i="1"/>
  <c r="I47" i="1"/>
  <c r="H47" i="1"/>
  <c r="G47" i="1"/>
  <c r="E47" i="1"/>
  <c r="D47" i="1"/>
  <c r="C47" i="1"/>
  <c r="Q46" i="1"/>
  <c r="P46" i="1"/>
  <c r="O46" i="1"/>
  <c r="M46" i="1"/>
  <c r="L46" i="1"/>
  <c r="K46" i="1"/>
  <c r="I46" i="1"/>
  <c r="H46" i="1"/>
  <c r="G46" i="1"/>
  <c r="E46" i="1"/>
  <c r="D46" i="1"/>
  <c r="C46" i="1"/>
  <c r="Q45" i="1"/>
  <c r="P45" i="1"/>
  <c r="O45" i="1"/>
  <c r="M45" i="1"/>
  <c r="L45" i="1"/>
  <c r="K45" i="1"/>
  <c r="I45" i="1"/>
  <c r="H45" i="1"/>
  <c r="G45" i="1"/>
  <c r="E45" i="1"/>
  <c r="D45" i="1"/>
  <c r="C45" i="1"/>
  <c r="Q44" i="1"/>
  <c r="P44" i="1"/>
  <c r="O44" i="1"/>
  <c r="M44" i="1"/>
  <c r="L44" i="1"/>
  <c r="K44" i="1"/>
  <c r="I44" i="1"/>
  <c r="H44" i="1"/>
  <c r="G44" i="1"/>
  <c r="E44" i="1"/>
  <c r="D44" i="1"/>
  <c r="C44" i="1"/>
  <c r="Q43" i="1"/>
  <c r="P43" i="1"/>
  <c r="O43" i="1"/>
  <c r="M43" i="1"/>
  <c r="L43" i="1"/>
  <c r="K43" i="1"/>
  <c r="I43" i="1"/>
  <c r="H43" i="1"/>
  <c r="G43" i="1"/>
  <c r="E43" i="1"/>
  <c r="D43" i="1"/>
  <c r="C43" i="1"/>
  <c r="Q42" i="1"/>
  <c r="P42" i="1"/>
  <c r="O42" i="1"/>
  <c r="M42" i="1"/>
  <c r="L42" i="1"/>
  <c r="K42" i="1"/>
  <c r="I42" i="1"/>
  <c r="H42" i="1"/>
  <c r="G42" i="1"/>
  <c r="E42" i="1"/>
  <c r="D42" i="1"/>
  <c r="C42" i="1"/>
  <c r="Q41" i="1"/>
  <c r="P41" i="1"/>
  <c r="O41" i="1"/>
  <c r="M41" i="1"/>
  <c r="L41" i="1"/>
  <c r="K41" i="1"/>
  <c r="I41" i="1"/>
  <c r="H41" i="1"/>
  <c r="G41" i="1"/>
  <c r="E41" i="1"/>
  <c r="D41" i="1"/>
  <c r="C41" i="1"/>
  <c r="Q40" i="1"/>
  <c r="P40" i="1"/>
  <c r="O40" i="1"/>
  <c r="M40" i="1"/>
  <c r="L40" i="1"/>
  <c r="K40" i="1"/>
  <c r="I40" i="1"/>
  <c r="H40" i="1"/>
  <c r="G40" i="1"/>
  <c r="E40" i="1"/>
  <c r="D40" i="1"/>
  <c r="C40" i="1"/>
  <c r="Q39" i="1"/>
  <c r="P39" i="1"/>
  <c r="O39" i="1"/>
  <c r="M39" i="1"/>
  <c r="L39" i="1"/>
  <c r="K39" i="1"/>
  <c r="I39" i="1"/>
  <c r="H39" i="1"/>
  <c r="G39" i="1"/>
  <c r="E39" i="1"/>
  <c r="D39" i="1"/>
  <c r="C39" i="1"/>
  <c r="Q38" i="1"/>
  <c r="P38" i="1"/>
  <c r="O38" i="1"/>
  <c r="M38" i="1"/>
  <c r="L38" i="1"/>
  <c r="K38" i="1"/>
  <c r="I38" i="1"/>
  <c r="H38" i="1"/>
  <c r="G38" i="1"/>
  <c r="E38" i="1"/>
  <c r="D38" i="1"/>
  <c r="C38" i="1"/>
  <c r="Q37" i="1"/>
  <c r="P37" i="1"/>
  <c r="O37" i="1"/>
  <c r="M37" i="1"/>
  <c r="L37" i="1"/>
  <c r="K37" i="1"/>
  <c r="I37" i="1"/>
  <c r="H37" i="1"/>
  <c r="G37" i="1"/>
  <c r="E37" i="1"/>
  <c r="D37" i="1"/>
  <c r="C37" i="1"/>
  <c r="Q36" i="1"/>
  <c r="P36" i="1"/>
  <c r="O36" i="1"/>
  <c r="M36" i="1"/>
  <c r="L36" i="1"/>
  <c r="K36" i="1"/>
  <c r="I36" i="1"/>
  <c r="H36" i="1"/>
  <c r="G36" i="1"/>
  <c r="E36" i="1"/>
  <c r="D36" i="1"/>
  <c r="C36" i="1"/>
  <c r="Q35" i="1"/>
  <c r="P35" i="1"/>
  <c r="O35" i="1"/>
  <c r="M35" i="1"/>
  <c r="L35" i="1"/>
  <c r="K35" i="1"/>
  <c r="I35" i="1"/>
  <c r="H35" i="1"/>
  <c r="G35" i="1"/>
  <c r="E35" i="1"/>
  <c r="D35" i="1"/>
  <c r="C35" i="1"/>
  <c r="Q34" i="1"/>
  <c r="P34" i="1"/>
  <c r="O34" i="1"/>
  <c r="M34" i="1"/>
  <c r="L34" i="1"/>
  <c r="K34" i="1"/>
  <c r="I34" i="1"/>
  <c r="H34" i="1"/>
  <c r="G34" i="1"/>
  <c r="E34" i="1"/>
  <c r="D34" i="1"/>
  <c r="C34" i="1"/>
  <c r="Q33" i="1"/>
  <c r="P33" i="1"/>
  <c r="O33" i="1"/>
  <c r="M33" i="1"/>
  <c r="L33" i="1"/>
  <c r="K33" i="1"/>
  <c r="I33" i="1"/>
  <c r="H33" i="1"/>
  <c r="G33" i="1"/>
  <c r="E33" i="1"/>
  <c r="D33" i="1"/>
  <c r="C33" i="1"/>
  <c r="Q32" i="1"/>
  <c r="P32" i="1"/>
  <c r="O32" i="1"/>
  <c r="M32" i="1"/>
  <c r="L32" i="1"/>
  <c r="K32" i="1"/>
  <c r="I32" i="1"/>
  <c r="H32" i="1"/>
  <c r="G32" i="1"/>
  <c r="E32" i="1"/>
  <c r="D32" i="1"/>
  <c r="C32" i="1"/>
  <c r="Q31" i="1"/>
  <c r="P31" i="1"/>
  <c r="O31" i="1"/>
  <c r="M31" i="1"/>
  <c r="L31" i="1"/>
  <c r="K31" i="1"/>
  <c r="I31" i="1"/>
  <c r="H31" i="1"/>
  <c r="G31" i="1"/>
  <c r="E31" i="1"/>
  <c r="D31" i="1"/>
  <c r="C31" i="1"/>
  <c r="Q30" i="1"/>
  <c r="P30" i="1"/>
  <c r="O30" i="1"/>
  <c r="M30" i="1"/>
  <c r="L30" i="1"/>
  <c r="K30" i="1"/>
  <c r="I30" i="1"/>
  <c r="H30" i="1"/>
  <c r="G30" i="1"/>
  <c r="E30" i="1"/>
  <c r="D30" i="1"/>
  <c r="C30" i="1"/>
  <c r="Q29" i="1"/>
  <c r="P29" i="1"/>
  <c r="O29" i="1"/>
  <c r="M29" i="1"/>
  <c r="L29" i="1"/>
  <c r="K29" i="1"/>
  <c r="I29" i="1"/>
  <c r="H29" i="1"/>
  <c r="G29" i="1"/>
  <c r="E29" i="1"/>
  <c r="D29" i="1"/>
  <c r="C29" i="1"/>
  <c r="Q28" i="1"/>
  <c r="P28" i="1"/>
  <c r="O28" i="1"/>
  <c r="M28" i="1"/>
  <c r="L28" i="1"/>
  <c r="K28" i="1"/>
  <c r="I28" i="1"/>
  <c r="H28" i="1"/>
  <c r="G28" i="1"/>
  <c r="E28" i="1"/>
  <c r="D28" i="1"/>
  <c r="C28" i="1"/>
  <c r="Q27" i="1"/>
  <c r="P27" i="1"/>
  <c r="O27" i="1"/>
  <c r="M27" i="1"/>
  <c r="L27" i="1"/>
  <c r="K27" i="1"/>
  <c r="I27" i="1"/>
  <c r="H27" i="1"/>
  <c r="G27" i="1"/>
  <c r="E27" i="1"/>
  <c r="D27" i="1"/>
  <c r="C27" i="1"/>
  <c r="Q26" i="1"/>
  <c r="P26" i="1"/>
  <c r="O26" i="1"/>
  <c r="M26" i="1"/>
  <c r="L26" i="1"/>
  <c r="K26" i="1"/>
  <c r="I26" i="1"/>
  <c r="H26" i="1"/>
  <c r="G26" i="1"/>
  <c r="E26" i="1"/>
  <c r="D26" i="1"/>
  <c r="C26" i="1"/>
  <c r="Q25" i="1"/>
  <c r="P25" i="1"/>
  <c r="O25" i="1"/>
  <c r="M25" i="1"/>
  <c r="L25" i="1"/>
  <c r="K25" i="1"/>
  <c r="I25" i="1"/>
  <c r="H25" i="1"/>
  <c r="G25" i="1"/>
  <c r="E25" i="1"/>
  <c r="D25" i="1"/>
  <c r="C25" i="1"/>
  <c r="Q24" i="1"/>
  <c r="P24" i="1"/>
  <c r="O24" i="1"/>
  <c r="M24" i="1"/>
  <c r="L24" i="1"/>
  <c r="K24" i="1"/>
  <c r="I24" i="1"/>
  <c r="H24" i="1"/>
  <c r="G24" i="1"/>
  <c r="E24" i="1"/>
  <c r="D24" i="1"/>
  <c r="C24" i="1"/>
  <c r="Q23" i="1"/>
  <c r="P23" i="1"/>
  <c r="O23" i="1"/>
  <c r="M23" i="1"/>
  <c r="L23" i="1"/>
  <c r="K23" i="1"/>
  <c r="I23" i="1"/>
  <c r="H23" i="1"/>
  <c r="G23" i="1"/>
  <c r="E23" i="1"/>
  <c r="D23" i="1"/>
  <c r="C23" i="1"/>
  <c r="Q22" i="1"/>
  <c r="P22" i="1"/>
  <c r="O22" i="1"/>
  <c r="M22" i="1"/>
  <c r="L22" i="1"/>
  <c r="K22" i="1"/>
  <c r="I22" i="1"/>
  <c r="H22" i="1"/>
  <c r="G22" i="1"/>
  <c r="E22" i="1"/>
  <c r="D22" i="1"/>
  <c r="C22" i="1"/>
  <c r="Q21" i="1"/>
  <c r="P21" i="1"/>
  <c r="O21" i="1"/>
  <c r="M21" i="1"/>
  <c r="L21" i="1"/>
  <c r="K21" i="1"/>
  <c r="I21" i="1"/>
  <c r="H21" i="1"/>
  <c r="G21" i="1"/>
  <c r="E21" i="1"/>
  <c r="D21" i="1"/>
  <c r="C21" i="1"/>
  <c r="Q20" i="1"/>
  <c r="P20" i="1"/>
  <c r="O20" i="1"/>
  <c r="M20" i="1"/>
  <c r="L20" i="1"/>
  <c r="K20" i="1"/>
  <c r="I20" i="1"/>
  <c r="H20" i="1"/>
  <c r="G20" i="1"/>
  <c r="E20" i="1"/>
  <c r="D20" i="1"/>
  <c r="C20" i="1"/>
  <c r="Q19" i="1"/>
  <c r="P19" i="1"/>
  <c r="O19" i="1"/>
  <c r="M19" i="1"/>
  <c r="L19" i="1"/>
  <c r="K19" i="1"/>
  <c r="I19" i="1"/>
  <c r="H19" i="1"/>
  <c r="G19" i="1"/>
  <c r="E19" i="1"/>
  <c r="D19" i="1"/>
  <c r="C19" i="1"/>
  <c r="Q18" i="1"/>
  <c r="P18" i="1"/>
  <c r="O18" i="1"/>
  <c r="M18" i="1"/>
  <c r="L18" i="1"/>
  <c r="K18" i="1"/>
  <c r="I18" i="1"/>
  <c r="H18" i="1"/>
  <c r="G18" i="1"/>
  <c r="E18" i="1"/>
  <c r="D18" i="1"/>
  <c r="C18" i="1"/>
  <c r="Q17" i="1"/>
  <c r="P17" i="1"/>
  <c r="O17" i="1"/>
  <c r="M17" i="1"/>
  <c r="L17" i="1"/>
  <c r="K17" i="1"/>
  <c r="I17" i="1"/>
  <c r="H17" i="1"/>
  <c r="G17" i="1"/>
  <c r="E17" i="1"/>
  <c r="D17" i="1"/>
  <c r="C17" i="1"/>
  <c r="Q16" i="1"/>
  <c r="P16" i="1"/>
  <c r="O16" i="1"/>
  <c r="M16" i="1"/>
  <c r="L16" i="1"/>
  <c r="K16" i="1"/>
  <c r="I16" i="1"/>
  <c r="H16" i="1"/>
  <c r="G16" i="1"/>
  <c r="E16" i="1"/>
  <c r="D16" i="1"/>
  <c r="C16" i="1"/>
  <c r="Q15" i="1"/>
  <c r="P15" i="1"/>
  <c r="O15" i="1"/>
  <c r="M15" i="1"/>
  <c r="L15" i="1"/>
  <c r="K15" i="1"/>
  <c r="I15" i="1"/>
  <c r="H15" i="1"/>
  <c r="G15" i="1"/>
  <c r="E15" i="1"/>
  <c r="D15" i="1"/>
  <c r="C15" i="1"/>
  <c r="Q14" i="1"/>
  <c r="P14" i="1"/>
  <c r="O14" i="1"/>
  <c r="M14" i="1"/>
  <c r="L14" i="1"/>
  <c r="K14" i="1"/>
  <c r="I14" i="1"/>
  <c r="H14" i="1"/>
  <c r="G14" i="1"/>
  <c r="E14" i="1"/>
  <c r="D14" i="1"/>
  <c r="C14" i="1"/>
  <c r="Q13" i="1"/>
  <c r="P13" i="1"/>
  <c r="O13" i="1"/>
  <c r="M13" i="1"/>
  <c r="L13" i="1"/>
  <c r="K13" i="1"/>
  <c r="I13" i="1"/>
  <c r="H13" i="1"/>
  <c r="G13" i="1"/>
  <c r="D13" i="1"/>
  <c r="C13" i="1"/>
  <c r="P12" i="1"/>
  <c r="O12" i="1"/>
  <c r="L12" i="1"/>
  <c r="K12" i="1"/>
  <c r="H12" i="1"/>
  <c r="G12" i="1"/>
  <c r="D12" i="1"/>
  <c r="C12" i="1"/>
  <c r="P11" i="1"/>
  <c r="O11" i="1"/>
  <c r="L11" i="1"/>
  <c r="K11" i="1"/>
  <c r="H11" i="1"/>
  <c r="G11" i="1"/>
  <c r="D11" i="1"/>
  <c r="C11" i="1"/>
  <c r="P10" i="1"/>
  <c r="O10" i="1"/>
  <c r="L10" i="1"/>
  <c r="K10" i="1"/>
  <c r="H10" i="1"/>
  <c r="G10" i="1"/>
  <c r="D10" i="1"/>
  <c r="C10" i="1"/>
  <c r="P9" i="1"/>
  <c r="O9" i="1"/>
  <c r="L9" i="1"/>
  <c r="K9" i="1"/>
  <c r="H9" i="1"/>
  <c r="G9" i="1"/>
  <c r="D9" i="1"/>
  <c r="C9" i="1"/>
  <c r="P8" i="1"/>
  <c r="O8" i="1"/>
  <c r="L8" i="1"/>
  <c r="K8" i="1"/>
  <c r="H8" i="1"/>
  <c r="G8" i="1"/>
  <c r="D8" i="1"/>
  <c r="C8" i="1"/>
  <c r="P7" i="1"/>
  <c r="O7" i="1"/>
  <c r="L7" i="1"/>
  <c r="K7" i="1"/>
  <c r="H7" i="1"/>
  <c r="G7" i="1"/>
  <c r="D7" i="1"/>
  <c r="C7" i="1"/>
  <c r="P6" i="1"/>
  <c r="O6" i="1"/>
  <c r="L6" i="1"/>
  <c r="K6" i="1"/>
  <c r="H6" i="1"/>
  <c r="G6" i="1"/>
  <c r="D6" i="1"/>
  <c r="C6" i="1"/>
  <c r="P5" i="1"/>
  <c r="O5" i="1"/>
  <c r="L5" i="1"/>
  <c r="K5" i="1"/>
  <c r="H5" i="1"/>
  <c r="G5" i="1"/>
  <c r="D5" i="1"/>
  <c r="C5" i="1"/>
  <c r="P4" i="1"/>
  <c r="O4" i="1"/>
  <c r="L4" i="1"/>
  <c r="K4" i="1"/>
  <c r="H4" i="1"/>
  <c r="G4" i="1"/>
  <c r="D4" i="1"/>
  <c r="C4" i="1"/>
  <c r="O3" i="1"/>
  <c r="K3" i="1"/>
  <c r="G3" i="1"/>
  <c r="C3" i="1"/>
  <c r="O2" i="1"/>
  <c r="K2" i="1"/>
  <c r="G2" i="1"/>
  <c r="C2" i="1"/>
</calcChain>
</file>

<file path=xl/comments1.xml><?xml version="1.0" encoding="utf-8"?>
<comments xmlns="http://schemas.openxmlformats.org/spreadsheetml/2006/main">
  <authors>
    <author>d1bhm01</author>
  </authors>
  <commentList>
    <comment ref="A192" authorId="0">
      <text>
        <r>
          <rPr>
            <b/>
            <sz val="8"/>
            <color indexed="81"/>
            <rFont val="Tahoma"/>
            <family val="2"/>
          </rPr>
          <t>d1bhm01:</t>
        </r>
        <r>
          <rPr>
            <sz val="8"/>
            <color indexed="81"/>
            <rFont val="Tahoma"/>
            <family val="2"/>
          </rPr>
          <t xml:space="preserve">
Series code change….spliced in 1982 forward with OER components</t>
        </r>
      </text>
    </comment>
  </commentList>
</comments>
</file>

<file path=xl/sharedStrings.xml><?xml version="1.0" encoding="utf-8"?>
<sst xmlns="http://schemas.openxmlformats.org/spreadsheetml/2006/main" count="103" uniqueCount="11">
  <si>
    <t>1-mo annualized percent change</t>
  </si>
  <si>
    <t>3-mo a.r.</t>
  </si>
  <si>
    <t>12mo</t>
  </si>
  <si>
    <t>Sticky CPI EX_shelter</t>
  </si>
  <si>
    <t>Core Sticky CPI_ex shelter</t>
  </si>
  <si>
    <t>na</t>
  </si>
  <si>
    <t>Flexible CPI (monthly)</t>
  </si>
  <si>
    <t>Core Flexible CPI (monthly)</t>
  </si>
  <si>
    <t>Sticky CPI (monthly)</t>
  </si>
  <si>
    <t>Core Sticky CPI (monthly)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</si>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</sst>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000000"/>
    <numFmt numFmtId="165" formatCode="0.0"/>
    <numFmt numFmtId="166" formatCode="0.000"/>
    <numFmt numFmtId="167" formatCode="0.0000000"/>
    <numFmt numFmtId="168" formatCode="0.00000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5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35">
    <xf numFmtId="0" fontId="0" fillId="0" borderId="0" xfId="0"/>
    <xf numFmtId="0" fontId="0" fillId="2" borderId="0" xfId="0" applyFill="1"/>
    <xf numFmtId="0" fontId="3" fillId="3" borderId="0" xfId="0" applyFont="1" applyFill="1"/>
    <xf numFmtId="0" fontId="8" fillId="3" borderId="0" xfId="1" applyFont="1" applyFill="1" applyAlignment="1">
      <alignment wrapText="1"/>
    </xf>
    <xf numFmtId="0" fontId="9" fillId="3" borderId="0" xfId="1" applyFont="1" applyFill="1" applyAlignment="1">
      <alignment horizontal="center" wrapText="1"/>
    </xf>
    <xf numFmtId="0" fontId="9" fillId="3" borderId="0" xfId="1" applyFont="1" applyFill="1" applyAlignment="1">
      <alignment wrapText="1"/>
    </xf>
    <xf numFmtId="0" fontId="1" fillId="3" borderId="0" xfId="0" applyFont="1" applyFill="1"/>
    <xf numFmtId="14" fontId="5" fillId="2" borderId="0" xfId="2" applyNumberFormat="1" applyFont="1" applyFill="1"/>
    <xf numFmtId="0" fontId="4" fillId="2" borderId="0" xfId="5" applyFill="1"/>
    <xf numFmtId="0" fontId="4" fillId="2" borderId="0" xfId="6" applyFill="1"/>
    <xf numFmtId="0" fontId="4" fillId="2" borderId="0" xfId="9" applyFill="1"/>
    <xf numFmtId="0" fontId="4" fillId="2" borderId="0" xfId="10" applyFill="1"/>
    <xf numFmtId="0" fontId="4" fillId="2" borderId="0" xfId="11" applyFill="1"/>
    <xf numFmtId="0" fontId="4" fillId="2" borderId="0" xfId="12" applyFill="1"/>
    <xf numFmtId="164" fontId="4" fillId="2" borderId="0" xfId="13" applyNumberFormat="1" applyFill="1"/>
    <xf numFmtId="0" fontId="4" fillId="2" borderId="0" xfId="14" applyFill="1"/>
    <xf numFmtId="0" fontId="2" fillId="2" borderId="0" xfId="0" applyFont="1" applyFill="1"/>
    <xf numFmtId="2" fontId="2" fillId="2" borderId="0" xfId="0" applyNumberFormat="1" applyFont="1" applyFill="1" applyAlignment="1">
      <alignment horizontal="center"/>
    </xf>
    <xf numFmtId="0" fontId="0" fillId="0" borderId="0" xfId="0" applyFont="1" applyFill="1"/>
    <xf numFmtId="0" fontId="0" fillId="0" borderId="0" xfId="0" quotePrefix="1" applyFont="1" applyFill="1"/>
    <xf numFmtId="0" fontId="10" fillId="0" borderId="0" xfId="0" applyFont="1" applyFill="1"/>
    <xf numFmtId="165" fontId="0" fillId="0" borderId="0" xfId="0" applyNumberFormat="1" applyFont="1" applyFill="1"/>
    <xf numFmtId="166" fontId="0" fillId="0" borderId="0" xfId="0" applyNumberFormat="1" applyFont="1" applyFill="1"/>
    <xf numFmtId="166" fontId="10" fillId="0" borderId="0" xfId="0" applyNumberFormat="1" applyFont="1" applyFill="1"/>
    <xf numFmtId="14" fontId="0" fillId="0" borderId="0" xfId="0" applyNumberFormat="1" applyFont="1" applyFill="1"/>
    <xf numFmtId="2" fontId="10" fillId="0" borderId="0" xfId="0" applyNumberFormat="1" applyFont="1" applyFill="1" applyAlignment="1">
      <alignment horizontal="center"/>
    </xf>
    <xf numFmtId="2" fontId="0" fillId="0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7" fontId="4" fillId="2" borderId="0" xfId="11" applyNumberFormat="1" applyFill="1"/>
    <xf numFmtId="168" fontId="4" fillId="2" borderId="0" xfId="4" applyNumberFormat="1" applyFill="1"/>
    <xf numFmtId="168" fontId="4" fillId="2" borderId="0" xfId="8" applyNumberFormat="1" applyFill="1"/>
    <xf numFmtId="168" fontId="4" fillId="2" borderId="0" xfId="12" applyNumberFormat="1" applyFill="1"/>
    <xf numFmtId="0" fontId="0" fillId="0" borderId="0" xfId="0"/>
    <xf numFmtId="11" fontId="0" fillId="2" borderId="0" xfId="0" applyNumberFormat="1" applyFill="1"/>
    <xf numFmtId="2" fontId="0" fillId="2" borderId="0" xfId="0" applyNumberFormat="1" applyFill="1"/>
  </cellXfs>
  <cellStyles count="15">
    <cellStyle name="Normal" xfId="0" builtinId="0"/>
    <cellStyle name="Normal 2" xfId="1"/>
    <cellStyle name="Normal 52" xfId="2"/>
    <cellStyle name="Normal 53" xfId="3"/>
    <cellStyle name="Normal 54" xfId="4"/>
    <cellStyle name="Normal 55" xfId="5"/>
    <cellStyle name="Normal 56" xfId="6"/>
    <cellStyle name="Normal 57" xfId="7"/>
    <cellStyle name="Normal 58" xfId="8"/>
    <cellStyle name="Normal 63" xfId="9"/>
    <cellStyle name="Normal 67" xfId="10"/>
    <cellStyle name="Normal 68" xfId="11"/>
    <cellStyle name="Normal 69" xfId="12"/>
    <cellStyle name="Normal 70" xfId="13"/>
    <cellStyle name="Normal 72" xfId="1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7792799517224908E-2"/>
          <c:y val="1.3250871158180163E-2"/>
          <c:w val="0.94165814104821588"/>
          <c:h val="0.96530317247056463"/>
        </c:manualLayout>
      </c:layout>
      <c:lineChart>
        <c:grouping val="standard"/>
        <c:varyColors val="0"/>
        <c:ser>
          <c:idx val="0"/>
          <c:order val="0"/>
          <c:tx>
            <c:strRef>
              <c:f>Data!$F$1</c:f>
              <c:strCache>
                <c:ptCount val="1"/>
                <c:pt idx="0">
                  <c:v>Core Flexible CPI (monthly)</c:v>
                </c:pt>
              </c:strCache>
            </c:strRef>
          </c:tx>
          <c:marker>
            <c:symbol val="none"/>
          </c:marker>
          <c:cat>
            <c:numRef>
              <c:f>Data!$A$2:$A$521</c:f>
              <c:numCache>
                <c:formatCode>m/d/yyyy</c:formatCode>
                <c:ptCount val="520"/>
                <c:pt idx="0">
                  <c:v>24473</c:v>
                </c:pt>
                <c:pt idx="1">
                  <c:v>24504</c:v>
                </c:pt>
                <c:pt idx="2">
                  <c:v>24532</c:v>
                </c:pt>
                <c:pt idx="3">
                  <c:v>24563</c:v>
                </c:pt>
                <c:pt idx="4">
                  <c:v>24593</c:v>
                </c:pt>
                <c:pt idx="5">
                  <c:v>24624</c:v>
                </c:pt>
                <c:pt idx="6">
                  <c:v>24654</c:v>
                </c:pt>
                <c:pt idx="7">
                  <c:v>24685</c:v>
                </c:pt>
                <c:pt idx="8">
                  <c:v>24716</c:v>
                </c:pt>
                <c:pt idx="9">
                  <c:v>24746</c:v>
                </c:pt>
                <c:pt idx="10">
                  <c:v>24777</c:v>
                </c:pt>
                <c:pt idx="11">
                  <c:v>24807</c:v>
                </c:pt>
                <c:pt idx="12">
                  <c:v>24838</c:v>
                </c:pt>
                <c:pt idx="13">
                  <c:v>24869</c:v>
                </c:pt>
                <c:pt idx="14">
                  <c:v>24898</c:v>
                </c:pt>
                <c:pt idx="15">
                  <c:v>24929</c:v>
                </c:pt>
                <c:pt idx="16">
                  <c:v>24959</c:v>
                </c:pt>
                <c:pt idx="17">
                  <c:v>24990</c:v>
                </c:pt>
                <c:pt idx="18">
                  <c:v>25020</c:v>
                </c:pt>
                <c:pt idx="19">
                  <c:v>25051</c:v>
                </c:pt>
                <c:pt idx="20">
                  <c:v>25082</c:v>
                </c:pt>
                <c:pt idx="21">
                  <c:v>25112</c:v>
                </c:pt>
                <c:pt idx="22">
                  <c:v>25143</c:v>
                </c:pt>
                <c:pt idx="23">
                  <c:v>25173</c:v>
                </c:pt>
                <c:pt idx="24">
                  <c:v>25204</c:v>
                </c:pt>
                <c:pt idx="25">
                  <c:v>25235</c:v>
                </c:pt>
                <c:pt idx="26">
                  <c:v>25263</c:v>
                </c:pt>
                <c:pt idx="27">
                  <c:v>25294</c:v>
                </c:pt>
                <c:pt idx="28">
                  <c:v>25324</c:v>
                </c:pt>
                <c:pt idx="29">
                  <c:v>25355</c:v>
                </c:pt>
                <c:pt idx="30">
                  <c:v>25385</c:v>
                </c:pt>
                <c:pt idx="31">
                  <c:v>25416</c:v>
                </c:pt>
                <c:pt idx="32">
                  <c:v>25447</c:v>
                </c:pt>
                <c:pt idx="33">
                  <c:v>25477</c:v>
                </c:pt>
                <c:pt idx="34">
                  <c:v>25508</c:v>
                </c:pt>
                <c:pt idx="35">
                  <c:v>25538</c:v>
                </c:pt>
                <c:pt idx="36">
                  <c:v>25569</c:v>
                </c:pt>
                <c:pt idx="37">
                  <c:v>25600</c:v>
                </c:pt>
                <c:pt idx="38">
                  <c:v>25628</c:v>
                </c:pt>
                <c:pt idx="39">
                  <c:v>25659</c:v>
                </c:pt>
                <c:pt idx="40">
                  <c:v>25689</c:v>
                </c:pt>
                <c:pt idx="41">
                  <c:v>25720</c:v>
                </c:pt>
                <c:pt idx="42">
                  <c:v>25750</c:v>
                </c:pt>
                <c:pt idx="43">
                  <c:v>25781</c:v>
                </c:pt>
                <c:pt idx="44">
                  <c:v>25812</c:v>
                </c:pt>
                <c:pt idx="45">
                  <c:v>25842</c:v>
                </c:pt>
                <c:pt idx="46">
                  <c:v>25873</c:v>
                </c:pt>
                <c:pt idx="47">
                  <c:v>25903</c:v>
                </c:pt>
                <c:pt idx="48">
                  <c:v>25934</c:v>
                </c:pt>
                <c:pt idx="49">
                  <c:v>25965</c:v>
                </c:pt>
                <c:pt idx="50">
                  <c:v>25993</c:v>
                </c:pt>
                <c:pt idx="51">
                  <c:v>26024</c:v>
                </c:pt>
                <c:pt idx="52">
                  <c:v>26054</c:v>
                </c:pt>
                <c:pt idx="53">
                  <c:v>26085</c:v>
                </c:pt>
                <c:pt idx="54">
                  <c:v>26115</c:v>
                </c:pt>
                <c:pt idx="55">
                  <c:v>26146</c:v>
                </c:pt>
                <c:pt idx="56">
                  <c:v>26177</c:v>
                </c:pt>
                <c:pt idx="57">
                  <c:v>26207</c:v>
                </c:pt>
                <c:pt idx="58">
                  <c:v>26238</c:v>
                </c:pt>
                <c:pt idx="59">
                  <c:v>26268</c:v>
                </c:pt>
                <c:pt idx="60">
                  <c:v>26299</c:v>
                </c:pt>
                <c:pt idx="61">
                  <c:v>26330</c:v>
                </c:pt>
                <c:pt idx="62">
                  <c:v>26359</c:v>
                </c:pt>
                <c:pt idx="63">
                  <c:v>26390</c:v>
                </c:pt>
                <c:pt idx="64">
                  <c:v>26420</c:v>
                </c:pt>
                <c:pt idx="65">
                  <c:v>26451</c:v>
                </c:pt>
                <c:pt idx="66">
                  <c:v>26481</c:v>
                </c:pt>
                <c:pt idx="67">
                  <c:v>26512</c:v>
                </c:pt>
                <c:pt idx="68">
                  <c:v>26543</c:v>
                </c:pt>
                <c:pt idx="69">
                  <c:v>26573</c:v>
                </c:pt>
                <c:pt idx="70">
                  <c:v>26604</c:v>
                </c:pt>
                <c:pt idx="71">
                  <c:v>26634</c:v>
                </c:pt>
                <c:pt idx="72">
                  <c:v>26665</c:v>
                </c:pt>
                <c:pt idx="73">
                  <c:v>26696</c:v>
                </c:pt>
                <c:pt idx="74">
                  <c:v>26724</c:v>
                </c:pt>
                <c:pt idx="75">
                  <c:v>26755</c:v>
                </c:pt>
                <c:pt idx="76">
                  <c:v>26785</c:v>
                </c:pt>
                <c:pt idx="77">
                  <c:v>26816</c:v>
                </c:pt>
                <c:pt idx="78">
                  <c:v>26846</c:v>
                </c:pt>
                <c:pt idx="79">
                  <c:v>26877</c:v>
                </c:pt>
                <c:pt idx="80">
                  <c:v>26908</c:v>
                </c:pt>
                <c:pt idx="81">
                  <c:v>26938</c:v>
                </c:pt>
                <c:pt idx="82">
                  <c:v>26969</c:v>
                </c:pt>
                <c:pt idx="83">
                  <c:v>26999</c:v>
                </c:pt>
                <c:pt idx="84">
                  <c:v>27030</c:v>
                </c:pt>
                <c:pt idx="85">
                  <c:v>27061</c:v>
                </c:pt>
                <c:pt idx="86">
                  <c:v>27089</c:v>
                </c:pt>
                <c:pt idx="87">
                  <c:v>27120</c:v>
                </c:pt>
                <c:pt idx="88">
                  <c:v>27150</c:v>
                </c:pt>
                <c:pt idx="89">
                  <c:v>27181</c:v>
                </c:pt>
                <c:pt idx="90">
                  <c:v>27211</c:v>
                </c:pt>
                <c:pt idx="91">
                  <c:v>27242</c:v>
                </c:pt>
                <c:pt idx="92">
                  <c:v>27273</c:v>
                </c:pt>
                <c:pt idx="93">
                  <c:v>27303</c:v>
                </c:pt>
                <c:pt idx="94">
                  <c:v>27334</c:v>
                </c:pt>
                <c:pt idx="95">
                  <c:v>27364</c:v>
                </c:pt>
                <c:pt idx="96">
                  <c:v>27395</c:v>
                </c:pt>
                <c:pt idx="97">
                  <c:v>27426</c:v>
                </c:pt>
                <c:pt idx="98">
                  <c:v>27454</c:v>
                </c:pt>
                <c:pt idx="99">
                  <c:v>27485</c:v>
                </c:pt>
                <c:pt idx="100">
                  <c:v>27515</c:v>
                </c:pt>
                <c:pt idx="101">
                  <c:v>27546</c:v>
                </c:pt>
                <c:pt idx="102">
                  <c:v>27576</c:v>
                </c:pt>
                <c:pt idx="103">
                  <c:v>27607</c:v>
                </c:pt>
                <c:pt idx="104">
                  <c:v>27638</c:v>
                </c:pt>
                <c:pt idx="105">
                  <c:v>27668</c:v>
                </c:pt>
                <c:pt idx="106">
                  <c:v>27699</c:v>
                </c:pt>
                <c:pt idx="107">
                  <c:v>27729</c:v>
                </c:pt>
                <c:pt idx="108">
                  <c:v>27760</c:v>
                </c:pt>
                <c:pt idx="109">
                  <c:v>27791</c:v>
                </c:pt>
                <c:pt idx="110">
                  <c:v>27820</c:v>
                </c:pt>
                <c:pt idx="111">
                  <c:v>27851</c:v>
                </c:pt>
                <c:pt idx="112">
                  <c:v>27881</c:v>
                </c:pt>
                <c:pt idx="113">
                  <c:v>27912</c:v>
                </c:pt>
                <c:pt idx="114">
                  <c:v>27942</c:v>
                </c:pt>
                <c:pt idx="115">
                  <c:v>27973</c:v>
                </c:pt>
                <c:pt idx="116">
                  <c:v>28004</c:v>
                </c:pt>
                <c:pt idx="117">
                  <c:v>28034</c:v>
                </c:pt>
                <c:pt idx="118">
                  <c:v>28065</c:v>
                </c:pt>
                <c:pt idx="119">
                  <c:v>28095</c:v>
                </c:pt>
                <c:pt idx="120">
                  <c:v>28126</c:v>
                </c:pt>
                <c:pt idx="121">
                  <c:v>28157</c:v>
                </c:pt>
                <c:pt idx="122">
                  <c:v>28185</c:v>
                </c:pt>
                <c:pt idx="123">
                  <c:v>28216</c:v>
                </c:pt>
                <c:pt idx="124">
                  <c:v>28246</c:v>
                </c:pt>
                <c:pt idx="125">
                  <c:v>28277</c:v>
                </c:pt>
                <c:pt idx="126">
                  <c:v>28307</c:v>
                </c:pt>
                <c:pt idx="127">
                  <c:v>28338</c:v>
                </c:pt>
                <c:pt idx="128">
                  <c:v>28369</c:v>
                </c:pt>
                <c:pt idx="129">
                  <c:v>28399</c:v>
                </c:pt>
                <c:pt idx="130">
                  <c:v>28430</c:v>
                </c:pt>
                <c:pt idx="131">
                  <c:v>28460</c:v>
                </c:pt>
                <c:pt idx="132">
                  <c:v>28491</c:v>
                </c:pt>
                <c:pt idx="133">
                  <c:v>28522</c:v>
                </c:pt>
                <c:pt idx="134">
                  <c:v>28550</c:v>
                </c:pt>
                <c:pt idx="135">
                  <c:v>28581</c:v>
                </c:pt>
                <c:pt idx="136">
                  <c:v>28611</c:v>
                </c:pt>
                <c:pt idx="137">
                  <c:v>28642</c:v>
                </c:pt>
                <c:pt idx="138">
                  <c:v>28672</c:v>
                </c:pt>
                <c:pt idx="139">
                  <c:v>28703</c:v>
                </c:pt>
                <c:pt idx="140">
                  <c:v>28734</c:v>
                </c:pt>
                <c:pt idx="141">
                  <c:v>28764</c:v>
                </c:pt>
                <c:pt idx="142">
                  <c:v>28795</c:v>
                </c:pt>
                <c:pt idx="143">
                  <c:v>28825</c:v>
                </c:pt>
                <c:pt idx="144">
                  <c:v>28856</c:v>
                </c:pt>
                <c:pt idx="145">
                  <c:v>28887</c:v>
                </c:pt>
                <c:pt idx="146">
                  <c:v>28915</c:v>
                </c:pt>
                <c:pt idx="147">
                  <c:v>28946</c:v>
                </c:pt>
                <c:pt idx="148">
                  <c:v>28976</c:v>
                </c:pt>
                <c:pt idx="149">
                  <c:v>29007</c:v>
                </c:pt>
                <c:pt idx="150">
                  <c:v>29037</c:v>
                </c:pt>
                <c:pt idx="151">
                  <c:v>29068</c:v>
                </c:pt>
                <c:pt idx="152">
                  <c:v>29099</c:v>
                </c:pt>
                <c:pt idx="153">
                  <c:v>29129</c:v>
                </c:pt>
                <c:pt idx="154">
                  <c:v>29160</c:v>
                </c:pt>
                <c:pt idx="155">
                  <c:v>29190</c:v>
                </c:pt>
                <c:pt idx="156">
                  <c:v>29221</c:v>
                </c:pt>
                <c:pt idx="157">
                  <c:v>29252</c:v>
                </c:pt>
                <c:pt idx="158">
                  <c:v>29281</c:v>
                </c:pt>
                <c:pt idx="159">
                  <c:v>29312</c:v>
                </c:pt>
                <c:pt idx="160">
                  <c:v>29342</c:v>
                </c:pt>
                <c:pt idx="161">
                  <c:v>29373</c:v>
                </c:pt>
                <c:pt idx="162">
                  <c:v>29403</c:v>
                </c:pt>
                <c:pt idx="163">
                  <c:v>29434</c:v>
                </c:pt>
                <c:pt idx="164">
                  <c:v>29465</c:v>
                </c:pt>
                <c:pt idx="165">
                  <c:v>29495</c:v>
                </c:pt>
                <c:pt idx="166">
                  <c:v>29526</c:v>
                </c:pt>
                <c:pt idx="167">
                  <c:v>29556</c:v>
                </c:pt>
                <c:pt idx="168">
                  <c:v>29587</c:v>
                </c:pt>
                <c:pt idx="169">
                  <c:v>29618</c:v>
                </c:pt>
                <c:pt idx="170">
                  <c:v>29646</c:v>
                </c:pt>
                <c:pt idx="171">
                  <c:v>29677</c:v>
                </c:pt>
                <c:pt idx="172">
                  <c:v>29707</c:v>
                </c:pt>
                <c:pt idx="173">
                  <c:v>29738</c:v>
                </c:pt>
                <c:pt idx="174">
                  <c:v>29768</c:v>
                </c:pt>
                <c:pt idx="175">
                  <c:v>29799</c:v>
                </c:pt>
                <c:pt idx="176">
                  <c:v>29830</c:v>
                </c:pt>
                <c:pt idx="177">
                  <c:v>29860</c:v>
                </c:pt>
                <c:pt idx="178">
                  <c:v>29891</c:v>
                </c:pt>
                <c:pt idx="179">
                  <c:v>29921</c:v>
                </c:pt>
                <c:pt idx="180">
                  <c:v>29952</c:v>
                </c:pt>
                <c:pt idx="181">
                  <c:v>29983</c:v>
                </c:pt>
                <c:pt idx="182">
                  <c:v>30011</c:v>
                </c:pt>
                <c:pt idx="183">
                  <c:v>30042</c:v>
                </c:pt>
                <c:pt idx="184">
                  <c:v>30072</c:v>
                </c:pt>
                <c:pt idx="185">
                  <c:v>30103</c:v>
                </c:pt>
                <c:pt idx="186">
                  <c:v>30133</c:v>
                </c:pt>
                <c:pt idx="187">
                  <c:v>30164</c:v>
                </c:pt>
                <c:pt idx="188">
                  <c:v>30195</c:v>
                </c:pt>
                <c:pt idx="189">
                  <c:v>30225</c:v>
                </c:pt>
                <c:pt idx="190">
                  <c:v>30256</c:v>
                </c:pt>
                <c:pt idx="191">
                  <c:v>30286</c:v>
                </c:pt>
                <c:pt idx="192">
                  <c:v>30317</c:v>
                </c:pt>
                <c:pt idx="193">
                  <c:v>30348</c:v>
                </c:pt>
                <c:pt idx="194">
                  <c:v>30376</c:v>
                </c:pt>
                <c:pt idx="195">
                  <c:v>30407</c:v>
                </c:pt>
                <c:pt idx="196">
                  <c:v>30437</c:v>
                </c:pt>
                <c:pt idx="197">
                  <c:v>30468</c:v>
                </c:pt>
                <c:pt idx="198">
                  <c:v>30498</c:v>
                </c:pt>
                <c:pt idx="199">
                  <c:v>30529</c:v>
                </c:pt>
                <c:pt idx="200">
                  <c:v>30560</c:v>
                </c:pt>
                <c:pt idx="201">
                  <c:v>30590</c:v>
                </c:pt>
                <c:pt idx="202">
                  <c:v>30621</c:v>
                </c:pt>
                <c:pt idx="203">
                  <c:v>30651</c:v>
                </c:pt>
                <c:pt idx="204">
                  <c:v>30682</c:v>
                </c:pt>
                <c:pt idx="205">
                  <c:v>30713</c:v>
                </c:pt>
                <c:pt idx="206">
                  <c:v>30742</c:v>
                </c:pt>
                <c:pt idx="207">
                  <c:v>30773</c:v>
                </c:pt>
                <c:pt idx="208">
                  <c:v>30803</c:v>
                </c:pt>
                <c:pt idx="209">
                  <c:v>30834</c:v>
                </c:pt>
                <c:pt idx="210">
                  <c:v>30864</c:v>
                </c:pt>
                <c:pt idx="211">
                  <c:v>30895</c:v>
                </c:pt>
                <c:pt idx="212">
                  <c:v>30926</c:v>
                </c:pt>
                <c:pt idx="213">
                  <c:v>30956</c:v>
                </c:pt>
                <c:pt idx="214">
                  <c:v>30987</c:v>
                </c:pt>
                <c:pt idx="215">
                  <c:v>31017</c:v>
                </c:pt>
                <c:pt idx="216">
                  <c:v>31048</c:v>
                </c:pt>
                <c:pt idx="217">
                  <c:v>31079</c:v>
                </c:pt>
                <c:pt idx="218">
                  <c:v>31107</c:v>
                </c:pt>
                <c:pt idx="219">
                  <c:v>31138</c:v>
                </c:pt>
                <c:pt idx="220">
                  <c:v>31168</c:v>
                </c:pt>
                <c:pt idx="221">
                  <c:v>31199</c:v>
                </c:pt>
                <c:pt idx="222">
                  <c:v>31229</c:v>
                </c:pt>
                <c:pt idx="223">
                  <c:v>31260</c:v>
                </c:pt>
                <c:pt idx="224">
                  <c:v>31291</c:v>
                </c:pt>
                <c:pt idx="225">
                  <c:v>31321</c:v>
                </c:pt>
                <c:pt idx="226">
                  <c:v>31352</c:v>
                </c:pt>
                <c:pt idx="227">
                  <c:v>31382</c:v>
                </c:pt>
                <c:pt idx="228">
                  <c:v>31413</c:v>
                </c:pt>
                <c:pt idx="229">
                  <c:v>31444</c:v>
                </c:pt>
                <c:pt idx="230">
                  <c:v>31472</c:v>
                </c:pt>
                <c:pt idx="231">
                  <c:v>31503</c:v>
                </c:pt>
                <c:pt idx="232">
                  <c:v>31533</c:v>
                </c:pt>
                <c:pt idx="233">
                  <c:v>31564</c:v>
                </c:pt>
                <c:pt idx="234">
                  <c:v>31594</c:v>
                </c:pt>
                <c:pt idx="235">
                  <c:v>31625</c:v>
                </c:pt>
                <c:pt idx="236">
                  <c:v>31656</c:v>
                </c:pt>
                <c:pt idx="237">
                  <c:v>31686</c:v>
                </c:pt>
                <c:pt idx="238">
                  <c:v>31717</c:v>
                </c:pt>
                <c:pt idx="239">
                  <c:v>31747</c:v>
                </c:pt>
                <c:pt idx="240">
                  <c:v>31778</c:v>
                </c:pt>
                <c:pt idx="241">
                  <c:v>31809</c:v>
                </c:pt>
                <c:pt idx="242">
                  <c:v>31837</c:v>
                </c:pt>
                <c:pt idx="243">
                  <c:v>31868</c:v>
                </c:pt>
                <c:pt idx="244">
                  <c:v>31898</c:v>
                </c:pt>
                <c:pt idx="245">
                  <c:v>31929</c:v>
                </c:pt>
                <c:pt idx="246">
                  <c:v>31959</c:v>
                </c:pt>
                <c:pt idx="247">
                  <c:v>31990</c:v>
                </c:pt>
                <c:pt idx="248">
                  <c:v>32021</c:v>
                </c:pt>
                <c:pt idx="249">
                  <c:v>32051</c:v>
                </c:pt>
                <c:pt idx="250">
                  <c:v>32082</c:v>
                </c:pt>
                <c:pt idx="251">
                  <c:v>32112</c:v>
                </c:pt>
                <c:pt idx="252">
                  <c:v>32143</c:v>
                </c:pt>
                <c:pt idx="253">
                  <c:v>32174</c:v>
                </c:pt>
                <c:pt idx="254">
                  <c:v>32203</c:v>
                </c:pt>
                <c:pt idx="255">
                  <c:v>32234</c:v>
                </c:pt>
                <c:pt idx="256">
                  <c:v>32264</c:v>
                </c:pt>
                <c:pt idx="257">
                  <c:v>32295</c:v>
                </c:pt>
                <c:pt idx="258">
                  <c:v>32325</c:v>
                </c:pt>
                <c:pt idx="259">
                  <c:v>32356</c:v>
                </c:pt>
                <c:pt idx="260">
                  <c:v>32387</c:v>
                </c:pt>
                <c:pt idx="261">
                  <c:v>32417</c:v>
                </c:pt>
                <c:pt idx="262">
                  <c:v>32448</c:v>
                </c:pt>
                <c:pt idx="263">
                  <c:v>32478</c:v>
                </c:pt>
                <c:pt idx="264">
                  <c:v>32509</c:v>
                </c:pt>
                <c:pt idx="265">
                  <c:v>32540</c:v>
                </c:pt>
                <c:pt idx="266">
                  <c:v>32568</c:v>
                </c:pt>
                <c:pt idx="267">
                  <c:v>32599</c:v>
                </c:pt>
                <c:pt idx="268">
                  <c:v>32629</c:v>
                </c:pt>
                <c:pt idx="269">
                  <c:v>32660</c:v>
                </c:pt>
                <c:pt idx="270">
                  <c:v>32690</c:v>
                </c:pt>
                <c:pt idx="271">
                  <c:v>32721</c:v>
                </c:pt>
                <c:pt idx="272">
                  <c:v>32752</c:v>
                </c:pt>
                <c:pt idx="273">
                  <c:v>32782</c:v>
                </c:pt>
                <c:pt idx="274">
                  <c:v>32813</c:v>
                </c:pt>
                <c:pt idx="275">
                  <c:v>32843</c:v>
                </c:pt>
                <c:pt idx="276">
                  <c:v>32874</c:v>
                </c:pt>
                <c:pt idx="277">
                  <c:v>32905</c:v>
                </c:pt>
                <c:pt idx="278">
                  <c:v>32933</c:v>
                </c:pt>
                <c:pt idx="279">
                  <c:v>32964</c:v>
                </c:pt>
                <c:pt idx="280">
                  <c:v>32994</c:v>
                </c:pt>
                <c:pt idx="281">
                  <c:v>33025</c:v>
                </c:pt>
                <c:pt idx="282">
                  <c:v>33055</c:v>
                </c:pt>
                <c:pt idx="283">
                  <c:v>33086</c:v>
                </c:pt>
                <c:pt idx="284">
                  <c:v>33117</c:v>
                </c:pt>
                <c:pt idx="285">
                  <c:v>33147</c:v>
                </c:pt>
                <c:pt idx="286">
                  <c:v>33178</c:v>
                </c:pt>
                <c:pt idx="287">
                  <c:v>33208</c:v>
                </c:pt>
                <c:pt idx="288">
                  <c:v>33239</c:v>
                </c:pt>
                <c:pt idx="289">
                  <c:v>33270</c:v>
                </c:pt>
                <c:pt idx="290">
                  <c:v>33298</c:v>
                </c:pt>
                <c:pt idx="291">
                  <c:v>33329</c:v>
                </c:pt>
                <c:pt idx="292">
                  <c:v>33359</c:v>
                </c:pt>
                <c:pt idx="293">
                  <c:v>33390</c:v>
                </c:pt>
                <c:pt idx="294">
                  <c:v>33420</c:v>
                </c:pt>
                <c:pt idx="295">
                  <c:v>33451</c:v>
                </c:pt>
                <c:pt idx="296">
                  <c:v>33482</c:v>
                </c:pt>
                <c:pt idx="297">
                  <c:v>33512</c:v>
                </c:pt>
                <c:pt idx="298">
                  <c:v>33543</c:v>
                </c:pt>
                <c:pt idx="299">
                  <c:v>33573</c:v>
                </c:pt>
                <c:pt idx="300">
                  <c:v>33604</c:v>
                </c:pt>
                <c:pt idx="301">
                  <c:v>33635</c:v>
                </c:pt>
                <c:pt idx="302">
                  <c:v>33664</c:v>
                </c:pt>
                <c:pt idx="303">
                  <c:v>33695</c:v>
                </c:pt>
                <c:pt idx="304">
                  <c:v>33725</c:v>
                </c:pt>
                <c:pt idx="305">
                  <c:v>33756</c:v>
                </c:pt>
                <c:pt idx="306">
                  <c:v>33786</c:v>
                </c:pt>
                <c:pt idx="307">
                  <c:v>33817</c:v>
                </c:pt>
                <c:pt idx="308">
                  <c:v>33848</c:v>
                </c:pt>
                <c:pt idx="309">
                  <c:v>33878</c:v>
                </c:pt>
                <c:pt idx="310">
                  <c:v>33909</c:v>
                </c:pt>
                <c:pt idx="311">
                  <c:v>33939</c:v>
                </c:pt>
                <c:pt idx="312">
                  <c:v>33970</c:v>
                </c:pt>
                <c:pt idx="313">
                  <c:v>34001</c:v>
                </c:pt>
                <c:pt idx="314">
                  <c:v>34029</c:v>
                </c:pt>
                <c:pt idx="315">
                  <c:v>34060</c:v>
                </c:pt>
                <c:pt idx="316">
                  <c:v>34090</c:v>
                </c:pt>
                <c:pt idx="317">
                  <c:v>34121</c:v>
                </c:pt>
                <c:pt idx="318">
                  <c:v>34151</c:v>
                </c:pt>
                <c:pt idx="319">
                  <c:v>34182</c:v>
                </c:pt>
                <c:pt idx="320">
                  <c:v>34213</c:v>
                </c:pt>
                <c:pt idx="321">
                  <c:v>34243</c:v>
                </c:pt>
                <c:pt idx="322">
                  <c:v>34274</c:v>
                </c:pt>
                <c:pt idx="323">
                  <c:v>34304</c:v>
                </c:pt>
                <c:pt idx="324">
                  <c:v>34335</c:v>
                </c:pt>
                <c:pt idx="325">
                  <c:v>34366</c:v>
                </c:pt>
                <c:pt idx="326">
                  <c:v>34394</c:v>
                </c:pt>
                <c:pt idx="327">
                  <c:v>34425</c:v>
                </c:pt>
                <c:pt idx="328">
                  <c:v>34455</c:v>
                </c:pt>
                <c:pt idx="329">
                  <c:v>34486</c:v>
                </c:pt>
                <c:pt idx="330">
                  <c:v>34516</c:v>
                </c:pt>
                <c:pt idx="331">
                  <c:v>34547</c:v>
                </c:pt>
                <c:pt idx="332">
                  <c:v>34578</c:v>
                </c:pt>
                <c:pt idx="333">
                  <c:v>34608</c:v>
                </c:pt>
                <c:pt idx="334">
                  <c:v>34639</c:v>
                </c:pt>
                <c:pt idx="335">
                  <c:v>34669</c:v>
                </c:pt>
                <c:pt idx="336">
                  <c:v>34700</c:v>
                </c:pt>
                <c:pt idx="337">
                  <c:v>34731</c:v>
                </c:pt>
                <c:pt idx="338">
                  <c:v>34759</c:v>
                </c:pt>
                <c:pt idx="339">
                  <c:v>34790</c:v>
                </c:pt>
                <c:pt idx="340">
                  <c:v>34820</c:v>
                </c:pt>
                <c:pt idx="341">
                  <c:v>34851</c:v>
                </c:pt>
                <c:pt idx="342">
                  <c:v>34881</c:v>
                </c:pt>
                <c:pt idx="343">
                  <c:v>34912</c:v>
                </c:pt>
                <c:pt idx="344">
                  <c:v>34943</c:v>
                </c:pt>
                <c:pt idx="345">
                  <c:v>34973</c:v>
                </c:pt>
                <c:pt idx="346">
                  <c:v>35004</c:v>
                </c:pt>
                <c:pt idx="347">
                  <c:v>35034</c:v>
                </c:pt>
                <c:pt idx="348">
                  <c:v>35065</c:v>
                </c:pt>
                <c:pt idx="349">
                  <c:v>35096</c:v>
                </c:pt>
                <c:pt idx="350">
                  <c:v>35125</c:v>
                </c:pt>
                <c:pt idx="351">
                  <c:v>35156</c:v>
                </c:pt>
                <c:pt idx="352">
                  <c:v>35186</c:v>
                </c:pt>
                <c:pt idx="353">
                  <c:v>35217</c:v>
                </c:pt>
                <c:pt idx="354">
                  <c:v>35247</c:v>
                </c:pt>
                <c:pt idx="355">
                  <c:v>35278</c:v>
                </c:pt>
                <c:pt idx="356">
                  <c:v>35309</c:v>
                </c:pt>
                <c:pt idx="357">
                  <c:v>35339</c:v>
                </c:pt>
                <c:pt idx="358">
                  <c:v>35370</c:v>
                </c:pt>
                <c:pt idx="359">
                  <c:v>35400</c:v>
                </c:pt>
                <c:pt idx="360">
                  <c:v>35431</c:v>
                </c:pt>
                <c:pt idx="361">
                  <c:v>35462</c:v>
                </c:pt>
                <c:pt idx="362">
                  <c:v>35490</c:v>
                </c:pt>
                <c:pt idx="363">
                  <c:v>35521</c:v>
                </c:pt>
                <c:pt idx="364">
                  <c:v>35551</c:v>
                </c:pt>
                <c:pt idx="365">
                  <c:v>35582</c:v>
                </c:pt>
                <c:pt idx="366">
                  <c:v>35612</c:v>
                </c:pt>
                <c:pt idx="367">
                  <c:v>35643</c:v>
                </c:pt>
                <c:pt idx="368">
                  <c:v>35674</c:v>
                </c:pt>
                <c:pt idx="369">
                  <c:v>35704</c:v>
                </c:pt>
                <c:pt idx="370">
                  <c:v>35735</c:v>
                </c:pt>
                <c:pt idx="371">
                  <c:v>35765</c:v>
                </c:pt>
                <c:pt idx="372">
                  <c:v>35796</c:v>
                </c:pt>
                <c:pt idx="373">
                  <c:v>35827</c:v>
                </c:pt>
                <c:pt idx="374">
                  <c:v>35855</c:v>
                </c:pt>
                <c:pt idx="375">
                  <c:v>35886</c:v>
                </c:pt>
                <c:pt idx="376">
                  <c:v>35916</c:v>
                </c:pt>
                <c:pt idx="377">
                  <c:v>35947</c:v>
                </c:pt>
                <c:pt idx="378">
                  <c:v>35977</c:v>
                </c:pt>
                <c:pt idx="379">
                  <c:v>36008</c:v>
                </c:pt>
                <c:pt idx="380">
                  <c:v>36039</c:v>
                </c:pt>
                <c:pt idx="381">
                  <c:v>36069</c:v>
                </c:pt>
                <c:pt idx="382">
                  <c:v>36100</c:v>
                </c:pt>
                <c:pt idx="383">
                  <c:v>36130</c:v>
                </c:pt>
                <c:pt idx="384">
                  <c:v>36161</c:v>
                </c:pt>
                <c:pt idx="385">
                  <c:v>36192</c:v>
                </c:pt>
                <c:pt idx="386">
                  <c:v>36220</c:v>
                </c:pt>
                <c:pt idx="387">
                  <c:v>36251</c:v>
                </c:pt>
                <c:pt idx="388">
                  <c:v>36281</c:v>
                </c:pt>
                <c:pt idx="389">
                  <c:v>36312</c:v>
                </c:pt>
                <c:pt idx="390">
                  <c:v>36342</c:v>
                </c:pt>
                <c:pt idx="391">
                  <c:v>36373</c:v>
                </c:pt>
                <c:pt idx="392">
                  <c:v>36404</c:v>
                </c:pt>
                <c:pt idx="393">
                  <c:v>36434</c:v>
                </c:pt>
                <c:pt idx="394">
                  <c:v>36465</c:v>
                </c:pt>
                <c:pt idx="395">
                  <c:v>36495</c:v>
                </c:pt>
                <c:pt idx="396">
                  <c:v>36526</c:v>
                </c:pt>
                <c:pt idx="397">
                  <c:v>36557</c:v>
                </c:pt>
                <c:pt idx="398">
                  <c:v>36586</c:v>
                </c:pt>
                <c:pt idx="399">
                  <c:v>36617</c:v>
                </c:pt>
                <c:pt idx="400">
                  <c:v>36647</c:v>
                </c:pt>
                <c:pt idx="401">
                  <c:v>36678</c:v>
                </c:pt>
                <c:pt idx="402">
                  <c:v>36708</c:v>
                </c:pt>
                <c:pt idx="403">
                  <c:v>36739</c:v>
                </c:pt>
                <c:pt idx="404">
                  <c:v>36770</c:v>
                </c:pt>
                <c:pt idx="405">
                  <c:v>36800</c:v>
                </c:pt>
                <c:pt idx="406">
                  <c:v>36831</c:v>
                </c:pt>
                <c:pt idx="407">
                  <c:v>36861</c:v>
                </c:pt>
                <c:pt idx="408">
                  <c:v>36892</c:v>
                </c:pt>
                <c:pt idx="409">
                  <c:v>36923</c:v>
                </c:pt>
                <c:pt idx="410">
                  <c:v>36951</c:v>
                </c:pt>
                <c:pt idx="411">
                  <c:v>36982</c:v>
                </c:pt>
                <c:pt idx="412">
                  <c:v>37012</c:v>
                </c:pt>
                <c:pt idx="413">
                  <c:v>37043</c:v>
                </c:pt>
                <c:pt idx="414">
                  <c:v>37073</c:v>
                </c:pt>
                <c:pt idx="415">
                  <c:v>37104</c:v>
                </c:pt>
                <c:pt idx="416">
                  <c:v>37135</c:v>
                </c:pt>
                <c:pt idx="417">
                  <c:v>37165</c:v>
                </c:pt>
                <c:pt idx="418">
                  <c:v>37196</c:v>
                </c:pt>
                <c:pt idx="419">
                  <c:v>37226</c:v>
                </c:pt>
                <c:pt idx="420">
                  <c:v>37257</c:v>
                </c:pt>
                <c:pt idx="421">
                  <c:v>37288</c:v>
                </c:pt>
                <c:pt idx="422">
                  <c:v>37316</c:v>
                </c:pt>
                <c:pt idx="423">
                  <c:v>37347</c:v>
                </c:pt>
                <c:pt idx="424">
                  <c:v>37377</c:v>
                </c:pt>
                <c:pt idx="425">
                  <c:v>37408</c:v>
                </c:pt>
                <c:pt idx="426">
                  <c:v>37438</c:v>
                </c:pt>
                <c:pt idx="427">
                  <c:v>37469</c:v>
                </c:pt>
                <c:pt idx="428">
                  <c:v>37500</c:v>
                </c:pt>
                <c:pt idx="429">
                  <c:v>37530</c:v>
                </c:pt>
                <c:pt idx="430">
                  <c:v>37561</c:v>
                </c:pt>
                <c:pt idx="431">
                  <c:v>37591</c:v>
                </c:pt>
                <c:pt idx="432">
                  <c:v>37622</c:v>
                </c:pt>
                <c:pt idx="433">
                  <c:v>37653</c:v>
                </c:pt>
                <c:pt idx="434">
                  <c:v>37681</c:v>
                </c:pt>
                <c:pt idx="435">
                  <c:v>37712</c:v>
                </c:pt>
                <c:pt idx="436">
                  <c:v>37742</c:v>
                </c:pt>
                <c:pt idx="437">
                  <c:v>37773</c:v>
                </c:pt>
                <c:pt idx="438">
                  <c:v>37803</c:v>
                </c:pt>
                <c:pt idx="439">
                  <c:v>37834</c:v>
                </c:pt>
                <c:pt idx="440">
                  <c:v>37865</c:v>
                </c:pt>
                <c:pt idx="441">
                  <c:v>37895</c:v>
                </c:pt>
                <c:pt idx="442">
                  <c:v>37926</c:v>
                </c:pt>
                <c:pt idx="443">
                  <c:v>37956</c:v>
                </c:pt>
                <c:pt idx="444">
                  <c:v>37987</c:v>
                </c:pt>
                <c:pt idx="445">
                  <c:v>38018</c:v>
                </c:pt>
                <c:pt idx="446">
                  <c:v>38047</c:v>
                </c:pt>
                <c:pt idx="447">
                  <c:v>38078</c:v>
                </c:pt>
                <c:pt idx="448">
                  <c:v>38108</c:v>
                </c:pt>
                <c:pt idx="449">
                  <c:v>38139</c:v>
                </c:pt>
                <c:pt idx="450">
                  <c:v>38169</c:v>
                </c:pt>
                <c:pt idx="451">
                  <c:v>38200</c:v>
                </c:pt>
                <c:pt idx="452">
                  <c:v>38231</c:v>
                </c:pt>
                <c:pt idx="453">
                  <c:v>38261</c:v>
                </c:pt>
                <c:pt idx="454">
                  <c:v>38292</c:v>
                </c:pt>
                <c:pt idx="455">
                  <c:v>38322</c:v>
                </c:pt>
                <c:pt idx="456">
                  <c:v>38353</c:v>
                </c:pt>
                <c:pt idx="457">
                  <c:v>38384</c:v>
                </c:pt>
                <c:pt idx="458">
                  <c:v>38412</c:v>
                </c:pt>
                <c:pt idx="459">
                  <c:v>38443</c:v>
                </c:pt>
                <c:pt idx="460">
                  <c:v>38473</c:v>
                </c:pt>
                <c:pt idx="461">
                  <c:v>38504</c:v>
                </c:pt>
                <c:pt idx="462">
                  <c:v>38534</c:v>
                </c:pt>
                <c:pt idx="463">
                  <c:v>38565</c:v>
                </c:pt>
                <c:pt idx="464">
                  <c:v>38596</c:v>
                </c:pt>
                <c:pt idx="465">
                  <c:v>38626</c:v>
                </c:pt>
                <c:pt idx="466">
                  <c:v>38657</c:v>
                </c:pt>
                <c:pt idx="467">
                  <c:v>38687</c:v>
                </c:pt>
                <c:pt idx="468">
                  <c:v>38718</c:v>
                </c:pt>
                <c:pt idx="469">
                  <c:v>38749</c:v>
                </c:pt>
                <c:pt idx="470">
                  <c:v>38777</c:v>
                </c:pt>
                <c:pt idx="471">
                  <c:v>38808</c:v>
                </c:pt>
                <c:pt idx="472">
                  <c:v>38838</c:v>
                </c:pt>
                <c:pt idx="473">
                  <c:v>38869</c:v>
                </c:pt>
                <c:pt idx="474">
                  <c:v>38899</c:v>
                </c:pt>
                <c:pt idx="475">
                  <c:v>38930</c:v>
                </c:pt>
                <c:pt idx="476">
                  <c:v>38961</c:v>
                </c:pt>
                <c:pt idx="477">
                  <c:v>38991</c:v>
                </c:pt>
                <c:pt idx="478">
                  <c:v>39022</c:v>
                </c:pt>
                <c:pt idx="479">
                  <c:v>39052</c:v>
                </c:pt>
                <c:pt idx="480">
                  <c:v>39083</c:v>
                </c:pt>
                <c:pt idx="481">
                  <c:v>39114</c:v>
                </c:pt>
                <c:pt idx="482">
                  <c:v>39142</c:v>
                </c:pt>
                <c:pt idx="483">
                  <c:v>39173</c:v>
                </c:pt>
                <c:pt idx="484">
                  <c:v>39203</c:v>
                </c:pt>
                <c:pt idx="485">
                  <c:v>39234</c:v>
                </c:pt>
                <c:pt idx="486">
                  <c:v>39264</c:v>
                </c:pt>
                <c:pt idx="487">
                  <c:v>39295</c:v>
                </c:pt>
                <c:pt idx="488">
                  <c:v>39326</c:v>
                </c:pt>
                <c:pt idx="489">
                  <c:v>39356</c:v>
                </c:pt>
                <c:pt idx="490">
                  <c:v>39387</c:v>
                </c:pt>
                <c:pt idx="491">
                  <c:v>39417</c:v>
                </c:pt>
                <c:pt idx="492">
                  <c:v>39448</c:v>
                </c:pt>
                <c:pt idx="493">
                  <c:v>39479</c:v>
                </c:pt>
                <c:pt idx="494">
                  <c:v>39508</c:v>
                </c:pt>
                <c:pt idx="495">
                  <c:v>39539</c:v>
                </c:pt>
                <c:pt idx="496">
                  <c:v>39569</c:v>
                </c:pt>
                <c:pt idx="497">
                  <c:v>39600</c:v>
                </c:pt>
                <c:pt idx="498">
                  <c:v>39630</c:v>
                </c:pt>
                <c:pt idx="499">
                  <c:v>39661</c:v>
                </c:pt>
                <c:pt idx="500">
                  <c:v>39692</c:v>
                </c:pt>
                <c:pt idx="501">
                  <c:v>39722</c:v>
                </c:pt>
                <c:pt idx="502">
                  <c:v>39753</c:v>
                </c:pt>
                <c:pt idx="503">
                  <c:v>39783</c:v>
                </c:pt>
                <c:pt idx="504">
                  <c:v>39814</c:v>
                </c:pt>
                <c:pt idx="505">
                  <c:v>39845</c:v>
                </c:pt>
                <c:pt idx="506">
                  <c:v>39873</c:v>
                </c:pt>
                <c:pt idx="507">
                  <c:v>39904</c:v>
                </c:pt>
                <c:pt idx="508">
                  <c:v>39934</c:v>
                </c:pt>
                <c:pt idx="509">
                  <c:v>39965</c:v>
                </c:pt>
                <c:pt idx="510">
                  <c:v>39995</c:v>
                </c:pt>
                <c:pt idx="511">
                  <c:v>40026</c:v>
                </c:pt>
                <c:pt idx="512">
                  <c:v>40057</c:v>
                </c:pt>
                <c:pt idx="513">
                  <c:v>40087</c:v>
                </c:pt>
                <c:pt idx="514">
                  <c:v>40118</c:v>
                </c:pt>
                <c:pt idx="515">
                  <c:v>40148</c:v>
                </c:pt>
                <c:pt idx="516">
                  <c:v>40179</c:v>
                </c:pt>
                <c:pt idx="517">
                  <c:v>40210</c:v>
                </c:pt>
                <c:pt idx="518">
                  <c:v>40238</c:v>
                </c:pt>
                <c:pt idx="519">
                  <c:v>40269</c:v>
                </c:pt>
              </c:numCache>
            </c:numRef>
          </c:cat>
          <c:val>
            <c:numRef>
              <c:f>Data!$I$2:$I$521</c:f>
              <c:numCache>
                <c:formatCode>General</c:formatCode>
                <c:ptCount val="5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">
                  <c:v>5.2655520533138489</c:v>
                </c:pt>
                <c:pt idx="12" formatCode="0.00">
                  <c:v>5.5302014140581113</c:v>
                </c:pt>
                <c:pt idx="13" formatCode="0.00">
                  <c:v>5.0483545677429742</c:v>
                </c:pt>
                <c:pt idx="14" formatCode="0.00">
                  <c:v>5.1525509720435014</c:v>
                </c:pt>
                <c:pt idx="15" formatCode="0.00">
                  <c:v>5.0102903885862027</c:v>
                </c:pt>
                <c:pt idx="16" formatCode="0.00">
                  <c:v>4.9240997164593292</c:v>
                </c:pt>
                <c:pt idx="17" formatCode="0.00">
                  <c:v>5.4986179905391674</c:v>
                </c:pt>
                <c:pt idx="18" formatCode="0.00">
                  <c:v>5.1071854583393694</c:v>
                </c:pt>
                <c:pt idx="19" formatCode="0.00">
                  <c:v>4.972109467402408</c:v>
                </c:pt>
                <c:pt idx="20" formatCode="0.00">
                  <c:v>4.7544774018189795</c:v>
                </c:pt>
                <c:pt idx="21" formatCode="0.00">
                  <c:v>4.5938080349999133</c:v>
                </c:pt>
                <c:pt idx="22" formatCode="0.00">
                  <c:v>4.7445256773066768</c:v>
                </c:pt>
                <c:pt idx="23" formatCode="0.00">
                  <c:v>3.8974926718971181</c:v>
                </c:pt>
                <c:pt idx="24" formatCode="0.00">
                  <c:v>3.4437799414511749</c:v>
                </c:pt>
                <c:pt idx="25" formatCode="0.00">
                  <c:v>4.3663697241098642</c:v>
                </c:pt>
                <c:pt idx="26" formatCode="0.00">
                  <c:v>5.1876085683947526</c:v>
                </c:pt>
                <c:pt idx="27" formatCode="0.00">
                  <c:v>4.9250772798080433</c:v>
                </c:pt>
                <c:pt idx="28" formatCode="0.00">
                  <c:v>4.4355235280958194</c:v>
                </c:pt>
                <c:pt idx="29" formatCode="0.00">
                  <c:v>4.2109448737372768</c:v>
                </c:pt>
                <c:pt idx="30" formatCode="0.00">
                  <c:v>4.3013830910004103</c:v>
                </c:pt>
                <c:pt idx="31" formatCode="0.00">
                  <c:v>3.9637377208380009</c:v>
                </c:pt>
                <c:pt idx="32" formatCode="0.00">
                  <c:v>3.659343829344075</c:v>
                </c:pt>
                <c:pt idx="33" formatCode="0.00">
                  <c:v>4.2314750663028811</c:v>
                </c:pt>
                <c:pt idx="34" formatCode="0.00">
                  <c:v>4.3929269026101059</c:v>
                </c:pt>
                <c:pt idx="35" formatCode="0.00">
                  <c:v>5.0207377256914265</c:v>
                </c:pt>
                <c:pt idx="36" formatCode="0.00">
                  <c:v>4.970982485157216</c:v>
                </c:pt>
                <c:pt idx="37" formatCode="0.00">
                  <c:v>4.063171343655636</c:v>
                </c:pt>
                <c:pt idx="38" formatCode="0.00">
                  <c:v>2.9563298640320035</c:v>
                </c:pt>
                <c:pt idx="39" formatCode="0.00">
                  <c:v>3.2762587154797629</c:v>
                </c:pt>
                <c:pt idx="40" formatCode="0.00">
                  <c:v>4.0405948459642849</c:v>
                </c:pt>
                <c:pt idx="41" formatCode="0.00">
                  <c:v>4.2565398021817025</c:v>
                </c:pt>
                <c:pt idx="42" formatCode="0.00">
                  <c:v>3.9977091353921246</c:v>
                </c:pt>
                <c:pt idx="43" formatCode="0.00">
                  <c:v>4.0069547915834391</c:v>
                </c:pt>
                <c:pt idx="44" formatCode="0.00">
                  <c:v>4.4355092702713206</c:v>
                </c:pt>
                <c:pt idx="45" formatCode="0.00">
                  <c:v>4.198479211423467</c:v>
                </c:pt>
                <c:pt idx="46" formatCode="0.00">
                  <c:v>4.4013097590287931</c:v>
                </c:pt>
                <c:pt idx="47" formatCode="0.00">
                  <c:v>4.8892838511544134</c:v>
                </c:pt>
                <c:pt idx="48" formatCode="0.00">
                  <c:v>4.9975261240196911</c:v>
                </c:pt>
                <c:pt idx="49" formatCode="0.00">
                  <c:v>4.9445518815026679</c:v>
                </c:pt>
                <c:pt idx="50" formatCode="0.00">
                  <c:v>4.9511466970213247</c:v>
                </c:pt>
                <c:pt idx="51" formatCode="0.00">
                  <c:v>4.8235100491276217</c:v>
                </c:pt>
                <c:pt idx="52" formatCode="0.00">
                  <c:v>4.8804380636404465</c:v>
                </c:pt>
                <c:pt idx="53" formatCode="0.00">
                  <c:v>4.2987606539029999</c:v>
                </c:pt>
                <c:pt idx="54" formatCode="0.00">
                  <c:v>4.3489050908285476</c:v>
                </c:pt>
                <c:pt idx="55" formatCode="0.00">
                  <c:v>3.5979439791105516</c:v>
                </c:pt>
                <c:pt idx="56" formatCode="0.00">
                  <c:v>2.9740001482135181</c:v>
                </c:pt>
                <c:pt idx="57" formatCode="0.00">
                  <c:v>2.5050558886596574</c:v>
                </c:pt>
                <c:pt idx="58" formatCode="0.00">
                  <c:v>1.7092826590160426</c:v>
                </c:pt>
                <c:pt idx="59" formatCode="0.00">
                  <c:v>1.0866058458743222</c:v>
                </c:pt>
                <c:pt idx="60" formatCode="0.00">
                  <c:v>1.4515930491348028</c:v>
                </c:pt>
                <c:pt idx="61" formatCode="0.00">
                  <c:v>1.5320582425401685</c:v>
                </c:pt>
                <c:pt idx="62" formatCode="0.00">
                  <c:v>1.7135388830355147</c:v>
                </c:pt>
                <c:pt idx="63" formatCode="0.00">
                  <c:v>1.6999057346168689</c:v>
                </c:pt>
                <c:pt idx="64" formatCode="0.00">
                  <c:v>1.4791525146802931</c:v>
                </c:pt>
                <c:pt idx="65" formatCode="0.00">
                  <c:v>1.3703000308758595</c:v>
                </c:pt>
                <c:pt idx="66" formatCode="0.00">
                  <c:v>1.064410650190406</c:v>
                </c:pt>
                <c:pt idx="67" formatCode="0.00">
                  <c:v>1.4326174022933902</c:v>
                </c:pt>
                <c:pt idx="68" formatCode="0.00">
                  <c:v>2.3299026555357871</c:v>
                </c:pt>
                <c:pt idx="69" formatCode="0.00">
                  <c:v>2.2271248569053714</c:v>
                </c:pt>
                <c:pt idx="70" formatCode="0.00">
                  <c:v>2.6488633012137219</c:v>
                </c:pt>
                <c:pt idx="71" formatCode="0.00">
                  <c:v>2.9896394069540699</c:v>
                </c:pt>
                <c:pt idx="72" formatCode="0.00">
                  <c:v>2.4826411195364217</c:v>
                </c:pt>
                <c:pt idx="73" formatCode="0.00">
                  <c:v>2.7319355931712197</c:v>
                </c:pt>
                <c:pt idx="74" formatCode="0.00">
                  <c:v>3.1265954794524875</c:v>
                </c:pt>
                <c:pt idx="75" formatCode="0.00">
                  <c:v>3.5095226154117087</c:v>
                </c:pt>
                <c:pt idx="76" formatCode="0.00">
                  <c:v>3.489097775906469</c:v>
                </c:pt>
                <c:pt idx="77" formatCode="0.00">
                  <c:v>3.6134500578124396</c:v>
                </c:pt>
                <c:pt idx="78" formatCode="0.00">
                  <c:v>3.6222630295468239</c:v>
                </c:pt>
                <c:pt idx="79" formatCode="0.00">
                  <c:v>3.9001682512523672</c:v>
                </c:pt>
                <c:pt idx="80" formatCode="0.00">
                  <c:v>3.2432904213961944</c:v>
                </c:pt>
                <c:pt idx="81" formatCode="0.00">
                  <c:v>3.2130990634372969</c:v>
                </c:pt>
                <c:pt idx="82" formatCode="0.00">
                  <c:v>2.9541790110850563</c:v>
                </c:pt>
                <c:pt idx="83" formatCode="0.00">
                  <c:v>2.6534878310111143</c:v>
                </c:pt>
                <c:pt idx="84" formatCode="0.00">
                  <c:v>2.7208058392055978</c:v>
                </c:pt>
                <c:pt idx="85" formatCode="0.00">
                  <c:v>2.7156483024527667</c:v>
                </c:pt>
                <c:pt idx="86" formatCode="0.00">
                  <c:v>2.5881700347351932</c:v>
                </c:pt>
                <c:pt idx="87" formatCode="0.00">
                  <c:v>2.9174372647222446</c:v>
                </c:pt>
                <c:pt idx="88" formatCode="0.00">
                  <c:v>3.8286098558977688</c:v>
                </c:pt>
                <c:pt idx="89" formatCode="0.00">
                  <c:v>5.1152152983876098</c:v>
                </c:pt>
                <c:pt idx="90" formatCode="0.00">
                  <c:v>6.2705225608876036</c:v>
                </c:pt>
                <c:pt idx="91" formatCode="0.00">
                  <c:v>8.0084409218983623</c:v>
                </c:pt>
                <c:pt idx="92" formatCode="0.00">
                  <c:v>8.7199552721366267</c:v>
                </c:pt>
                <c:pt idx="93" formatCode="0.00">
                  <c:v>9.8192877463944228</c:v>
                </c:pt>
                <c:pt idx="94" formatCode="0.00">
                  <c:v>10.63719900833302</c:v>
                </c:pt>
                <c:pt idx="95" formatCode="0.00">
                  <c:v>10.756751205077375</c:v>
                </c:pt>
                <c:pt idx="96" formatCode="0.00">
                  <c:v>10.808728493844043</c:v>
                </c:pt>
                <c:pt idx="97" formatCode="0.00">
                  <c:v>10.659169955874992</c:v>
                </c:pt>
                <c:pt idx="98" formatCode="0.00">
                  <c:v>10.734131930296087</c:v>
                </c:pt>
                <c:pt idx="99" formatCode="0.00">
                  <c:v>9.6569440557658481</c:v>
                </c:pt>
                <c:pt idx="100" formatCode="0.00">
                  <c:v>8.3786911333835867</c:v>
                </c:pt>
                <c:pt idx="101" formatCode="0.00">
                  <c:v>7.1180987281958652</c:v>
                </c:pt>
                <c:pt idx="102" formatCode="0.00">
                  <c:v>6.6364379897711823</c:v>
                </c:pt>
                <c:pt idx="103" formatCode="0.00">
                  <c:v>5.1561817611719185</c:v>
                </c:pt>
                <c:pt idx="104" formatCode="0.00">
                  <c:v>4.6781325516332073</c:v>
                </c:pt>
                <c:pt idx="105" formatCode="0.00">
                  <c:v>4.0281366752203951</c:v>
                </c:pt>
                <c:pt idx="106" formatCode="0.00">
                  <c:v>3.4849510706240094</c:v>
                </c:pt>
                <c:pt idx="107" formatCode="0.00">
                  <c:v>3.7498596922708849</c:v>
                </c:pt>
                <c:pt idx="108" formatCode="0.00">
                  <c:v>3.7302700830075697</c:v>
                </c:pt>
                <c:pt idx="109" formatCode="0.00">
                  <c:v>3.9535373973132559</c:v>
                </c:pt>
                <c:pt idx="110" formatCode="0.00">
                  <c:v>4.0611759422737981</c:v>
                </c:pt>
                <c:pt idx="111" formatCode="0.00">
                  <c:v>4.791301712985252</c:v>
                </c:pt>
                <c:pt idx="112" formatCode="0.00">
                  <c:v>5.4924674528102013</c:v>
                </c:pt>
                <c:pt idx="113" formatCode="0.00">
                  <c:v>5.6627793471078602</c:v>
                </c:pt>
                <c:pt idx="114" formatCode="0.00">
                  <c:v>5.5513817445890457</c:v>
                </c:pt>
                <c:pt idx="115" formatCode="0.00">
                  <c:v>5.8102419869236144</c:v>
                </c:pt>
                <c:pt idx="116" formatCode="0.00">
                  <c:v>6.1095879241911177</c:v>
                </c:pt>
                <c:pt idx="117" formatCode="0.00">
                  <c:v>6.2026242934802855</c:v>
                </c:pt>
                <c:pt idx="118" formatCode="0.00">
                  <c:v>6.2960696491461299</c:v>
                </c:pt>
                <c:pt idx="119" formatCode="0.00">
                  <c:v>6.4693637679360094</c:v>
                </c:pt>
                <c:pt idx="120" formatCode="0.00">
                  <c:v>7.1370730419247241</c:v>
                </c:pt>
                <c:pt idx="121" formatCode="0.00">
                  <c:v>7.0838016782338364</c:v>
                </c:pt>
                <c:pt idx="122" formatCode="0.00">
                  <c:v>6.5762238252559335</c:v>
                </c:pt>
                <c:pt idx="123" formatCode="0.00">
                  <c:v>6.0753995136300976</c:v>
                </c:pt>
                <c:pt idx="124" formatCode="0.00">
                  <c:v>5.6359569319163416</c:v>
                </c:pt>
                <c:pt idx="125" formatCode="0.00">
                  <c:v>5.3427548143374137</c:v>
                </c:pt>
                <c:pt idx="126" formatCode="0.00">
                  <c:v>5.0382979426684349</c:v>
                </c:pt>
                <c:pt idx="127" formatCode="0.00">
                  <c:v>4.259372843373388</c:v>
                </c:pt>
                <c:pt idx="128" formatCode="0.00">
                  <c:v>3.6082877208683639</c:v>
                </c:pt>
                <c:pt idx="129" formatCode="0.00">
                  <c:v>3.5088237115423304</c:v>
                </c:pt>
                <c:pt idx="130" formatCode="0.00">
                  <c:v>3.5089138336748871</c:v>
                </c:pt>
                <c:pt idx="131" formatCode="0.00">
                  <c:v>3.1732782172742668</c:v>
                </c:pt>
                <c:pt idx="132" formatCode="0.00">
                  <c:v>2.7871249186804059</c:v>
                </c:pt>
                <c:pt idx="133" formatCode="0.00">
                  <c:v>2.0933536166603872</c:v>
                </c:pt>
                <c:pt idx="134" formatCode="0.00">
                  <c:v>2.3971378817445599</c:v>
                </c:pt>
                <c:pt idx="135" formatCode="0.00">
                  <c:v>2.7707352639010585</c:v>
                </c:pt>
                <c:pt idx="136" formatCode="0.00">
                  <c:v>3.3362337548027199</c:v>
                </c:pt>
                <c:pt idx="137" formatCode="0.00">
                  <c:v>4.0767108230466587</c:v>
                </c:pt>
                <c:pt idx="138" formatCode="0.00">
                  <c:v>4.5506837920235021</c:v>
                </c:pt>
                <c:pt idx="139" formatCode="0.00">
                  <c:v>5.3024388171225567</c:v>
                </c:pt>
                <c:pt idx="140" formatCode="0.00">
                  <c:v>5.8561642490928101</c:v>
                </c:pt>
                <c:pt idx="141" formatCode="0.00">
                  <c:v>6.2255952775248424</c:v>
                </c:pt>
                <c:pt idx="142" formatCode="0.00">
                  <c:v>6.3172332018943234</c:v>
                </c:pt>
                <c:pt idx="143" formatCode="0.00">
                  <c:v>6.3444712447166207</c:v>
                </c:pt>
                <c:pt idx="144" formatCode="0.00">
                  <c:v>5.8453992846636549</c:v>
                </c:pt>
                <c:pt idx="145" formatCode="0.00">
                  <c:v>6.8772358500825082</c:v>
                </c:pt>
                <c:pt idx="146" formatCode="0.00">
                  <c:v>7.273160301940651</c:v>
                </c:pt>
                <c:pt idx="147" formatCode="0.00">
                  <c:v>7.7976637435589691</c:v>
                </c:pt>
                <c:pt idx="148" formatCode="0.00">
                  <c:v>7.9188358923371505</c:v>
                </c:pt>
                <c:pt idx="149" formatCode="0.00">
                  <c:v>7.4107696933214839</c:v>
                </c:pt>
                <c:pt idx="150" formatCode="0.00">
                  <c:v>6.739872501420674</c:v>
                </c:pt>
                <c:pt idx="151" formatCode="0.00">
                  <c:v>6.0709850292137491</c:v>
                </c:pt>
                <c:pt idx="152" formatCode="0.00">
                  <c:v>5.4924564602554238</c:v>
                </c:pt>
                <c:pt idx="153" formatCode="0.00">
                  <c:v>4.8094698711568684</c:v>
                </c:pt>
                <c:pt idx="154" formatCode="0.00">
                  <c:v>4.4499861359186044</c:v>
                </c:pt>
                <c:pt idx="155" formatCode="0.00">
                  <c:v>4.695911743354042</c:v>
                </c:pt>
                <c:pt idx="156" formatCode="0.00">
                  <c:v>5.8901696260452496</c:v>
                </c:pt>
                <c:pt idx="157" formatCode="0.00">
                  <c:v>5.9192937953756797</c:v>
                </c:pt>
                <c:pt idx="158" formatCode="0.00">
                  <c:v>5.6922112496524679</c:v>
                </c:pt>
                <c:pt idx="159" formatCode="0.00">
                  <c:v>5.1902002500694877</c:v>
                </c:pt>
                <c:pt idx="160" formatCode="0.00">
                  <c:v>4.7909036098317204</c:v>
                </c:pt>
                <c:pt idx="161" formatCode="0.00">
                  <c:v>4.6334708357737453</c:v>
                </c:pt>
                <c:pt idx="162" formatCode="0.00">
                  <c:v>5.1688825732404409</c:v>
                </c:pt>
                <c:pt idx="163" formatCode="0.00">
                  <c:v>6.1704655237868167</c:v>
                </c:pt>
                <c:pt idx="164" formatCode="0.00">
                  <c:v>7.6161044826008828</c:v>
                </c:pt>
                <c:pt idx="165" formatCode="0.00">
                  <c:v>8.4612428606632761</c:v>
                </c:pt>
                <c:pt idx="166" formatCode="0.00">
                  <c:v>9.5639931024986033</c:v>
                </c:pt>
                <c:pt idx="167" formatCode="0.00">
                  <c:v>9.619575088188558</c:v>
                </c:pt>
                <c:pt idx="168" formatCode="0.00">
                  <c:v>9.0785347130083025</c:v>
                </c:pt>
                <c:pt idx="169" formatCode="0.00">
                  <c:v>8.6983986219873355</c:v>
                </c:pt>
                <c:pt idx="170" formatCode="0.00">
                  <c:v>8.2662363181741583</c:v>
                </c:pt>
                <c:pt idx="171" formatCode="0.00">
                  <c:v>8.6113719396149655</c:v>
                </c:pt>
                <c:pt idx="172" formatCode="0.00">
                  <c:v>9.5584192125466316</c:v>
                </c:pt>
                <c:pt idx="173" formatCode="0.00">
                  <c:v>10.314777646671436</c:v>
                </c:pt>
                <c:pt idx="174" formatCode="0.00">
                  <c:v>10.623410663004563</c:v>
                </c:pt>
                <c:pt idx="175" formatCode="0.00">
                  <c:v>10.441588640733102</c:v>
                </c:pt>
                <c:pt idx="176" formatCode="0.00">
                  <c:v>9.9471263954582056</c:v>
                </c:pt>
                <c:pt idx="177" formatCode="0.00">
                  <c:v>9.9806838132622033</c:v>
                </c:pt>
                <c:pt idx="178" formatCode="0.00">
                  <c:v>9.157961907533041</c:v>
                </c:pt>
                <c:pt idx="179" formatCode="0.00">
                  <c:v>8.9582840789524489</c:v>
                </c:pt>
                <c:pt idx="180" formatCode="0.00">
                  <c:v>8.5174914780324471</c:v>
                </c:pt>
                <c:pt idx="181" formatCode="0.00">
                  <c:v>8.2383663123472886</c:v>
                </c:pt>
                <c:pt idx="182" formatCode="0.00">
                  <c:v>8.4967684686339631</c:v>
                </c:pt>
                <c:pt idx="183" formatCode="0.00">
                  <c:v>8.1847754192757591</c:v>
                </c:pt>
                <c:pt idx="184" formatCode="0.00">
                  <c:v>7.4148884702155193</c:v>
                </c:pt>
                <c:pt idx="185" formatCode="0.00">
                  <c:v>7.2015485534388857</c:v>
                </c:pt>
                <c:pt idx="186" formatCode="0.00">
                  <c:v>6.7219461107678402</c:v>
                </c:pt>
                <c:pt idx="187" formatCode="0.00">
                  <c:v>6.0850517819414307</c:v>
                </c:pt>
                <c:pt idx="188" formatCode="0.00">
                  <c:v>5.4657944813856663</c:v>
                </c:pt>
                <c:pt idx="189" formatCode="0.00">
                  <c:v>5.0242444701940725</c:v>
                </c:pt>
                <c:pt idx="190" formatCode="0.00">
                  <c:v>5.0743863648855303</c:v>
                </c:pt>
                <c:pt idx="191" formatCode="0.00">
                  <c:v>5.2491302605976564</c:v>
                </c:pt>
                <c:pt idx="192" formatCode="0.00">
                  <c:v>5.7716225001443133</c:v>
                </c:pt>
                <c:pt idx="193" formatCode="0.00">
                  <c:v>6.0258925686504705</c:v>
                </c:pt>
                <c:pt idx="194" formatCode="0.00">
                  <c:v>5.6873615446659143</c:v>
                </c:pt>
                <c:pt idx="195" formatCode="0.00">
                  <c:v>5.4255830504882585</c:v>
                </c:pt>
                <c:pt idx="196" formatCode="0.00">
                  <c:v>5.205453789532366</c:v>
                </c:pt>
                <c:pt idx="197" formatCode="0.00">
                  <c:v>4.9962986682477784</c:v>
                </c:pt>
                <c:pt idx="198" formatCode="0.00">
                  <c:v>5.5709076331574403</c:v>
                </c:pt>
                <c:pt idx="199" formatCode="0.00">
                  <c:v>6.3216844338048528</c:v>
                </c:pt>
                <c:pt idx="200" formatCode="0.00">
                  <c:v>6.621345851788063</c:v>
                </c:pt>
                <c:pt idx="201" formatCode="0.00">
                  <c:v>6.6419703802070851</c:v>
                </c:pt>
                <c:pt idx="202" formatCode="0.00">
                  <c:v>6.8689020943722756</c:v>
                </c:pt>
                <c:pt idx="203" formatCode="0.00">
                  <c:v>6.6274530790973341</c:v>
                </c:pt>
                <c:pt idx="204" formatCode="0.00">
                  <c:v>6.3607828359078855</c:v>
                </c:pt>
                <c:pt idx="205" formatCode="0.00">
                  <c:v>5.7829508272067898</c:v>
                </c:pt>
                <c:pt idx="206" formatCode="0.00">
                  <c:v>6.1886595600771255</c:v>
                </c:pt>
                <c:pt idx="207" formatCode="0.00">
                  <c:v>6.4474777995751742</c:v>
                </c:pt>
                <c:pt idx="208" formatCode="0.00">
                  <c:v>6.6681819266482201</c:v>
                </c:pt>
                <c:pt idx="209" formatCode="0.00">
                  <c:v>6.5430772791952529</c:v>
                </c:pt>
                <c:pt idx="210" formatCode="0.00">
                  <c:v>6.0660825392998552</c:v>
                </c:pt>
                <c:pt idx="211" formatCode="0.00">
                  <c:v>5.5717871251209194</c:v>
                </c:pt>
                <c:pt idx="212" formatCode="0.00">
                  <c:v>5.1562256910493875</c:v>
                </c:pt>
                <c:pt idx="213" formatCode="0.00">
                  <c:v>4.8115216390700155</c:v>
                </c:pt>
                <c:pt idx="214" formatCode="0.00">
                  <c:v>4.1294209064964615</c:v>
                </c:pt>
                <c:pt idx="215" formatCode="0.00">
                  <c:v>3.7705108455441172</c:v>
                </c:pt>
                <c:pt idx="216" formatCode="0.00">
                  <c:v>3.7311834898990925</c:v>
                </c:pt>
                <c:pt idx="217" formatCode="0.00">
                  <c:v>4.6232698626433866</c:v>
                </c:pt>
                <c:pt idx="218" formatCode="0.00">
                  <c:v>4.395184224892712</c:v>
                </c:pt>
                <c:pt idx="219" formatCode="0.00">
                  <c:v>3.7374399795927049</c:v>
                </c:pt>
                <c:pt idx="220" formatCode="0.00">
                  <c:v>2.6928903570822449</c:v>
                </c:pt>
                <c:pt idx="221" formatCode="0.00">
                  <c:v>2.3304401686559117</c:v>
                </c:pt>
                <c:pt idx="222" formatCode="0.00">
                  <c:v>1.6995038230175119</c:v>
                </c:pt>
                <c:pt idx="223" formatCode="0.00">
                  <c:v>1.3208648910514764</c:v>
                </c:pt>
                <c:pt idx="224" formatCode="0.00">
                  <c:v>1.3510954567226063</c:v>
                </c:pt>
                <c:pt idx="225" formatCode="0.00">
                  <c:v>1.3048203775893885</c:v>
                </c:pt>
                <c:pt idx="226" formatCode="0.00">
                  <c:v>1.5200654198809227</c:v>
                </c:pt>
                <c:pt idx="227" formatCode="0.00">
                  <c:v>1.7467925789181438</c:v>
                </c:pt>
                <c:pt idx="228" formatCode="0.00">
                  <c:v>1.5724860837234678</c:v>
                </c:pt>
                <c:pt idx="229" formatCode="0.00">
                  <c:v>0.40846905012454915</c:v>
                </c:pt>
                <c:pt idx="230" formatCode="0.00">
                  <c:v>-0.19417666916150544</c:v>
                </c:pt>
                <c:pt idx="231" formatCode="0.00">
                  <c:v>-0.33733398791131464</c:v>
                </c:pt>
                <c:pt idx="232" formatCode="0.00">
                  <c:v>3.6190828800175545E-2</c:v>
                </c:pt>
                <c:pt idx="233" formatCode="0.00">
                  <c:v>2.1923302438997538E-2</c:v>
                </c:pt>
                <c:pt idx="234" formatCode="0.00">
                  <c:v>0.55978747431704168</c:v>
                </c:pt>
                <c:pt idx="235" formatCode="0.00">
                  <c:v>0.85017733111167892</c:v>
                </c:pt>
                <c:pt idx="236" formatCode="0.00">
                  <c:v>0.95832671080549048</c:v>
                </c:pt>
                <c:pt idx="237" formatCode="0.00">
                  <c:v>0.90353623778598458</c:v>
                </c:pt>
                <c:pt idx="238" formatCode="0.00">
                  <c:v>0.98121044337500241</c:v>
                </c:pt>
                <c:pt idx="239" formatCode="0.00">
                  <c:v>0.89470432941167743</c:v>
                </c:pt>
                <c:pt idx="240" formatCode="0.00">
                  <c:v>1.3724704845571534</c:v>
                </c:pt>
                <c:pt idx="241" formatCode="0.00">
                  <c:v>1.7540806153137467</c:v>
                </c:pt>
                <c:pt idx="242" formatCode="0.00">
                  <c:v>2.4441423712890264</c:v>
                </c:pt>
                <c:pt idx="243" formatCode="0.00">
                  <c:v>3.2039783368676078</c:v>
                </c:pt>
                <c:pt idx="244" formatCode="0.00">
                  <c:v>3.7926974933162105</c:v>
                </c:pt>
                <c:pt idx="245" formatCode="0.00">
                  <c:v>4.1210451865958841</c:v>
                </c:pt>
                <c:pt idx="246" formatCode="0.00">
                  <c:v>4.1115804503149889</c:v>
                </c:pt>
                <c:pt idx="247" formatCode="0.00">
                  <c:v>4.2370910722269395</c:v>
                </c:pt>
                <c:pt idx="248" formatCode="0.00">
                  <c:v>4.3197898603831275</c:v>
                </c:pt>
                <c:pt idx="249" formatCode="0.00">
                  <c:v>4.6093791619628677</c:v>
                </c:pt>
                <c:pt idx="250" formatCode="0.00">
                  <c:v>4.6745745787659221</c:v>
                </c:pt>
                <c:pt idx="251" formatCode="0.00">
                  <c:v>4.265210748676207</c:v>
                </c:pt>
                <c:pt idx="252" formatCode="0.00">
                  <c:v>3.9337126549177315</c:v>
                </c:pt>
                <c:pt idx="253" formatCode="0.00">
                  <c:v>3.5843947902560513</c:v>
                </c:pt>
                <c:pt idx="254" formatCode="0.00">
                  <c:v>3.8018744028758711</c:v>
                </c:pt>
                <c:pt idx="255" formatCode="0.00">
                  <c:v>4.0277612181261579</c:v>
                </c:pt>
                <c:pt idx="256" formatCode="0.00">
                  <c:v>3.6911743640061445</c:v>
                </c:pt>
                <c:pt idx="257" formatCode="0.00">
                  <c:v>3.6953482536008275</c:v>
                </c:pt>
                <c:pt idx="258" formatCode="0.00">
                  <c:v>3.7293875994605985</c:v>
                </c:pt>
                <c:pt idx="259" formatCode="0.00">
                  <c:v>3.0679821107487237</c:v>
                </c:pt>
                <c:pt idx="260" formatCode="0.00">
                  <c:v>3.7517040228484122</c:v>
                </c:pt>
                <c:pt idx="261" formatCode="0.00">
                  <c:v>3.9024825970333188</c:v>
                </c:pt>
                <c:pt idx="262" formatCode="0.00">
                  <c:v>3.6066469313576599</c:v>
                </c:pt>
                <c:pt idx="263" formatCode="0.00">
                  <c:v>4.0746183402283309</c:v>
                </c:pt>
                <c:pt idx="264" formatCode="0.00">
                  <c:v>4.4062125001561148</c:v>
                </c:pt>
                <c:pt idx="265" formatCode="0.00">
                  <c:v>4.4479891685540451</c:v>
                </c:pt>
                <c:pt idx="266" formatCode="0.00">
                  <c:v>4.3297934195710042</c:v>
                </c:pt>
                <c:pt idx="267" formatCode="0.00">
                  <c:v>3.8675302571889114</c:v>
                </c:pt>
                <c:pt idx="268" formatCode="0.00">
                  <c:v>3.8316003462929293</c:v>
                </c:pt>
                <c:pt idx="269" formatCode="0.00">
                  <c:v>3.5563236233639328</c:v>
                </c:pt>
                <c:pt idx="270" formatCode="0.00">
                  <c:v>3.1481118072701042</c:v>
                </c:pt>
                <c:pt idx="271" formatCode="0.00">
                  <c:v>2.9452921719049119</c:v>
                </c:pt>
                <c:pt idx="272" formatCode="0.00">
                  <c:v>2.3604930759174358</c:v>
                </c:pt>
                <c:pt idx="273" formatCode="0.00">
                  <c:v>2.4399695050812076</c:v>
                </c:pt>
                <c:pt idx="274" formatCode="0.00">
                  <c:v>2.7502147975314362</c:v>
                </c:pt>
                <c:pt idx="275" formatCode="0.00">
                  <c:v>2.8458247924434854</c:v>
                </c:pt>
                <c:pt idx="276" formatCode="0.00">
                  <c:v>2.3961871883553254</c:v>
                </c:pt>
                <c:pt idx="277" formatCode="0.00">
                  <c:v>3.2465741038512963</c:v>
                </c:pt>
                <c:pt idx="278" formatCode="0.00">
                  <c:v>3.3033814385416971</c:v>
                </c:pt>
                <c:pt idx="279" formatCode="0.00">
                  <c:v>3.0954311207510798</c:v>
                </c:pt>
                <c:pt idx="280" formatCode="0.00">
                  <c:v>2.9288910079304786</c:v>
                </c:pt>
                <c:pt idx="281" formatCode="0.00">
                  <c:v>3.0946685078627523</c:v>
                </c:pt>
                <c:pt idx="282" formatCode="0.00">
                  <c:v>3.3067317174362509</c:v>
                </c:pt>
                <c:pt idx="283" formatCode="0.00">
                  <c:v>3.9583586324314135</c:v>
                </c:pt>
                <c:pt idx="284" formatCode="0.00">
                  <c:v>3.8181874352057665</c:v>
                </c:pt>
                <c:pt idx="285" formatCode="0.00">
                  <c:v>3.4564720773631041</c:v>
                </c:pt>
                <c:pt idx="286" formatCode="0.00">
                  <c:v>3.2269582094340388</c:v>
                </c:pt>
                <c:pt idx="287" formatCode="0.00">
                  <c:v>3.7149628076398544</c:v>
                </c:pt>
                <c:pt idx="288" formatCode="0.00">
                  <c:v>4.2773104254317795</c:v>
                </c:pt>
                <c:pt idx="289" formatCode="0.00">
                  <c:v>4.0572310239423315</c:v>
                </c:pt>
                <c:pt idx="290" formatCode="0.00">
                  <c:v>3.5802760479569429</c:v>
                </c:pt>
                <c:pt idx="291" formatCode="0.00">
                  <c:v>3.857776789291778</c:v>
                </c:pt>
                <c:pt idx="292" formatCode="0.00">
                  <c:v>4.1683359947923604</c:v>
                </c:pt>
                <c:pt idx="293" formatCode="0.00">
                  <c:v>4.1926340427171249</c:v>
                </c:pt>
                <c:pt idx="294" formatCode="0.00">
                  <c:v>4.4191002797959289</c:v>
                </c:pt>
                <c:pt idx="295" formatCode="0.00">
                  <c:v>4.6765633432254816</c:v>
                </c:pt>
                <c:pt idx="296" formatCode="0.00">
                  <c:v>4.4194593422433259</c:v>
                </c:pt>
                <c:pt idx="297" formatCode="0.00">
                  <c:v>4.4046335952703242</c:v>
                </c:pt>
                <c:pt idx="298" formatCode="0.00">
                  <c:v>4.7886891423294387</c:v>
                </c:pt>
                <c:pt idx="299" formatCode="0.00">
                  <c:v>4.1565528438111787</c:v>
                </c:pt>
                <c:pt idx="300" formatCode="0.00">
                  <c:v>3.4711926517170033</c:v>
                </c:pt>
                <c:pt idx="301" formatCode="0.00">
                  <c:v>3.1631807451341976</c:v>
                </c:pt>
                <c:pt idx="302" formatCode="0.00">
                  <c:v>3.3999005947926264</c:v>
                </c:pt>
                <c:pt idx="303" formatCode="0.00">
                  <c:v>3.0301802402754374</c:v>
                </c:pt>
                <c:pt idx="304" formatCode="0.00">
                  <c:v>3.5325896309271965</c:v>
                </c:pt>
                <c:pt idx="305" formatCode="0.00">
                  <c:v>3.5426672198334286</c:v>
                </c:pt>
                <c:pt idx="306" formatCode="0.00">
                  <c:v>3.3537016658094609</c:v>
                </c:pt>
                <c:pt idx="307" formatCode="0.00">
                  <c:v>3.0959892058092908</c:v>
                </c:pt>
                <c:pt idx="308" formatCode="0.00">
                  <c:v>3.2648101964258602</c:v>
                </c:pt>
                <c:pt idx="309" formatCode="0.00">
                  <c:v>3.3633034165797993</c:v>
                </c:pt>
                <c:pt idx="310" formatCode="0.00">
                  <c:v>2.9394093951628175</c:v>
                </c:pt>
                <c:pt idx="311" formatCode="0.00">
                  <c:v>2.9921597696463076</c:v>
                </c:pt>
                <c:pt idx="312" formatCode="0.00">
                  <c:v>3.2656765999170556</c:v>
                </c:pt>
                <c:pt idx="313" formatCode="0.00">
                  <c:v>3.6346219859281881</c:v>
                </c:pt>
                <c:pt idx="314" formatCode="0.00">
                  <c:v>3.4637231952904468</c:v>
                </c:pt>
                <c:pt idx="315" formatCode="0.00">
                  <c:v>3.7778815887010042</c:v>
                </c:pt>
                <c:pt idx="316" formatCode="0.00">
                  <c:v>3.1294569658196769</c:v>
                </c:pt>
                <c:pt idx="317" formatCode="0.00">
                  <c:v>2.751681735279532</c:v>
                </c:pt>
                <c:pt idx="318" formatCode="0.00">
                  <c:v>2.6295044641401866</c:v>
                </c:pt>
                <c:pt idx="319" formatCode="0.00">
                  <c:v>2.5896550899754622</c:v>
                </c:pt>
                <c:pt idx="320" formatCode="0.00">
                  <c:v>1.7058068699432161</c:v>
                </c:pt>
                <c:pt idx="321" formatCode="0.00">
                  <c:v>1.6161773839979743</c:v>
                </c:pt>
                <c:pt idx="322" formatCode="0.00">
                  <c:v>1.8269791971935012</c:v>
                </c:pt>
                <c:pt idx="323" formatCode="0.00">
                  <c:v>1.5301745251395271</c:v>
                </c:pt>
                <c:pt idx="324" formatCode="0.00">
                  <c:v>0.92923259736978903</c:v>
                </c:pt>
                <c:pt idx="325" formatCode="0.00">
                  <c:v>0.39892123145712777</c:v>
                </c:pt>
                <c:pt idx="326" formatCode="0.00">
                  <c:v>0.56162436221012246</c:v>
                </c:pt>
                <c:pt idx="327" formatCode="0.00">
                  <c:v>0.34772451944080629</c:v>
                </c:pt>
                <c:pt idx="328" formatCode="0.00">
                  <c:v>0.84134012468786157</c:v>
                </c:pt>
                <c:pt idx="329" formatCode="0.00">
                  <c:v>1.4767605806411011</c:v>
                </c:pt>
                <c:pt idx="330" formatCode="0.00">
                  <c:v>1.364737083953238</c:v>
                </c:pt>
                <c:pt idx="331" formatCode="0.00">
                  <c:v>1.1208928997095802</c:v>
                </c:pt>
                <c:pt idx="332" formatCode="0.00">
                  <c:v>2.0223282567633616</c:v>
                </c:pt>
                <c:pt idx="333" formatCode="0.00">
                  <c:v>1.9566677665190824</c:v>
                </c:pt>
                <c:pt idx="334" formatCode="0.00">
                  <c:v>1.5586967571622923</c:v>
                </c:pt>
                <c:pt idx="335" formatCode="0.00">
                  <c:v>1.6632405405910822</c:v>
                </c:pt>
                <c:pt idx="336" formatCode="0.00">
                  <c:v>2.0526718225338358</c:v>
                </c:pt>
                <c:pt idx="337" formatCode="0.00">
                  <c:v>2.213152528542528</c:v>
                </c:pt>
                <c:pt idx="338" formatCode="0.00">
                  <c:v>2.1575562130210946</c:v>
                </c:pt>
                <c:pt idx="339" formatCode="0.00">
                  <c:v>2.2959910400774719</c:v>
                </c:pt>
                <c:pt idx="340" formatCode="0.00">
                  <c:v>1.8449203860344987</c:v>
                </c:pt>
                <c:pt idx="341" formatCode="0.00">
                  <c:v>1.4004986389996033</c:v>
                </c:pt>
                <c:pt idx="342" formatCode="0.00">
                  <c:v>1.2235705295870147</c:v>
                </c:pt>
                <c:pt idx="343" formatCode="0.00">
                  <c:v>1.6896233034603858</c:v>
                </c:pt>
                <c:pt idx="344" formatCode="0.00">
                  <c:v>1.4126176395917733</c:v>
                </c:pt>
                <c:pt idx="345" formatCode="0.00">
                  <c:v>1.4449708015540796</c:v>
                </c:pt>
                <c:pt idx="346" formatCode="0.00">
                  <c:v>1.5199013101890202</c:v>
                </c:pt>
                <c:pt idx="347" formatCode="0.00">
                  <c:v>1.5481007209970254</c:v>
                </c:pt>
                <c:pt idx="348" formatCode="0.00">
                  <c:v>1.5987872694754213</c:v>
                </c:pt>
                <c:pt idx="349" formatCode="0.00">
                  <c:v>1.499059197578001</c:v>
                </c:pt>
                <c:pt idx="350" formatCode="0.00">
                  <c:v>1.572881700134543</c:v>
                </c:pt>
                <c:pt idx="351" formatCode="0.00">
                  <c:v>1.0362992057528109</c:v>
                </c:pt>
                <c:pt idx="352" formatCode="0.00">
                  <c:v>0.97659322366614454</c:v>
                </c:pt>
                <c:pt idx="353" formatCode="0.00">
                  <c:v>0.85887186137842964</c:v>
                </c:pt>
                <c:pt idx="354" formatCode="0.00">
                  <c:v>0.94288926296666187</c:v>
                </c:pt>
                <c:pt idx="355" formatCode="0.00">
                  <c:v>0.40925645342761996</c:v>
                </c:pt>
                <c:pt idx="356" formatCode="0.00">
                  <c:v>0.77320568319729777</c:v>
                </c:pt>
                <c:pt idx="357" formatCode="0.00">
                  <c:v>0.70891159077204335</c:v>
                </c:pt>
                <c:pt idx="358" formatCode="0.00">
                  <c:v>0.79649384937701129</c:v>
                </c:pt>
                <c:pt idx="359" formatCode="0.00">
                  <c:v>0.63722245005632949</c:v>
                </c:pt>
                <c:pt idx="360" formatCode="0.00">
                  <c:v>0.57035814704342602</c:v>
                </c:pt>
                <c:pt idx="361" formatCode="0.00">
                  <c:v>0.89118299971915338</c:v>
                </c:pt>
                <c:pt idx="362" formatCode="0.00">
                  <c:v>0.44239787983437751</c:v>
                </c:pt>
                <c:pt idx="363" formatCode="0.00">
                  <c:v>1.084641611085857</c:v>
                </c:pt>
                <c:pt idx="364" formatCode="0.00">
                  <c:v>0.94564360069051556</c:v>
                </c:pt>
                <c:pt idx="365" formatCode="0.00">
                  <c:v>0.63088320575495072</c:v>
                </c:pt>
                <c:pt idx="366" formatCode="0.00">
                  <c:v>0.6652618753456796</c:v>
                </c:pt>
                <c:pt idx="367" formatCode="0.00">
                  <c:v>0.65165082683735776</c:v>
                </c:pt>
                <c:pt idx="368" formatCode="0.00">
                  <c:v>0.43698265416731719</c:v>
                </c:pt>
                <c:pt idx="369" formatCode="0.00">
                  <c:v>0.47052062020394025</c:v>
                </c:pt>
                <c:pt idx="370" formatCode="0.00">
                  <c:v>0.2726443560093994</c:v>
                </c:pt>
                <c:pt idx="371" formatCode="0.00">
                  <c:v>0.33109793580581304</c:v>
                </c:pt>
                <c:pt idx="372" formatCode="0.00">
                  <c:v>0.25656383945433792</c:v>
                </c:pt>
                <c:pt idx="373" formatCode="0.00">
                  <c:v>0.2547128156003442</c:v>
                </c:pt>
                <c:pt idx="374" formatCode="0.00">
                  <c:v>0.11090510242079965</c:v>
                </c:pt>
                <c:pt idx="375" formatCode="0.00">
                  <c:v>-2.0680396666739043E-2</c:v>
                </c:pt>
                <c:pt idx="376" formatCode="0.00">
                  <c:v>0.27143562625313589</c:v>
                </c:pt>
                <c:pt idx="377" formatCode="0.00">
                  <c:v>0.637891688870873</c:v>
                </c:pt>
                <c:pt idx="378" formatCode="0.00">
                  <c:v>0.90614463100398002</c:v>
                </c:pt>
                <c:pt idx="379" formatCode="0.00">
                  <c:v>1.7672732383175571</c:v>
                </c:pt>
                <c:pt idx="380" formatCode="0.00">
                  <c:v>1.5570167124961953</c:v>
                </c:pt>
                <c:pt idx="381" formatCode="0.00">
                  <c:v>1.2882491454905498</c:v>
                </c:pt>
                <c:pt idx="382" formatCode="0.00">
                  <c:v>1.5100601437266103</c:v>
                </c:pt>
                <c:pt idx="383" formatCode="0.00">
                  <c:v>2.7104490000000001</c:v>
                </c:pt>
                <c:pt idx="384" formatCode="0.00">
                  <c:v>2.7090969999999999</c:v>
                </c:pt>
                <c:pt idx="385" formatCode="0.00">
                  <c:v>1.7938940000000001</c:v>
                </c:pt>
                <c:pt idx="386" formatCode="0.00">
                  <c:v>1.646471</c:v>
                </c:pt>
                <c:pt idx="387" formatCode="0.00">
                  <c:v>2.388773</c:v>
                </c:pt>
                <c:pt idx="388" formatCode="0.00">
                  <c:v>2.0263309999999999</c:v>
                </c:pt>
                <c:pt idx="389" formatCode="0.00">
                  <c:v>2.063167</c:v>
                </c:pt>
                <c:pt idx="390" formatCode="0.00">
                  <c:v>2.2023839999999999</c:v>
                </c:pt>
                <c:pt idx="391" formatCode="0.00">
                  <c:v>1.357558</c:v>
                </c:pt>
                <c:pt idx="392" formatCode="0.00">
                  <c:v>2.5208889999999999</c:v>
                </c:pt>
                <c:pt idx="393" formatCode="0.00">
                  <c:v>2.7827760000000001</c:v>
                </c:pt>
                <c:pt idx="394" formatCode="0.00">
                  <c:v>2.3928219999999998</c:v>
                </c:pt>
                <c:pt idx="395" formatCode="0.00">
                  <c:v>1.168229</c:v>
                </c:pt>
                <c:pt idx="396" formatCode="0.00">
                  <c:v>1.057145</c:v>
                </c:pt>
                <c:pt idx="397" formatCode="0.00">
                  <c:v>1.6037809999999999</c:v>
                </c:pt>
                <c:pt idx="398" formatCode="0.00">
                  <c:v>2.5261990000000001</c:v>
                </c:pt>
                <c:pt idx="399" formatCode="0.00">
                  <c:v>1.982121</c:v>
                </c:pt>
                <c:pt idx="400" formatCode="0.00">
                  <c:v>1.968553</c:v>
                </c:pt>
                <c:pt idx="401" formatCode="0.00">
                  <c:v>1.8719250000000001</c:v>
                </c:pt>
                <c:pt idx="402" formatCode="0.00">
                  <c:v>1.63228</c:v>
                </c:pt>
                <c:pt idx="403" formatCode="0.00">
                  <c:v>1.636693</c:v>
                </c:pt>
                <c:pt idx="404" formatCode="0.00">
                  <c:v>1.0547029999999999</c:v>
                </c:pt>
                <c:pt idx="405" formatCode="0.00">
                  <c:v>0.7243735</c:v>
                </c:pt>
                <c:pt idx="406" formatCode="0.00">
                  <c:v>1.4784949999999999</c:v>
                </c:pt>
                <c:pt idx="407" formatCode="0.00">
                  <c:v>1.0474650000000001</c:v>
                </c:pt>
                <c:pt idx="408" formatCode="0.00">
                  <c:v>1.4644919999999999</c:v>
                </c:pt>
                <c:pt idx="409" formatCode="0.00">
                  <c:v>1.7546619999999999</c:v>
                </c:pt>
                <c:pt idx="410" formatCode="0.00">
                  <c:v>1.297345</c:v>
                </c:pt>
                <c:pt idx="411" formatCode="0.00">
                  <c:v>0.7464134</c:v>
                </c:pt>
                <c:pt idx="412" formatCode="0.00">
                  <c:v>0.42635970000000001</c:v>
                </c:pt>
                <c:pt idx="413" formatCode="0.00">
                  <c:v>0.7123756</c:v>
                </c:pt>
                <c:pt idx="414" formatCode="0.00">
                  <c:v>0.68957880000000005</c:v>
                </c:pt>
                <c:pt idx="415" formatCode="0.00">
                  <c:v>0.27140769999999997</c:v>
                </c:pt>
                <c:pt idx="416" formatCode="0.00">
                  <c:v>-0.40422079999999999</c:v>
                </c:pt>
                <c:pt idx="417" formatCode="0.00">
                  <c:v>-0.66679330000000003</c:v>
                </c:pt>
                <c:pt idx="418" formatCode="0.00">
                  <c:v>-0.54817859999999996</c:v>
                </c:pt>
                <c:pt idx="419" formatCode="0.00">
                  <c:v>-0.22512570000000001</c:v>
                </c:pt>
                <c:pt idx="420" formatCode="0.00">
                  <c:v>-1.0323329999999999</c:v>
                </c:pt>
                <c:pt idx="421" formatCode="0.00">
                  <c:v>-1.143278</c:v>
                </c:pt>
                <c:pt idx="422" formatCode="0.00">
                  <c:v>-1.613809</c:v>
                </c:pt>
                <c:pt idx="423" formatCode="0.00">
                  <c:v>-1.1292770000000001</c:v>
                </c:pt>
                <c:pt idx="424" formatCode="0.00">
                  <c:v>-1.0495840000000001</c:v>
                </c:pt>
                <c:pt idx="425" formatCode="0.00">
                  <c:v>-1.3539669999999999</c:v>
                </c:pt>
                <c:pt idx="426" formatCode="0.00">
                  <c:v>-1.6876949999999999</c:v>
                </c:pt>
                <c:pt idx="427" formatCode="0.00">
                  <c:v>-0.50055059999999996</c:v>
                </c:pt>
                <c:pt idx="428" formatCode="0.00">
                  <c:v>-0.46776180000000001</c:v>
                </c:pt>
                <c:pt idx="429" formatCode="0.00">
                  <c:v>-0.45877790000000002</c:v>
                </c:pt>
                <c:pt idx="430" formatCode="0.00">
                  <c:v>-1.0865689999999999</c:v>
                </c:pt>
                <c:pt idx="431" formatCode="0.00">
                  <c:v>-1.206753</c:v>
                </c:pt>
                <c:pt idx="432" formatCode="0.00">
                  <c:v>-1.0696699999999999</c:v>
                </c:pt>
                <c:pt idx="433" formatCode="0.00">
                  <c:v>-1.4690970000000001</c:v>
                </c:pt>
                <c:pt idx="434" formatCode="0.00">
                  <c:v>-1.5060750000000001</c:v>
                </c:pt>
                <c:pt idx="435" formatCode="0.00">
                  <c:v>-2.1066370000000001</c:v>
                </c:pt>
                <c:pt idx="436" formatCode="0.00">
                  <c:v>-1.359059</c:v>
                </c:pt>
                <c:pt idx="437" formatCode="0.00">
                  <c:v>-1.399241</c:v>
                </c:pt>
                <c:pt idx="438" formatCode="0.00">
                  <c:v>-1.1729350000000001</c:v>
                </c:pt>
                <c:pt idx="439" formatCode="0.00">
                  <c:v>-1.9503189999999999</c:v>
                </c:pt>
                <c:pt idx="440" formatCode="0.00">
                  <c:v>-2.4393400000000001</c:v>
                </c:pt>
                <c:pt idx="441" formatCode="0.00">
                  <c:v>-2.0028839999999999</c:v>
                </c:pt>
                <c:pt idx="442" formatCode="0.00">
                  <c:v>-2.296001</c:v>
                </c:pt>
                <c:pt idx="443" formatCode="0.00">
                  <c:v>-2.1119690000000002</c:v>
                </c:pt>
                <c:pt idx="444" formatCode="0.00">
                  <c:v>-1.8754980000000001</c:v>
                </c:pt>
                <c:pt idx="445" formatCode="0.00">
                  <c:v>-1.871327</c:v>
                </c:pt>
                <c:pt idx="446" formatCode="0.00">
                  <c:v>-0.7200453</c:v>
                </c:pt>
                <c:pt idx="447" formatCode="0.00">
                  <c:v>-0.22593730000000001</c:v>
                </c:pt>
                <c:pt idx="448" formatCode="0.00">
                  <c:v>-0.37633610000000001</c:v>
                </c:pt>
                <c:pt idx="449" formatCode="0.00">
                  <c:v>-0.38957389999999997</c:v>
                </c:pt>
                <c:pt idx="450" formatCode="0.00">
                  <c:v>-0.51089870000000004</c:v>
                </c:pt>
                <c:pt idx="451" formatCode="0.00">
                  <c:v>-0.69797050000000005</c:v>
                </c:pt>
                <c:pt idx="452" formatCode="0.00">
                  <c:v>0.70380379999999998</c:v>
                </c:pt>
                <c:pt idx="453" formatCode="0.00">
                  <c:v>1.0533619999999999</c:v>
                </c:pt>
                <c:pt idx="454" formatCode="0.00">
                  <c:v>1.7239359999999999</c:v>
                </c:pt>
                <c:pt idx="455" formatCode="0.00">
                  <c:v>1.7524230000000001</c:v>
                </c:pt>
                <c:pt idx="456" formatCode="0.00">
                  <c:v>1.9597770000000001</c:v>
                </c:pt>
                <c:pt idx="457" formatCode="0.00">
                  <c:v>2.4846699999999999</c:v>
                </c:pt>
                <c:pt idx="458" formatCode="0.00">
                  <c:v>2.6804899999999998</c:v>
                </c:pt>
                <c:pt idx="459" formatCode="0.00">
                  <c:v>2.024079</c:v>
                </c:pt>
                <c:pt idx="460" formatCode="0.00">
                  <c:v>1.542972</c:v>
                </c:pt>
                <c:pt idx="461" formatCode="0.00">
                  <c:v>1.550529</c:v>
                </c:pt>
                <c:pt idx="462" formatCode="0.00">
                  <c:v>1.4231450000000001</c:v>
                </c:pt>
                <c:pt idx="463" formatCode="0.00">
                  <c:v>1.7564139999999999</c:v>
                </c:pt>
                <c:pt idx="464" formatCode="0.00">
                  <c:v>0.60651809999999995</c:v>
                </c:pt>
                <c:pt idx="465" formatCode="0.00">
                  <c:v>1.071523</c:v>
                </c:pt>
                <c:pt idx="466" formatCode="0.00">
                  <c:v>0.97115839999999998</c:v>
                </c:pt>
                <c:pt idx="467" formatCode="0.00">
                  <c:v>0.95313890000000001</c:v>
                </c:pt>
                <c:pt idx="468" formatCode="0.00">
                  <c:v>0.99601200000000001</c:v>
                </c:pt>
                <c:pt idx="469" formatCode="0.00">
                  <c:v>0.731128</c:v>
                </c:pt>
                <c:pt idx="470" formatCode="0.00">
                  <c:v>0.45693329999999999</c:v>
                </c:pt>
                <c:pt idx="471" formatCode="0.00">
                  <c:v>1.0482739999999999</c:v>
                </c:pt>
                <c:pt idx="472" formatCode="0.00">
                  <c:v>1.2549589999999999</c:v>
                </c:pt>
                <c:pt idx="473" formatCode="0.00">
                  <c:v>1.3505560000000001</c:v>
                </c:pt>
                <c:pt idx="474" formatCode="0.00">
                  <c:v>1.2747630000000001</c:v>
                </c:pt>
                <c:pt idx="475" formatCode="0.00">
                  <c:v>1.5002869999999999</c:v>
                </c:pt>
                <c:pt idx="476" formatCode="0.00">
                  <c:v>1.910725</c:v>
                </c:pt>
                <c:pt idx="477" formatCode="0.00">
                  <c:v>1.0536559999999999</c:v>
                </c:pt>
                <c:pt idx="478" formatCode="0.00">
                  <c:v>0.58718219999999999</c:v>
                </c:pt>
                <c:pt idx="479" formatCode="0.00">
                  <c:v>0.71195419999999998</c:v>
                </c:pt>
                <c:pt idx="480" formatCode="0.00">
                  <c:v>0.69651370000000001</c:v>
                </c:pt>
                <c:pt idx="481" formatCode="0.00">
                  <c:v>0.93989840000000002</c:v>
                </c:pt>
                <c:pt idx="482" formatCode="0.00">
                  <c:v>0.19089929999999999</c:v>
                </c:pt>
                <c:pt idx="483" formatCode="0.00">
                  <c:v>9.3368099999999996E-2</c:v>
                </c:pt>
                <c:pt idx="484" formatCode="0.00">
                  <c:v>0.12683469999999999</c:v>
                </c:pt>
                <c:pt idx="485" formatCode="0.00">
                  <c:v>0.19104930000000001</c:v>
                </c:pt>
                <c:pt idx="486" formatCode="0.00">
                  <c:v>0.55559740000000002</c:v>
                </c:pt>
                <c:pt idx="487" formatCode="0.00">
                  <c:v>0.41075610000000001</c:v>
                </c:pt>
                <c:pt idx="488" formatCode="0.00">
                  <c:v>0.44182460000000001</c:v>
                </c:pt>
                <c:pt idx="489" formatCode="0.00">
                  <c:v>0.61607129999999999</c:v>
                </c:pt>
                <c:pt idx="490" formatCode="0.00">
                  <c:v>1.030362</c:v>
                </c:pt>
                <c:pt idx="491" formatCode="0.00">
                  <c:v>1.226915</c:v>
                </c:pt>
                <c:pt idx="492" formatCode="0.00">
                  <c:v>1.3041769999999999</c:v>
                </c:pt>
                <c:pt idx="493" formatCode="0.00">
                  <c:v>0.88365879999999997</c:v>
                </c:pt>
                <c:pt idx="494" formatCode="0.00">
                  <c:v>1.068265</c:v>
                </c:pt>
                <c:pt idx="495" formatCode="0.00">
                  <c:v>0.4460865</c:v>
                </c:pt>
                <c:pt idx="496" formatCode="0.00">
                  <c:v>0.32744269999999998</c:v>
                </c:pt>
                <c:pt idx="497" formatCode="0.00">
                  <c:v>0.13763539999999999</c:v>
                </c:pt>
                <c:pt idx="498" formatCode="0.00">
                  <c:v>0.18721889999999999</c:v>
                </c:pt>
                <c:pt idx="499" formatCode="0.00">
                  <c:v>8.6958900000000006E-2</c:v>
                </c:pt>
                <c:pt idx="500" formatCode="0.00">
                  <c:v>-0.2319959</c:v>
                </c:pt>
                <c:pt idx="501" formatCode="0.00">
                  <c:v>-0.77011609999999997</c:v>
                </c:pt>
                <c:pt idx="502" formatCode="0.00">
                  <c:v>-1.2679560000000001</c:v>
                </c:pt>
                <c:pt idx="503" formatCode="0.00">
                  <c:v>-1.9550780000000001</c:v>
                </c:pt>
                <c:pt idx="504" formatCode="0.00">
                  <c:v>-2.0796670000000002</c:v>
                </c:pt>
                <c:pt idx="505" formatCode="0.00">
                  <c:v>-1.3778300000000001</c:v>
                </c:pt>
                <c:pt idx="506" formatCode="0.00">
                  <c:v>-0.95986199999999999</c:v>
                </c:pt>
                <c:pt idx="507" formatCode="0.00">
                  <c:v>0.16816120000000001</c:v>
                </c:pt>
                <c:pt idx="508" formatCode="0.00">
                  <c:v>7.4975100000000003E-2</c:v>
                </c:pt>
                <c:pt idx="509" formatCode="0.00">
                  <c:v>0.19311439999999999</c:v>
                </c:pt>
                <c:pt idx="510" formatCode="0.00">
                  <c:v>-5.1104999999999998E-2</c:v>
                </c:pt>
                <c:pt idx="511" formatCode="0.00">
                  <c:v>0.10178710000000001</c:v>
                </c:pt>
                <c:pt idx="512" formatCode="0.00">
                  <c:v>1.0288820000000001</c:v>
                </c:pt>
                <c:pt idx="513" formatCode="0.00">
                  <c:v>2.6891449999999999</c:v>
                </c:pt>
                <c:pt idx="514" formatCode="0.00">
                  <c:v>3.3639790000000001</c:v>
                </c:pt>
                <c:pt idx="515" formatCode="0.00">
                  <c:v>4.3549509999999998</c:v>
                </c:pt>
                <c:pt idx="516" formatCode="0.00">
                  <c:v>4.0367699999999997</c:v>
                </c:pt>
                <c:pt idx="517" formatCode="0.00">
                  <c:v>3.7327279999999998</c:v>
                </c:pt>
                <c:pt idx="518" formatCode="0.00">
                  <c:v>3.2590319999999999</c:v>
                </c:pt>
                <c:pt idx="519" formatCode="0.00">
                  <c:v>2.384735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Data!$N$1</c:f>
              <c:strCache>
                <c:ptCount val="1"/>
                <c:pt idx="0">
                  <c:v>Core Sticky CPI (monthly)</c:v>
                </c:pt>
              </c:strCache>
            </c:strRef>
          </c:tx>
          <c:marker>
            <c:symbol val="none"/>
          </c:marker>
          <c:cat>
            <c:numRef>
              <c:f>Data!$A$2:$A$521</c:f>
              <c:numCache>
                <c:formatCode>m/d/yyyy</c:formatCode>
                <c:ptCount val="520"/>
                <c:pt idx="0">
                  <c:v>24473</c:v>
                </c:pt>
                <c:pt idx="1">
                  <c:v>24504</c:v>
                </c:pt>
                <c:pt idx="2">
                  <c:v>24532</c:v>
                </c:pt>
                <c:pt idx="3">
                  <c:v>24563</c:v>
                </c:pt>
                <c:pt idx="4">
                  <c:v>24593</c:v>
                </c:pt>
                <c:pt idx="5">
                  <c:v>24624</c:v>
                </c:pt>
                <c:pt idx="6">
                  <c:v>24654</c:v>
                </c:pt>
                <c:pt idx="7">
                  <c:v>24685</c:v>
                </c:pt>
                <c:pt idx="8">
                  <c:v>24716</c:v>
                </c:pt>
                <c:pt idx="9">
                  <c:v>24746</c:v>
                </c:pt>
                <c:pt idx="10">
                  <c:v>24777</c:v>
                </c:pt>
                <c:pt idx="11">
                  <c:v>24807</c:v>
                </c:pt>
                <c:pt idx="12">
                  <c:v>24838</c:v>
                </c:pt>
                <c:pt idx="13">
                  <c:v>24869</c:v>
                </c:pt>
                <c:pt idx="14">
                  <c:v>24898</c:v>
                </c:pt>
                <c:pt idx="15">
                  <c:v>24929</c:v>
                </c:pt>
                <c:pt idx="16">
                  <c:v>24959</c:v>
                </c:pt>
                <c:pt idx="17">
                  <c:v>24990</c:v>
                </c:pt>
                <c:pt idx="18">
                  <c:v>25020</c:v>
                </c:pt>
                <c:pt idx="19">
                  <c:v>25051</c:v>
                </c:pt>
                <c:pt idx="20">
                  <c:v>25082</c:v>
                </c:pt>
                <c:pt idx="21">
                  <c:v>25112</c:v>
                </c:pt>
                <c:pt idx="22">
                  <c:v>25143</c:v>
                </c:pt>
                <c:pt idx="23">
                  <c:v>25173</c:v>
                </c:pt>
                <c:pt idx="24">
                  <c:v>25204</c:v>
                </c:pt>
                <c:pt idx="25">
                  <c:v>25235</c:v>
                </c:pt>
                <c:pt idx="26">
                  <c:v>25263</c:v>
                </c:pt>
                <c:pt idx="27">
                  <c:v>25294</c:v>
                </c:pt>
                <c:pt idx="28">
                  <c:v>25324</c:v>
                </c:pt>
                <c:pt idx="29">
                  <c:v>25355</c:v>
                </c:pt>
                <c:pt idx="30">
                  <c:v>25385</c:v>
                </c:pt>
                <c:pt idx="31">
                  <c:v>25416</c:v>
                </c:pt>
                <c:pt idx="32">
                  <c:v>25447</c:v>
                </c:pt>
                <c:pt idx="33">
                  <c:v>25477</c:v>
                </c:pt>
                <c:pt idx="34">
                  <c:v>25508</c:v>
                </c:pt>
                <c:pt idx="35">
                  <c:v>25538</c:v>
                </c:pt>
                <c:pt idx="36">
                  <c:v>25569</c:v>
                </c:pt>
                <c:pt idx="37">
                  <c:v>25600</c:v>
                </c:pt>
                <c:pt idx="38">
                  <c:v>25628</c:v>
                </c:pt>
                <c:pt idx="39">
                  <c:v>25659</c:v>
                </c:pt>
                <c:pt idx="40">
                  <c:v>25689</c:v>
                </c:pt>
                <c:pt idx="41">
                  <c:v>25720</c:v>
                </c:pt>
                <c:pt idx="42">
                  <c:v>25750</c:v>
                </c:pt>
                <c:pt idx="43">
                  <c:v>25781</c:v>
                </c:pt>
                <c:pt idx="44">
                  <c:v>25812</c:v>
                </c:pt>
                <c:pt idx="45">
                  <c:v>25842</c:v>
                </c:pt>
                <c:pt idx="46">
                  <c:v>25873</c:v>
                </c:pt>
                <c:pt idx="47">
                  <c:v>25903</c:v>
                </c:pt>
                <c:pt idx="48">
                  <c:v>25934</c:v>
                </c:pt>
                <c:pt idx="49">
                  <c:v>25965</c:v>
                </c:pt>
                <c:pt idx="50">
                  <c:v>25993</c:v>
                </c:pt>
                <c:pt idx="51">
                  <c:v>26024</c:v>
                </c:pt>
                <c:pt idx="52">
                  <c:v>26054</c:v>
                </c:pt>
                <c:pt idx="53">
                  <c:v>26085</c:v>
                </c:pt>
                <c:pt idx="54">
                  <c:v>26115</c:v>
                </c:pt>
                <c:pt idx="55">
                  <c:v>26146</c:v>
                </c:pt>
                <c:pt idx="56">
                  <c:v>26177</c:v>
                </c:pt>
                <c:pt idx="57">
                  <c:v>26207</c:v>
                </c:pt>
                <c:pt idx="58">
                  <c:v>26238</c:v>
                </c:pt>
                <c:pt idx="59">
                  <c:v>26268</c:v>
                </c:pt>
                <c:pt idx="60">
                  <c:v>26299</c:v>
                </c:pt>
                <c:pt idx="61">
                  <c:v>26330</c:v>
                </c:pt>
                <c:pt idx="62">
                  <c:v>26359</c:v>
                </c:pt>
                <c:pt idx="63">
                  <c:v>26390</c:v>
                </c:pt>
                <c:pt idx="64">
                  <c:v>26420</c:v>
                </c:pt>
                <c:pt idx="65">
                  <c:v>26451</c:v>
                </c:pt>
                <c:pt idx="66">
                  <c:v>26481</c:v>
                </c:pt>
                <c:pt idx="67">
                  <c:v>26512</c:v>
                </c:pt>
                <c:pt idx="68">
                  <c:v>26543</c:v>
                </c:pt>
                <c:pt idx="69">
                  <c:v>26573</c:v>
                </c:pt>
                <c:pt idx="70">
                  <c:v>26604</c:v>
                </c:pt>
                <c:pt idx="71">
                  <c:v>26634</c:v>
                </c:pt>
                <c:pt idx="72">
                  <c:v>26665</c:v>
                </c:pt>
                <c:pt idx="73">
                  <c:v>26696</c:v>
                </c:pt>
                <c:pt idx="74">
                  <c:v>26724</c:v>
                </c:pt>
                <c:pt idx="75">
                  <c:v>26755</c:v>
                </c:pt>
                <c:pt idx="76">
                  <c:v>26785</c:v>
                </c:pt>
                <c:pt idx="77">
                  <c:v>26816</c:v>
                </c:pt>
                <c:pt idx="78">
                  <c:v>26846</c:v>
                </c:pt>
                <c:pt idx="79">
                  <c:v>26877</c:v>
                </c:pt>
                <c:pt idx="80">
                  <c:v>26908</c:v>
                </c:pt>
                <c:pt idx="81">
                  <c:v>26938</c:v>
                </c:pt>
                <c:pt idx="82">
                  <c:v>26969</c:v>
                </c:pt>
                <c:pt idx="83">
                  <c:v>26999</c:v>
                </c:pt>
                <c:pt idx="84">
                  <c:v>27030</c:v>
                </c:pt>
                <c:pt idx="85">
                  <c:v>27061</c:v>
                </c:pt>
                <c:pt idx="86">
                  <c:v>27089</c:v>
                </c:pt>
                <c:pt idx="87">
                  <c:v>27120</c:v>
                </c:pt>
                <c:pt idx="88">
                  <c:v>27150</c:v>
                </c:pt>
                <c:pt idx="89">
                  <c:v>27181</c:v>
                </c:pt>
                <c:pt idx="90">
                  <c:v>27211</c:v>
                </c:pt>
                <c:pt idx="91">
                  <c:v>27242</c:v>
                </c:pt>
                <c:pt idx="92">
                  <c:v>27273</c:v>
                </c:pt>
                <c:pt idx="93">
                  <c:v>27303</c:v>
                </c:pt>
                <c:pt idx="94">
                  <c:v>27334</c:v>
                </c:pt>
                <c:pt idx="95">
                  <c:v>27364</c:v>
                </c:pt>
                <c:pt idx="96">
                  <c:v>27395</c:v>
                </c:pt>
                <c:pt idx="97">
                  <c:v>27426</c:v>
                </c:pt>
                <c:pt idx="98">
                  <c:v>27454</c:v>
                </c:pt>
                <c:pt idx="99">
                  <c:v>27485</c:v>
                </c:pt>
                <c:pt idx="100">
                  <c:v>27515</c:v>
                </c:pt>
                <c:pt idx="101">
                  <c:v>27546</c:v>
                </c:pt>
                <c:pt idx="102">
                  <c:v>27576</c:v>
                </c:pt>
                <c:pt idx="103">
                  <c:v>27607</c:v>
                </c:pt>
                <c:pt idx="104">
                  <c:v>27638</c:v>
                </c:pt>
                <c:pt idx="105">
                  <c:v>27668</c:v>
                </c:pt>
                <c:pt idx="106">
                  <c:v>27699</c:v>
                </c:pt>
                <c:pt idx="107">
                  <c:v>27729</c:v>
                </c:pt>
                <c:pt idx="108">
                  <c:v>27760</c:v>
                </c:pt>
                <c:pt idx="109">
                  <c:v>27791</c:v>
                </c:pt>
                <c:pt idx="110">
                  <c:v>27820</c:v>
                </c:pt>
                <c:pt idx="111">
                  <c:v>27851</c:v>
                </c:pt>
                <c:pt idx="112">
                  <c:v>27881</c:v>
                </c:pt>
                <c:pt idx="113">
                  <c:v>27912</c:v>
                </c:pt>
                <c:pt idx="114">
                  <c:v>27942</c:v>
                </c:pt>
                <c:pt idx="115">
                  <c:v>27973</c:v>
                </c:pt>
                <c:pt idx="116">
                  <c:v>28004</c:v>
                </c:pt>
                <c:pt idx="117">
                  <c:v>28034</c:v>
                </c:pt>
                <c:pt idx="118">
                  <c:v>28065</c:v>
                </c:pt>
                <c:pt idx="119">
                  <c:v>28095</c:v>
                </c:pt>
                <c:pt idx="120">
                  <c:v>28126</c:v>
                </c:pt>
                <c:pt idx="121">
                  <c:v>28157</c:v>
                </c:pt>
                <c:pt idx="122">
                  <c:v>28185</c:v>
                </c:pt>
                <c:pt idx="123">
                  <c:v>28216</c:v>
                </c:pt>
                <c:pt idx="124">
                  <c:v>28246</c:v>
                </c:pt>
                <c:pt idx="125">
                  <c:v>28277</c:v>
                </c:pt>
                <c:pt idx="126">
                  <c:v>28307</c:v>
                </c:pt>
                <c:pt idx="127">
                  <c:v>28338</c:v>
                </c:pt>
                <c:pt idx="128">
                  <c:v>28369</c:v>
                </c:pt>
                <c:pt idx="129">
                  <c:v>28399</c:v>
                </c:pt>
                <c:pt idx="130">
                  <c:v>28430</c:v>
                </c:pt>
                <c:pt idx="131">
                  <c:v>28460</c:v>
                </c:pt>
                <c:pt idx="132">
                  <c:v>28491</c:v>
                </c:pt>
                <c:pt idx="133">
                  <c:v>28522</c:v>
                </c:pt>
                <c:pt idx="134">
                  <c:v>28550</c:v>
                </c:pt>
                <c:pt idx="135">
                  <c:v>28581</c:v>
                </c:pt>
                <c:pt idx="136">
                  <c:v>28611</c:v>
                </c:pt>
                <c:pt idx="137">
                  <c:v>28642</c:v>
                </c:pt>
                <c:pt idx="138">
                  <c:v>28672</c:v>
                </c:pt>
                <c:pt idx="139">
                  <c:v>28703</c:v>
                </c:pt>
                <c:pt idx="140">
                  <c:v>28734</c:v>
                </c:pt>
                <c:pt idx="141">
                  <c:v>28764</c:v>
                </c:pt>
                <c:pt idx="142">
                  <c:v>28795</c:v>
                </c:pt>
                <c:pt idx="143">
                  <c:v>28825</c:v>
                </c:pt>
                <c:pt idx="144">
                  <c:v>28856</c:v>
                </c:pt>
                <c:pt idx="145">
                  <c:v>28887</c:v>
                </c:pt>
                <c:pt idx="146">
                  <c:v>28915</c:v>
                </c:pt>
                <c:pt idx="147">
                  <c:v>28946</c:v>
                </c:pt>
                <c:pt idx="148">
                  <c:v>28976</c:v>
                </c:pt>
                <c:pt idx="149">
                  <c:v>29007</c:v>
                </c:pt>
                <c:pt idx="150">
                  <c:v>29037</c:v>
                </c:pt>
                <c:pt idx="151">
                  <c:v>29068</c:v>
                </c:pt>
                <c:pt idx="152">
                  <c:v>29099</c:v>
                </c:pt>
                <c:pt idx="153">
                  <c:v>29129</c:v>
                </c:pt>
                <c:pt idx="154">
                  <c:v>29160</c:v>
                </c:pt>
                <c:pt idx="155">
                  <c:v>29190</c:v>
                </c:pt>
                <c:pt idx="156">
                  <c:v>29221</c:v>
                </c:pt>
                <c:pt idx="157">
                  <c:v>29252</c:v>
                </c:pt>
                <c:pt idx="158">
                  <c:v>29281</c:v>
                </c:pt>
                <c:pt idx="159">
                  <c:v>29312</c:v>
                </c:pt>
                <c:pt idx="160">
                  <c:v>29342</c:v>
                </c:pt>
                <c:pt idx="161">
                  <c:v>29373</c:v>
                </c:pt>
                <c:pt idx="162">
                  <c:v>29403</c:v>
                </c:pt>
                <c:pt idx="163">
                  <c:v>29434</c:v>
                </c:pt>
                <c:pt idx="164">
                  <c:v>29465</c:v>
                </c:pt>
                <c:pt idx="165">
                  <c:v>29495</c:v>
                </c:pt>
                <c:pt idx="166">
                  <c:v>29526</c:v>
                </c:pt>
                <c:pt idx="167">
                  <c:v>29556</c:v>
                </c:pt>
                <c:pt idx="168">
                  <c:v>29587</c:v>
                </c:pt>
                <c:pt idx="169">
                  <c:v>29618</c:v>
                </c:pt>
                <c:pt idx="170">
                  <c:v>29646</c:v>
                </c:pt>
                <c:pt idx="171">
                  <c:v>29677</c:v>
                </c:pt>
                <c:pt idx="172">
                  <c:v>29707</c:v>
                </c:pt>
                <c:pt idx="173">
                  <c:v>29738</c:v>
                </c:pt>
                <c:pt idx="174">
                  <c:v>29768</c:v>
                </c:pt>
                <c:pt idx="175">
                  <c:v>29799</c:v>
                </c:pt>
                <c:pt idx="176">
                  <c:v>29830</c:v>
                </c:pt>
                <c:pt idx="177">
                  <c:v>29860</c:v>
                </c:pt>
                <c:pt idx="178">
                  <c:v>29891</c:v>
                </c:pt>
                <c:pt idx="179">
                  <c:v>29921</c:v>
                </c:pt>
                <c:pt idx="180">
                  <c:v>29952</c:v>
                </c:pt>
                <c:pt idx="181">
                  <c:v>29983</c:v>
                </c:pt>
                <c:pt idx="182">
                  <c:v>30011</c:v>
                </c:pt>
                <c:pt idx="183">
                  <c:v>30042</c:v>
                </c:pt>
                <c:pt idx="184">
                  <c:v>30072</c:v>
                </c:pt>
                <c:pt idx="185">
                  <c:v>30103</c:v>
                </c:pt>
                <c:pt idx="186">
                  <c:v>30133</c:v>
                </c:pt>
                <c:pt idx="187">
                  <c:v>30164</c:v>
                </c:pt>
                <c:pt idx="188">
                  <c:v>30195</c:v>
                </c:pt>
                <c:pt idx="189">
                  <c:v>30225</c:v>
                </c:pt>
                <c:pt idx="190">
                  <c:v>30256</c:v>
                </c:pt>
                <c:pt idx="191">
                  <c:v>30286</c:v>
                </c:pt>
                <c:pt idx="192">
                  <c:v>30317</c:v>
                </c:pt>
                <c:pt idx="193">
                  <c:v>30348</c:v>
                </c:pt>
                <c:pt idx="194">
                  <c:v>30376</c:v>
                </c:pt>
                <c:pt idx="195">
                  <c:v>30407</c:v>
                </c:pt>
                <c:pt idx="196">
                  <c:v>30437</c:v>
                </c:pt>
                <c:pt idx="197">
                  <c:v>30468</c:v>
                </c:pt>
                <c:pt idx="198">
                  <c:v>30498</c:v>
                </c:pt>
                <c:pt idx="199">
                  <c:v>30529</c:v>
                </c:pt>
                <c:pt idx="200">
                  <c:v>30560</c:v>
                </c:pt>
                <c:pt idx="201">
                  <c:v>30590</c:v>
                </c:pt>
                <c:pt idx="202">
                  <c:v>30621</c:v>
                </c:pt>
                <c:pt idx="203">
                  <c:v>30651</c:v>
                </c:pt>
                <c:pt idx="204">
                  <c:v>30682</c:v>
                </c:pt>
                <c:pt idx="205">
                  <c:v>30713</c:v>
                </c:pt>
                <c:pt idx="206">
                  <c:v>30742</c:v>
                </c:pt>
                <c:pt idx="207">
                  <c:v>30773</c:v>
                </c:pt>
                <c:pt idx="208">
                  <c:v>30803</c:v>
                </c:pt>
                <c:pt idx="209">
                  <c:v>30834</c:v>
                </c:pt>
                <c:pt idx="210">
                  <c:v>30864</c:v>
                </c:pt>
                <c:pt idx="211">
                  <c:v>30895</c:v>
                </c:pt>
                <c:pt idx="212">
                  <c:v>30926</c:v>
                </c:pt>
                <c:pt idx="213">
                  <c:v>30956</c:v>
                </c:pt>
                <c:pt idx="214">
                  <c:v>30987</c:v>
                </c:pt>
                <c:pt idx="215">
                  <c:v>31017</c:v>
                </c:pt>
                <c:pt idx="216">
                  <c:v>31048</c:v>
                </c:pt>
                <c:pt idx="217">
                  <c:v>31079</c:v>
                </c:pt>
                <c:pt idx="218">
                  <c:v>31107</c:v>
                </c:pt>
                <c:pt idx="219">
                  <c:v>31138</c:v>
                </c:pt>
                <c:pt idx="220">
                  <c:v>31168</c:v>
                </c:pt>
                <c:pt idx="221">
                  <c:v>31199</c:v>
                </c:pt>
                <c:pt idx="222">
                  <c:v>31229</c:v>
                </c:pt>
                <c:pt idx="223">
                  <c:v>31260</c:v>
                </c:pt>
                <c:pt idx="224">
                  <c:v>31291</c:v>
                </c:pt>
                <c:pt idx="225">
                  <c:v>31321</c:v>
                </c:pt>
                <c:pt idx="226">
                  <c:v>31352</c:v>
                </c:pt>
                <c:pt idx="227">
                  <c:v>31382</c:v>
                </c:pt>
                <c:pt idx="228">
                  <c:v>31413</c:v>
                </c:pt>
                <c:pt idx="229">
                  <c:v>31444</c:v>
                </c:pt>
                <c:pt idx="230">
                  <c:v>31472</c:v>
                </c:pt>
                <c:pt idx="231">
                  <c:v>31503</c:v>
                </c:pt>
                <c:pt idx="232">
                  <c:v>31533</c:v>
                </c:pt>
                <c:pt idx="233">
                  <c:v>31564</c:v>
                </c:pt>
                <c:pt idx="234">
                  <c:v>31594</c:v>
                </c:pt>
                <c:pt idx="235">
                  <c:v>31625</c:v>
                </c:pt>
                <c:pt idx="236">
                  <c:v>31656</c:v>
                </c:pt>
                <c:pt idx="237">
                  <c:v>31686</c:v>
                </c:pt>
                <c:pt idx="238">
                  <c:v>31717</c:v>
                </c:pt>
                <c:pt idx="239">
                  <c:v>31747</c:v>
                </c:pt>
                <c:pt idx="240">
                  <c:v>31778</c:v>
                </c:pt>
                <c:pt idx="241">
                  <c:v>31809</c:v>
                </c:pt>
                <c:pt idx="242">
                  <c:v>31837</c:v>
                </c:pt>
                <c:pt idx="243">
                  <c:v>31868</c:v>
                </c:pt>
                <c:pt idx="244">
                  <c:v>31898</c:v>
                </c:pt>
                <c:pt idx="245">
                  <c:v>31929</c:v>
                </c:pt>
                <c:pt idx="246">
                  <c:v>31959</c:v>
                </c:pt>
                <c:pt idx="247">
                  <c:v>31990</c:v>
                </c:pt>
                <c:pt idx="248">
                  <c:v>32021</c:v>
                </c:pt>
                <c:pt idx="249">
                  <c:v>32051</c:v>
                </c:pt>
                <c:pt idx="250">
                  <c:v>32082</c:v>
                </c:pt>
                <c:pt idx="251">
                  <c:v>32112</c:v>
                </c:pt>
                <c:pt idx="252">
                  <c:v>32143</c:v>
                </c:pt>
                <c:pt idx="253">
                  <c:v>32174</c:v>
                </c:pt>
                <c:pt idx="254">
                  <c:v>32203</c:v>
                </c:pt>
                <c:pt idx="255">
                  <c:v>32234</c:v>
                </c:pt>
                <c:pt idx="256">
                  <c:v>32264</c:v>
                </c:pt>
                <c:pt idx="257">
                  <c:v>32295</c:v>
                </c:pt>
                <c:pt idx="258">
                  <c:v>32325</c:v>
                </c:pt>
                <c:pt idx="259">
                  <c:v>32356</c:v>
                </c:pt>
                <c:pt idx="260">
                  <c:v>32387</c:v>
                </c:pt>
                <c:pt idx="261">
                  <c:v>32417</c:v>
                </c:pt>
                <c:pt idx="262">
                  <c:v>32448</c:v>
                </c:pt>
                <c:pt idx="263">
                  <c:v>32478</c:v>
                </c:pt>
                <c:pt idx="264">
                  <c:v>32509</c:v>
                </c:pt>
                <c:pt idx="265">
                  <c:v>32540</c:v>
                </c:pt>
                <c:pt idx="266">
                  <c:v>32568</c:v>
                </c:pt>
                <c:pt idx="267">
                  <c:v>32599</c:v>
                </c:pt>
                <c:pt idx="268">
                  <c:v>32629</c:v>
                </c:pt>
                <c:pt idx="269">
                  <c:v>32660</c:v>
                </c:pt>
                <c:pt idx="270">
                  <c:v>32690</c:v>
                </c:pt>
                <c:pt idx="271">
                  <c:v>32721</c:v>
                </c:pt>
                <c:pt idx="272">
                  <c:v>32752</c:v>
                </c:pt>
                <c:pt idx="273">
                  <c:v>32782</c:v>
                </c:pt>
                <c:pt idx="274">
                  <c:v>32813</c:v>
                </c:pt>
                <c:pt idx="275">
                  <c:v>32843</c:v>
                </c:pt>
                <c:pt idx="276">
                  <c:v>32874</c:v>
                </c:pt>
                <c:pt idx="277">
                  <c:v>32905</c:v>
                </c:pt>
                <c:pt idx="278">
                  <c:v>32933</c:v>
                </c:pt>
                <c:pt idx="279">
                  <c:v>32964</c:v>
                </c:pt>
                <c:pt idx="280">
                  <c:v>32994</c:v>
                </c:pt>
                <c:pt idx="281">
                  <c:v>33025</c:v>
                </c:pt>
                <c:pt idx="282">
                  <c:v>33055</c:v>
                </c:pt>
                <c:pt idx="283">
                  <c:v>33086</c:v>
                </c:pt>
                <c:pt idx="284">
                  <c:v>33117</c:v>
                </c:pt>
                <c:pt idx="285">
                  <c:v>33147</c:v>
                </c:pt>
                <c:pt idx="286">
                  <c:v>33178</c:v>
                </c:pt>
                <c:pt idx="287">
                  <c:v>33208</c:v>
                </c:pt>
                <c:pt idx="288">
                  <c:v>33239</c:v>
                </c:pt>
                <c:pt idx="289">
                  <c:v>33270</c:v>
                </c:pt>
                <c:pt idx="290">
                  <c:v>33298</c:v>
                </c:pt>
                <c:pt idx="291">
                  <c:v>33329</c:v>
                </c:pt>
                <c:pt idx="292">
                  <c:v>33359</c:v>
                </c:pt>
                <c:pt idx="293">
                  <c:v>33390</c:v>
                </c:pt>
                <c:pt idx="294">
                  <c:v>33420</c:v>
                </c:pt>
                <c:pt idx="295">
                  <c:v>33451</c:v>
                </c:pt>
                <c:pt idx="296">
                  <c:v>33482</c:v>
                </c:pt>
                <c:pt idx="297">
                  <c:v>33512</c:v>
                </c:pt>
                <c:pt idx="298">
                  <c:v>33543</c:v>
                </c:pt>
                <c:pt idx="299">
                  <c:v>33573</c:v>
                </c:pt>
                <c:pt idx="300">
                  <c:v>33604</c:v>
                </c:pt>
                <c:pt idx="301">
                  <c:v>33635</c:v>
                </c:pt>
                <c:pt idx="302">
                  <c:v>33664</c:v>
                </c:pt>
                <c:pt idx="303">
                  <c:v>33695</c:v>
                </c:pt>
                <c:pt idx="304">
                  <c:v>33725</c:v>
                </c:pt>
                <c:pt idx="305">
                  <c:v>33756</c:v>
                </c:pt>
                <c:pt idx="306">
                  <c:v>33786</c:v>
                </c:pt>
                <c:pt idx="307">
                  <c:v>33817</c:v>
                </c:pt>
                <c:pt idx="308">
                  <c:v>33848</c:v>
                </c:pt>
                <c:pt idx="309">
                  <c:v>33878</c:v>
                </c:pt>
                <c:pt idx="310">
                  <c:v>33909</c:v>
                </c:pt>
                <c:pt idx="311">
                  <c:v>33939</c:v>
                </c:pt>
                <c:pt idx="312">
                  <c:v>33970</c:v>
                </c:pt>
                <c:pt idx="313">
                  <c:v>34001</c:v>
                </c:pt>
                <c:pt idx="314">
                  <c:v>34029</c:v>
                </c:pt>
                <c:pt idx="315">
                  <c:v>34060</c:v>
                </c:pt>
                <c:pt idx="316">
                  <c:v>34090</c:v>
                </c:pt>
                <c:pt idx="317">
                  <c:v>34121</c:v>
                </c:pt>
                <c:pt idx="318">
                  <c:v>34151</c:v>
                </c:pt>
                <c:pt idx="319">
                  <c:v>34182</c:v>
                </c:pt>
                <c:pt idx="320">
                  <c:v>34213</c:v>
                </c:pt>
                <c:pt idx="321">
                  <c:v>34243</c:v>
                </c:pt>
                <c:pt idx="322">
                  <c:v>34274</c:v>
                </c:pt>
                <c:pt idx="323">
                  <c:v>34304</c:v>
                </c:pt>
                <c:pt idx="324">
                  <c:v>34335</c:v>
                </c:pt>
                <c:pt idx="325">
                  <c:v>34366</c:v>
                </c:pt>
                <c:pt idx="326">
                  <c:v>34394</c:v>
                </c:pt>
                <c:pt idx="327">
                  <c:v>34425</c:v>
                </c:pt>
                <c:pt idx="328">
                  <c:v>34455</c:v>
                </c:pt>
                <c:pt idx="329">
                  <c:v>34486</c:v>
                </c:pt>
                <c:pt idx="330">
                  <c:v>34516</c:v>
                </c:pt>
                <c:pt idx="331">
                  <c:v>34547</c:v>
                </c:pt>
                <c:pt idx="332">
                  <c:v>34578</c:v>
                </c:pt>
                <c:pt idx="333">
                  <c:v>34608</c:v>
                </c:pt>
                <c:pt idx="334">
                  <c:v>34639</c:v>
                </c:pt>
                <c:pt idx="335">
                  <c:v>34669</c:v>
                </c:pt>
                <c:pt idx="336">
                  <c:v>34700</c:v>
                </c:pt>
                <c:pt idx="337">
                  <c:v>34731</c:v>
                </c:pt>
                <c:pt idx="338">
                  <c:v>34759</c:v>
                </c:pt>
                <c:pt idx="339">
                  <c:v>34790</c:v>
                </c:pt>
                <c:pt idx="340">
                  <c:v>34820</c:v>
                </c:pt>
                <c:pt idx="341">
                  <c:v>34851</c:v>
                </c:pt>
                <c:pt idx="342">
                  <c:v>34881</c:v>
                </c:pt>
                <c:pt idx="343">
                  <c:v>34912</c:v>
                </c:pt>
                <c:pt idx="344">
                  <c:v>34943</c:v>
                </c:pt>
                <c:pt idx="345">
                  <c:v>34973</c:v>
                </c:pt>
                <c:pt idx="346">
                  <c:v>35004</c:v>
                </c:pt>
                <c:pt idx="347">
                  <c:v>35034</c:v>
                </c:pt>
                <c:pt idx="348">
                  <c:v>35065</c:v>
                </c:pt>
                <c:pt idx="349">
                  <c:v>35096</c:v>
                </c:pt>
                <c:pt idx="350">
                  <c:v>35125</c:v>
                </c:pt>
                <c:pt idx="351">
                  <c:v>35156</c:v>
                </c:pt>
                <c:pt idx="352">
                  <c:v>35186</c:v>
                </c:pt>
                <c:pt idx="353">
                  <c:v>35217</c:v>
                </c:pt>
                <c:pt idx="354">
                  <c:v>35247</c:v>
                </c:pt>
                <c:pt idx="355">
                  <c:v>35278</c:v>
                </c:pt>
                <c:pt idx="356">
                  <c:v>35309</c:v>
                </c:pt>
                <c:pt idx="357">
                  <c:v>35339</c:v>
                </c:pt>
                <c:pt idx="358">
                  <c:v>35370</c:v>
                </c:pt>
                <c:pt idx="359">
                  <c:v>35400</c:v>
                </c:pt>
                <c:pt idx="360">
                  <c:v>35431</c:v>
                </c:pt>
                <c:pt idx="361">
                  <c:v>35462</c:v>
                </c:pt>
                <c:pt idx="362">
                  <c:v>35490</c:v>
                </c:pt>
                <c:pt idx="363">
                  <c:v>35521</c:v>
                </c:pt>
                <c:pt idx="364">
                  <c:v>35551</c:v>
                </c:pt>
                <c:pt idx="365">
                  <c:v>35582</c:v>
                </c:pt>
                <c:pt idx="366">
                  <c:v>35612</c:v>
                </c:pt>
                <c:pt idx="367">
                  <c:v>35643</c:v>
                </c:pt>
                <c:pt idx="368">
                  <c:v>35674</c:v>
                </c:pt>
                <c:pt idx="369">
                  <c:v>35704</c:v>
                </c:pt>
                <c:pt idx="370">
                  <c:v>35735</c:v>
                </c:pt>
                <c:pt idx="371">
                  <c:v>35765</c:v>
                </c:pt>
                <c:pt idx="372">
                  <c:v>35796</c:v>
                </c:pt>
                <c:pt idx="373">
                  <c:v>35827</c:v>
                </c:pt>
                <c:pt idx="374">
                  <c:v>35855</c:v>
                </c:pt>
                <c:pt idx="375">
                  <c:v>35886</c:v>
                </c:pt>
                <c:pt idx="376">
                  <c:v>35916</c:v>
                </c:pt>
                <c:pt idx="377">
                  <c:v>35947</c:v>
                </c:pt>
                <c:pt idx="378">
                  <c:v>35977</c:v>
                </c:pt>
                <c:pt idx="379">
                  <c:v>36008</c:v>
                </c:pt>
                <c:pt idx="380">
                  <c:v>36039</c:v>
                </c:pt>
                <c:pt idx="381">
                  <c:v>36069</c:v>
                </c:pt>
                <c:pt idx="382">
                  <c:v>36100</c:v>
                </c:pt>
                <c:pt idx="383">
                  <c:v>36130</c:v>
                </c:pt>
                <c:pt idx="384">
                  <c:v>36161</c:v>
                </c:pt>
                <c:pt idx="385">
                  <c:v>36192</c:v>
                </c:pt>
                <c:pt idx="386">
                  <c:v>36220</c:v>
                </c:pt>
                <c:pt idx="387">
                  <c:v>36251</c:v>
                </c:pt>
                <c:pt idx="388">
                  <c:v>36281</c:v>
                </c:pt>
                <c:pt idx="389">
                  <c:v>36312</c:v>
                </c:pt>
                <c:pt idx="390">
                  <c:v>36342</c:v>
                </c:pt>
                <c:pt idx="391">
                  <c:v>36373</c:v>
                </c:pt>
                <c:pt idx="392">
                  <c:v>36404</c:v>
                </c:pt>
                <c:pt idx="393">
                  <c:v>36434</c:v>
                </c:pt>
                <c:pt idx="394">
                  <c:v>36465</c:v>
                </c:pt>
                <c:pt idx="395">
                  <c:v>36495</c:v>
                </c:pt>
                <c:pt idx="396">
                  <c:v>36526</c:v>
                </c:pt>
                <c:pt idx="397">
                  <c:v>36557</c:v>
                </c:pt>
                <c:pt idx="398">
                  <c:v>36586</c:v>
                </c:pt>
                <c:pt idx="399">
                  <c:v>36617</c:v>
                </c:pt>
                <c:pt idx="400">
                  <c:v>36647</c:v>
                </c:pt>
                <c:pt idx="401">
                  <c:v>36678</c:v>
                </c:pt>
                <c:pt idx="402">
                  <c:v>36708</c:v>
                </c:pt>
                <c:pt idx="403">
                  <c:v>36739</c:v>
                </c:pt>
                <c:pt idx="404">
                  <c:v>36770</c:v>
                </c:pt>
                <c:pt idx="405">
                  <c:v>36800</c:v>
                </c:pt>
                <c:pt idx="406">
                  <c:v>36831</c:v>
                </c:pt>
                <c:pt idx="407">
                  <c:v>36861</c:v>
                </c:pt>
                <c:pt idx="408">
                  <c:v>36892</c:v>
                </c:pt>
                <c:pt idx="409">
                  <c:v>36923</c:v>
                </c:pt>
                <c:pt idx="410">
                  <c:v>36951</c:v>
                </c:pt>
                <c:pt idx="411">
                  <c:v>36982</c:v>
                </c:pt>
                <c:pt idx="412">
                  <c:v>37012</c:v>
                </c:pt>
                <c:pt idx="413">
                  <c:v>37043</c:v>
                </c:pt>
                <c:pt idx="414">
                  <c:v>37073</c:v>
                </c:pt>
                <c:pt idx="415">
                  <c:v>37104</c:v>
                </c:pt>
                <c:pt idx="416">
                  <c:v>37135</c:v>
                </c:pt>
                <c:pt idx="417">
                  <c:v>37165</c:v>
                </c:pt>
                <c:pt idx="418">
                  <c:v>37196</c:v>
                </c:pt>
                <c:pt idx="419">
                  <c:v>37226</c:v>
                </c:pt>
                <c:pt idx="420">
                  <c:v>37257</c:v>
                </c:pt>
                <c:pt idx="421">
                  <c:v>37288</c:v>
                </c:pt>
                <c:pt idx="422">
                  <c:v>37316</c:v>
                </c:pt>
                <c:pt idx="423">
                  <c:v>37347</c:v>
                </c:pt>
                <c:pt idx="424">
                  <c:v>37377</c:v>
                </c:pt>
                <c:pt idx="425">
                  <c:v>37408</c:v>
                </c:pt>
                <c:pt idx="426">
                  <c:v>37438</c:v>
                </c:pt>
                <c:pt idx="427">
                  <c:v>37469</c:v>
                </c:pt>
                <c:pt idx="428">
                  <c:v>37500</c:v>
                </c:pt>
                <c:pt idx="429">
                  <c:v>37530</c:v>
                </c:pt>
                <c:pt idx="430">
                  <c:v>37561</c:v>
                </c:pt>
                <c:pt idx="431">
                  <c:v>37591</c:v>
                </c:pt>
                <c:pt idx="432">
                  <c:v>37622</c:v>
                </c:pt>
                <c:pt idx="433">
                  <c:v>37653</c:v>
                </c:pt>
                <c:pt idx="434">
                  <c:v>37681</c:v>
                </c:pt>
                <c:pt idx="435">
                  <c:v>37712</c:v>
                </c:pt>
                <c:pt idx="436">
                  <c:v>37742</c:v>
                </c:pt>
                <c:pt idx="437">
                  <c:v>37773</c:v>
                </c:pt>
                <c:pt idx="438">
                  <c:v>37803</c:v>
                </c:pt>
                <c:pt idx="439">
                  <c:v>37834</c:v>
                </c:pt>
                <c:pt idx="440">
                  <c:v>37865</c:v>
                </c:pt>
                <c:pt idx="441">
                  <c:v>37895</c:v>
                </c:pt>
                <c:pt idx="442">
                  <c:v>37926</c:v>
                </c:pt>
                <c:pt idx="443">
                  <c:v>37956</c:v>
                </c:pt>
                <c:pt idx="444">
                  <c:v>37987</c:v>
                </c:pt>
                <c:pt idx="445">
                  <c:v>38018</c:v>
                </c:pt>
                <c:pt idx="446">
                  <c:v>38047</c:v>
                </c:pt>
                <c:pt idx="447">
                  <c:v>38078</c:v>
                </c:pt>
                <c:pt idx="448">
                  <c:v>38108</c:v>
                </c:pt>
                <c:pt idx="449">
                  <c:v>38139</c:v>
                </c:pt>
                <c:pt idx="450">
                  <c:v>38169</c:v>
                </c:pt>
                <c:pt idx="451">
                  <c:v>38200</c:v>
                </c:pt>
                <c:pt idx="452">
                  <c:v>38231</c:v>
                </c:pt>
                <c:pt idx="453">
                  <c:v>38261</c:v>
                </c:pt>
                <c:pt idx="454">
                  <c:v>38292</c:v>
                </c:pt>
                <c:pt idx="455">
                  <c:v>38322</c:v>
                </c:pt>
                <c:pt idx="456">
                  <c:v>38353</c:v>
                </c:pt>
                <c:pt idx="457">
                  <c:v>38384</c:v>
                </c:pt>
                <c:pt idx="458">
                  <c:v>38412</c:v>
                </c:pt>
                <c:pt idx="459">
                  <c:v>38443</c:v>
                </c:pt>
                <c:pt idx="460">
                  <c:v>38473</c:v>
                </c:pt>
                <c:pt idx="461">
                  <c:v>38504</c:v>
                </c:pt>
                <c:pt idx="462">
                  <c:v>38534</c:v>
                </c:pt>
                <c:pt idx="463">
                  <c:v>38565</c:v>
                </c:pt>
                <c:pt idx="464">
                  <c:v>38596</c:v>
                </c:pt>
                <c:pt idx="465">
                  <c:v>38626</c:v>
                </c:pt>
                <c:pt idx="466">
                  <c:v>38657</c:v>
                </c:pt>
                <c:pt idx="467">
                  <c:v>38687</c:v>
                </c:pt>
                <c:pt idx="468">
                  <c:v>38718</c:v>
                </c:pt>
                <c:pt idx="469">
                  <c:v>38749</c:v>
                </c:pt>
                <c:pt idx="470">
                  <c:v>38777</c:v>
                </c:pt>
                <c:pt idx="471">
                  <c:v>38808</c:v>
                </c:pt>
                <c:pt idx="472">
                  <c:v>38838</c:v>
                </c:pt>
                <c:pt idx="473">
                  <c:v>38869</c:v>
                </c:pt>
                <c:pt idx="474">
                  <c:v>38899</c:v>
                </c:pt>
                <c:pt idx="475">
                  <c:v>38930</c:v>
                </c:pt>
                <c:pt idx="476">
                  <c:v>38961</c:v>
                </c:pt>
                <c:pt idx="477">
                  <c:v>38991</c:v>
                </c:pt>
                <c:pt idx="478">
                  <c:v>39022</c:v>
                </c:pt>
                <c:pt idx="479">
                  <c:v>39052</c:v>
                </c:pt>
                <c:pt idx="480">
                  <c:v>39083</c:v>
                </c:pt>
                <c:pt idx="481">
                  <c:v>39114</c:v>
                </c:pt>
                <c:pt idx="482">
                  <c:v>39142</c:v>
                </c:pt>
                <c:pt idx="483">
                  <c:v>39173</c:v>
                </c:pt>
                <c:pt idx="484">
                  <c:v>39203</c:v>
                </c:pt>
                <c:pt idx="485">
                  <c:v>39234</c:v>
                </c:pt>
                <c:pt idx="486">
                  <c:v>39264</c:v>
                </c:pt>
                <c:pt idx="487">
                  <c:v>39295</c:v>
                </c:pt>
                <c:pt idx="488">
                  <c:v>39326</c:v>
                </c:pt>
                <c:pt idx="489">
                  <c:v>39356</c:v>
                </c:pt>
                <c:pt idx="490">
                  <c:v>39387</c:v>
                </c:pt>
                <c:pt idx="491">
                  <c:v>39417</c:v>
                </c:pt>
                <c:pt idx="492">
                  <c:v>39448</c:v>
                </c:pt>
                <c:pt idx="493">
                  <c:v>39479</c:v>
                </c:pt>
                <c:pt idx="494">
                  <c:v>39508</c:v>
                </c:pt>
                <c:pt idx="495">
                  <c:v>39539</c:v>
                </c:pt>
                <c:pt idx="496">
                  <c:v>39569</c:v>
                </c:pt>
                <c:pt idx="497">
                  <c:v>39600</c:v>
                </c:pt>
                <c:pt idx="498">
                  <c:v>39630</c:v>
                </c:pt>
                <c:pt idx="499">
                  <c:v>39661</c:v>
                </c:pt>
                <c:pt idx="500">
                  <c:v>39692</c:v>
                </c:pt>
                <c:pt idx="501">
                  <c:v>39722</c:v>
                </c:pt>
                <c:pt idx="502">
                  <c:v>39753</c:v>
                </c:pt>
                <c:pt idx="503">
                  <c:v>39783</c:v>
                </c:pt>
                <c:pt idx="504">
                  <c:v>39814</c:v>
                </c:pt>
                <c:pt idx="505">
                  <c:v>39845</c:v>
                </c:pt>
                <c:pt idx="506">
                  <c:v>39873</c:v>
                </c:pt>
                <c:pt idx="507">
                  <c:v>39904</c:v>
                </c:pt>
                <c:pt idx="508">
                  <c:v>39934</c:v>
                </c:pt>
                <c:pt idx="509">
                  <c:v>39965</c:v>
                </c:pt>
                <c:pt idx="510">
                  <c:v>39995</c:v>
                </c:pt>
                <c:pt idx="511">
                  <c:v>40026</c:v>
                </c:pt>
                <c:pt idx="512">
                  <c:v>40057</c:v>
                </c:pt>
                <c:pt idx="513">
                  <c:v>40087</c:v>
                </c:pt>
                <c:pt idx="514">
                  <c:v>40118</c:v>
                </c:pt>
                <c:pt idx="515">
                  <c:v>40148</c:v>
                </c:pt>
                <c:pt idx="516">
                  <c:v>40179</c:v>
                </c:pt>
                <c:pt idx="517">
                  <c:v>40210</c:v>
                </c:pt>
                <c:pt idx="518">
                  <c:v>40238</c:v>
                </c:pt>
                <c:pt idx="519">
                  <c:v>40269</c:v>
                </c:pt>
              </c:numCache>
            </c:numRef>
          </c:cat>
          <c:val>
            <c:numRef>
              <c:f>Data!$Q$2:$Q$521</c:f>
              <c:numCache>
                <c:formatCode>General</c:formatCode>
                <c:ptCount val="5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">
                  <c:v>3.3807719943757197</c:v>
                </c:pt>
                <c:pt idx="12" formatCode="0.00">
                  <c:v>3.6559157132317166</c:v>
                </c:pt>
                <c:pt idx="13" formatCode="0.00">
                  <c:v>3.6774927044053385</c:v>
                </c:pt>
                <c:pt idx="14" formatCode="0.00">
                  <c:v>4.1463028083392084</c:v>
                </c:pt>
                <c:pt idx="15" formatCode="0.00">
                  <c:v>4.1596754538463232</c:v>
                </c:pt>
                <c:pt idx="16" formatCode="0.00">
                  <c:v>4.0912860062409573</c:v>
                </c:pt>
                <c:pt idx="17" formatCode="0.00">
                  <c:v>4.5489372302042641</c:v>
                </c:pt>
                <c:pt idx="18" formatCode="0.00">
                  <c:v>4.7562034109841056</c:v>
                </c:pt>
                <c:pt idx="19" formatCode="0.00">
                  <c:v>4.9494976271607038</c:v>
                </c:pt>
                <c:pt idx="20" formatCode="0.00">
                  <c:v>4.9507280769949702</c:v>
                </c:pt>
                <c:pt idx="21" formatCode="0.00">
                  <c:v>5.1858423606959914</c:v>
                </c:pt>
                <c:pt idx="22" formatCode="0.00">
                  <c:v>5.4023819247150495</c:v>
                </c:pt>
                <c:pt idx="23" formatCode="0.00">
                  <c:v>5.7122723291070265</c:v>
                </c:pt>
                <c:pt idx="24" formatCode="0.00">
                  <c:v>5.7521584393785075</c:v>
                </c:pt>
                <c:pt idx="25" formatCode="0.00">
                  <c:v>5.7559551511047413</c:v>
                </c:pt>
                <c:pt idx="26" formatCode="0.00">
                  <c:v>6.1317866377174957</c:v>
                </c:pt>
                <c:pt idx="27" formatCode="0.00">
                  <c:v>6.5126907840368453</c:v>
                </c:pt>
                <c:pt idx="28" formatCode="0.00">
                  <c:v>6.7875657590001026</c:v>
                </c:pt>
                <c:pt idx="29" formatCode="0.00">
                  <c:v>6.3831107481148397</c:v>
                </c:pt>
                <c:pt idx="30" formatCode="0.00">
                  <c:v>6.3964457397176488</c:v>
                </c:pt>
                <c:pt idx="31" formatCode="0.00">
                  <c:v>6.4214836889627813</c:v>
                </c:pt>
                <c:pt idx="32" formatCode="0.00">
                  <c:v>6.8419324800471193</c:v>
                </c:pt>
                <c:pt idx="33" formatCode="0.00">
                  <c:v>6.5662363758191011</c:v>
                </c:pt>
                <c:pt idx="34" formatCode="0.00">
                  <c:v>6.443939480684735</c:v>
                </c:pt>
                <c:pt idx="35" formatCode="0.00">
                  <c:v>6.4173536033316214</c:v>
                </c:pt>
                <c:pt idx="36" formatCode="0.00">
                  <c:v>6.6099451833638412</c:v>
                </c:pt>
                <c:pt idx="37" formatCode="0.00">
                  <c:v>7.071778021650843</c:v>
                </c:pt>
                <c:pt idx="38" formatCode="0.00">
                  <c:v>7.0090930779798555</c:v>
                </c:pt>
                <c:pt idx="39" formatCode="0.00">
                  <c:v>6.8336957402981735</c:v>
                </c:pt>
                <c:pt idx="40" formatCode="0.00">
                  <c:v>6.9635921920443433</c:v>
                </c:pt>
                <c:pt idx="41" formatCode="0.00">
                  <c:v>7.1675860517430134</c:v>
                </c:pt>
                <c:pt idx="42" formatCode="0.00">
                  <c:v>7.0235388765592877</c:v>
                </c:pt>
                <c:pt idx="43" formatCode="0.00">
                  <c:v>7.1301471228944147</c:v>
                </c:pt>
                <c:pt idx="44" formatCode="0.00">
                  <c:v>7.0968430867959675</c:v>
                </c:pt>
                <c:pt idx="45" formatCode="0.00">
                  <c:v>7.0722755650940439</c:v>
                </c:pt>
                <c:pt idx="46" formatCode="0.00">
                  <c:v>7.3420181174258747</c:v>
                </c:pt>
                <c:pt idx="47" formatCode="0.00">
                  <c:v>7.34622068068842</c:v>
                </c:pt>
                <c:pt idx="48" formatCode="0.00">
                  <c:v>7.0151679862890726</c:v>
                </c:pt>
                <c:pt idx="49" formatCode="0.00">
                  <c:v>6.3284347177204658</c:v>
                </c:pt>
                <c:pt idx="50" formatCode="0.00">
                  <c:v>5.5002683262263874</c:v>
                </c:pt>
                <c:pt idx="51" formatCode="0.00">
                  <c:v>5.3039568749560617</c:v>
                </c:pt>
                <c:pt idx="52" formatCode="0.00">
                  <c:v>5.0580384649682397</c:v>
                </c:pt>
                <c:pt idx="53" formatCode="0.00">
                  <c:v>5.2373057267853795</c:v>
                </c:pt>
                <c:pt idx="54" formatCode="0.00">
                  <c:v>5.1626288978871226</c:v>
                </c:pt>
                <c:pt idx="55" formatCode="0.00">
                  <c:v>4.9122993679699301</c:v>
                </c:pt>
                <c:pt idx="56" formatCode="0.00">
                  <c:v>4.670962225664721</c:v>
                </c:pt>
                <c:pt idx="57" formatCode="0.00">
                  <c:v>4.3747757366587647</c:v>
                </c:pt>
                <c:pt idx="58" formatCode="0.00">
                  <c:v>3.95165199643428</c:v>
                </c:pt>
                <c:pt idx="59" formatCode="0.00">
                  <c:v>3.6811022623039813</c:v>
                </c:pt>
                <c:pt idx="60" formatCode="0.00">
                  <c:v>3.7326169733950199</c:v>
                </c:pt>
                <c:pt idx="61" formatCode="0.00">
                  <c:v>3.846818270168928</c:v>
                </c:pt>
                <c:pt idx="62" formatCode="0.00">
                  <c:v>4.0645039572506869</c:v>
                </c:pt>
                <c:pt idx="63" formatCode="0.00">
                  <c:v>3.9789837156141594</c:v>
                </c:pt>
                <c:pt idx="64" formatCode="0.00">
                  <c:v>3.8719983310561812</c:v>
                </c:pt>
                <c:pt idx="65" formatCode="0.00">
                  <c:v>3.4962203408023029</c:v>
                </c:pt>
                <c:pt idx="66" formatCode="0.00">
                  <c:v>3.4752430325492245</c:v>
                </c:pt>
                <c:pt idx="67" formatCode="0.00">
                  <c:v>3.3739505060393693</c:v>
                </c:pt>
                <c:pt idx="68" formatCode="0.00">
                  <c:v>3.1325953877398893</c:v>
                </c:pt>
                <c:pt idx="69" formatCode="0.00">
                  <c:v>3.3398195130095676</c:v>
                </c:pt>
                <c:pt idx="70" formatCode="0.00">
                  <c:v>3.276451802763547</c:v>
                </c:pt>
                <c:pt idx="71" formatCode="0.00">
                  <c:v>3.1493509554232801</c:v>
                </c:pt>
                <c:pt idx="72" formatCode="0.00">
                  <c:v>2.8445537962422662</c:v>
                </c:pt>
                <c:pt idx="73" formatCode="0.00">
                  <c:v>2.8828792686331095</c:v>
                </c:pt>
                <c:pt idx="74" formatCode="0.00">
                  <c:v>2.9308126290883418</c:v>
                </c:pt>
                <c:pt idx="75" formatCode="0.00">
                  <c:v>3.0326253663453873</c:v>
                </c:pt>
                <c:pt idx="76" formatCode="0.00">
                  <c:v>3.1763426821206364</c:v>
                </c:pt>
                <c:pt idx="77" formatCode="0.00">
                  <c:v>3.0994997562524329</c:v>
                </c:pt>
                <c:pt idx="78" formatCode="0.00">
                  <c:v>3.0141224560970903</c:v>
                </c:pt>
                <c:pt idx="79" formatCode="0.00">
                  <c:v>3.3231752472413056</c:v>
                </c:pt>
                <c:pt idx="80" formatCode="0.00">
                  <c:v>3.9441315630583951</c:v>
                </c:pt>
                <c:pt idx="81" formatCode="0.00">
                  <c:v>4.7641939335360428</c:v>
                </c:pt>
                <c:pt idx="82" formatCode="0.00">
                  <c:v>4.9270837833555792</c:v>
                </c:pt>
                <c:pt idx="83" formatCode="0.00">
                  <c:v>5.3082057148674089</c:v>
                </c:pt>
                <c:pt idx="84" formatCode="0.00">
                  <c:v>5.8456464526050356</c:v>
                </c:pt>
                <c:pt idx="85" formatCode="0.00">
                  <c:v>6.2914007909876446</c:v>
                </c:pt>
                <c:pt idx="86" formatCode="0.00">
                  <c:v>6.815846957205185</c:v>
                </c:pt>
                <c:pt idx="87" formatCode="0.00">
                  <c:v>7.104275941763194</c:v>
                </c:pt>
                <c:pt idx="88" formatCode="0.00">
                  <c:v>7.7265550037530994</c:v>
                </c:pt>
                <c:pt idx="89" formatCode="0.00">
                  <c:v>8.6136938965347696</c:v>
                </c:pt>
                <c:pt idx="90" formatCode="0.00">
                  <c:v>9.5233535703833851</c:v>
                </c:pt>
                <c:pt idx="91" formatCode="0.00">
                  <c:v>10.098879346265765</c:v>
                </c:pt>
                <c:pt idx="92" formatCode="0.00">
                  <c:v>10.588947796588588</c:v>
                </c:pt>
                <c:pt idx="93" formatCode="0.00">
                  <c:v>10.559575291517099</c:v>
                </c:pt>
                <c:pt idx="94" formatCode="0.00">
                  <c:v>10.983571244729507</c:v>
                </c:pt>
                <c:pt idx="95" formatCode="0.00">
                  <c:v>11.493693952803952</c:v>
                </c:pt>
                <c:pt idx="96" formatCode="0.00">
                  <c:v>11.622780880020599</c:v>
                </c:pt>
                <c:pt idx="97" formatCode="0.00">
                  <c:v>11.782791787605728</c:v>
                </c:pt>
                <c:pt idx="98" formatCode="0.00">
                  <c:v>11.571865907676116</c:v>
                </c:pt>
                <c:pt idx="99" formatCode="0.00">
                  <c:v>11.696465263953337</c:v>
                </c:pt>
                <c:pt idx="100" formatCode="0.00">
                  <c:v>10.926113477729293</c:v>
                </c:pt>
                <c:pt idx="101" formatCode="0.00">
                  <c:v>10.433425722650092</c:v>
                </c:pt>
                <c:pt idx="102" formatCode="0.00">
                  <c:v>9.768850788832161</c:v>
                </c:pt>
                <c:pt idx="103" formatCode="0.00">
                  <c:v>8.9221790692541667</c:v>
                </c:pt>
                <c:pt idx="104" formatCode="0.00">
                  <c:v>8.523293032006297</c:v>
                </c:pt>
                <c:pt idx="105" formatCode="0.00">
                  <c:v>8.1116925180404031</c:v>
                </c:pt>
                <c:pt idx="106" formatCode="0.00">
                  <c:v>8.094838680753913</c:v>
                </c:pt>
                <c:pt idx="107" formatCode="0.00">
                  <c:v>7.6866367818262171</c:v>
                </c:pt>
                <c:pt idx="108" formatCode="0.00">
                  <c:v>7.692872794189487</c:v>
                </c:pt>
                <c:pt idx="109" formatCode="0.00">
                  <c:v>7.3760825753311554</c:v>
                </c:pt>
                <c:pt idx="110" formatCode="0.00">
                  <c:v>7.3382764170352388</c:v>
                </c:pt>
                <c:pt idx="111" formatCode="0.00">
                  <c:v>6.8512384811734384</c:v>
                </c:pt>
                <c:pt idx="112" formatCode="0.00">
                  <c:v>6.9696744137654143</c:v>
                </c:pt>
                <c:pt idx="113" formatCode="0.00">
                  <c:v>6.8745626349555833</c:v>
                </c:pt>
                <c:pt idx="114" formatCode="0.00">
                  <c:v>7.0927024807138084</c:v>
                </c:pt>
                <c:pt idx="115" formatCode="0.00">
                  <c:v>7.3568519853947079</c:v>
                </c:pt>
                <c:pt idx="116" formatCode="0.00">
                  <c:v>7.094467837071794</c:v>
                </c:pt>
                <c:pt idx="117" formatCode="0.00">
                  <c:v>6.881233621431182</c:v>
                </c:pt>
                <c:pt idx="118" formatCode="0.00">
                  <c:v>6.6159419369157701</c:v>
                </c:pt>
                <c:pt idx="119" formatCode="0.00">
                  <c:v>6.2006871919655371</c:v>
                </c:pt>
                <c:pt idx="120" formatCode="0.00">
                  <c:v>6.0514815333350791</c:v>
                </c:pt>
                <c:pt idx="121" formatCode="0.00">
                  <c:v>6.0539283225138352</c:v>
                </c:pt>
                <c:pt idx="122" formatCode="0.00">
                  <c:v>6.1039115544815115</c:v>
                </c:pt>
                <c:pt idx="123" formatCode="0.00">
                  <c:v>6.5817253658472241</c:v>
                </c:pt>
                <c:pt idx="124" formatCode="0.00">
                  <c:v>6.7420788399326081</c:v>
                </c:pt>
                <c:pt idx="125" formatCode="0.00">
                  <c:v>6.9207613939019863</c:v>
                </c:pt>
                <c:pt idx="126" formatCode="0.00">
                  <c:v>6.8810676395544279</c:v>
                </c:pt>
                <c:pt idx="127" formatCode="0.00">
                  <c:v>6.8327590665018256</c:v>
                </c:pt>
                <c:pt idx="128" formatCode="0.00">
                  <c:v>6.8718362674781597</c:v>
                </c:pt>
                <c:pt idx="129" formatCode="0.00">
                  <c:v>6.9485288372663101</c:v>
                </c:pt>
                <c:pt idx="130" formatCode="0.00">
                  <c:v>6.9972007510022083</c:v>
                </c:pt>
                <c:pt idx="131" formatCode="0.00">
                  <c:v>7.3740291989974116</c:v>
                </c:pt>
                <c:pt idx="132" formatCode="0.00">
                  <c:v>7.3826964958244812</c:v>
                </c:pt>
                <c:pt idx="133" formatCode="0.00">
                  <c:v>7.3516874507522534</c:v>
                </c:pt>
                <c:pt idx="134" formatCode="0.00">
                  <c:v>7.4447431294659916</c:v>
                </c:pt>
                <c:pt idx="135" formatCode="0.00">
                  <c:v>7.4252435894705648</c:v>
                </c:pt>
                <c:pt idx="136" formatCode="0.00">
                  <c:v>7.6555209766192789</c:v>
                </c:pt>
                <c:pt idx="137" formatCode="0.00">
                  <c:v>7.6921534396314106</c:v>
                </c:pt>
                <c:pt idx="138" formatCode="0.00">
                  <c:v>7.9262396394492507</c:v>
                </c:pt>
                <c:pt idx="139" formatCode="0.00">
                  <c:v>8.1908172136684332</c:v>
                </c:pt>
                <c:pt idx="140" formatCode="0.00">
                  <c:v>8.5934284989028775</c:v>
                </c:pt>
                <c:pt idx="141" formatCode="0.00">
                  <c:v>9.052893706229348</c:v>
                </c:pt>
                <c:pt idx="142" formatCode="0.00">
                  <c:v>9.2283437696238035</c:v>
                </c:pt>
                <c:pt idx="143" formatCode="0.00">
                  <c:v>9.0619237030765909</c:v>
                </c:pt>
                <c:pt idx="144" formatCode="0.00">
                  <c:v>9.0743292001008946</c:v>
                </c:pt>
                <c:pt idx="145" formatCode="0.00">
                  <c:v>9.5744867912498144</c:v>
                </c:pt>
                <c:pt idx="146" formatCode="0.00">
                  <c:v>9.6779113146916007</c:v>
                </c:pt>
                <c:pt idx="147" formatCode="0.00">
                  <c:v>9.9211251791405211</c:v>
                </c:pt>
                <c:pt idx="148" formatCode="0.00">
                  <c:v>10.084364868216511</c:v>
                </c:pt>
                <c:pt idx="149" formatCode="0.00">
                  <c:v>10.27044157263961</c:v>
                </c:pt>
                <c:pt idx="150" formatCode="0.00">
                  <c:v>10.504505234685846</c:v>
                </c:pt>
                <c:pt idx="151" formatCode="0.00">
                  <c:v>10.934349602951876</c:v>
                </c:pt>
                <c:pt idx="152" formatCode="0.00">
                  <c:v>10.98072133322432</c:v>
                </c:pt>
                <c:pt idx="153" formatCode="0.00">
                  <c:v>11.253857598893724</c:v>
                </c:pt>
                <c:pt idx="154" formatCode="0.00">
                  <c:v>11.922537009694478</c:v>
                </c:pt>
                <c:pt idx="155" formatCode="0.00">
                  <c:v>12.732421224694734</c:v>
                </c:pt>
                <c:pt idx="156" formatCode="0.00">
                  <c:v>13.470270595465372</c:v>
                </c:pt>
                <c:pt idx="157" formatCode="0.00">
                  <c:v>13.601737170213401</c:v>
                </c:pt>
                <c:pt idx="158" formatCode="0.00">
                  <c:v>14.335672572043823</c:v>
                </c:pt>
                <c:pt idx="159" formatCode="0.00">
                  <c:v>14.761685907518496</c:v>
                </c:pt>
                <c:pt idx="160" formatCode="0.00">
                  <c:v>15.123544713043625</c:v>
                </c:pt>
                <c:pt idx="161" formatCode="0.00">
                  <c:v>15.785568604106249</c:v>
                </c:pt>
                <c:pt idx="162" formatCode="0.00">
                  <c:v>14.142842130751788</c:v>
                </c:pt>
                <c:pt idx="163" formatCode="0.00">
                  <c:v>13.27913405951826</c:v>
                </c:pt>
                <c:pt idx="164" formatCode="0.00">
                  <c:v>13.102469997993737</c:v>
                </c:pt>
                <c:pt idx="165" formatCode="0.00">
                  <c:v>13.102228062627553</c:v>
                </c:pt>
                <c:pt idx="166" formatCode="0.00">
                  <c:v>12.891455870647395</c:v>
                </c:pt>
                <c:pt idx="167" formatCode="0.00">
                  <c:v>12.705042860456128</c:v>
                </c:pt>
                <c:pt idx="168" formatCode="0.00">
                  <c:v>12.035053088823888</c:v>
                </c:pt>
                <c:pt idx="169" formatCode="0.00">
                  <c:v>11.243987711957825</c:v>
                </c:pt>
                <c:pt idx="170" formatCode="0.00">
                  <c:v>10.331880261918602</c:v>
                </c:pt>
                <c:pt idx="171" formatCode="0.00">
                  <c:v>9.7211407957046312</c:v>
                </c:pt>
                <c:pt idx="172" formatCode="0.00">
                  <c:v>9.6137888289432141</c:v>
                </c:pt>
                <c:pt idx="173" formatCode="0.00">
                  <c:v>9.2218480984386897</c:v>
                </c:pt>
                <c:pt idx="174" formatCode="0.00">
                  <c:v>11.252796749854422</c:v>
                </c:pt>
                <c:pt idx="175" formatCode="0.00">
                  <c:v>11.833460347854242</c:v>
                </c:pt>
                <c:pt idx="176" formatCode="0.00">
                  <c:v>12.243406796120372</c:v>
                </c:pt>
                <c:pt idx="177" formatCode="0.00">
                  <c:v>11.276316993326718</c:v>
                </c:pt>
                <c:pt idx="178" formatCode="0.00">
                  <c:v>10.530711155934158</c:v>
                </c:pt>
                <c:pt idx="179" formatCode="0.00">
                  <c:v>9.8612014242028145</c:v>
                </c:pt>
                <c:pt idx="180" formatCode="0.00">
                  <c:v>9.4759369976598951</c:v>
                </c:pt>
                <c:pt idx="181" formatCode="0.00">
                  <c:v>9.5474764899055042</c:v>
                </c:pt>
                <c:pt idx="182" formatCode="0.00">
                  <c:v>8.8988327342478755</c:v>
                </c:pt>
                <c:pt idx="183" formatCode="0.00">
                  <c:v>9.0899750793729908</c:v>
                </c:pt>
                <c:pt idx="184" formatCode="0.00">
                  <c:v>9.0600311968070066</c:v>
                </c:pt>
                <c:pt idx="185" formatCode="0.00">
                  <c:v>8.8838470275060857</c:v>
                </c:pt>
                <c:pt idx="186" formatCode="0.00">
                  <c:v>7.8934436193272228</c:v>
                </c:pt>
                <c:pt idx="187" formatCode="0.00">
                  <c:v>7.3333248641405779</c:v>
                </c:pt>
                <c:pt idx="188" formatCode="0.00">
                  <c:v>5.9838441175102064</c:v>
                </c:pt>
                <c:pt idx="189" formatCode="0.00">
                  <c:v>5.9845769478809485</c:v>
                </c:pt>
                <c:pt idx="190" formatCode="0.00">
                  <c:v>5.3119903574251781</c:v>
                </c:pt>
                <c:pt idx="191" formatCode="0.00">
                  <c:v>5.1334909020463559</c:v>
                </c:pt>
                <c:pt idx="192" formatCode="0.00">
                  <c:v>5.2806969656407743</c:v>
                </c:pt>
                <c:pt idx="193" formatCode="0.00">
                  <c:v>5.2513661266065048</c:v>
                </c:pt>
                <c:pt idx="194" formatCode="0.00">
                  <c:v>5.5949212971170947</c:v>
                </c:pt>
                <c:pt idx="195" formatCode="0.00">
                  <c:v>5.0452033141574759</c:v>
                </c:pt>
                <c:pt idx="196" formatCode="0.00">
                  <c:v>4.1460643544384057</c:v>
                </c:pt>
                <c:pt idx="197" formatCode="0.00">
                  <c:v>3.4450682221534468</c:v>
                </c:pt>
                <c:pt idx="198" formatCode="0.00">
                  <c:v>3.1959299632241756</c:v>
                </c:pt>
                <c:pt idx="199" formatCode="0.00">
                  <c:v>3.1343059014247387</c:v>
                </c:pt>
                <c:pt idx="200" formatCode="0.00">
                  <c:v>3.5309405374995162</c:v>
                </c:pt>
                <c:pt idx="201" formatCode="0.00">
                  <c:v>3.7215130121811102</c:v>
                </c:pt>
                <c:pt idx="202" formatCode="0.00">
                  <c:v>4.3930879854543026</c:v>
                </c:pt>
                <c:pt idx="203" formatCode="0.00">
                  <c:v>4.4724675708959216</c:v>
                </c:pt>
                <c:pt idx="204" formatCode="0.00">
                  <c:v>4.529745985575806</c:v>
                </c:pt>
                <c:pt idx="205" formatCode="0.00">
                  <c:v>4.5012095947854824</c:v>
                </c:pt>
                <c:pt idx="206" formatCode="0.00">
                  <c:v>4.5507909715464478</c:v>
                </c:pt>
                <c:pt idx="207" formatCode="0.00">
                  <c:v>4.6364247562078464</c:v>
                </c:pt>
                <c:pt idx="208" formatCode="0.00">
                  <c:v>4.7123382227111099</c:v>
                </c:pt>
                <c:pt idx="209" formatCode="0.00">
                  <c:v>4.7825708036488113</c:v>
                </c:pt>
                <c:pt idx="210" formatCode="0.00">
                  <c:v>4.8659845085544884</c:v>
                </c:pt>
                <c:pt idx="211" formatCode="0.00">
                  <c:v>5.0427836334720144</c:v>
                </c:pt>
                <c:pt idx="212" formatCode="0.00">
                  <c:v>5.1311667508453063</c:v>
                </c:pt>
                <c:pt idx="213" formatCode="0.00">
                  <c:v>5.0769385449247917</c:v>
                </c:pt>
                <c:pt idx="214" formatCode="0.00">
                  <c:v>4.9764693683110428</c:v>
                </c:pt>
                <c:pt idx="215" formatCode="0.00">
                  <c:v>5.038011743248294</c:v>
                </c:pt>
                <c:pt idx="216" formatCode="0.00">
                  <c:v>4.7543352120699156</c:v>
                </c:pt>
                <c:pt idx="217" formatCode="0.00">
                  <c:v>4.8485000693176517</c:v>
                </c:pt>
                <c:pt idx="218" formatCode="0.00">
                  <c:v>4.9171236091269055</c:v>
                </c:pt>
                <c:pt idx="219" formatCode="0.00">
                  <c:v>4.8062369945347738</c:v>
                </c:pt>
                <c:pt idx="220" formatCode="0.00">
                  <c:v>4.926901787978899</c:v>
                </c:pt>
                <c:pt idx="221" formatCode="0.00">
                  <c:v>5.0523080235076456</c:v>
                </c:pt>
                <c:pt idx="222" formatCode="0.00">
                  <c:v>5.0384754787460961</c:v>
                </c:pt>
                <c:pt idx="223" formatCode="0.00">
                  <c:v>4.9208636466326006</c:v>
                </c:pt>
                <c:pt idx="224" formatCode="0.00">
                  <c:v>4.8081234959505892</c:v>
                </c:pt>
                <c:pt idx="225" formatCode="0.00">
                  <c:v>4.8962082731970558</c:v>
                </c:pt>
                <c:pt idx="226" formatCode="0.00">
                  <c:v>5.0645320208796862</c:v>
                </c:pt>
                <c:pt idx="227" formatCode="0.00">
                  <c:v>5.0433147623084817</c:v>
                </c:pt>
                <c:pt idx="228" formatCode="0.00">
                  <c:v>5.2056118049255806</c:v>
                </c:pt>
                <c:pt idx="229" formatCode="0.00">
                  <c:v>5.1292168462621301</c:v>
                </c:pt>
                <c:pt idx="230" formatCode="0.00">
                  <c:v>5.2019743072940994</c:v>
                </c:pt>
                <c:pt idx="231" formatCode="0.00">
                  <c:v>5.3851589073703021</c:v>
                </c:pt>
                <c:pt idx="232" formatCode="0.00">
                  <c:v>5.1484735790506164</c:v>
                </c:pt>
                <c:pt idx="233" formatCode="0.00">
                  <c:v>5.0093577126769873</c:v>
                </c:pt>
                <c:pt idx="234" formatCode="0.00">
                  <c:v>4.9513397477680021</c:v>
                </c:pt>
                <c:pt idx="235" formatCode="0.00">
                  <c:v>4.8468867341557198</c:v>
                </c:pt>
                <c:pt idx="236" formatCode="0.00">
                  <c:v>4.9287463232628781</c:v>
                </c:pt>
                <c:pt idx="237" formatCode="0.00">
                  <c:v>4.8841385850276531</c:v>
                </c:pt>
                <c:pt idx="238" formatCode="0.00">
                  <c:v>4.6057597423394103</c:v>
                </c:pt>
                <c:pt idx="239" formatCode="0.00">
                  <c:v>4.5946024876694525</c:v>
                </c:pt>
                <c:pt idx="240" formatCode="0.00">
                  <c:v>4.5058630870385086</c:v>
                </c:pt>
                <c:pt idx="241" formatCode="0.00">
                  <c:v>4.4409552297539623</c:v>
                </c:pt>
                <c:pt idx="242" formatCode="0.00">
                  <c:v>4.2830747485061549</c:v>
                </c:pt>
                <c:pt idx="243" formatCode="0.00">
                  <c:v>4.2865823534771197</c:v>
                </c:pt>
                <c:pt idx="244" formatCode="0.00">
                  <c:v>4.337435274031809</c:v>
                </c:pt>
                <c:pt idx="245" formatCode="0.00">
                  <c:v>4.1487054401487589</c:v>
                </c:pt>
                <c:pt idx="246" formatCode="0.00">
                  <c:v>4.1300245069304742</c:v>
                </c:pt>
                <c:pt idx="247" formatCode="0.00">
                  <c:v>4.2601554779382766</c:v>
                </c:pt>
                <c:pt idx="248" formatCode="0.00">
                  <c:v>4.2840529674872618</c:v>
                </c:pt>
                <c:pt idx="249" formatCode="0.00">
                  <c:v>4.3332785789074846</c:v>
                </c:pt>
                <c:pt idx="250" formatCode="0.00">
                  <c:v>4.3544752849169477</c:v>
                </c:pt>
                <c:pt idx="251" formatCode="0.00">
                  <c:v>4.324057742855314</c:v>
                </c:pt>
                <c:pt idx="252" formatCode="0.00">
                  <c:v>4.3731596710067544</c:v>
                </c:pt>
                <c:pt idx="253" formatCode="0.00">
                  <c:v>4.4001565854266067</c:v>
                </c:pt>
                <c:pt idx="254" formatCode="0.00">
                  <c:v>4.4306849097223377</c:v>
                </c:pt>
                <c:pt idx="255" formatCode="0.00">
                  <c:v>4.3729771059368927</c:v>
                </c:pt>
                <c:pt idx="256" formatCode="0.00">
                  <c:v>4.4757932859071481</c:v>
                </c:pt>
                <c:pt idx="257" formatCode="0.00">
                  <c:v>4.6800431556646149</c:v>
                </c:pt>
                <c:pt idx="258" formatCode="0.00">
                  <c:v>4.6944331194148647</c:v>
                </c:pt>
                <c:pt idx="259" formatCode="0.00">
                  <c:v>4.6812651597234467</c:v>
                </c:pt>
                <c:pt idx="260" formatCode="0.00">
                  <c:v>4.7131838385851887</c:v>
                </c:pt>
                <c:pt idx="261" formatCode="0.00">
                  <c:v>4.6259711087607958</c:v>
                </c:pt>
                <c:pt idx="262" formatCode="0.00">
                  <c:v>4.7458666788146919</c:v>
                </c:pt>
                <c:pt idx="263" formatCode="0.00">
                  <c:v>4.7909018454870056</c:v>
                </c:pt>
                <c:pt idx="264" formatCode="0.00">
                  <c:v>4.7514227312926538</c:v>
                </c:pt>
                <c:pt idx="265" formatCode="0.00">
                  <c:v>4.7849822775819062</c:v>
                </c:pt>
                <c:pt idx="266" formatCode="0.00">
                  <c:v>4.7552604806566201</c:v>
                </c:pt>
                <c:pt idx="267" formatCode="0.00">
                  <c:v>4.6343930557008139</c:v>
                </c:pt>
                <c:pt idx="268" formatCode="0.00">
                  <c:v>4.7715458773165853</c:v>
                </c:pt>
                <c:pt idx="269" formatCode="0.00">
                  <c:v>4.7858369605575435</c:v>
                </c:pt>
                <c:pt idx="270" formatCode="0.00">
                  <c:v>4.9268500409549443</c:v>
                </c:pt>
                <c:pt idx="271" formatCode="0.00">
                  <c:v>4.8617372345567622</c:v>
                </c:pt>
                <c:pt idx="272" formatCode="0.00">
                  <c:v>4.7133385362182922</c:v>
                </c:pt>
                <c:pt idx="273" formatCode="0.00">
                  <c:v>4.760278875285473</c:v>
                </c:pt>
                <c:pt idx="274" formatCode="0.00">
                  <c:v>4.7990089477143671</c:v>
                </c:pt>
                <c:pt idx="275" formatCode="0.00">
                  <c:v>4.8388249332582678</c:v>
                </c:pt>
                <c:pt idx="276" formatCode="0.00">
                  <c:v>4.9305897590585346</c:v>
                </c:pt>
                <c:pt idx="277" formatCode="0.00">
                  <c:v>4.9081882568582147</c:v>
                </c:pt>
                <c:pt idx="278" formatCode="0.00">
                  <c:v>5.192065374816579</c:v>
                </c:pt>
                <c:pt idx="279" formatCode="0.00">
                  <c:v>5.2696102007722123</c:v>
                </c:pt>
                <c:pt idx="280" formatCode="0.00">
                  <c:v>5.1653276571326012</c:v>
                </c:pt>
                <c:pt idx="281" formatCode="0.00">
                  <c:v>5.3665303653910978</c:v>
                </c:pt>
                <c:pt idx="282" formatCode="0.00">
                  <c:v>5.519971561371384</c:v>
                </c:pt>
                <c:pt idx="283" formatCode="0.00">
                  <c:v>5.8389945250040487</c:v>
                </c:pt>
                <c:pt idx="284" formatCode="0.00">
                  <c:v>5.9089743409959983</c:v>
                </c:pt>
                <c:pt idx="285" formatCode="0.00">
                  <c:v>5.8112635298571469</c:v>
                </c:pt>
                <c:pt idx="286" formatCode="0.00">
                  <c:v>5.698912776547993</c:v>
                </c:pt>
                <c:pt idx="287" formatCode="0.00">
                  <c:v>5.6222942133897336</c:v>
                </c:pt>
                <c:pt idx="288" formatCode="0.00">
                  <c:v>5.7911555937342207</c:v>
                </c:pt>
                <c:pt idx="289" formatCode="0.00">
                  <c:v>5.8501336373243396</c:v>
                </c:pt>
                <c:pt idx="290" formatCode="0.00">
                  <c:v>5.4813184516275149</c:v>
                </c:pt>
                <c:pt idx="291" formatCode="0.00">
                  <c:v>5.3011250110433839</c:v>
                </c:pt>
                <c:pt idx="292" formatCode="0.00">
                  <c:v>5.228307391783904</c:v>
                </c:pt>
                <c:pt idx="293" formatCode="0.00">
                  <c:v>4.9530999986333812</c:v>
                </c:pt>
                <c:pt idx="294" formatCode="0.00">
                  <c:v>4.7134150472737835</c:v>
                </c:pt>
                <c:pt idx="295" formatCode="0.00">
                  <c:v>4.4149511315079826</c:v>
                </c:pt>
                <c:pt idx="296" formatCode="0.00">
                  <c:v>4.4943207657486495</c:v>
                </c:pt>
                <c:pt idx="297" formatCode="0.00">
                  <c:v>4.3115884259489423</c:v>
                </c:pt>
                <c:pt idx="298" formatCode="0.00">
                  <c:v>4.3300645641859425</c:v>
                </c:pt>
                <c:pt idx="299" formatCode="0.00">
                  <c:v>4.3484590668911194</c:v>
                </c:pt>
                <c:pt idx="300" formatCode="0.00">
                  <c:v>4.0455946789973662</c:v>
                </c:pt>
                <c:pt idx="301" formatCode="0.00">
                  <c:v>3.8727805528892878</c:v>
                </c:pt>
                <c:pt idx="302" formatCode="0.00">
                  <c:v>3.9939372644829163</c:v>
                </c:pt>
                <c:pt idx="303" formatCode="0.00">
                  <c:v>4.0802167234328168</c:v>
                </c:pt>
                <c:pt idx="304" formatCode="0.00">
                  <c:v>3.9388177687750492</c:v>
                </c:pt>
                <c:pt idx="305" formatCode="0.00">
                  <c:v>3.877732488195762</c:v>
                </c:pt>
                <c:pt idx="306" formatCode="0.00">
                  <c:v>3.7879511545914069</c:v>
                </c:pt>
                <c:pt idx="307" formatCode="0.00">
                  <c:v>3.6203133531393705</c:v>
                </c:pt>
                <c:pt idx="308" formatCode="0.00">
                  <c:v>3.3230685824943151</c:v>
                </c:pt>
                <c:pt idx="309" formatCode="0.00">
                  <c:v>3.6433743801060015</c:v>
                </c:pt>
                <c:pt idx="310" formatCode="0.00">
                  <c:v>3.6125660457995368</c:v>
                </c:pt>
                <c:pt idx="311" formatCode="0.00">
                  <c:v>3.4961791643929541</c:v>
                </c:pt>
                <c:pt idx="312" formatCode="0.00">
                  <c:v>3.5401253279031542</c:v>
                </c:pt>
                <c:pt idx="313" formatCode="0.00">
                  <c:v>3.5800606510002053</c:v>
                </c:pt>
                <c:pt idx="314" formatCode="0.00">
                  <c:v>3.3484830135895649</c:v>
                </c:pt>
                <c:pt idx="315" formatCode="0.00">
                  <c:v>3.3847468581824636</c:v>
                </c:pt>
                <c:pt idx="316" formatCode="0.00">
                  <c:v>3.525724724469681</c:v>
                </c:pt>
                <c:pt idx="317" formatCode="0.00">
                  <c:v>3.5576244520274525</c:v>
                </c:pt>
                <c:pt idx="318" formatCode="0.00">
                  <c:v>3.4037159130394734</c:v>
                </c:pt>
                <c:pt idx="319" formatCode="0.00">
                  <c:v>3.5238956305766012</c:v>
                </c:pt>
                <c:pt idx="320" formatCode="0.00">
                  <c:v>3.6540137850725296</c:v>
                </c:pt>
                <c:pt idx="321" formatCode="0.00">
                  <c:v>3.410493115729607</c:v>
                </c:pt>
                <c:pt idx="322" formatCode="0.00">
                  <c:v>3.43395565219895</c:v>
                </c:pt>
                <c:pt idx="323" formatCode="0.00">
                  <c:v>3.5605488750303893</c:v>
                </c:pt>
                <c:pt idx="324" formatCode="0.00">
                  <c:v>3.402425903092543</c:v>
                </c:pt>
                <c:pt idx="325" formatCode="0.00">
                  <c:v>3.41579776145291</c:v>
                </c:pt>
                <c:pt idx="326" formatCode="0.00">
                  <c:v>3.5545699608929393</c:v>
                </c:pt>
                <c:pt idx="327" formatCode="0.00">
                  <c:v>3.3677229898634087</c:v>
                </c:pt>
                <c:pt idx="328" formatCode="0.00">
                  <c:v>3.2257725922295588</c:v>
                </c:pt>
                <c:pt idx="329" formatCode="0.00">
                  <c:v>3.1975472142131922</c:v>
                </c:pt>
                <c:pt idx="330" formatCode="0.00">
                  <c:v>3.2568542400158274</c:v>
                </c:pt>
                <c:pt idx="331" formatCode="0.00">
                  <c:v>3.2882695560534803</c:v>
                </c:pt>
                <c:pt idx="332" formatCode="0.00">
                  <c:v>3.2649238481221365</c:v>
                </c:pt>
                <c:pt idx="333" formatCode="0.00">
                  <c:v>3.1795591931657485</c:v>
                </c:pt>
                <c:pt idx="334" formatCode="0.00">
                  <c:v>3.1329218821331439</c:v>
                </c:pt>
                <c:pt idx="335" formatCode="0.00">
                  <c:v>2.8962125257658844</c:v>
                </c:pt>
                <c:pt idx="336" formatCode="0.00">
                  <c:v>3.1283127642920627</c:v>
                </c:pt>
                <c:pt idx="337" formatCode="0.00">
                  <c:v>3.1361971185426718</c:v>
                </c:pt>
                <c:pt idx="338" formatCode="0.00">
                  <c:v>3.1781833786084013</c:v>
                </c:pt>
                <c:pt idx="339" formatCode="0.00">
                  <c:v>3.3072817073582561</c:v>
                </c:pt>
                <c:pt idx="340" formatCode="0.00">
                  <c:v>3.3645936046790226</c:v>
                </c:pt>
                <c:pt idx="341" formatCode="0.00">
                  <c:v>3.3357676281837945</c:v>
                </c:pt>
                <c:pt idx="342" formatCode="0.00">
                  <c:v>3.3896520641763406</c:v>
                </c:pt>
                <c:pt idx="343" formatCode="0.00">
                  <c:v>3.2549290777182716</c:v>
                </c:pt>
                <c:pt idx="344" formatCode="0.00">
                  <c:v>3.3466309570200803</c:v>
                </c:pt>
                <c:pt idx="345" formatCode="0.00">
                  <c:v>3.452025045023599</c:v>
                </c:pt>
                <c:pt idx="346" formatCode="0.00">
                  <c:v>3.3728022497793386</c:v>
                </c:pt>
                <c:pt idx="347" formatCode="0.00">
                  <c:v>3.3838841815629239</c:v>
                </c:pt>
                <c:pt idx="348" formatCode="0.00">
                  <c:v>3.2854385904248939</c:v>
                </c:pt>
                <c:pt idx="349" formatCode="0.00">
                  <c:v>3.2533640282310428</c:v>
                </c:pt>
                <c:pt idx="350" formatCode="0.00">
                  <c:v>3.1302857613969781</c:v>
                </c:pt>
                <c:pt idx="351" formatCode="0.00">
                  <c:v>3.0163998774297207</c:v>
                </c:pt>
                <c:pt idx="352" formatCode="0.00">
                  <c:v>3.0462721818802274</c:v>
                </c:pt>
                <c:pt idx="353" formatCode="0.00">
                  <c:v>3.0613205043339198</c:v>
                </c:pt>
                <c:pt idx="354" formatCode="0.00">
                  <c:v>3.0769702290312395</c:v>
                </c:pt>
                <c:pt idx="355" formatCode="0.00">
                  <c:v>3.0906853854558047</c:v>
                </c:pt>
                <c:pt idx="356" formatCode="0.00">
                  <c:v>3.0432025558403852</c:v>
                </c:pt>
                <c:pt idx="357" formatCode="0.00">
                  <c:v>2.961061110913632</c:v>
                </c:pt>
                <c:pt idx="358" formatCode="0.00">
                  <c:v>2.9983414113397888</c:v>
                </c:pt>
                <c:pt idx="359" formatCode="0.00">
                  <c:v>3.074903374204796</c:v>
                </c:pt>
                <c:pt idx="360" formatCode="0.00">
                  <c:v>2.8923055494648242</c:v>
                </c:pt>
                <c:pt idx="361" formatCode="0.00">
                  <c:v>2.7631520171561563</c:v>
                </c:pt>
                <c:pt idx="362" formatCode="0.00">
                  <c:v>2.8492905141412228</c:v>
                </c:pt>
                <c:pt idx="363" formatCode="0.00">
                  <c:v>2.8919185805708292</c:v>
                </c:pt>
                <c:pt idx="364" formatCode="0.00">
                  <c:v>2.8583048635800745</c:v>
                </c:pt>
                <c:pt idx="365" formatCode="0.00">
                  <c:v>2.8201545733173905</c:v>
                </c:pt>
                <c:pt idx="366" formatCode="0.00">
                  <c:v>2.7417803424279796</c:v>
                </c:pt>
                <c:pt idx="367" formatCode="0.00">
                  <c:v>2.6300270135955595</c:v>
                </c:pt>
                <c:pt idx="368" formatCode="0.00">
                  <c:v>2.533654206323277</c:v>
                </c:pt>
                <c:pt idx="369" formatCode="0.00">
                  <c:v>2.6072205014685323</c:v>
                </c:pt>
                <c:pt idx="370" formatCode="0.00">
                  <c:v>2.5166627512941853</c:v>
                </c:pt>
                <c:pt idx="371" formatCode="0.00">
                  <c:v>2.568432004615584</c:v>
                </c:pt>
                <c:pt idx="372" formatCode="0.00">
                  <c:v>2.6485391948915193</c:v>
                </c:pt>
                <c:pt idx="373" formatCode="0.00">
                  <c:v>2.6989122377546249</c:v>
                </c:pt>
                <c:pt idx="374" formatCode="0.00">
                  <c:v>2.6551155441349783</c:v>
                </c:pt>
                <c:pt idx="375" formatCode="0.00">
                  <c:v>2.6228667468946254</c:v>
                </c:pt>
                <c:pt idx="376" formatCode="0.00">
                  <c:v>2.6017463866793156</c:v>
                </c:pt>
                <c:pt idx="377" formatCode="0.00">
                  <c:v>2.5682454778176655</c:v>
                </c:pt>
                <c:pt idx="378" formatCode="0.00">
                  <c:v>2.5778789138051428</c:v>
                </c:pt>
                <c:pt idx="379" formatCode="0.00">
                  <c:v>2.6275927257251919</c:v>
                </c:pt>
                <c:pt idx="380" formatCode="0.00">
                  <c:v>2.6007093935999537</c:v>
                </c:pt>
                <c:pt idx="381" formatCode="0.00">
                  <c:v>2.5174812903141941</c:v>
                </c:pt>
                <c:pt idx="382" formatCode="0.00">
                  <c:v>2.5218833765387139</c:v>
                </c:pt>
                <c:pt idx="383" formatCode="0.00">
                  <c:v>2.4484669999999999</c:v>
                </c:pt>
                <c:pt idx="384" formatCode="0.00">
                  <c:v>2.379766</c:v>
                </c:pt>
                <c:pt idx="385" formatCode="0.00">
                  <c:v>2.3132649999999999</c:v>
                </c:pt>
                <c:pt idx="386" formatCode="0.00">
                  <c:v>2.2364999999999999</c:v>
                </c:pt>
                <c:pt idx="387" formatCode="0.00">
                  <c:v>2.2237239999999998</c:v>
                </c:pt>
                <c:pt idx="388" formatCode="0.00">
                  <c:v>2.1531189999999998</c:v>
                </c:pt>
                <c:pt idx="389" formatCode="0.00">
                  <c:v>2.0965760000000002</c:v>
                </c:pt>
                <c:pt idx="390" formatCode="0.00">
                  <c:v>2.1165539999999998</c:v>
                </c:pt>
                <c:pt idx="391" formatCode="0.00">
                  <c:v>2.0897929999999998</c:v>
                </c:pt>
                <c:pt idx="392" formatCode="0.00">
                  <c:v>2.0511949999999999</c:v>
                </c:pt>
                <c:pt idx="393" formatCode="0.00">
                  <c:v>2.0382959999999999</c:v>
                </c:pt>
                <c:pt idx="394" formatCode="0.00">
                  <c:v>2.1471990000000001</c:v>
                </c:pt>
                <c:pt idx="395" formatCode="0.00">
                  <c:v>2.175497</c:v>
                </c:pt>
                <c:pt idx="396" formatCode="0.00">
                  <c:v>2.3452470000000001</c:v>
                </c:pt>
                <c:pt idx="397" formatCode="0.00">
                  <c:v>2.372128</c:v>
                </c:pt>
                <c:pt idx="398" formatCode="0.00">
                  <c:v>2.4897200000000002</c:v>
                </c:pt>
                <c:pt idx="399" formatCode="0.00">
                  <c:v>2.4225409999999998</c:v>
                </c:pt>
                <c:pt idx="400" formatCode="0.00">
                  <c:v>2.5620630000000002</c:v>
                </c:pt>
                <c:pt idx="401" formatCode="0.00">
                  <c:v>2.6752229999999999</c:v>
                </c:pt>
                <c:pt idx="402" formatCode="0.00">
                  <c:v>2.715757</c:v>
                </c:pt>
                <c:pt idx="403" formatCode="0.00">
                  <c:v>2.8871129999999998</c:v>
                </c:pt>
                <c:pt idx="404" formatCode="0.00">
                  <c:v>2.904204</c:v>
                </c:pt>
                <c:pt idx="405" formatCode="0.00">
                  <c:v>2.9229759999999998</c:v>
                </c:pt>
                <c:pt idx="406" formatCode="0.00">
                  <c:v>2.8691599999999999</c:v>
                </c:pt>
                <c:pt idx="407" formatCode="0.00">
                  <c:v>2.956566</c:v>
                </c:pt>
                <c:pt idx="408" formatCode="0.00">
                  <c:v>2.8820809999999999</c:v>
                </c:pt>
                <c:pt idx="409" formatCode="0.00">
                  <c:v>2.97471</c:v>
                </c:pt>
                <c:pt idx="410" formatCode="0.00">
                  <c:v>2.9591409999999998</c:v>
                </c:pt>
                <c:pt idx="411" formatCode="0.00">
                  <c:v>3.0895190000000001</c:v>
                </c:pt>
                <c:pt idx="412" formatCode="0.00">
                  <c:v>3.0726710000000002</c:v>
                </c:pt>
                <c:pt idx="413" formatCode="0.00">
                  <c:v>3.2022590000000002</c:v>
                </c:pt>
                <c:pt idx="414" formatCode="0.00">
                  <c:v>3.211954</c:v>
                </c:pt>
                <c:pt idx="415" formatCode="0.00">
                  <c:v>3.2621889999999998</c:v>
                </c:pt>
                <c:pt idx="416" formatCode="0.00">
                  <c:v>3.4076499999999998</c:v>
                </c:pt>
                <c:pt idx="417" formatCode="0.00">
                  <c:v>3.4975830000000001</c:v>
                </c:pt>
                <c:pt idx="418" formatCode="0.00">
                  <c:v>3.6160969999999999</c:v>
                </c:pt>
                <c:pt idx="419" formatCode="0.00">
                  <c:v>3.586541</c:v>
                </c:pt>
                <c:pt idx="420" formatCode="0.00">
                  <c:v>3.5620440000000002</c:v>
                </c:pt>
                <c:pt idx="421" formatCode="0.00">
                  <c:v>3.5594809999999999</c:v>
                </c:pt>
                <c:pt idx="422" formatCode="0.00">
                  <c:v>3.4850029999999999</c:v>
                </c:pt>
                <c:pt idx="423" formatCode="0.00">
                  <c:v>3.4637889999999998</c:v>
                </c:pt>
                <c:pt idx="424" formatCode="0.00">
                  <c:v>3.4534790000000002</c:v>
                </c:pt>
                <c:pt idx="425" formatCode="0.00">
                  <c:v>3.24926</c:v>
                </c:pt>
                <c:pt idx="426" formatCode="0.00">
                  <c:v>3.2639010000000002</c:v>
                </c:pt>
                <c:pt idx="427" formatCode="0.00">
                  <c:v>3.152936</c:v>
                </c:pt>
                <c:pt idx="428" formatCode="0.00">
                  <c:v>3.0210029999999999</c:v>
                </c:pt>
                <c:pt idx="429" formatCode="0.00">
                  <c:v>2.9531179999999999</c:v>
                </c:pt>
                <c:pt idx="430" formatCode="0.00">
                  <c:v>2.824662</c:v>
                </c:pt>
                <c:pt idx="431" formatCode="0.00">
                  <c:v>2.8014800000000002</c:v>
                </c:pt>
                <c:pt idx="432" formatCode="0.00">
                  <c:v>2.7831700000000001</c:v>
                </c:pt>
                <c:pt idx="433" formatCode="0.00">
                  <c:v>2.6812200000000002</c:v>
                </c:pt>
                <c:pt idx="434" formatCode="0.00">
                  <c:v>2.610646</c:v>
                </c:pt>
                <c:pt idx="435" formatCode="0.00">
                  <c:v>2.4539390000000001</c:v>
                </c:pt>
                <c:pt idx="436" formatCode="0.00">
                  <c:v>2.342012</c:v>
                </c:pt>
                <c:pt idx="437" formatCode="0.00">
                  <c:v>2.2713169999999998</c:v>
                </c:pt>
                <c:pt idx="438" formatCode="0.00">
                  <c:v>2.2426110000000001</c:v>
                </c:pt>
                <c:pt idx="439" formatCode="0.00">
                  <c:v>2.1590449999999999</c:v>
                </c:pt>
                <c:pt idx="440" formatCode="0.00">
                  <c:v>2.1917960000000001</c:v>
                </c:pt>
                <c:pt idx="441" formatCode="0.00">
                  <c:v>2.1531120000000001</c:v>
                </c:pt>
                <c:pt idx="442" formatCode="0.00">
                  <c:v>2.0234869999999998</c:v>
                </c:pt>
                <c:pt idx="443" formatCode="0.00">
                  <c:v>1.9706760000000001</c:v>
                </c:pt>
                <c:pt idx="444" formatCode="0.00">
                  <c:v>1.964156</c:v>
                </c:pt>
                <c:pt idx="445" formatCode="0.00">
                  <c:v>2.0416129999999999</c:v>
                </c:pt>
                <c:pt idx="446" formatCode="0.00">
                  <c:v>2.1435270000000002</c:v>
                </c:pt>
                <c:pt idx="447" formatCode="0.00">
                  <c:v>2.244615</c:v>
                </c:pt>
                <c:pt idx="448" formatCode="0.00">
                  <c:v>2.2487599999999999</c:v>
                </c:pt>
                <c:pt idx="449" formatCode="0.00">
                  <c:v>2.3821319999999999</c:v>
                </c:pt>
                <c:pt idx="450" formatCode="0.00">
                  <c:v>2.2438310000000001</c:v>
                </c:pt>
                <c:pt idx="451" formatCode="0.00">
                  <c:v>2.2429640000000002</c:v>
                </c:pt>
                <c:pt idx="452" formatCode="0.00">
                  <c:v>2.2353580000000002</c:v>
                </c:pt>
                <c:pt idx="453" formatCode="0.00">
                  <c:v>2.2400549999999999</c:v>
                </c:pt>
                <c:pt idx="454" formatCode="0.00">
                  <c:v>2.3018670000000001</c:v>
                </c:pt>
                <c:pt idx="455" formatCode="0.00">
                  <c:v>2.3091620000000002</c:v>
                </c:pt>
                <c:pt idx="456" formatCode="0.00">
                  <c:v>2.3052649999999999</c:v>
                </c:pt>
                <c:pt idx="457" formatCode="0.00">
                  <c:v>2.2879779999999998</c:v>
                </c:pt>
                <c:pt idx="458" formatCode="0.00">
                  <c:v>2.2333050000000001</c:v>
                </c:pt>
                <c:pt idx="459" formatCode="0.00">
                  <c:v>2.2618770000000001</c:v>
                </c:pt>
                <c:pt idx="460" formatCode="0.00">
                  <c:v>2.3409170000000001</c:v>
                </c:pt>
                <c:pt idx="461" formatCode="0.00">
                  <c:v>2.2009249999999998</c:v>
                </c:pt>
                <c:pt idx="462" formatCode="0.00">
                  <c:v>2.3217970000000001</c:v>
                </c:pt>
                <c:pt idx="463" formatCode="0.00">
                  <c:v>2.2787839999999999</c:v>
                </c:pt>
                <c:pt idx="464" formatCode="0.00">
                  <c:v>2.329005</c:v>
                </c:pt>
                <c:pt idx="465" formatCode="0.00">
                  <c:v>2.3227410000000002</c:v>
                </c:pt>
                <c:pt idx="466" formatCode="0.00">
                  <c:v>2.418485</c:v>
                </c:pt>
                <c:pt idx="467" formatCode="0.00">
                  <c:v>2.468648</c:v>
                </c:pt>
                <c:pt idx="468" formatCode="0.00">
                  <c:v>2.4438089999999999</c:v>
                </c:pt>
                <c:pt idx="469" formatCode="0.00">
                  <c:v>2.4937299999999998</c:v>
                </c:pt>
                <c:pt idx="470" formatCode="0.00">
                  <c:v>2.578417</c:v>
                </c:pt>
                <c:pt idx="471" formatCode="0.00">
                  <c:v>2.679557</c:v>
                </c:pt>
                <c:pt idx="472" formatCode="0.00">
                  <c:v>2.7967050000000002</c:v>
                </c:pt>
                <c:pt idx="473" formatCode="0.00">
                  <c:v>3.009563</c:v>
                </c:pt>
                <c:pt idx="474" formatCode="0.00">
                  <c:v>3.0778569999999998</c:v>
                </c:pt>
                <c:pt idx="475" formatCode="0.00">
                  <c:v>3.2156129999999998</c:v>
                </c:pt>
                <c:pt idx="476" formatCode="0.00">
                  <c:v>3.2125010000000001</c:v>
                </c:pt>
                <c:pt idx="477" formatCode="0.00">
                  <c:v>3.2795570000000001</c:v>
                </c:pt>
                <c:pt idx="478" formatCode="0.00">
                  <c:v>3.1629320000000001</c:v>
                </c:pt>
                <c:pt idx="479" formatCode="0.00">
                  <c:v>3.1129090000000001</c:v>
                </c:pt>
                <c:pt idx="480" formatCode="0.00">
                  <c:v>3.1514859999999998</c:v>
                </c:pt>
                <c:pt idx="481" formatCode="0.00">
                  <c:v>3.1650559999999999</c:v>
                </c:pt>
                <c:pt idx="482" formatCode="0.00">
                  <c:v>3.111739</c:v>
                </c:pt>
                <c:pt idx="483" formatCode="0.00">
                  <c:v>2.9496169999999999</c:v>
                </c:pt>
                <c:pt idx="484" formatCode="0.00">
                  <c:v>2.7686769999999998</c:v>
                </c:pt>
                <c:pt idx="485" formatCode="0.00">
                  <c:v>2.638782</c:v>
                </c:pt>
                <c:pt idx="486" formatCode="0.00">
                  <c:v>2.531577</c:v>
                </c:pt>
                <c:pt idx="487" formatCode="0.00">
                  <c:v>2.4564530000000002</c:v>
                </c:pt>
                <c:pt idx="488" formatCode="0.00">
                  <c:v>2.4727549999999998</c:v>
                </c:pt>
                <c:pt idx="489" formatCode="0.00">
                  <c:v>2.4993759999999998</c:v>
                </c:pt>
                <c:pt idx="490" formatCode="0.00">
                  <c:v>2.6549480000000001</c:v>
                </c:pt>
                <c:pt idx="491" formatCode="0.00">
                  <c:v>2.703125</c:v>
                </c:pt>
                <c:pt idx="492" formatCode="0.00">
                  <c:v>2.7393519999999998</c:v>
                </c:pt>
                <c:pt idx="493" formatCode="0.00">
                  <c:v>2.6155110000000001</c:v>
                </c:pt>
                <c:pt idx="494" formatCode="0.00">
                  <c:v>2.6877330000000001</c:v>
                </c:pt>
                <c:pt idx="495" formatCode="0.00">
                  <c:v>2.7279390000000001</c:v>
                </c:pt>
                <c:pt idx="496" formatCode="0.00">
                  <c:v>2.7882099999999999</c:v>
                </c:pt>
                <c:pt idx="497" formatCode="0.00">
                  <c:v>2.9293689999999999</c:v>
                </c:pt>
                <c:pt idx="498" formatCode="0.00">
                  <c:v>3.0032760000000001</c:v>
                </c:pt>
                <c:pt idx="499" formatCode="0.00">
                  <c:v>3.0739830000000001</c:v>
                </c:pt>
                <c:pt idx="500" formatCode="0.00">
                  <c:v>3.0667819999999999</c:v>
                </c:pt>
                <c:pt idx="501" formatCode="0.00">
                  <c:v>2.9185089999999998</c:v>
                </c:pt>
                <c:pt idx="502" formatCode="0.00">
                  <c:v>2.7706710000000001</c:v>
                </c:pt>
                <c:pt idx="503" formatCode="0.00">
                  <c:v>2.6226280000000002</c:v>
                </c:pt>
                <c:pt idx="504" formatCode="0.00">
                  <c:v>2.5487160000000002</c:v>
                </c:pt>
                <c:pt idx="505" formatCode="0.00">
                  <c:v>2.5553889999999999</c:v>
                </c:pt>
                <c:pt idx="506" formatCode="0.00">
                  <c:v>2.4451610000000001</c:v>
                </c:pt>
                <c:pt idx="507" formatCode="0.00">
                  <c:v>2.3648289999999998</c:v>
                </c:pt>
                <c:pt idx="508" formatCode="0.00">
                  <c:v>2.2755869999999998</c:v>
                </c:pt>
                <c:pt idx="509" formatCode="0.00">
                  <c:v>2.0859860000000001</c:v>
                </c:pt>
                <c:pt idx="510" formatCode="0.00">
                  <c:v>1.91252</c:v>
                </c:pt>
                <c:pt idx="511" formatCode="0.00">
                  <c:v>1.7536560000000001</c:v>
                </c:pt>
                <c:pt idx="512" formatCode="0.00">
                  <c:v>1.6064700000000001</c:v>
                </c:pt>
                <c:pt idx="513" formatCode="0.00">
                  <c:v>1.50996</c:v>
                </c:pt>
                <c:pt idx="514" formatCode="0.00">
                  <c:v>1.3690089999999999</c:v>
                </c:pt>
                <c:pt idx="515" formatCode="0.00">
                  <c:v>1.3181750000000001</c:v>
                </c:pt>
                <c:pt idx="516" formatCode="0.00">
                  <c:v>1.1576519999999999</c:v>
                </c:pt>
                <c:pt idx="517" formatCode="0.00">
                  <c:v>1.0394810000000001</c:v>
                </c:pt>
                <c:pt idx="518" formatCode="0.00">
                  <c:v>0.92013069999999997</c:v>
                </c:pt>
                <c:pt idx="519" formatCode="0.00">
                  <c:v>0.87179580000000001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'CPI data'!$C$3</c:f>
              <c:strCache>
                <c:ptCount val="1"/>
              </c:strCache>
            </c:strRef>
          </c:tx>
          <c:marker>
            <c:symbol val="none"/>
          </c:marker>
          <c:cat>
            <c:numRef>
              <c:f>Data!$A$2:$A$521</c:f>
              <c:numCache>
                <c:formatCode>m/d/yyyy</c:formatCode>
                <c:ptCount val="520"/>
                <c:pt idx="0">
                  <c:v>24473</c:v>
                </c:pt>
                <c:pt idx="1">
                  <c:v>24504</c:v>
                </c:pt>
                <c:pt idx="2">
                  <c:v>24532</c:v>
                </c:pt>
                <c:pt idx="3">
                  <c:v>24563</c:v>
                </c:pt>
                <c:pt idx="4">
                  <c:v>24593</c:v>
                </c:pt>
                <c:pt idx="5">
                  <c:v>24624</c:v>
                </c:pt>
                <c:pt idx="6">
                  <c:v>24654</c:v>
                </c:pt>
                <c:pt idx="7">
                  <c:v>24685</c:v>
                </c:pt>
                <c:pt idx="8">
                  <c:v>24716</c:v>
                </c:pt>
                <c:pt idx="9">
                  <c:v>24746</c:v>
                </c:pt>
                <c:pt idx="10">
                  <c:v>24777</c:v>
                </c:pt>
                <c:pt idx="11">
                  <c:v>24807</c:v>
                </c:pt>
                <c:pt idx="12">
                  <c:v>24838</c:v>
                </c:pt>
                <c:pt idx="13">
                  <c:v>24869</c:v>
                </c:pt>
                <c:pt idx="14">
                  <c:v>24898</c:v>
                </c:pt>
                <c:pt idx="15">
                  <c:v>24929</c:v>
                </c:pt>
                <c:pt idx="16">
                  <c:v>24959</c:v>
                </c:pt>
                <c:pt idx="17">
                  <c:v>24990</c:v>
                </c:pt>
                <c:pt idx="18">
                  <c:v>25020</c:v>
                </c:pt>
                <c:pt idx="19">
                  <c:v>25051</c:v>
                </c:pt>
                <c:pt idx="20">
                  <c:v>25082</c:v>
                </c:pt>
                <c:pt idx="21">
                  <c:v>25112</c:v>
                </c:pt>
                <c:pt idx="22">
                  <c:v>25143</c:v>
                </c:pt>
                <c:pt idx="23">
                  <c:v>25173</c:v>
                </c:pt>
                <c:pt idx="24">
                  <c:v>25204</c:v>
                </c:pt>
                <c:pt idx="25">
                  <c:v>25235</c:v>
                </c:pt>
                <c:pt idx="26">
                  <c:v>25263</c:v>
                </c:pt>
                <c:pt idx="27">
                  <c:v>25294</c:v>
                </c:pt>
                <c:pt idx="28">
                  <c:v>25324</c:v>
                </c:pt>
                <c:pt idx="29">
                  <c:v>25355</c:v>
                </c:pt>
                <c:pt idx="30">
                  <c:v>25385</c:v>
                </c:pt>
                <c:pt idx="31">
                  <c:v>25416</c:v>
                </c:pt>
                <c:pt idx="32">
                  <c:v>25447</c:v>
                </c:pt>
                <c:pt idx="33">
                  <c:v>25477</c:v>
                </c:pt>
                <c:pt idx="34">
                  <c:v>25508</c:v>
                </c:pt>
                <c:pt idx="35">
                  <c:v>25538</c:v>
                </c:pt>
                <c:pt idx="36">
                  <c:v>25569</c:v>
                </c:pt>
                <c:pt idx="37">
                  <c:v>25600</c:v>
                </c:pt>
                <c:pt idx="38">
                  <c:v>25628</c:v>
                </c:pt>
                <c:pt idx="39">
                  <c:v>25659</c:v>
                </c:pt>
                <c:pt idx="40">
                  <c:v>25689</c:v>
                </c:pt>
                <c:pt idx="41">
                  <c:v>25720</c:v>
                </c:pt>
                <c:pt idx="42">
                  <c:v>25750</c:v>
                </c:pt>
                <c:pt idx="43">
                  <c:v>25781</c:v>
                </c:pt>
                <c:pt idx="44">
                  <c:v>25812</c:v>
                </c:pt>
                <c:pt idx="45">
                  <c:v>25842</c:v>
                </c:pt>
                <c:pt idx="46">
                  <c:v>25873</c:v>
                </c:pt>
                <c:pt idx="47">
                  <c:v>25903</c:v>
                </c:pt>
                <c:pt idx="48">
                  <c:v>25934</c:v>
                </c:pt>
                <c:pt idx="49">
                  <c:v>25965</c:v>
                </c:pt>
                <c:pt idx="50">
                  <c:v>25993</c:v>
                </c:pt>
                <c:pt idx="51">
                  <c:v>26024</c:v>
                </c:pt>
                <c:pt idx="52">
                  <c:v>26054</c:v>
                </c:pt>
                <c:pt idx="53">
                  <c:v>26085</c:v>
                </c:pt>
                <c:pt idx="54">
                  <c:v>26115</c:v>
                </c:pt>
                <c:pt idx="55">
                  <c:v>26146</c:v>
                </c:pt>
                <c:pt idx="56">
                  <c:v>26177</c:v>
                </c:pt>
                <c:pt idx="57">
                  <c:v>26207</c:v>
                </c:pt>
                <c:pt idx="58">
                  <c:v>26238</c:v>
                </c:pt>
                <c:pt idx="59">
                  <c:v>26268</c:v>
                </c:pt>
                <c:pt idx="60">
                  <c:v>26299</c:v>
                </c:pt>
                <c:pt idx="61">
                  <c:v>26330</c:v>
                </c:pt>
                <c:pt idx="62">
                  <c:v>26359</c:v>
                </c:pt>
                <c:pt idx="63">
                  <c:v>26390</c:v>
                </c:pt>
                <c:pt idx="64">
                  <c:v>26420</c:v>
                </c:pt>
                <c:pt idx="65">
                  <c:v>26451</c:v>
                </c:pt>
                <c:pt idx="66">
                  <c:v>26481</c:v>
                </c:pt>
                <c:pt idx="67">
                  <c:v>26512</c:v>
                </c:pt>
                <c:pt idx="68">
                  <c:v>26543</c:v>
                </c:pt>
                <c:pt idx="69">
                  <c:v>26573</c:v>
                </c:pt>
                <c:pt idx="70">
                  <c:v>26604</c:v>
                </c:pt>
                <c:pt idx="71">
                  <c:v>26634</c:v>
                </c:pt>
                <c:pt idx="72">
                  <c:v>26665</c:v>
                </c:pt>
                <c:pt idx="73">
                  <c:v>26696</c:v>
                </c:pt>
                <c:pt idx="74">
                  <c:v>26724</c:v>
                </c:pt>
                <c:pt idx="75">
                  <c:v>26755</c:v>
                </c:pt>
                <c:pt idx="76">
                  <c:v>26785</c:v>
                </c:pt>
                <c:pt idx="77">
                  <c:v>26816</c:v>
                </c:pt>
                <c:pt idx="78">
                  <c:v>26846</c:v>
                </c:pt>
                <c:pt idx="79">
                  <c:v>26877</c:v>
                </c:pt>
                <c:pt idx="80">
                  <c:v>26908</c:v>
                </c:pt>
                <c:pt idx="81">
                  <c:v>26938</c:v>
                </c:pt>
                <c:pt idx="82">
                  <c:v>26969</c:v>
                </c:pt>
                <c:pt idx="83">
                  <c:v>26999</c:v>
                </c:pt>
                <c:pt idx="84">
                  <c:v>27030</c:v>
                </c:pt>
                <c:pt idx="85">
                  <c:v>27061</c:v>
                </c:pt>
                <c:pt idx="86">
                  <c:v>27089</c:v>
                </c:pt>
                <c:pt idx="87">
                  <c:v>27120</c:v>
                </c:pt>
                <c:pt idx="88">
                  <c:v>27150</c:v>
                </c:pt>
                <c:pt idx="89">
                  <c:v>27181</c:v>
                </c:pt>
                <c:pt idx="90">
                  <c:v>27211</c:v>
                </c:pt>
                <c:pt idx="91">
                  <c:v>27242</c:v>
                </c:pt>
                <c:pt idx="92">
                  <c:v>27273</c:v>
                </c:pt>
                <c:pt idx="93">
                  <c:v>27303</c:v>
                </c:pt>
                <c:pt idx="94">
                  <c:v>27334</c:v>
                </c:pt>
                <c:pt idx="95">
                  <c:v>27364</c:v>
                </c:pt>
                <c:pt idx="96">
                  <c:v>27395</c:v>
                </c:pt>
                <c:pt idx="97">
                  <c:v>27426</c:v>
                </c:pt>
                <c:pt idx="98">
                  <c:v>27454</c:v>
                </c:pt>
                <c:pt idx="99">
                  <c:v>27485</c:v>
                </c:pt>
                <c:pt idx="100">
                  <c:v>27515</c:v>
                </c:pt>
                <c:pt idx="101">
                  <c:v>27546</c:v>
                </c:pt>
                <c:pt idx="102">
                  <c:v>27576</c:v>
                </c:pt>
                <c:pt idx="103">
                  <c:v>27607</c:v>
                </c:pt>
                <c:pt idx="104">
                  <c:v>27638</c:v>
                </c:pt>
                <c:pt idx="105">
                  <c:v>27668</c:v>
                </c:pt>
                <c:pt idx="106">
                  <c:v>27699</c:v>
                </c:pt>
                <c:pt idx="107">
                  <c:v>27729</c:v>
                </c:pt>
                <c:pt idx="108">
                  <c:v>27760</c:v>
                </c:pt>
                <c:pt idx="109">
                  <c:v>27791</c:v>
                </c:pt>
                <c:pt idx="110">
                  <c:v>27820</c:v>
                </c:pt>
                <c:pt idx="111">
                  <c:v>27851</c:v>
                </c:pt>
                <c:pt idx="112">
                  <c:v>27881</c:v>
                </c:pt>
                <c:pt idx="113">
                  <c:v>27912</c:v>
                </c:pt>
                <c:pt idx="114">
                  <c:v>27942</c:v>
                </c:pt>
                <c:pt idx="115">
                  <c:v>27973</c:v>
                </c:pt>
                <c:pt idx="116">
                  <c:v>28004</c:v>
                </c:pt>
                <c:pt idx="117">
                  <c:v>28034</c:v>
                </c:pt>
                <c:pt idx="118">
                  <c:v>28065</c:v>
                </c:pt>
                <c:pt idx="119">
                  <c:v>28095</c:v>
                </c:pt>
                <c:pt idx="120">
                  <c:v>28126</c:v>
                </c:pt>
                <c:pt idx="121">
                  <c:v>28157</c:v>
                </c:pt>
                <c:pt idx="122">
                  <c:v>28185</c:v>
                </c:pt>
                <c:pt idx="123">
                  <c:v>28216</c:v>
                </c:pt>
                <c:pt idx="124">
                  <c:v>28246</c:v>
                </c:pt>
                <c:pt idx="125">
                  <c:v>28277</c:v>
                </c:pt>
                <c:pt idx="126">
                  <c:v>28307</c:v>
                </c:pt>
                <c:pt idx="127">
                  <c:v>28338</c:v>
                </c:pt>
                <c:pt idx="128">
                  <c:v>28369</c:v>
                </c:pt>
                <c:pt idx="129">
                  <c:v>28399</c:v>
                </c:pt>
                <c:pt idx="130">
                  <c:v>28430</c:v>
                </c:pt>
                <c:pt idx="131">
                  <c:v>28460</c:v>
                </c:pt>
                <c:pt idx="132">
                  <c:v>28491</c:v>
                </c:pt>
                <c:pt idx="133">
                  <c:v>28522</c:v>
                </c:pt>
                <c:pt idx="134">
                  <c:v>28550</c:v>
                </c:pt>
                <c:pt idx="135">
                  <c:v>28581</c:v>
                </c:pt>
                <c:pt idx="136">
                  <c:v>28611</c:v>
                </c:pt>
                <c:pt idx="137">
                  <c:v>28642</c:v>
                </c:pt>
                <c:pt idx="138">
                  <c:v>28672</c:v>
                </c:pt>
                <c:pt idx="139">
                  <c:v>28703</c:v>
                </c:pt>
                <c:pt idx="140">
                  <c:v>28734</c:v>
                </c:pt>
                <c:pt idx="141">
                  <c:v>28764</c:v>
                </c:pt>
                <c:pt idx="142">
                  <c:v>28795</c:v>
                </c:pt>
                <c:pt idx="143">
                  <c:v>28825</c:v>
                </c:pt>
                <c:pt idx="144">
                  <c:v>28856</c:v>
                </c:pt>
                <c:pt idx="145">
                  <c:v>28887</c:v>
                </c:pt>
                <c:pt idx="146">
                  <c:v>28915</c:v>
                </c:pt>
                <c:pt idx="147">
                  <c:v>28946</c:v>
                </c:pt>
                <c:pt idx="148">
                  <c:v>28976</c:v>
                </c:pt>
                <c:pt idx="149">
                  <c:v>29007</c:v>
                </c:pt>
                <c:pt idx="150">
                  <c:v>29037</c:v>
                </c:pt>
                <c:pt idx="151">
                  <c:v>29068</c:v>
                </c:pt>
                <c:pt idx="152">
                  <c:v>29099</c:v>
                </c:pt>
                <c:pt idx="153">
                  <c:v>29129</c:v>
                </c:pt>
                <c:pt idx="154">
                  <c:v>29160</c:v>
                </c:pt>
                <c:pt idx="155">
                  <c:v>29190</c:v>
                </c:pt>
                <c:pt idx="156">
                  <c:v>29221</c:v>
                </c:pt>
                <c:pt idx="157">
                  <c:v>29252</c:v>
                </c:pt>
                <c:pt idx="158">
                  <c:v>29281</c:v>
                </c:pt>
                <c:pt idx="159">
                  <c:v>29312</c:v>
                </c:pt>
                <c:pt idx="160">
                  <c:v>29342</c:v>
                </c:pt>
                <c:pt idx="161">
                  <c:v>29373</c:v>
                </c:pt>
                <c:pt idx="162">
                  <c:v>29403</c:v>
                </c:pt>
                <c:pt idx="163">
                  <c:v>29434</c:v>
                </c:pt>
                <c:pt idx="164">
                  <c:v>29465</c:v>
                </c:pt>
                <c:pt idx="165">
                  <c:v>29495</c:v>
                </c:pt>
                <c:pt idx="166">
                  <c:v>29526</c:v>
                </c:pt>
                <c:pt idx="167">
                  <c:v>29556</c:v>
                </c:pt>
                <c:pt idx="168">
                  <c:v>29587</c:v>
                </c:pt>
                <c:pt idx="169">
                  <c:v>29618</c:v>
                </c:pt>
                <c:pt idx="170">
                  <c:v>29646</c:v>
                </c:pt>
                <c:pt idx="171">
                  <c:v>29677</c:v>
                </c:pt>
                <c:pt idx="172">
                  <c:v>29707</c:v>
                </c:pt>
                <c:pt idx="173">
                  <c:v>29738</c:v>
                </c:pt>
                <c:pt idx="174">
                  <c:v>29768</c:v>
                </c:pt>
                <c:pt idx="175">
                  <c:v>29799</c:v>
                </c:pt>
                <c:pt idx="176">
                  <c:v>29830</c:v>
                </c:pt>
                <c:pt idx="177">
                  <c:v>29860</c:v>
                </c:pt>
                <c:pt idx="178">
                  <c:v>29891</c:v>
                </c:pt>
                <c:pt idx="179">
                  <c:v>29921</c:v>
                </c:pt>
                <c:pt idx="180">
                  <c:v>29952</c:v>
                </c:pt>
                <c:pt idx="181">
                  <c:v>29983</c:v>
                </c:pt>
                <c:pt idx="182">
                  <c:v>30011</c:v>
                </c:pt>
                <c:pt idx="183">
                  <c:v>30042</c:v>
                </c:pt>
                <c:pt idx="184">
                  <c:v>30072</c:v>
                </c:pt>
                <c:pt idx="185">
                  <c:v>30103</c:v>
                </c:pt>
                <c:pt idx="186">
                  <c:v>30133</c:v>
                </c:pt>
                <c:pt idx="187">
                  <c:v>30164</c:v>
                </c:pt>
                <c:pt idx="188">
                  <c:v>30195</c:v>
                </c:pt>
                <c:pt idx="189">
                  <c:v>30225</c:v>
                </c:pt>
                <c:pt idx="190">
                  <c:v>30256</c:v>
                </c:pt>
                <c:pt idx="191">
                  <c:v>30286</c:v>
                </c:pt>
                <c:pt idx="192">
                  <c:v>30317</c:v>
                </c:pt>
                <c:pt idx="193">
                  <c:v>30348</c:v>
                </c:pt>
                <c:pt idx="194">
                  <c:v>30376</c:v>
                </c:pt>
                <c:pt idx="195">
                  <c:v>30407</c:v>
                </c:pt>
                <c:pt idx="196">
                  <c:v>30437</c:v>
                </c:pt>
                <c:pt idx="197">
                  <c:v>30468</c:v>
                </c:pt>
                <c:pt idx="198">
                  <c:v>30498</c:v>
                </c:pt>
                <c:pt idx="199">
                  <c:v>30529</c:v>
                </c:pt>
                <c:pt idx="200">
                  <c:v>30560</c:v>
                </c:pt>
                <c:pt idx="201">
                  <c:v>30590</c:v>
                </c:pt>
                <c:pt idx="202">
                  <c:v>30621</c:v>
                </c:pt>
                <c:pt idx="203">
                  <c:v>30651</c:v>
                </c:pt>
                <c:pt idx="204">
                  <c:v>30682</c:v>
                </c:pt>
                <c:pt idx="205">
                  <c:v>30713</c:v>
                </c:pt>
                <c:pt idx="206">
                  <c:v>30742</c:v>
                </c:pt>
                <c:pt idx="207">
                  <c:v>30773</c:v>
                </c:pt>
                <c:pt idx="208">
                  <c:v>30803</c:v>
                </c:pt>
                <c:pt idx="209">
                  <c:v>30834</c:v>
                </c:pt>
                <c:pt idx="210">
                  <c:v>30864</c:v>
                </c:pt>
                <c:pt idx="211">
                  <c:v>30895</c:v>
                </c:pt>
                <c:pt idx="212">
                  <c:v>30926</c:v>
                </c:pt>
                <c:pt idx="213">
                  <c:v>30956</c:v>
                </c:pt>
                <c:pt idx="214">
                  <c:v>30987</c:v>
                </c:pt>
                <c:pt idx="215">
                  <c:v>31017</c:v>
                </c:pt>
                <c:pt idx="216">
                  <c:v>31048</c:v>
                </c:pt>
                <c:pt idx="217">
                  <c:v>31079</c:v>
                </c:pt>
                <c:pt idx="218">
                  <c:v>31107</c:v>
                </c:pt>
                <c:pt idx="219">
                  <c:v>31138</c:v>
                </c:pt>
                <c:pt idx="220">
                  <c:v>31168</c:v>
                </c:pt>
                <c:pt idx="221">
                  <c:v>31199</c:v>
                </c:pt>
                <c:pt idx="222">
                  <c:v>31229</c:v>
                </c:pt>
                <c:pt idx="223">
                  <c:v>31260</c:v>
                </c:pt>
                <c:pt idx="224">
                  <c:v>31291</c:v>
                </c:pt>
                <c:pt idx="225">
                  <c:v>31321</c:v>
                </c:pt>
                <c:pt idx="226">
                  <c:v>31352</c:v>
                </c:pt>
                <c:pt idx="227">
                  <c:v>31382</c:v>
                </c:pt>
                <c:pt idx="228">
                  <c:v>31413</c:v>
                </c:pt>
                <c:pt idx="229">
                  <c:v>31444</c:v>
                </c:pt>
                <c:pt idx="230">
                  <c:v>31472</c:v>
                </c:pt>
                <c:pt idx="231">
                  <c:v>31503</c:v>
                </c:pt>
                <c:pt idx="232">
                  <c:v>31533</c:v>
                </c:pt>
                <c:pt idx="233">
                  <c:v>31564</c:v>
                </c:pt>
                <c:pt idx="234">
                  <c:v>31594</c:v>
                </c:pt>
                <c:pt idx="235">
                  <c:v>31625</c:v>
                </c:pt>
                <c:pt idx="236">
                  <c:v>31656</c:v>
                </c:pt>
                <c:pt idx="237">
                  <c:v>31686</c:v>
                </c:pt>
                <c:pt idx="238">
                  <c:v>31717</c:v>
                </c:pt>
                <c:pt idx="239">
                  <c:v>31747</c:v>
                </c:pt>
                <c:pt idx="240">
                  <c:v>31778</c:v>
                </c:pt>
                <c:pt idx="241">
                  <c:v>31809</c:v>
                </c:pt>
                <c:pt idx="242">
                  <c:v>31837</c:v>
                </c:pt>
                <c:pt idx="243">
                  <c:v>31868</c:v>
                </c:pt>
                <c:pt idx="244">
                  <c:v>31898</c:v>
                </c:pt>
                <c:pt idx="245">
                  <c:v>31929</c:v>
                </c:pt>
                <c:pt idx="246">
                  <c:v>31959</c:v>
                </c:pt>
                <c:pt idx="247">
                  <c:v>31990</c:v>
                </c:pt>
                <c:pt idx="248">
                  <c:v>32021</c:v>
                </c:pt>
                <c:pt idx="249">
                  <c:v>32051</c:v>
                </c:pt>
                <c:pt idx="250">
                  <c:v>32082</c:v>
                </c:pt>
                <c:pt idx="251">
                  <c:v>32112</c:v>
                </c:pt>
                <c:pt idx="252">
                  <c:v>32143</c:v>
                </c:pt>
                <c:pt idx="253">
                  <c:v>32174</c:v>
                </c:pt>
                <c:pt idx="254">
                  <c:v>32203</c:v>
                </c:pt>
                <c:pt idx="255">
                  <c:v>32234</c:v>
                </c:pt>
                <c:pt idx="256">
                  <c:v>32264</c:v>
                </c:pt>
                <c:pt idx="257">
                  <c:v>32295</c:v>
                </c:pt>
                <c:pt idx="258">
                  <c:v>32325</c:v>
                </c:pt>
                <c:pt idx="259">
                  <c:v>32356</c:v>
                </c:pt>
                <c:pt idx="260">
                  <c:v>32387</c:v>
                </c:pt>
                <c:pt idx="261">
                  <c:v>32417</c:v>
                </c:pt>
                <c:pt idx="262">
                  <c:v>32448</c:v>
                </c:pt>
                <c:pt idx="263">
                  <c:v>32478</c:v>
                </c:pt>
                <c:pt idx="264">
                  <c:v>32509</c:v>
                </c:pt>
                <c:pt idx="265">
                  <c:v>32540</c:v>
                </c:pt>
                <c:pt idx="266">
                  <c:v>32568</c:v>
                </c:pt>
                <c:pt idx="267">
                  <c:v>32599</c:v>
                </c:pt>
                <c:pt idx="268">
                  <c:v>32629</c:v>
                </c:pt>
                <c:pt idx="269">
                  <c:v>32660</c:v>
                </c:pt>
                <c:pt idx="270">
                  <c:v>32690</c:v>
                </c:pt>
                <c:pt idx="271">
                  <c:v>32721</c:v>
                </c:pt>
                <c:pt idx="272">
                  <c:v>32752</c:v>
                </c:pt>
                <c:pt idx="273">
                  <c:v>32782</c:v>
                </c:pt>
                <c:pt idx="274">
                  <c:v>32813</c:v>
                </c:pt>
                <c:pt idx="275">
                  <c:v>32843</c:v>
                </c:pt>
                <c:pt idx="276">
                  <c:v>32874</c:v>
                </c:pt>
                <c:pt idx="277">
                  <c:v>32905</c:v>
                </c:pt>
                <c:pt idx="278">
                  <c:v>32933</c:v>
                </c:pt>
                <c:pt idx="279">
                  <c:v>32964</c:v>
                </c:pt>
                <c:pt idx="280">
                  <c:v>32994</c:v>
                </c:pt>
                <c:pt idx="281">
                  <c:v>33025</c:v>
                </c:pt>
                <c:pt idx="282">
                  <c:v>33055</c:v>
                </c:pt>
                <c:pt idx="283">
                  <c:v>33086</c:v>
                </c:pt>
                <c:pt idx="284">
                  <c:v>33117</c:v>
                </c:pt>
                <c:pt idx="285">
                  <c:v>33147</c:v>
                </c:pt>
                <c:pt idx="286">
                  <c:v>33178</c:v>
                </c:pt>
                <c:pt idx="287">
                  <c:v>33208</c:v>
                </c:pt>
                <c:pt idx="288">
                  <c:v>33239</c:v>
                </c:pt>
                <c:pt idx="289">
                  <c:v>33270</c:v>
                </c:pt>
                <c:pt idx="290">
                  <c:v>33298</c:v>
                </c:pt>
                <c:pt idx="291">
                  <c:v>33329</c:v>
                </c:pt>
                <c:pt idx="292">
                  <c:v>33359</c:v>
                </c:pt>
                <c:pt idx="293">
                  <c:v>33390</c:v>
                </c:pt>
                <c:pt idx="294">
                  <c:v>33420</c:v>
                </c:pt>
                <c:pt idx="295">
                  <c:v>33451</c:v>
                </c:pt>
                <c:pt idx="296">
                  <c:v>33482</c:v>
                </c:pt>
                <c:pt idx="297">
                  <c:v>33512</c:v>
                </c:pt>
                <c:pt idx="298">
                  <c:v>33543</c:v>
                </c:pt>
                <c:pt idx="299">
                  <c:v>33573</c:v>
                </c:pt>
                <c:pt idx="300">
                  <c:v>33604</c:v>
                </c:pt>
                <c:pt idx="301">
                  <c:v>33635</c:v>
                </c:pt>
                <c:pt idx="302">
                  <c:v>33664</c:v>
                </c:pt>
                <c:pt idx="303">
                  <c:v>33695</c:v>
                </c:pt>
                <c:pt idx="304">
                  <c:v>33725</c:v>
                </c:pt>
                <c:pt idx="305">
                  <c:v>33756</c:v>
                </c:pt>
                <c:pt idx="306">
                  <c:v>33786</c:v>
                </c:pt>
                <c:pt idx="307">
                  <c:v>33817</c:v>
                </c:pt>
                <c:pt idx="308">
                  <c:v>33848</c:v>
                </c:pt>
                <c:pt idx="309">
                  <c:v>33878</c:v>
                </c:pt>
                <c:pt idx="310">
                  <c:v>33909</c:v>
                </c:pt>
                <c:pt idx="311">
                  <c:v>33939</c:v>
                </c:pt>
                <c:pt idx="312">
                  <c:v>33970</c:v>
                </c:pt>
                <c:pt idx="313">
                  <c:v>34001</c:v>
                </c:pt>
                <c:pt idx="314">
                  <c:v>34029</c:v>
                </c:pt>
                <c:pt idx="315">
                  <c:v>34060</c:v>
                </c:pt>
                <c:pt idx="316">
                  <c:v>34090</c:v>
                </c:pt>
                <c:pt idx="317">
                  <c:v>34121</c:v>
                </c:pt>
                <c:pt idx="318">
                  <c:v>34151</c:v>
                </c:pt>
                <c:pt idx="319">
                  <c:v>34182</c:v>
                </c:pt>
                <c:pt idx="320">
                  <c:v>34213</c:v>
                </c:pt>
                <c:pt idx="321">
                  <c:v>34243</c:v>
                </c:pt>
                <c:pt idx="322">
                  <c:v>34274</c:v>
                </c:pt>
                <c:pt idx="323">
                  <c:v>34304</c:v>
                </c:pt>
                <c:pt idx="324">
                  <c:v>34335</c:v>
                </c:pt>
                <c:pt idx="325">
                  <c:v>34366</c:v>
                </c:pt>
                <c:pt idx="326">
                  <c:v>34394</c:v>
                </c:pt>
                <c:pt idx="327">
                  <c:v>34425</c:v>
                </c:pt>
                <c:pt idx="328">
                  <c:v>34455</c:v>
                </c:pt>
                <c:pt idx="329">
                  <c:v>34486</c:v>
                </c:pt>
                <c:pt idx="330">
                  <c:v>34516</c:v>
                </c:pt>
                <c:pt idx="331">
                  <c:v>34547</c:v>
                </c:pt>
                <c:pt idx="332">
                  <c:v>34578</c:v>
                </c:pt>
                <c:pt idx="333">
                  <c:v>34608</c:v>
                </c:pt>
                <c:pt idx="334">
                  <c:v>34639</c:v>
                </c:pt>
                <c:pt idx="335">
                  <c:v>34669</c:v>
                </c:pt>
                <c:pt idx="336">
                  <c:v>34700</c:v>
                </c:pt>
                <c:pt idx="337">
                  <c:v>34731</c:v>
                </c:pt>
                <c:pt idx="338">
                  <c:v>34759</c:v>
                </c:pt>
                <c:pt idx="339">
                  <c:v>34790</c:v>
                </c:pt>
                <c:pt idx="340">
                  <c:v>34820</c:v>
                </c:pt>
                <c:pt idx="341">
                  <c:v>34851</c:v>
                </c:pt>
                <c:pt idx="342">
                  <c:v>34881</c:v>
                </c:pt>
                <c:pt idx="343">
                  <c:v>34912</c:v>
                </c:pt>
                <c:pt idx="344">
                  <c:v>34943</c:v>
                </c:pt>
                <c:pt idx="345">
                  <c:v>34973</c:v>
                </c:pt>
                <c:pt idx="346">
                  <c:v>35004</c:v>
                </c:pt>
                <c:pt idx="347">
                  <c:v>35034</c:v>
                </c:pt>
                <c:pt idx="348">
                  <c:v>35065</c:v>
                </c:pt>
                <c:pt idx="349">
                  <c:v>35096</c:v>
                </c:pt>
                <c:pt idx="350">
                  <c:v>35125</c:v>
                </c:pt>
                <c:pt idx="351">
                  <c:v>35156</c:v>
                </c:pt>
                <c:pt idx="352">
                  <c:v>35186</c:v>
                </c:pt>
                <c:pt idx="353">
                  <c:v>35217</c:v>
                </c:pt>
                <c:pt idx="354">
                  <c:v>35247</c:v>
                </c:pt>
                <c:pt idx="355">
                  <c:v>35278</c:v>
                </c:pt>
                <c:pt idx="356">
                  <c:v>35309</c:v>
                </c:pt>
                <c:pt idx="357">
                  <c:v>35339</c:v>
                </c:pt>
                <c:pt idx="358">
                  <c:v>35370</c:v>
                </c:pt>
                <c:pt idx="359">
                  <c:v>35400</c:v>
                </c:pt>
                <c:pt idx="360">
                  <c:v>35431</c:v>
                </c:pt>
                <c:pt idx="361">
                  <c:v>35462</c:v>
                </c:pt>
                <c:pt idx="362">
                  <c:v>35490</c:v>
                </c:pt>
                <c:pt idx="363">
                  <c:v>35521</c:v>
                </c:pt>
                <c:pt idx="364">
                  <c:v>35551</c:v>
                </c:pt>
                <c:pt idx="365">
                  <c:v>35582</c:v>
                </c:pt>
                <c:pt idx="366">
                  <c:v>35612</c:v>
                </c:pt>
                <c:pt idx="367">
                  <c:v>35643</c:v>
                </c:pt>
                <c:pt idx="368">
                  <c:v>35674</c:v>
                </c:pt>
                <c:pt idx="369">
                  <c:v>35704</c:v>
                </c:pt>
                <c:pt idx="370">
                  <c:v>35735</c:v>
                </c:pt>
                <c:pt idx="371">
                  <c:v>35765</c:v>
                </c:pt>
                <c:pt idx="372">
                  <c:v>35796</c:v>
                </c:pt>
                <c:pt idx="373">
                  <c:v>35827</c:v>
                </c:pt>
                <c:pt idx="374">
                  <c:v>35855</c:v>
                </c:pt>
                <c:pt idx="375">
                  <c:v>35886</c:v>
                </c:pt>
                <c:pt idx="376">
                  <c:v>35916</c:v>
                </c:pt>
                <c:pt idx="377">
                  <c:v>35947</c:v>
                </c:pt>
                <c:pt idx="378">
                  <c:v>35977</c:v>
                </c:pt>
                <c:pt idx="379">
                  <c:v>36008</c:v>
                </c:pt>
                <c:pt idx="380">
                  <c:v>36039</c:v>
                </c:pt>
                <c:pt idx="381">
                  <c:v>36069</c:v>
                </c:pt>
                <c:pt idx="382">
                  <c:v>36100</c:v>
                </c:pt>
                <c:pt idx="383">
                  <c:v>36130</c:v>
                </c:pt>
                <c:pt idx="384">
                  <c:v>36161</c:v>
                </c:pt>
                <c:pt idx="385">
                  <c:v>36192</c:v>
                </c:pt>
                <c:pt idx="386">
                  <c:v>36220</c:v>
                </c:pt>
                <c:pt idx="387">
                  <c:v>36251</c:v>
                </c:pt>
                <c:pt idx="388">
                  <c:v>36281</c:v>
                </c:pt>
                <c:pt idx="389">
                  <c:v>36312</c:v>
                </c:pt>
                <c:pt idx="390">
                  <c:v>36342</c:v>
                </c:pt>
                <c:pt idx="391">
                  <c:v>36373</c:v>
                </c:pt>
                <c:pt idx="392">
                  <c:v>36404</c:v>
                </c:pt>
                <c:pt idx="393">
                  <c:v>36434</c:v>
                </c:pt>
                <c:pt idx="394">
                  <c:v>36465</c:v>
                </c:pt>
                <c:pt idx="395">
                  <c:v>36495</c:v>
                </c:pt>
                <c:pt idx="396">
                  <c:v>36526</c:v>
                </c:pt>
                <c:pt idx="397">
                  <c:v>36557</c:v>
                </c:pt>
                <c:pt idx="398">
                  <c:v>36586</c:v>
                </c:pt>
                <c:pt idx="399">
                  <c:v>36617</c:v>
                </c:pt>
                <c:pt idx="400">
                  <c:v>36647</c:v>
                </c:pt>
                <c:pt idx="401">
                  <c:v>36678</c:v>
                </c:pt>
                <c:pt idx="402">
                  <c:v>36708</c:v>
                </c:pt>
                <c:pt idx="403">
                  <c:v>36739</c:v>
                </c:pt>
                <c:pt idx="404">
                  <c:v>36770</c:v>
                </c:pt>
                <c:pt idx="405">
                  <c:v>36800</c:v>
                </c:pt>
                <c:pt idx="406">
                  <c:v>36831</c:v>
                </c:pt>
                <c:pt idx="407">
                  <c:v>36861</c:v>
                </c:pt>
                <c:pt idx="408">
                  <c:v>36892</c:v>
                </c:pt>
                <c:pt idx="409">
                  <c:v>36923</c:v>
                </c:pt>
                <c:pt idx="410">
                  <c:v>36951</c:v>
                </c:pt>
                <c:pt idx="411">
                  <c:v>36982</c:v>
                </c:pt>
                <c:pt idx="412">
                  <c:v>37012</c:v>
                </c:pt>
                <c:pt idx="413">
                  <c:v>37043</c:v>
                </c:pt>
                <c:pt idx="414">
                  <c:v>37073</c:v>
                </c:pt>
                <c:pt idx="415">
                  <c:v>37104</c:v>
                </c:pt>
                <c:pt idx="416">
                  <c:v>37135</c:v>
                </c:pt>
                <c:pt idx="417">
                  <c:v>37165</c:v>
                </c:pt>
                <c:pt idx="418">
                  <c:v>37196</c:v>
                </c:pt>
                <c:pt idx="419">
                  <c:v>37226</c:v>
                </c:pt>
                <c:pt idx="420">
                  <c:v>37257</c:v>
                </c:pt>
                <c:pt idx="421">
                  <c:v>37288</c:v>
                </c:pt>
                <c:pt idx="422">
                  <c:v>37316</c:v>
                </c:pt>
                <c:pt idx="423">
                  <c:v>37347</c:v>
                </c:pt>
                <c:pt idx="424">
                  <c:v>37377</c:v>
                </c:pt>
                <c:pt idx="425">
                  <c:v>37408</c:v>
                </c:pt>
                <c:pt idx="426">
                  <c:v>37438</c:v>
                </c:pt>
                <c:pt idx="427">
                  <c:v>37469</c:v>
                </c:pt>
                <c:pt idx="428">
                  <c:v>37500</c:v>
                </c:pt>
                <c:pt idx="429">
                  <c:v>37530</c:v>
                </c:pt>
                <c:pt idx="430">
                  <c:v>37561</c:v>
                </c:pt>
                <c:pt idx="431">
                  <c:v>37591</c:v>
                </c:pt>
                <c:pt idx="432">
                  <c:v>37622</c:v>
                </c:pt>
                <c:pt idx="433">
                  <c:v>37653</c:v>
                </c:pt>
                <c:pt idx="434">
                  <c:v>37681</c:v>
                </c:pt>
                <c:pt idx="435">
                  <c:v>37712</c:v>
                </c:pt>
                <c:pt idx="436">
                  <c:v>37742</c:v>
                </c:pt>
                <c:pt idx="437">
                  <c:v>37773</c:v>
                </c:pt>
                <c:pt idx="438">
                  <c:v>37803</c:v>
                </c:pt>
                <c:pt idx="439">
                  <c:v>37834</c:v>
                </c:pt>
                <c:pt idx="440">
                  <c:v>37865</c:v>
                </c:pt>
                <c:pt idx="441">
                  <c:v>37895</c:v>
                </c:pt>
                <c:pt idx="442">
                  <c:v>37926</c:v>
                </c:pt>
                <c:pt idx="443">
                  <c:v>37956</c:v>
                </c:pt>
                <c:pt idx="444">
                  <c:v>37987</c:v>
                </c:pt>
                <c:pt idx="445">
                  <c:v>38018</c:v>
                </c:pt>
                <c:pt idx="446">
                  <c:v>38047</c:v>
                </c:pt>
                <c:pt idx="447">
                  <c:v>38078</c:v>
                </c:pt>
                <c:pt idx="448">
                  <c:v>38108</c:v>
                </c:pt>
                <c:pt idx="449">
                  <c:v>38139</c:v>
                </c:pt>
                <c:pt idx="450">
                  <c:v>38169</c:v>
                </c:pt>
                <c:pt idx="451">
                  <c:v>38200</c:v>
                </c:pt>
                <c:pt idx="452">
                  <c:v>38231</c:v>
                </c:pt>
                <c:pt idx="453">
                  <c:v>38261</c:v>
                </c:pt>
                <c:pt idx="454">
                  <c:v>38292</c:v>
                </c:pt>
                <c:pt idx="455">
                  <c:v>38322</c:v>
                </c:pt>
                <c:pt idx="456">
                  <c:v>38353</c:v>
                </c:pt>
                <c:pt idx="457">
                  <c:v>38384</c:v>
                </c:pt>
                <c:pt idx="458">
                  <c:v>38412</c:v>
                </c:pt>
                <c:pt idx="459">
                  <c:v>38443</c:v>
                </c:pt>
                <c:pt idx="460">
                  <c:v>38473</c:v>
                </c:pt>
                <c:pt idx="461">
                  <c:v>38504</c:v>
                </c:pt>
                <c:pt idx="462">
                  <c:v>38534</c:v>
                </c:pt>
                <c:pt idx="463">
                  <c:v>38565</c:v>
                </c:pt>
                <c:pt idx="464">
                  <c:v>38596</c:v>
                </c:pt>
                <c:pt idx="465">
                  <c:v>38626</c:v>
                </c:pt>
                <c:pt idx="466">
                  <c:v>38657</c:v>
                </c:pt>
                <c:pt idx="467">
                  <c:v>38687</c:v>
                </c:pt>
                <c:pt idx="468">
                  <c:v>38718</c:v>
                </c:pt>
                <c:pt idx="469">
                  <c:v>38749</c:v>
                </c:pt>
                <c:pt idx="470">
                  <c:v>38777</c:v>
                </c:pt>
                <c:pt idx="471">
                  <c:v>38808</c:v>
                </c:pt>
                <c:pt idx="472">
                  <c:v>38838</c:v>
                </c:pt>
                <c:pt idx="473">
                  <c:v>38869</c:v>
                </c:pt>
                <c:pt idx="474">
                  <c:v>38899</c:v>
                </c:pt>
                <c:pt idx="475">
                  <c:v>38930</c:v>
                </c:pt>
                <c:pt idx="476">
                  <c:v>38961</c:v>
                </c:pt>
                <c:pt idx="477">
                  <c:v>38991</c:v>
                </c:pt>
                <c:pt idx="478">
                  <c:v>39022</c:v>
                </c:pt>
                <c:pt idx="479">
                  <c:v>39052</c:v>
                </c:pt>
                <c:pt idx="480">
                  <c:v>39083</c:v>
                </c:pt>
                <c:pt idx="481">
                  <c:v>39114</c:v>
                </c:pt>
                <c:pt idx="482">
                  <c:v>39142</c:v>
                </c:pt>
                <c:pt idx="483">
                  <c:v>39173</c:v>
                </c:pt>
                <c:pt idx="484">
                  <c:v>39203</c:v>
                </c:pt>
                <c:pt idx="485">
                  <c:v>39234</c:v>
                </c:pt>
                <c:pt idx="486">
                  <c:v>39264</c:v>
                </c:pt>
                <c:pt idx="487">
                  <c:v>39295</c:v>
                </c:pt>
                <c:pt idx="488">
                  <c:v>39326</c:v>
                </c:pt>
                <c:pt idx="489">
                  <c:v>39356</c:v>
                </c:pt>
                <c:pt idx="490">
                  <c:v>39387</c:v>
                </c:pt>
                <c:pt idx="491">
                  <c:v>39417</c:v>
                </c:pt>
                <c:pt idx="492">
                  <c:v>39448</c:v>
                </c:pt>
                <c:pt idx="493">
                  <c:v>39479</c:v>
                </c:pt>
                <c:pt idx="494">
                  <c:v>39508</c:v>
                </c:pt>
                <c:pt idx="495">
                  <c:v>39539</c:v>
                </c:pt>
                <c:pt idx="496">
                  <c:v>39569</c:v>
                </c:pt>
                <c:pt idx="497">
                  <c:v>39600</c:v>
                </c:pt>
                <c:pt idx="498">
                  <c:v>39630</c:v>
                </c:pt>
                <c:pt idx="499">
                  <c:v>39661</c:v>
                </c:pt>
                <c:pt idx="500">
                  <c:v>39692</c:v>
                </c:pt>
                <c:pt idx="501">
                  <c:v>39722</c:v>
                </c:pt>
                <c:pt idx="502">
                  <c:v>39753</c:v>
                </c:pt>
                <c:pt idx="503">
                  <c:v>39783</c:v>
                </c:pt>
                <c:pt idx="504">
                  <c:v>39814</c:v>
                </c:pt>
                <c:pt idx="505">
                  <c:v>39845</c:v>
                </c:pt>
                <c:pt idx="506">
                  <c:v>39873</c:v>
                </c:pt>
                <c:pt idx="507">
                  <c:v>39904</c:v>
                </c:pt>
                <c:pt idx="508">
                  <c:v>39934</c:v>
                </c:pt>
                <c:pt idx="509">
                  <c:v>39965</c:v>
                </c:pt>
                <c:pt idx="510">
                  <c:v>39995</c:v>
                </c:pt>
                <c:pt idx="511">
                  <c:v>40026</c:v>
                </c:pt>
                <c:pt idx="512">
                  <c:v>40057</c:v>
                </c:pt>
                <c:pt idx="513">
                  <c:v>40087</c:v>
                </c:pt>
                <c:pt idx="514">
                  <c:v>40118</c:v>
                </c:pt>
                <c:pt idx="515">
                  <c:v>40148</c:v>
                </c:pt>
                <c:pt idx="516">
                  <c:v>40179</c:v>
                </c:pt>
                <c:pt idx="517">
                  <c:v>40210</c:v>
                </c:pt>
                <c:pt idx="518">
                  <c:v>40238</c:v>
                </c:pt>
                <c:pt idx="519">
                  <c:v>40269</c:v>
                </c:pt>
              </c:numCache>
            </c:numRef>
          </c:cat>
          <c:val>
            <c:numRef>
              <c:f>'CPI data'!$D$17:$D$536</c:f>
              <c:numCache>
                <c:formatCode>0.00</c:formatCode>
                <c:ptCount val="520"/>
              </c:numCache>
            </c:numRef>
          </c:val>
          <c:smooth val="0"/>
        </c:ser>
        <c:ser>
          <c:idx val="3"/>
          <c:order val="3"/>
          <c:tx>
            <c:v>zero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Data!$A$2:$A$521</c:f>
              <c:numCache>
                <c:formatCode>m/d/yyyy</c:formatCode>
                <c:ptCount val="520"/>
                <c:pt idx="0">
                  <c:v>24473</c:v>
                </c:pt>
                <c:pt idx="1">
                  <c:v>24504</c:v>
                </c:pt>
                <c:pt idx="2">
                  <c:v>24532</c:v>
                </c:pt>
                <c:pt idx="3">
                  <c:v>24563</c:v>
                </c:pt>
                <c:pt idx="4">
                  <c:v>24593</c:v>
                </c:pt>
                <c:pt idx="5">
                  <c:v>24624</c:v>
                </c:pt>
                <c:pt idx="6">
                  <c:v>24654</c:v>
                </c:pt>
                <c:pt idx="7">
                  <c:v>24685</c:v>
                </c:pt>
                <c:pt idx="8">
                  <c:v>24716</c:v>
                </c:pt>
                <c:pt idx="9">
                  <c:v>24746</c:v>
                </c:pt>
                <c:pt idx="10">
                  <c:v>24777</c:v>
                </c:pt>
                <c:pt idx="11">
                  <c:v>24807</c:v>
                </c:pt>
                <c:pt idx="12">
                  <c:v>24838</c:v>
                </c:pt>
                <c:pt idx="13">
                  <c:v>24869</c:v>
                </c:pt>
                <c:pt idx="14">
                  <c:v>24898</c:v>
                </c:pt>
                <c:pt idx="15">
                  <c:v>24929</c:v>
                </c:pt>
                <c:pt idx="16">
                  <c:v>24959</c:v>
                </c:pt>
                <c:pt idx="17">
                  <c:v>24990</c:v>
                </c:pt>
                <c:pt idx="18">
                  <c:v>25020</c:v>
                </c:pt>
                <c:pt idx="19">
                  <c:v>25051</c:v>
                </c:pt>
                <c:pt idx="20">
                  <c:v>25082</c:v>
                </c:pt>
                <c:pt idx="21">
                  <c:v>25112</c:v>
                </c:pt>
                <c:pt idx="22">
                  <c:v>25143</c:v>
                </c:pt>
                <c:pt idx="23">
                  <c:v>25173</c:v>
                </c:pt>
                <c:pt idx="24">
                  <c:v>25204</c:v>
                </c:pt>
                <c:pt idx="25">
                  <c:v>25235</c:v>
                </c:pt>
                <c:pt idx="26">
                  <c:v>25263</c:v>
                </c:pt>
                <c:pt idx="27">
                  <c:v>25294</c:v>
                </c:pt>
                <c:pt idx="28">
                  <c:v>25324</c:v>
                </c:pt>
                <c:pt idx="29">
                  <c:v>25355</c:v>
                </c:pt>
                <c:pt idx="30">
                  <c:v>25385</c:v>
                </c:pt>
                <c:pt idx="31">
                  <c:v>25416</c:v>
                </c:pt>
                <c:pt idx="32">
                  <c:v>25447</c:v>
                </c:pt>
                <c:pt idx="33">
                  <c:v>25477</c:v>
                </c:pt>
                <c:pt idx="34">
                  <c:v>25508</c:v>
                </c:pt>
                <c:pt idx="35">
                  <c:v>25538</c:v>
                </c:pt>
                <c:pt idx="36">
                  <c:v>25569</c:v>
                </c:pt>
                <c:pt idx="37">
                  <c:v>25600</c:v>
                </c:pt>
                <c:pt idx="38">
                  <c:v>25628</c:v>
                </c:pt>
                <c:pt idx="39">
                  <c:v>25659</c:v>
                </c:pt>
                <c:pt idx="40">
                  <c:v>25689</c:v>
                </c:pt>
                <c:pt idx="41">
                  <c:v>25720</c:v>
                </c:pt>
                <c:pt idx="42">
                  <c:v>25750</c:v>
                </c:pt>
                <c:pt idx="43">
                  <c:v>25781</c:v>
                </c:pt>
                <c:pt idx="44">
                  <c:v>25812</c:v>
                </c:pt>
                <c:pt idx="45">
                  <c:v>25842</c:v>
                </c:pt>
                <c:pt idx="46">
                  <c:v>25873</c:v>
                </c:pt>
                <c:pt idx="47">
                  <c:v>25903</c:v>
                </c:pt>
                <c:pt idx="48">
                  <c:v>25934</c:v>
                </c:pt>
                <c:pt idx="49">
                  <c:v>25965</c:v>
                </c:pt>
                <c:pt idx="50">
                  <c:v>25993</c:v>
                </c:pt>
                <c:pt idx="51">
                  <c:v>26024</c:v>
                </c:pt>
                <c:pt idx="52">
                  <c:v>26054</c:v>
                </c:pt>
                <c:pt idx="53">
                  <c:v>26085</c:v>
                </c:pt>
                <c:pt idx="54">
                  <c:v>26115</c:v>
                </c:pt>
                <c:pt idx="55">
                  <c:v>26146</c:v>
                </c:pt>
                <c:pt idx="56">
                  <c:v>26177</c:v>
                </c:pt>
                <c:pt idx="57">
                  <c:v>26207</c:v>
                </c:pt>
                <c:pt idx="58">
                  <c:v>26238</c:v>
                </c:pt>
                <c:pt idx="59">
                  <c:v>26268</c:v>
                </c:pt>
                <c:pt idx="60">
                  <c:v>26299</c:v>
                </c:pt>
                <c:pt idx="61">
                  <c:v>26330</c:v>
                </c:pt>
                <c:pt idx="62">
                  <c:v>26359</c:v>
                </c:pt>
                <c:pt idx="63">
                  <c:v>26390</c:v>
                </c:pt>
                <c:pt idx="64">
                  <c:v>26420</c:v>
                </c:pt>
                <c:pt idx="65">
                  <c:v>26451</c:v>
                </c:pt>
                <c:pt idx="66">
                  <c:v>26481</c:v>
                </c:pt>
                <c:pt idx="67">
                  <c:v>26512</c:v>
                </c:pt>
                <c:pt idx="68">
                  <c:v>26543</c:v>
                </c:pt>
                <c:pt idx="69">
                  <c:v>26573</c:v>
                </c:pt>
                <c:pt idx="70">
                  <c:v>26604</c:v>
                </c:pt>
                <c:pt idx="71">
                  <c:v>26634</c:v>
                </c:pt>
                <c:pt idx="72">
                  <c:v>26665</c:v>
                </c:pt>
                <c:pt idx="73">
                  <c:v>26696</c:v>
                </c:pt>
                <c:pt idx="74">
                  <c:v>26724</c:v>
                </c:pt>
                <c:pt idx="75">
                  <c:v>26755</c:v>
                </c:pt>
                <c:pt idx="76">
                  <c:v>26785</c:v>
                </c:pt>
                <c:pt idx="77">
                  <c:v>26816</c:v>
                </c:pt>
                <c:pt idx="78">
                  <c:v>26846</c:v>
                </c:pt>
                <c:pt idx="79">
                  <c:v>26877</c:v>
                </c:pt>
                <c:pt idx="80">
                  <c:v>26908</c:v>
                </c:pt>
                <c:pt idx="81">
                  <c:v>26938</c:v>
                </c:pt>
                <c:pt idx="82">
                  <c:v>26969</c:v>
                </c:pt>
                <c:pt idx="83">
                  <c:v>26999</c:v>
                </c:pt>
                <c:pt idx="84">
                  <c:v>27030</c:v>
                </c:pt>
                <c:pt idx="85">
                  <c:v>27061</c:v>
                </c:pt>
                <c:pt idx="86">
                  <c:v>27089</c:v>
                </c:pt>
                <c:pt idx="87">
                  <c:v>27120</c:v>
                </c:pt>
                <c:pt idx="88">
                  <c:v>27150</c:v>
                </c:pt>
                <c:pt idx="89">
                  <c:v>27181</c:v>
                </c:pt>
                <c:pt idx="90">
                  <c:v>27211</c:v>
                </c:pt>
                <c:pt idx="91">
                  <c:v>27242</c:v>
                </c:pt>
                <c:pt idx="92">
                  <c:v>27273</c:v>
                </c:pt>
                <c:pt idx="93">
                  <c:v>27303</c:v>
                </c:pt>
                <c:pt idx="94">
                  <c:v>27334</c:v>
                </c:pt>
                <c:pt idx="95">
                  <c:v>27364</c:v>
                </c:pt>
                <c:pt idx="96">
                  <c:v>27395</c:v>
                </c:pt>
                <c:pt idx="97">
                  <c:v>27426</c:v>
                </c:pt>
                <c:pt idx="98">
                  <c:v>27454</c:v>
                </c:pt>
                <c:pt idx="99">
                  <c:v>27485</c:v>
                </c:pt>
                <c:pt idx="100">
                  <c:v>27515</c:v>
                </c:pt>
                <c:pt idx="101">
                  <c:v>27546</c:v>
                </c:pt>
                <c:pt idx="102">
                  <c:v>27576</c:v>
                </c:pt>
                <c:pt idx="103">
                  <c:v>27607</c:v>
                </c:pt>
                <c:pt idx="104">
                  <c:v>27638</c:v>
                </c:pt>
                <c:pt idx="105">
                  <c:v>27668</c:v>
                </c:pt>
                <c:pt idx="106">
                  <c:v>27699</c:v>
                </c:pt>
                <c:pt idx="107">
                  <c:v>27729</c:v>
                </c:pt>
                <c:pt idx="108">
                  <c:v>27760</c:v>
                </c:pt>
                <c:pt idx="109">
                  <c:v>27791</c:v>
                </c:pt>
                <c:pt idx="110">
                  <c:v>27820</c:v>
                </c:pt>
                <c:pt idx="111">
                  <c:v>27851</c:v>
                </c:pt>
                <c:pt idx="112">
                  <c:v>27881</c:v>
                </c:pt>
                <c:pt idx="113">
                  <c:v>27912</c:v>
                </c:pt>
                <c:pt idx="114">
                  <c:v>27942</c:v>
                </c:pt>
                <c:pt idx="115">
                  <c:v>27973</c:v>
                </c:pt>
                <c:pt idx="116">
                  <c:v>28004</c:v>
                </c:pt>
                <c:pt idx="117">
                  <c:v>28034</c:v>
                </c:pt>
                <c:pt idx="118">
                  <c:v>28065</c:v>
                </c:pt>
                <c:pt idx="119">
                  <c:v>28095</c:v>
                </c:pt>
                <c:pt idx="120">
                  <c:v>28126</c:v>
                </c:pt>
                <c:pt idx="121">
                  <c:v>28157</c:v>
                </c:pt>
                <c:pt idx="122">
                  <c:v>28185</c:v>
                </c:pt>
                <c:pt idx="123">
                  <c:v>28216</c:v>
                </c:pt>
                <c:pt idx="124">
                  <c:v>28246</c:v>
                </c:pt>
                <c:pt idx="125">
                  <c:v>28277</c:v>
                </c:pt>
                <c:pt idx="126">
                  <c:v>28307</c:v>
                </c:pt>
                <c:pt idx="127">
                  <c:v>28338</c:v>
                </c:pt>
                <c:pt idx="128">
                  <c:v>28369</c:v>
                </c:pt>
                <c:pt idx="129">
                  <c:v>28399</c:v>
                </c:pt>
                <c:pt idx="130">
                  <c:v>28430</c:v>
                </c:pt>
                <c:pt idx="131">
                  <c:v>28460</c:v>
                </c:pt>
                <c:pt idx="132">
                  <c:v>28491</c:v>
                </c:pt>
                <c:pt idx="133">
                  <c:v>28522</c:v>
                </c:pt>
                <c:pt idx="134">
                  <c:v>28550</c:v>
                </c:pt>
                <c:pt idx="135">
                  <c:v>28581</c:v>
                </c:pt>
                <c:pt idx="136">
                  <c:v>28611</c:v>
                </c:pt>
                <c:pt idx="137">
                  <c:v>28642</c:v>
                </c:pt>
                <c:pt idx="138">
                  <c:v>28672</c:v>
                </c:pt>
                <c:pt idx="139">
                  <c:v>28703</c:v>
                </c:pt>
                <c:pt idx="140">
                  <c:v>28734</c:v>
                </c:pt>
                <c:pt idx="141">
                  <c:v>28764</c:v>
                </c:pt>
                <c:pt idx="142">
                  <c:v>28795</c:v>
                </c:pt>
                <c:pt idx="143">
                  <c:v>28825</c:v>
                </c:pt>
                <c:pt idx="144">
                  <c:v>28856</c:v>
                </c:pt>
                <c:pt idx="145">
                  <c:v>28887</c:v>
                </c:pt>
                <c:pt idx="146">
                  <c:v>28915</c:v>
                </c:pt>
                <c:pt idx="147">
                  <c:v>28946</c:v>
                </c:pt>
                <c:pt idx="148">
                  <c:v>28976</c:v>
                </c:pt>
                <c:pt idx="149">
                  <c:v>29007</c:v>
                </c:pt>
                <c:pt idx="150">
                  <c:v>29037</c:v>
                </c:pt>
                <c:pt idx="151">
                  <c:v>29068</c:v>
                </c:pt>
                <c:pt idx="152">
                  <c:v>29099</c:v>
                </c:pt>
                <c:pt idx="153">
                  <c:v>29129</c:v>
                </c:pt>
                <c:pt idx="154">
                  <c:v>29160</c:v>
                </c:pt>
                <c:pt idx="155">
                  <c:v>29190</c:v>
                </c:pt>
                <c:pt idx="156">
                  <c:v>29221</c:v>
                </c:pt>
                <c:pt idx="157">
                  <c:v>29252</c:v>
                </c:pt>
                <c:pt idx="158">
                  <c:v>29281</c:v>
                </c:pt>
                <c:pt idx="159">
                  <c:v>29312</c:v>
                </c:pt>
                <c:pt idx="160">
                  <c:v>29342</c:v>
                </c:pt>
                <c:pt idx="161">
                  <c:v>29373</c:v>
                </c:pt>
                <c:pt idx="162">
                  <c:v>29403</c:v>
                </c:pt>
                <c:pt idx="163">
                  <c:v>29434</c:v>
                </c:pt>
                <c:pt idx="164">
                  <c:v>29465</c:v>
                </c:pt>
                <c:pt idx="165">
                  <c:v>29495</c:v>
                </c:pt>
                <c:pt idx="166">
                  <c:v>29526</c:v>
                </c:pt>
                <c:pt idx="167">
                  <c:v>29556</c:v>
                </c:pt>
                <c:pt idx="168">
                  <c:v>29587</c:v>
                </c:pt>
                <c:pt idx="169">
                  <c:v>29618</c:v>
                </c:pt>
                <c:pt idx="170">
                  <c:v>29646</c:v>
                </c:pt>
                <c:pt idx="171">
                  <c:v>29677</c:v>
                </c:pt>
                <c:pt idx="172">
                  <c:v>29707</c:v>
                </c:pt>
                <c:pt idx="173">
                  <c:v>29738</c:v>
                </c:pt>
                <c:pt idx="174">
                  <c:v>29768</c:v>
                </c:pt>
                <c:pt idx="175">
                  <c:v>29799</c:v>
                </c:pt>
                <c:pt idx="176">
                  <c:v>29830</c:v>
                </c:pt>
                <c:pt idx="177">
                  <c:v>29860</c:v>
                </c:pt>
                <c:pt idx="178">
                  <c:v>29891</c:v>
                </c:pt>
                <c:pt idx="179">
                  <c:v>29921</c:v>
                </c:pt>
                <c:pt idx="180">
                  <c:v>29952</c:v>
                </c:pt>
                <c:pt idx="181">
                  <c:v>29983</c:v>
                </c:pt>
                <c:pt idx="182">
                  <c:v>30011</c:v>
                </c:pt>
                <c:pt idx="183">
                  <c:v>30042</c:v>
                </c:pt>
                <c:pt idx="184">
                  <c:v>30072</c:v>
                </c:pt>
                <c:pt idx="185">
                  <c:v>30103</c:v>
                </c:pt>
                <c:pt idx="186">
                  <c:v>30133</c:v>
                </c:pt>
                <c:pt idx="187">
                  <c:v>30164</c:v>
                </c:pt>
                <c:pt idx="188">
                  <c:v>30195</c:v>
                </c:pt>
                <c:pt idx="189">
                  <c:v>30225</c:v>
                </c:pt>
                <c:pt idx="190">
                  <c:v>30256</c:v>
                </c:pt>
                <c:pt idx="191">
                  <c:v>30286</c:v>
                </c:pt>
                <c:pt idx="192">
                  <c:v>30317</c:v>
                </c:pt>
                <c:pt idx="193">
                  <c:v>30348</c:v>
                </c:pt>
                <c:pt idx="194">
                  <c:v>30376</c:v>
                </c:pt>
                <c:pt idx="195">
                  <c:v>30407</c:v>
                </c:pt>
                <c:pt idx="196">
                  <c:v>30437</c:v>
                </c:pt>
                <c:pt idx="197">
                  <c:v>30468</c:v>
                </c:pt>
                <c:pt idx="198">
                  <c:v>30498</c:v>
                </c:pt>
                <c:pt idx="199">
                  <c:v>30529</c:v>
                </c:pt>
                <c:pt idx="200">
                  <c:v>30560</c:v>
                </c:pt>
                <c:pt idx="201">
                  <c:v>30590</c:v>
                </c:pt>
                <c:pt idx="202">
                  <c:v>30621</c:v>
                </c:pt>
                <c:pt idx="203">
                  <c:v>30651</c:v>
                </c:pt>
                <c:pt idx="204">
                  <c:v>30682</c:v>
                </c:pt>
                <c:pt idx="205">
                  <c:v>30713</c:v>
                </c:pt>
                <c:pt idx="206">
                  <c:v>30742</c:v>
                </c:pt>
                <c:pt idx="207">
                  <c:v>30773</c:v>
                </c:pt>
                <c:pt idx="208">
                  <c:v>30803</c:v>
                </c:pt>
                <c:pt idx="209">
                  <c:v>30834</c:v>
                </c:pt>
                <c:pt idx="210">
                  <c:v>30864</c:v>
                </c:pt>
                <c:pt idx="211">
                  <c:v>30895</c:v>
                </c:pt>
                <c:pt idx="212">
                  <c:v>30926</c:v>
                </c:pt>
                <c:pt idx="213">
                  <c:v>30956</c:v>
                </c:pt>
                <c:pt idx="214">
                  <c:v>30987</c:v>
                </c:pt>
                <c:pt idx="215">
                  <c:v>31017</c:v>
                </c:pt>
                <c:pt idx="216">
                  <c:v>31048</c:v>
                </c:pt>
                <c:pt idx="217">
                  <c:v>31079</c:v>
                </c:pt>
                <c:pt idx="218">
                  <c:v>31107</c:v>
                </c:pt>
                <c:pt idx="219">
                  <c:v>31138</c:v>
                </c:pt>
                <c:pt idx="220">
                  <c:v>31168</c:v>
                </c:pt>
                <c:pt idx="221">
                  <c:v>31199</c:v>
                </c:pt>
                <c:pt idx="222">
                  <c:v>31229</c:v>
                </c:pt>
                <c:pt idx="223">
                  <c:v>31260</c:v>
                </c:pt>
                <c:pt idx="224">
                  <c:v>31291</c:v>
                </c:pt>
                <c:pt idx="225">
                  <c:v>31321</c:v>
                </c:pt>
                <c:pt idx="226">
                  <c:v>31352</c:v>
                </c:pt>
                <c:pt idx="227">
                  <c:v>31382</c:v>
                </c:pt>
                <c:pt idx="228">
                  <c:v>31413</c:v>
                </c:pt>
                <c:pt idx="229">
                  <c:v>31444</c:v>
                </c:pt>
                <c:pt idx="230">
                  <c:v>31472</c:v>
                </c:pt>
                <c:pt idx="231">
                  <c:v>31503</c:v>
                </c:pt>
                <c:pt idx="232">
                  <c:v>31533</c:v>
                </c:pt>
                <c:pt idx="233">
                  <c:v>31564</c:v>
                </c:pt>
                <c:pt idx="234">
                  <c:v>31594</c:v>
                </c:pt>
                <c:pt idx="235">
                  <c:v>31625</c:v>
                </c:pt>
                <c:pt idx="236">
                  <c:v>31656</c:v>
                </c:pt>
                <c:pt idx="237">
                  <c:v>31686</c:v>
                </c:pt>
                <c:pt idx="238">
                  <c:v>31717</c:v>
                </c:pt>
                <c:pt idx="239">
                  <c:v>31747</c:v>
                </c:pt>
                <c:pt idx="240">
                  <c:v>31778</c:v>
                </c:pt>
                <c:pt idx="241">
                  <c:v>31809</c:v>
                </c:pt>
                <c:pt idx="242">
                  <c:v>31837</c:v>
                </c:pt>
                <c:pt idx="243">
                  <c:v>31868</c:v>
                </c:pt>
                <c:pt idx="244">
                  <c:v>31898</c:v>
                </c:pt>
                <c:pt idx="245">
                  <c:v>31929</c:v>
                </c:pt>
                <c:pt idx="246">
                  <c:v>31959</c:v>
                </c:pt>
                <c:pt idx="247">
                  <c:v>31990</c:v>
                </c:pt>
                <c:pt idx="248">
                  <c:v>32021</c:v>
                </c:pt>
                <c:pt idx="249">
                  <c:v>32051</c:v>
                </c:pt>
                <c:pt idx="250">
                  <c:v>32082</c:v>
                </c:pt>
                <c:pt idx="251">
                  <c:v>32112</c:v>
                </c:pt>
                <c:pt idx="252">
                  <c:v>32143</c:v>
                </c:pt>
                <c:pt idx="253">
                  <c:v>32174</c:v>
                </c:pt>
                <c:pt idx="254">
                  <c:v>32203</c:v>
                </c:pt>
                <c:pt idx="255">
                  <c:v>32234</c:v>
                </c:pt>
                <c:pt idx="256">
                  <c:v>32264</c:v>
                </c:pt>
                <c:pt idx="257">
                  <c:v>32295</c:v>
                </c:pt>
                <c:pt idx="258">
                  <c:v>32325</c:v>
                </c:pt>
                <c:pt idx="259">
                  <c:v>32356</c:v>
                </c:pt>
                <c:pt idx="260">
                  <c:v>32387</c:v>
                </c:pt>
                <c:pt idx="261">
                  <c:v>32417</c:v>
                </c:pt>
                <c:pt idx="262">
                  <c:v>32448</c:v>
                </c:pt>
                <c:pt idx="263">
                  <c:v>32478</c:v>
                </c:pt>
                <c:pt idx="264">
                  <c:v>32509</c:v>
                </c:pt>
                <c:pt idx="265">
                  <c:v>32540</c:v>
                </c:pt>
                <c:pt idx="266">
                  <c:v>32568</c:v>
                </c:pt>
                <c:pt idx="267">
                  <c:v>32599</c:v>
                </c:pt>
                <c:pt idx="268">
                  <c:v>32629</c:v>
                </c:pt>
                <c:pt idx="269">
                  <c:v>32660</c:v>
                </c:pt>
                <c:pt idx="270">
                  <c:v>32690</c:v>
                </c:pt>
                <c:pt idx="271">
                  <c:v>32721</c:v>
                </c:pt>
                <c:pt idx="272">
                  <c:v>32752</c:v>
                </c:pt>
                <c:pt idx="273">
                  <c:v>32782</c:v>
                </c:pt>
                <c:pt idx="274">
                  <c:v>32813</c:v>
                </c:pt>
                <c:pt idx="275">
                  <c:v>32843</c:v>
                </c:pt>
                <c:pt idx="276">
                  <c:v>32874</c:v>
                </c:pt>
                <c:pt idx="277">
                  <c:v>32905</c:v>
                </c:pt>
                <c:pt idx="278">
                  <c:v>32933</c:v>
                </c:pt>
                <c:pt idx="279">
                  <c:v>32964</c:v>
                </c:pt>
                <c:pt idx="280">
                  <c:v>32994</c:v>
                </c:pt>
                <c:pt idx="281">
                  <c:v>33025</c:v>
                </c:pt>
                <c:pt idx="282">
                  <c:v>33055</c:v>
                </c:pt>
                <c:pt idx="283">
                  <c:v>33086</c:v>
                </c:pt>
                <c:pt idx="284">
                  <c:v>33117</c:v>
                </c:pt>
                <c:pt idx="285">
                  <c:v>33147</c:v>
                </c:pt>
                <c:pt idx="286">
                  <c:v>33178</c:v>
                </c:pt>
                <c:pt idx="287">
                  <c:v>33208</c:v>
                </c:pt>
                <c:pt idx="288">
                  <c:v>33239</c:v>
                </c:pt>
                <c:pt idx="289">
                  <c:v>33270</c:v>
                </c:pt>
                <c:pt idx="290">
                  <c:v>33298</c:v>
                </c:pt>
                <c:pt idx="291">
                  <c:v>33329</c:v>
                </c:pt>
                <c:pt idx="292">
                  <c:v>33359</c:v>
                </c:pt>
                <c:pt idx="293">
                  <c:v>33390</c:v>
                </c:pt>
                <c:pt idx="294">
                  <c:v>33420</c:v>
                </c:pt>
                <c:pt idx="295">
                  <c:v>33451</c:v>
                </c:pt>
                <c:pt idx="296">
                  <c:v>33482</c:v>
                </c:pt>
                <c:pt idx="297">
                  <c:v>33512</c:v>
                </c:pt>
                <c:pt idx="298">
                  <c:v>33543</c:v>
                </c:pt>
                <c:pt idx="299">
                  <c:v>33573</c:v>
                </c:pt>
                <c:pt idx="300">
                  <c:v>33604</c:v>
                </c:pt>
                <c:pt idx="301">
                  <c:v>33635</c:v>
                </c:pt>
                <c:pt idx="302">
                  <c:v>33664</c:v>
                </c:pt>
                <c:pt idx="303">
                  <c:v>33695</c:v>
                </c:pt>
                <c:pt idx="304">
                  <c:v>33725</c:v>
                </c:pt>
                <c:pt idx="305">
                  <c:v>33756</c:v>
                </c:pt>
                <c:pt idx="306">
                  <c:v>33786</c:v>
                </c:pt>
                <c:pt idx="307">
                  <c:v>33817</c:v>
                </c:pt>
                <c:pt idx="308">
                  <c:v>33848</c:v>
                </c:pt>
                <c:pt idx="309">
                  <c:v>33878</c:v>
                </c:pt>
                <c:pt idx="310">
                  <c:v>33909</c:v>
                </c:pt>
                <c:pt idx="311">
                  <c:v>33939</c:v>
                </c:pt>
                <c:pt idx="312">
                  <c:v>33970</c:v>
                </c:pt>
                <c:pt idx="313">
                  <c:v>34001</c:v>
                </c:pt>
                <c:pt idx="314">
                  <c:v>34029</c:v>
                </c:pt>
                <c:pt idx="315">
                  <c:v>34060</c:v>
                </c:pt>
                <c:pt idx="316">
                  <c:v>34090</c:v>
                </c:pt>
                <c:pt idx="317">
                  <c:v>34121</c:v>
                </c:pt>
                <c:pt idx="318">
                  <c:v>34151</c:v>
                </c:pt>
                <c:pt idx="319">
                  <c:v>34182</c:v>
                </c:pt>
                <c:pt idx="320">
                  <c:v>34213</c:v>
                </c:pt>
                <c:pt idx="321">
                  <c:v>34243</c:v>
                </c:pt>
                <c:pt idx="322">
                  <c:v>34274</c:v>
                </c:pt>
                <c:pt idx="323">
                  <c:v>34304</c:v>
                </c:pt>
                <c:pt idx="324">
                  <c:v>34335</c:v>
                </c:pt>
                <c:pt idx="325">
                  <c:v>34366</c:v>
                </c:pt>
                <c:pt idx="326">
                  <c:v>34394</c:v>
                </c:pt>
                <c:pt idx="327">
                  <c:v>34425</c:v>
                </c:pt>
                <c:pt idx="328">
                  <c:v>34455</c:v>
                </c:pt>
                <c:pt idx="329">
                  <c:v>34486</c:v>
                </c:pt>
                <c:pt idx="330">
                  <c:v>34516</c:v>
                </c:pt>
                <c:pt idx="331">
                  <c:v>34547</c:v>
                </c:pt>
                <c:pt idx="332">
                  <c:v>34578</c:v>
                </c:pt>
                <c:pt idx="333">
                  <c:v>34608</c:v>
                </c:pt>
                <c:pt idx="334">
                  <c:v>34639</c:v>
                </c:pt>
                <c:pt idx="335">
                  <c:v>34669</c:v>
                </c:pt>
                <c:pt idx="336">
                  <c:v>34700</c:v>
                </c:pt>
                <c:pt idx="337">
                  <c:v>34731</c:v>
                </c:pt>
                <c:pt idx="338">
                  <c:v>34759</c:v>
                </c:pt>
                <c:pt idx="339">
                  <c:v>34790</c:v>
                </c:pt>
                <c:pt idx="340">
                  <c:v>34820</c:v>
                </c:pt>
                <c:pt idx="341">
                  <c:v>34851</c:v>
                </c:pt>
                <c:pt idx="342">
                  <c:v>34881</c:v>
                </c:pt>
                <c:pt idx="343">
                  <c:v>34912</c:v>
                </c:pt>
                <c:pt idx="344">
                  <c:v>34943</c:v>
                </c:pt>
                <c:pt idx="345">
                  <c:v>34973</c:v>
                </c:pt>
                <c:pt idx="346">
                  <c:v>35004</c:v>
                </c:pt>
                <c:pt idx="347">
                  <c:v>35034</c:v>
                </c:pt>
                <c:pt idx="348">
                  <c:v>35065</c:v>
                </c:pt>
                <c:pt idx="349">
                  <c:v>35096</c:v>
                </c:pt>
                <c:pt idx="350">
                  <c:v>35125</c:v>
                </c:pt>
                <c:pt idx="351">
                  <c:v>35156</c:v>
                </c:pt>
                <c:pt idx="352">
                  <c:v>35186</c:v>
                </c:pt>
                <c:pt idx="353">
                  <c:v>35217</c:v>
                </c:pt>
                <c:pt idx="354">
                  <c:v>35247</c:v>
                </c:pt>
                <c:pt idx="355">
                  <c:v>35278</c:v>
                </c:pt>
                <c:pt idx="356">
                  <c:v>35309</c:v>
                </c:pt>
                <c:pt idx="357">
                  <c:v>35339</c:v>
                </c:pt>
                <c:pt idx="358">
                  <c:v>35370</c:v>
                </c:pt>
                <c:pt idx="359">
                  <c:v>35400</c:v>
                </c:pt>
                <c:pt idx="360">
                  <c:v>35431</c:v>
                </c:pt>
                <c:pt idx="361">
                  <c:v>35462</c:v>
                </c:pt>
                <c:pt idx="362">
                  <c:v>35490</c:v>
                </c:pt>
                <c:pt idx="363">
                  <c:v>35521</c:v>
                </c:pt>
                <c:pt idx="364">
                  <c:v>35551</c:v>
                </c:pt>
                <c:pt idx="365">
                  <c:v>35582</c:v>
                </c:pt>
                <c:pt idx="366">
                  <c:v>35612</c:v>
                </c:pt>
                <c:pt idx="367">
                  <c:v>35643</c:v>
                </c:pt>
                <c:pt idx="368">
                  <c:v>35674</c:v>
                </c:pt>
                <c:pt idx="369">
                  <c:v>35704</c:v>
                </c:pt>
                <c:pt idx="370">
                  <c:v>35735</c:v>
                </c:pt>
                <c:pt idx="371">
                  <c:v>35765</c:v>
                </c:pt>
                <c:pt idx="372">
                  <c:v>35796</c:v>
                </c:pt>
                <c:pt idx="373">
                  <c:v>35827</c:v>
                </c:pt>
                <c:pt idx="374">
                  <c:v>35855</c:v>
                </c:pt>
                <c:pt idx="375">
                  <c:v>35886</c:v>
                </c:pt>
                <c:pt idx="376">
                  <c:v>35916</c:v>
                </c:pt>
                <c:pt idx="377">
                  <c:v>35947</c:v>
                </c:pt>
                <c:pt idx="378">
                  <c:v>35977</c:v>
                </c:pt>
                <c:pt idx="379">
                  <c:v>36008</c:v>
                </c:pt>
                <c:pt idx="380">
                  <c:v>36039</c:v>
                </c:pt>
                <c:pt idx="381">
                  <c:v>36069</c:v>
                </c:pt>
                <c:pt idx="382">
                  <c:v>36100</c:v>
                </c:pt>
                <c:pt idx="383">
                  <c:v>36130</c:v>
                </c:pt>
                <c:pt idx="384">
                  <c:v>36161</c:v>
                </c:pt>
                <c:pt idx="385">
                  <c:v>36192</c:v>
                </c:pt>
                <c:pt idx="386">
                  <c:v>36220</c:v>
                </c:pt>
                <c:pt idx="387">
                  <c:v>36251</c:v>
                </c:pt>
                <c:pt idx="388">
                  <c:v>36281</c:v>
                </c:pt>
                <c:pt idx="389">
                  <c:v>36312</c:v>
                </c:pt>
                <c:pt idx="390">
                  <c:v>36342</c:v>
                </c:pt>
                <c:pt idx="391">
                  <c:v>36373</c:v>
                </c:pt>
                <c:pt idx="392">
                  <c:v>36404</c:v>
                </c:pt>
                <c:pt idx="393">
                  <c:v>36434</c:v>
                </c:pt>
                <c:pt idx="394">
                  <c:v>36465</c:v>
                </c:pt>
                <c:pt idx="395">
                  <c:v>36495</c:v>
                </c:pt>
                <c:pt idx="396">
                  <c:v>36526</c:v>
                </c:pt>
                <c:pt idx="397">
                  <c:v>36557</c:v>
                </c:pt>
                <c:pt idx="398">
                  <c:v>36586</c:v>
                </c:pt>
                <c:pt idx="399">
                  <c:v>36617</c:v>
                </c:pt>
                <c:pt idx="400">
                  <c:v>36647</c:v>
                </c:pt>
                <c:pt idx="401">
                  <c:v>36678</c:v>
                </c:pt>
                <c:pt idx="402">
                  <c:v>36708</c:v>
                </c:pt>
                <c:pt idx="403">
                  <c:v>36739</c:v>
                </c:pt>
                <c:pt idx="404">
                  <c:v>36770</c:v>
                </c:pt>
                <c:pt idx="405">
                  <c:v>36800</c:v>
                </c:pt>
                <c:pt idx="406">
                  <c:v>36831</c:v>
                </c:pt>
                <c:pt idx="407">
                  <c:v>36861</c:v>
                </c:pt>
                <c:pt idx="408">
                  <c:v>36892</c:v>
                </c:pt>
                <c:pt idx="409">
                  <c:v>36923</c:v>
                </c:pt>
                <c:pt idx="410">
                  <c:v>36951</c:v>
                </c:pt>
                <c:pt idx="411">
                  <c:v>36982</c:v>
                </c:pt>
                <c:pt idx="412">
                  <c:v>37012</c:v>
                </c:pt>
                <c:pt idx="413">
                  <c:v>37043</c:v>
                </c:pt>
                <c:pt idx="414">
                  <c:v>37073</c:v>
                </c:pt>
                <c:pt idx="415">
                  <c:v>37104</c:v>
                </c:pt>
                <c:pt idx="416">
                  <c:v>37135</c:v>
                </c:pt>
                <c:pt idx="417">
                  <c:v>37165</c:v>
                </c:pt>
                <c:pt idx="418">
                  <c:v>37196</c:v>
                </c:pt>
                <c:pt idx="419">
                  <c:v>37226</c:v>
                </c:pt>
                <c:pt idx="420">
                  <c:v>37257</c:v>
                </c:pt>
                <c:pt idx="421">
                  <c:v>37288</c:v>
                </c:pt>
                <c:pt idx="422">
                  <c:v>37316</c:v>
                </c:pt>
                <c:pt idx="423">
                  <c:v>37347</c:v>
                </c:pt>
                <c:pt idx="424">
                  <c:v>37377</c:v>
                </c:pt>
                <c:pt idx="425">
                  <c:v>37408</c:v>
                </c:pt>
                <c:pt idx="426">
                  <c:v>37438</c:v>
                </c:pt>
                <c:pt idx="427">
                  <c:v>37469</c:v>
                </c:pt>
                <c:pt idx="428">
                  <c:v>37500</c:v>
                </c:pt>
                <c:pt idx="429">
                  <c:v>37530</c:v>
                </c:pt>
                <c:pt idx="430">
                  <c:v>37561</c:v>
                </c:pt>
                <c:pt idx="431">
                  <c:v>37591</c:v>
                </c:pt>
                <c:pt idx="432">
                  <c:v>37622</c:v>
                </c:pt>
                <c:pt idx="433">
                  <c:v>37653</c:v>
                </c:pt>
                <c:pt idx="434">
                  <c:v>37681</c:v>
                </c:pt>
                <c:pt idx="435">
                  <c:v>37712</c:v>
                </c:pt>
                <c:pt idx="436">
                  <c:v>37742</c:v>
                </c:pt>
                <c:pt idx="437">
                  <c:v>37773</c:v>
                </c:pt>
                <c:pt idx="438">
                  <c:v>37803</c:v>
                </c:pt>
                <c:pt idx="439">
                  <c:v>37834</c:v>
                </c:pt>
                <c:pt idx="440">
                  <c:v>37865</c:v>
                </c:pt>
                <c:pt idx="441">
                  <c:v>37895</c:v>
                </c:pt>
                <c:pt idx="442">
                  <c:v>37926</c:v>
                </c:pt>
                <c:pt idx="443">
                  <c:v>37956</c:v>
                </c:pt>
                <c:pt idx="444">
                  <c:v>37987</c:v>
                </c:pt>
                <c:pt idx="445">
                  <c:v>38018</c:v>
                </c:pt>
                <c:pt idx="446">
                  <c:v>38047</c:v>
                </c:pt>
                <c:pt idx="447">
                  <c:v>38078</c:v>
                </c:pt>
                <c:pt idx="448">
                  <c:v>38108</c:v>
                </c:pt>
                <c:pt idx="449">
                  <c:v>38139</c:v>
                </c:pt>
                <c:pt idx="450">
                  <c:v>38169</c:v>
                </c:pt>
                <c:pt idx="451">
                  <c:v>38200</c:v>
                </c:pt>
                <c:pt idx="452">
                  <c:v>38231</c:v>
                </c:pt>
                <c:pt idx="453">
                  <c:v>38261</c:v>
                </c:pt>
                <c:pt idx="454">
                  <c:v>38292</c:v>
                </c:pt>
                <c:pt idx="455">
                  <c:v>38322</c:v>
                </c:pt>
                <c:pt idx="456">
                  <c:v>38353</c:v>
                </c:pt>
                <c:pt idx="457">
                  <c:v>38384</c:v>
                </c:pt>
                <c:pt idx="458">
                  <c:v>38412</c:v>
                </c:pt>
                <c:pt idx="459">
                  <c:v>38443</c:v>
                </c:pt>
                <c:pt idx="460">
                  <c:v>38473</c:v>
                </c:pt>
                <c:pt idx="461">
                  <c:v>38504</c:v>
                </c:pt>
                <c:pt idx="462">
                  <c:v>38534</c:v>
                </c:pt>
                <c:pt idx="463">
                  <c:v>38565</c:v>
                </c:pt>
                <c:pt idx="464">
                  <c:v>38596</c:v>
                </c:pt>
                <c:pt idx="465">
                  <c:v>38626</c:v>
                </c:pt>
                <c:pt idx="466">
                  <c:v>38657</c:v>
                </c:pt>
                <c:pt idx="467">
                  <c:v>38687</c:v>
                </c:pt>
                <c:pt idx="468">
                  <c:v>38718</c:v>
                </c:pt>
                <c:pt idx="469">
                  <c:v>38749</c:v>
                </c:pt>
                <c:pt idx="470">
                  <c:v>38777</c:v>
                </c:pt>
                <c:pt idx="471">
                  <c:v>38808</c:v>
                </c:pt>
                <c:pt idx="472">
                  <c:v>38838</c:v>
                </c:pt>
                <c:pt idx="473">
                  <c:v>38869</c:v>
                </c:pt>
                <c:pt idx="474">
                  <c:v>38899</c:v>
                </c:pt>
                <c:pt idx="475">
                  <c:v>38930</c:v>
                </c:pt>
                <c:pt idx="476">
                  <c:v>38961</c:v>
                </c:pt>
                <c:pt idx="477">
                  <c:v>38991</c:v>
                </c:pt>
                <c:pt idx="478">
                  <c:v>39022</c:v>
                </c:pt>
                <c:pt idx="479">
                  <c:v>39052</c:v>
                </c:pt>
                <c:pt idx="480">
                  <c:v>39083</c:v>
                </c:pt>
                <c:pt idx="481">
                  <c:v>39114</c:v>
                </c:pt>
                <c:pt idx="482">
                  <c:v>39142</c:v>
                </c:pt>
                <c:pt idx="483">
                  <c:v>39173</c:v>
                </c:pt>
                <c:pt idx="484">
                  <c:v>39203</c:v>
                </c:pt>
                <c:pt idx="485">
                  <c:v>39234</c:v>
                </c:pt>
                <c:pt idx="486">
                  <c:v>39264</c:v>
                </c:pt>
                <c:pt idx="487">
                  <c:v>39295</c:v>
                </c:pt>
                <c:pt idx="488">
                  <c:v>39326</c:v>
                </c:pt>
                <c:pt idx="489">
                  <c:v>39356</c:v>
                </c:pt>
                <c:pt idx="490">
                  <c:v>39387</c:v>
                </c:pt>
                <c:pt idx="491">
                  <c:v>39417</c:v>
                </c:pt>
                <c:pt idx="492">
                  <c:v>39448</c:v>
                </c:pt>
                <c:pt idx="493">
                  <c:v>39479</c:v>
                </c:pt>
                <c:pt idx="494">
                  <c:v>39508</c:v>
                </c:pt>
                <c:pt idx="495">
                  <c:v>39539</c:v>
                </c:pt>
                <c:pt idx="496">
                  <c:v>39569</c:v>
                </c:pt>
                <c:pt idx="497">
                  <c:v>39600</c:v>
                </c:pt>
                <c:pt idx="498">
                  <c:v>39630</c:v>
                </c:pt>
                <c:pt idx="499">
                  <c:v>39661</c:v>
                </c:pt>
                <c:pt idx="500">
                  <c:v>39692</c:v>
                </c:pt>
                <c:pt idx="501">
                  <c:v>39722</c:v>
                </c:pt>
                <c:pt idx="502">
                  <c:v>39753</c:v>
                </c:pt>
                <c:pt idx="503">
                  <c:v>39783</c:v>
                </c:pt>
                <c:pt idx="504">
                  <c:v>39814</c:v>
                </c:pt>
                <c:pt idx="505">
                  <c:v>39845</c:v>
                </c:pt>
                <c:pt idx="506">
                  <c:v>39873</c:v>
                </c:pt>
                <c:pt idx="507">
                  <c:v>39904</c:v>
                </c:pt>
                <c:pt idx="508">
                  <c:v>39934</c:v>
                </c:pt>
                <c:pt idx="509">
                  <c:v>39965</c:v>
                </c:pt>
                <c:pt idx="510">
                  <c:v>39995</c:v>
                </c:pt>
                <c:pt idx="511">
                  <c:v>40026</c:v>
                </c:pt>
                <c:pt idx="512">
                  <c:v>40057</c:v>
                </c:pt>
                <c:pt idx="513">
                  <c:v>40087</c:v>
                </c:pt>
                <c:pt idx="514">
                  <c:v>40118</c:v>
                </c:pt>
                <c:pt idx="515">
                  <c:v>40148</c:v>
                </c:pt>
                <c:pt idx="516">
                  <c:v>40179</c:v>
                </c:pt>
                <c:pt idx="517">
                  <c:v>40210</c:v>
                </c:pt>
                <c:pt idx="518">
                  <c:v>40238</c:v>
                </c:pt>
                <c:pt idx="519">
                  <c:v>40269</c:v>
                </c:pt>
              </c:numCache>
            </c:numRef>
          </c:cat>
          <c:val>
            <c:numRef>
              <c:f>'CPI data'!$I$17:$I$536</c:f>
              <c:numCache>
                <c:formatCode>General</c:formatCode>
                <c:ptCount val="52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179904"/>
        <c:axId val="139181440"/>
      </c:lineChart>
      <c:dateAx>
        <c:axId val="139179904"/>
        <c:scaling>
          <c:orientation val="minMax"/>
          <c:min val="34700"/>
        </c:scaling>
        <c:delete val="0"/>
        <c:axPos val="b"/>
        <c:numFmt formatCode="yyyy" sourceLinked="0"/>
        <c:majorTickMark val="in"/>
        <c:minorTickMark val="none"/>
        <c:tickLblPos val="low"/>
        <c:crossAx val="139181440"/>
        <c:crosses val="autoZero"/>
        <c:auto val="1"/>
        <c:lblOffset val="100"/>
        <c:baseTimeUnit val="months"/>
        <c:majorUnit val="24"/>
        <c:majorTimeUnit val="months"/>
      </c:dateAx>
      <c:valAx>
        <c:axId val="139181440"/>
        <c:scaling>
          <c:orientation val="minMax"/>
          <c:max val="6"/>
          <c:min val="-3"/>
        </c:scaling>
        <c:delete val="0"/>
        <c:axPos val="l"/>
        <c:numFmt formatCode="General" sourceLinked="1"/>
        <c:majorTickMark val="in"/>
        <c:minorTickMark val="none"/>
        <c:tickLblPos val="nextTo"/>
        <c:crossAx val="139179904"/>
        <c:crosses val="autoZero"/>
        <c:crossBetween val="between"/>
        <c:majorUnit val="1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1002566619423204"/>
          <c:y val="1.236797103622384E-2"/>
          <c:w val="0.38558231943316706"/>
          <c:h val="0.10538837912854918"/>
        </c:manualLayout>
      </c:layout>
      <c:overlay val="0"/>
    </c:legend>
    <c:plotVisOnly val="1"/>
    <c:dispBlanksAs val="gap"/>
    <c:showDLblsOverMax val="0"/>
  </c:chart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7792799517224887E-2"/>
          <c:y val="1.3250871158180161E-2"/>
          <c:w val="0.94165814104821588"/>
          <c:h val="0.96530317247056463"/>
        </c:manualLayout>
      </c:layou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2611968"/>
        <c:axId val="272621952"/>
      </c:lineChart>
      <c:catAx>
        <c:axId val="272611968"/>
        <c:scaling>
          <c:orientation val="minMax"/>
          <c:min val="157"/>
        </c:scaling>
        <c:delete val="0"/>
        <c:axPos val="b"/>
        <c:numFmt formatCode="yyyy" sourceLinked="0"/>
        <c:majorTickMark val="in"/>
        <c:minorTickMark val="none"/>
        <c:tickLblPos val="low"/>
        <c:crossAx val="272621952"/>
        <c:crosses val="autoZero"/>
        <c:auto val="1"/>
        <c:lblAlgn val="ctr"/>
        <c:lblOffset val="100"/>
        <c:tickLblSkip val="24"/>
        <c:noMultiLvlLbl val="0"/>
      </c:catAx>
      <c:valAx>
        <c:axId val="272621952"/>
        <c:scaling>
          <c:orientation val="minMax"/>
        </c:scaling>
        <c:delete val="0"/>
        <c:axPos val="l"/>
        <c:majorGridlines/>
        <c:numFmt formatCode="General" sourceLinked="1"/>
        <c:majorTickMark val="in"/>
        <c:minorTickMark val="none"/>
        <c:tickLblPos val="nextTo"/>
        <c:crossAx val="27261196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1836202071854949"/>
          <c:y val="1.6381237568156407E-2"/>
          <c:w val="0.2816379792814524"/>
          <c:h val="0.10885732663676041"/>
        </c:manualLayout>
      </c:layout>
      <c:overlay val="0"/>
    </c:legend>
    <c:plotVisOnly val="1"/>
    <c:dispBlanksAs val="gap"/>
    <c:showDLblsOverMax val="0"/>
  </c:chart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5" workbookViewId="0" zoomToFit="1"/>
  </sheetViews>
  <pageMargins left="0.7" right="0.7" top="0.75" bottom="0.7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25" workbookViewId="0" zoomToFit="1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-31488"/>
    <xdr:ext cx="8674835" cy="632900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0.05354</cdr:x>
      <cdr:y>0.01493</cdr:y>
    </cdr:from>
    <cdr:to>
      <cdr:x>0.35844</cdr:x>
      <cdr:y>0.05665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64430" y="94463"/>
          <a:ext cx="2644957" cy="2640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12-month</a:t>
          </a:r>
          <a:r>
            <a:rPr lang="en-US" sz="1100" baseline="0"/>
            <a:t> percent change</a:t>
          </a:r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-31488"/>
    <xdr:ext cx="8674835" cy="632900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0.05626</cdr:x>
      <cdr:y>0</cdr:y>
    </cdr:from>
    <cdr:to>
      <cdr:x>0.36116</cdr:x>
      <cdr:y>0.04172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88058" y="-425081"/>
          <a:ext cx="2644958" cy="2440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12-month</a:t>
          </a:r>
          <a:r>
            <a:rPr lang="en-US" sz="1100" baseline="0"/>
            <a:t> percent change</a:t>
          </a:r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573"/>
  <sheetViews>
    <sheetView tabSelected="1" workbookViewId="0">
      <pane ySplit="1" topLeftCell="A558" activePane="bottomLeft" state="frozen"/>
      <selection pane="bottomLeft" activeCell="K572" sqref="K572"/>
    </sheetView>
  </sheetViews>
  <sheetFormatPr defaultRowHeight="15" x14ac:dyDescent="0.25"/>
  <cols>
    <col min="1" max="1" width="9.140625" style="16"/>
    <col min="2" max="2" width="12" style="1" bestFit="1" customWidth="1"/>
    <col min="3" max="3" width="10" style="1" customWidth="1"/>
    <col min="4" max="6" width="9.140625" style="1"/>
    <col min="7" max="7" width="10.7109375" style="1" customWidth="1"/>
    <col min="8" max="9" width="9.140625" style="1"/>
    <col min="10" max="10" width="11.7109375" style="1" customWidth="1"/>
    <col min="11" max="11" width="10.42578125" style="1" customWidth="1"/>
    <col min="12" max="14" width="9.140625" style="1"/>
    <col min="15" max="15" width="10.28515625" style="1" customWidth="1"/>
    <col min="16" max="17" width="9.140625" style="1"/>
    <col min="18" max="18" width="11.7109375" style="1" customWidth="1"/>
    <col min="19" max="19" width="10.42578125" style="1" customWidth="1"/>
    <col min="20" max="22" width="9.140625" style="1"/>
    <col min="23" max="23" width="10.28515625" style="1" customWidth="1"/>
    <col min="24" max="16384" width="9.140625" style="1"/>
  </cols>
  <sheetData>
    <row r="1" spans="1:25" s="2" customFormat="1" ht="64.5" x14ac:dyDescent="0.25">
      <c r="A1" s="6" t="s">
        <v>10</v>
      </c>
      <c r="B1" s="3" t="s">
        <v>6</v>
      </c>
      <c r="C1" s="4" t="s">
        <v>0</v>
      </c>
      <c r="D1" s="5" t="s">
        <v>1</v>
      </c>
      <c r="E1" s="5" t="s">
        <v>2</v>
      </c>
      <c r="F1" s="3" t="s">
        <v>7</v>
      </c>
      <c r="G1" s="5" t="s">
        <v>0</v>
      </c>
      <c r="H1" s="5" t="s">
        <v>1</v>
      </c>
      <c r="I1" s="5" t="s">
        <v>2</v>
      </c>
      <c r="J1" s="3" t="s">
        <v>8</v>
      </c>
      <c r="K1" s="5" t="s">
        <v>0</v>
      </c>
      <c r="L1" s="5" t="s">
        <v>1</v>
      </c>
      <c r="M1" s="5" t="s">
        <v>2</v>
      </c>
      <c r="N1" s="3" t="s">
        <v>9</v>
      </c>
      <c r="O1" s="5" t="s">
        <v>0</v>
      </c>
      <c r="P1" s="5" t="s">
        <v>1</v>
      </c>
      <c r="Q1" s="5" t="s">
        <v>2</v>
      </c>
      <c r="R1" s="3" t="s">
        <v>3</v>
      </c>
      <c r="S1" s="5" t="s">
        <v>0</v>
      </c>
      <c r="T1" s="5" t="s">
        <v>1</v>
      </c>
      <c r="U1" s="5" t="s">
        <v>2</v>
      </c>
      <c r="V1" s="3" t="s">
        <v>4</v>
      </c>
      <c r="W1" s="5" t="s">
        <v>0</v>
      </c>
      <c r="X1" s="5" t="s">
        <v>1</v>
      </c>
      <c r="Y1" s="5" t="s">
        <v>2</v>
      </c>
    </row>
    <row r="2" spans="1:25" x14ac:dyDescent="0.25">
      <c r="A2" s="7">
        <v>24473</v>
      </c>
      <c r="B2" s="28">
        <v>9.1864065666372239E-4</v>
      </c>
      <c r="C2" s="17">
        <f>((1+B2)^12 - 1)*100</f>
        <v>1.1079556229426801</v>
      </c>
      <c r="D2" s="17" t="s">
        <v>5</v>
      </c>
      <c r="E2" s="27" t="s">
        <v>5</v>
      </c>
      <c r="F2" s="29">
        <v>3.5511337307597415E-3</v>
      </c>
      <c r="G2" s="17">
        <f>((1+F2)^12 - 1)*100</f>
        <v>4.3455832272655259</v>
      </c>
      <c r="H2" s="17" t="s">
        <v>5</v>
      </c>
      <c r="I2" s="27" t="s">
        <v>5</v>
      </c>
      <c r="J2" s="8">
        <v>2.4882723120535745E-3</v>
      </c>
      <c r="K2" s="17">
        <f>((1+J2)^12 - 1)*100</f>
        <v>3.0271315086468187</v>
      </c>
      <c r="L2" s="17" t="s">
        <v>5</v>
      </c>
      <c r="M2" s="27" t="s">
        <v>5</v>
      </c>
      <c r="N2" s="9">
        <v>2.2381955653277435E-3</v>
      </c>
      <c r="O2" s="17">
        <f>((1+N2)^12 - 1)*100</f>
        <v>2.7191454232847967</v>
      </c>
      <c r="P2" s="17" t="s">
        <v>5</v>
      </c>
      <c r="Q2" s="27" t="s">
        <v>5</v>
      </c>
      <c r="R2" s="8">
        <v>1.9318031802638277E-3</v>
      </c>
      <c r="S2" s="17">
        <v>2.3429534100772642</v>
      </c>
      <c r="T2" s="17" t="s">
        <v>5</v>
      </c>
      <c r="U2" s="27" t="s">
        <v>5</v>
      </c>
      <c r="V2" s="9">
        <v>1.3860755830071372E-3</v>
      </c>
      <c r="W2" s="17">
        <v>1.6760294237576856</v>
      </c>
      <c r="X2" s="17" t="s">
        <v>5</v>
      </c>
      <c r="Y2" s="27" t="s">
        <v>5</v>
      </c>
    </row>
    <row r="3" spans="1:25" x14ac:dyDescent="0.25">
      <c r="A3" s="7">
        <v>24504</v>
      </c>
      <c r="B3" s="28">
        <v>1.6745155803318706E-3</v>
      </c>
      <c r="C3" s="17">
        <f t="shared" ref="C3:C66" si="0">((1+B3)^12 - 1)*100</f>
        <v>2.0280288002697988</v>
      </c>
      <c r="D3" s="17" t="s">
        <v>5</v>
      </c>
      <c r="E3" s="27" t="s">
        <v>5</v>
      </c>
      <c r="F3" s="29">
        <v>6.9631173806585052E-3</v>
      </c>
      <c r="G3" s="17">
        <f t="shared" ref="G3:G66" si="1">((1+F3)^12 - 1)*100</f>
        <v>8.6832869012920533</v>
      </c>
      <c r="H3" s="17" t="s">
        <v>5</v>
      </c>
      <c r="I3" s="27" t="s">
        <v>5</v>
      </c>
      <c r="J3" s="8">
        <v>3.1957096768475946E-3</v>
      </c>
      <c r="K3" s="17">
        <f t="shared" ref="K3:K12" si="2">((1+J3)^12 - 1)*100</f>
        <v>3.9029776999336629</v>
      </c>
      <c r="L3" s="17" t="s">
        <v>5</v>
      </c>
      <c r="M3" s="27" t="s">
        <v>5</v>
      </c>
      <c r="N3" s="9">
        <v>2.9387051483141025E-3</v>
      </c>
      <c r="O3" s="17">
        <f t="shared" ref="O3:O12" si="3">((1+N3)^12 - 1)*100</f>
        <v>3.5840057372700462</v>
      </c>
      <c r="P3" s="17" t="s">
        <v>5</v>
      </c>
      <c r="Q3" s="27" t="s">
        <v>5</v>
      </c>
      <c r="R3" s="8">
        <v>3.0221952321099698E-3</v>
      </c>
      <c r="S3" s="17">
        <v>3.6875278923369059</v>
      </c>
      <c r="T3" s="17" t="s">
        <v>5</v>
      </c>
      <c r="U3" s="27" t="s">
        <v>5</v>
      </c>
      <c r="V3" s="9">
        <v>2.5547560660330293E-3</v>
      </c>
      <c r="W3" s="17">
        <v>3.1091529701993803</v>
      </c>
      <c r="X3" s="17" t="s">
        <v>5</v>
      </c>
      <c r="Y3" s="27" t="s">
        <v>5</v>
      </c>
    </row>
    <row r="4" spans="1:25" x14ac:dyDescent="0.25">
      <c r="A4" s="7">
        <v>24532</v>
      </c>
      <c r="B4" s="28">
        <v>-8.2689820236372957E-4</v>
      </c>
      <c r="C4" s="17">
        <f t="shared" si="0"/>
        <v>-0.98777743832938469</v>
      </c>
      <c r="D4" s="17">
        <f>(((1+B4)*(1+B3)*(1+B2))^(12/3)-1)*100</f>
        <v>0.70813302212529017</v>
      </c>
      <c r="E4" s="27" t="s">
        <v>5</v>
      </c>
      <c r="F4" s="29">
        <v>1.9095748465100951E-3</v>
      </c>
      <c r="G4" s="17">
        <f t="shared" si="1"/>
        <v>2.3157104090604008</v>
      </c>
      <c r="H4" s="17">
        <f>(((1+F4)*(1+F3)*(1+F2))^(12/3)-1)*100</f>
        <v>5.0815297203215204</v>
      </c>
      <c r="I4" s="27" t="s">
        <v>5</v>
      </c>
      <c r="J4" s="8">
        <v>2.8424924090404604E-4</v>
      </c>
      <c r="K4" s="17">
        <f t="shared" si="2"/>
        <v>0.34163285903920926</v>
      </c>
      <c r="L4" s="17">
        <f>(((1+J4)*(1+J3)*(1+J2))^(12/3)-1)*100</f>
        <v>2.4126464162095296</v>
      </c>
      <c r="M4" s="27" t="s">
        <v>5</v>
      </c>
      <c r="N4" s="9">
        <v>3.248222604771938E-4</v>
      </c>
      <c r="O4" s="17">
        <f t="shared" si="3"/>
        <v>0.39048382981032859</v>
      </c>
      <c r="P4" s="17">
        <f>(((1+N4)*(1+N3)*(1+N2))^(12/3)-1)*100</f>
        <v>2.2222765920009158</v>
      </c>
      <c r="Q4" s="27" t="s">
        <v>5</v>
      </c>
      <c r="R4" s="8">
        <v>2.3077181201857635E-3</v>
      </c>
      <c r="S4" s="17">
        <v>2.8046822463648091</v>
      </c>
      <c r="T4" s="17">
        <f>(((1+R4)*(1+R3)*(1+R2))^(12/3)-1)*100</f>
        <v>2.9435451490270825</v>
      </c>
      <c r="U4" s="27" t="s">
        <v>5</v>
      </c>
      <c r="V4" s="9">
        <v>2.8544738417495808E-3</v>
      </c>
      <c r="W4" s="17">
        <v>3.4796605323794916</v>
      </c>
      <c r="X4" s="17">
        <f>(((1+V4)*(1+V3)*(1+V2))^(12/3)-1)*100</f>
        <v>2.7519953469606673</v>
      </c>
      <c r="Y4" s="27" t="s">
        <v>5</v>
      </c>
    </row>
    <row r="5" spans="1:25" x14ac:dyDescent="0.25">
      <c r="A5" s="7">
        <v>24563</v>
      </c>
      <c r="B5" s="28">
        <v>-1.9986758855173274E-4</v>
      </c>
      <c r="C5" s="17">
        <f t="shared" si="0"/>
        <v>-0.23957763128427123</v>
      </c>
      <c r="D5" s="17">
        <f t="shared" ref="D5:D68" si="4">(((1+B5)*(1+B4)*(1+B3))^(12/3)-1)*100</f>
        <v>0.25872904991282031</v>
      </c>
      <c r="E5" s="27" t="s">
        <v>5</v>
      </c>
      <c r="F5" s="29">
        <v>4.1409745409261706E-3</v>
      </c>
      <c r="G5" s="17">
        <f t="shared" si="1"/>
        <v>5.0839209015453468</v>
      </c>
      <c r="H5" s="17">
        <f t="shared" ref="H5:H68" si="5">(((1+F5)*(1+F4)*(1+F3))^(12/3)-1)*100</f>
        <v>5.3287958081943421</v>
      </c>
      <c r="I5" s="27" t="s">
        <v>5</v>
      </c>
      <c r="J5" s="8">
        <v>3.1970992179371402E-3</v>
      </c>
      <c r="K5" s="17">
        <f t="shared" si="2"/>
        <v>3.9047047235482468</v>
      </c>
      <c r="L5" s="17">
        <f t="shared" ref="L5:L68" si="6">(((1+J5)*(1+J4)*(1+J3))^(12/3)-1)*100</f>
        <v>2.7026043923682685</v>
      </c>
      <c r="M5" s="27" t="s">
        <v>5</v>
      </c>
      <c r="N5" s="9">
        <v>2.9433978525859762E-3</v>
      </c>
      <c r="O5" s="17">
        <f t="shared" si="3"/>
        <v>3.5898218647727909</v>
      </c>
      <c r="P5" s="17">
        <f t="shared" ref="P5:P68" si="7">(((1+N5)*(1+N4)*(1+N3))^(12/3)-1)*100</f>
        <v>2.5102859824526425</v>
      </c>
      <c r="Q5" s="27" t="s">
        <v>5</v>
      </c>
      <c r="R5" s="8">
        <v>3.0252428633559376E-3</v>
      </c>
      <c r="S5" s="17">
        <v>3.6913085460321682</v>
      </c>
      <c r="T5" s="17">
        <f>(((1+R5)*(1+R4)*(1+R3))^(12/3)-1)*100</f>
        <v>3.3936634333774363</v>
      </c>
      <c r="U5" s="27" t="s">
        <v>5</v>
      </c>
      <c r="V5" s="9">
        <v>2.5645941347834174E-3</v>
      </c>
      <c r="W5" s="17">
        <v>3.121295345623043</v>
      </c>
      <c r="X5" s="17">
        <f t="shared" ref="X5:X68" si="8">(((1+V5)*(1+V4)*(1+V3))^(12/3)-1)*100</f>
        <v>3.2365599977595361</v>
      </c>
      <c r="Y5" s="27" t="s">
        <v>5</v>
      </c>
    </row>
    <row r="6" spans="1:25" x14ac:dyDescent="0.25">
      <c r="A6" s="7">
        <v>24593</v>
      </c>
      <c r="B6" s="28">
        <v>1.1856824570766989E-3</v>
      </c>
      <c r="C6" s="17">
        <f t="shared" si="0"/>
        <v>1.4321342810083681</v>
      </c>
      <c r="D6" s="17">
        <f t="shared" si="4"/>
        <v>6.3160839967690841E-2</v>
      </c>
      <c r="E6" s="27" t="s">
        <v>5</v>
      </c>
      <c r="F6" s="29">
        <v>1.9074765621334431E-3</v>
      </c>
      <c r="G6" s="17">
        <f t="shared" si="1"/>
        <v>2.3131390993635925</v>
      </c>
      <c r="H6" s="17">
        <f t="shared" si="5"/>
        <v>3.229383613299297</v>
      </c>
      <c r="I6" s="27" t="s">
        <v>5</v>
      </c>
      <c r="J6" s="8">
        <v>2.8520674522132753E-3</v>
      </c>
      <c r="K6" s="17">
        <f t="shared" si="2"/>
        <v>3.4766809285483591</v>
      </c>
      <c r="L6" s="17">
        <f t="shared" si="6"/>
        <v>2.5619545830475543</v>
      </c>
      <c r="M6" s="27" t="s">
        <v>5</v>
      </c>
      <c r="N6" s="9">
        <v>2.8514097965524478E-3</v>
      </c>
      <c r="O6" s="17">
        <f t="shared" si="3"/>
        <v>3.4758666296295537</v>
      </c>
      <c r="P6" s="17">
        <f t="shared" si="7"/>
        <v>2.4746008377347639</v>
      </c>
      <c r="Q6" s="27" t="s">
        <v>5</v>
      </c>
      <c r="R6" s="8">
        <v>2.5035951194982203E-3</v>
      </c>
      <c r="S6" s="17">
        <v>3.0460300553191821</v>
      </c>
      <c r="T6" s="17">
        <f>(((1+R6)*(1+R5)*(1+R4))^(12/3)-1)*100</f>
        <v>3.1799956011579145</v>
      </c>
      <c r="U6" s="27" t="s">
        <v>5</v>
      </c>
      <c r="V6" s="9">
        <v>2.419981154763533E-3</v>
      </c>
      <c r="W6" s="17">
        <v>2.9429425154397837</v>
      </c>
      <c r="X6" s="17">
        <f t="shared" si="8"/>
        <v>3.181058220036892</v>
      </c>
      <c r="Y6" s="27" t="s">
        <v>5</v>
      </c>
    </row>
    <row r="7" spans="1:25" x14ac:dyDescent="0.25">
      <c r="A7" s="7">
        <v>24624</v>
      </c>
      <c r="B7" s="28">
        <v>5.2175604939697509E-3</v>
      </c>
      <c r="C7" s="17">
        <f t="shared" si="0"/>
        <v>6.4439057934151833</v>
      </c>
      <c r="D7" s="17">
        <f t="shared" si="4"/>
        <v>2.5065337898548368</v>
      </c>
      <c r="E7" s="27" t="s">
        <v>5</v>
      </c>
      <c r="F7" s="29">
        <v>2.0155887733459554E-3</v>
      </c>
      <c r="G7" s="17">
        <f t="shared" si="1"/>
        <v>2.4457006427170747</v>
      </c>
      <c r="H7" s="17">
        <f t="shared" si="5"/>
        <v>3.2730821253701414</v>
      </c>
      <c r="I7" s="27" t="s">
        <v>5</v>
      </c>
      <c r="J7" s="8">
        <v>2.9107898994958567E-3</v>
      </c>
      <c r="K7" s="17">
        <f t="shared" si="2"/>
        <v>3.5494138245275808</v>
      </c>
      <c r="L7" s="17">
        <f t="shared" si="6"/>
        <v>3.6434312516227862</v>
      </c>
      <c r="M7" s="27" t="s">
        <v>5</v>
      </c>
      <c r="N7" s="9">
        <v>2.919691909352169E-3</v>
      </c>
      <c r="O7" s="17">
        <f t="shared" si="3"/>
        <v>3.5604438333495692</v>
      </c>
      <c r="P7" s="17">
        <f t="shared" si="7"/>
        <v>3.5420328387129496</v>
      </c>
      <c r="Q7" s="27" t="s">
        <v>5</v>
      </c>
      <c r="R7" s="8">
        <v>2.599676393109116E-3</v>
      </c>
      <c r="S7" s="17">
        <v>3.1646053642091276</v>
      </c>
      <c r="T7" s="17">
        <f>(((1+R7)*(1+R6)*(1+R5))^(12/3)-1)*100</f>
        <v>3.3002677191519947</v>
      </c>
      <c r="U7" s="27" t="s">
        <v>5</v>
      </c>
      <c r="V7" s="9">
        <v>2.5407176396322695E-3</v>
      </c>
      <c r="W7" s="17">
        <v>3.0918286841337794</v>
      </c>
      <c r="X7" s="17">
        <f t="shared" si="8"/>
        <v>3.0519926051730817</v>
      </c>
      <c r="Y7" s="27" t="s">
        <v>5</v>
      </c>
    </row>
    <row r="8" spans="1:25" x14ac:dyDescent="0.25">
      <c r="A8" s="7">
        <v>24654</v>
      </c>
      <c r="B8" s="28">
        <v>4.9325596402019093E-3</v>
      </c>
      <c r="C8" s="17">
        <f t="shared" si="0"/>
        <v>6.0823202746025817</v>
      </c>
      <c r="D8" s="17">
        <f t="shared" si="4"/>
        <v>4.6276470441669604</v>
      </c>
      <c r="E8" s="27" t="s">
        <v>5</v>
      </c>
      <c r="F8" s="29">
        <v>8.0055010531584359E-3</v>
      </c>
      <c r="G8" s="17">
        <f t="shared" si="1"/>
        <v>10.041075566061197</v>
      </c>
      <c r="H8" s="17">
        <f t="shared" si="5"/>
        <v>4.8721063989746405</v>
      </c>
      <c r="I8" s="27" t="s">
        <v>5</v>
      </c>
      <c r="J8" s="8">
        <v>3.3684848040465547E-3</v>
      </c>
      <c r="K8" s="17">
        <f t="shared" si="2"/>
        <v>4.1179171908625856</v>
      </c>
      <c r="L8" s="17">
        <f t="shared" si="6"/>
        <v>3.7142749279911458</v>
      </c>
      <c r="M8" s="27" t="s">
        <v>5</v>
      </c>
      <c r="N8" s="9">
        <v>3.3355288858217726E-3</v>
      </c>
      <c r="O8" s="17">
        <f t="shared" si="3"/>
        <v>4.0768872184466787</v>
      </c>
      <c r="P8" s="17">
        <f t="shared" si="7"/>
        <v>3.7040593798283616</v>
      </c>
      <c r="Q8" s="27" t="s">
        <v>5</v>
      </c>
      <c r="R8" s="8">
        <v>3.3069012865807185E-3</v>
      </c>
      <c r="S8" s="17">
        <v>4.0412580139060905</v>
      </c>
      <c r="T8" s="17">
        <f t="shared" ref="T8:T71" si="9">(((1+R8)*(1+R7)*(1+R6))^(12/3)-1)*100</f>
        <v>3.4163471434467851</v>
      </c>
      <c r="U8" s="27" t="s">
        <v>5</v>
      </c>
      <c r="V8" s="9">
        <v>3.2376772218780797E-3</v>
      </c>
      <c r="W8" s="17">
        <v>3.9551496495903615</v>
      </c>
      <c r="X8" s="17">
        <f t="shared" si="8"/>
        <v>3.3290119054425027</v>
      </c>
      <c r="Y8" s="27" t="s">
        <v>5</v>
      </c>
    </row>
    <row r="9" spans="1:25" x14ac:dyDescent="0.25">
      <c r="A9" s="7">
        <v>24685</v>
      </c>
      <c r="B9" s="28">
        <v>4.9241091781136986E-3</v>
      </c>
      <c r="C9" s="17">
        <f t="shared" si="0"/>
        <v>6.0716162349145897</v>
      </c>
      <c r="D9" s="17">
        <f t="shared" si="4"/>
        <v>6.1991399149589732</v>
      </c>
      <c r="E9" s="27" t="s">
        <v>5</v>
      </c>
      <c r="F9" s="29">
        <v>6.4943708294759326E-3</v>
      </c>
      <c r="G9" s="17">
        <f t="shared" si="1"/>
        <v>8.0777272651762146</v>
      </c>
      <c r="H9" s="17">
        <f t="shared" si="5"/>
        <v>6.8058209117018986</v>
      </c>
      <c r="I9" s="27" t="s">
        <v>5</v>
      </c>
      <c r="J9" s="8">
        <v>2.9811690603415053E-3</v>
      </c>
      <c r="K9" s="17">
        <f t="shared" si="2"/>
        <v>3.6366463205619537</v>
      </c>
      <c r="L9" s="17">
        <f t="shared" si="6"/>
        <v>3.7676916418022843</v>
      </c>
      <c r="M9" s="27" t="s">
        <v>5</v>
      </c>
      <c r="N9" s="9">
        <v>3.002751364198778E-3</v>
      </c>
      <c r="O9" s="17">
        <f t="shared" si="3"/>
        <v>3.6634103204634449</v>
      </c>
      <c r="P9" s="17">
        <f t="shared" si="7"/>
        <v>3.7666739920838133</v>
      </c>
      <c r="Q9" s="27" t="s">
        <v>5</v>
      </c>
      <c r="R9" s="8">
        <v>2.7200568589256526E-3</v>
      </c>
      <c r="S9" s="17">
        <v>3.3133451817203063</v>
      </c>
      <c r="T9" s="17">
        <f t="shared" si="9"/>
        <v>3.5056951871022424</v>
      </c>
      <c r="U9" s="27" t="s">
        <v>5</v>
      </c>
      <c r="V9" s="9">
        <v>2.6939316703595562E-3</v>
      </c>
      <c r="W9" s="17">
        <v>3.2810487033822833</v>
      </c>
      <c r="X9" s="17">
        <f t="shared" si="8"/>
        <v>3.4420130137340577</v>
      </c>
      <c r="Y9" s="27" t="s">
        <v>5</v>
      </c>
    </row>
    <row r="10" spans="1:25" x14ac:dyDescent="0.25">
      <c r="A10" s="7">
        <v>24716</v>
      </c>
      <c r="B10" s="28">
        <v>3.6360513338248831E-3</v>
      </c>
      <c r="C10" s="17">
        <f t="shared" si="0"/>
        <v>4.4515856194160097</v>
      </c>
      <c r="D10" s="17">
        <f t="shared" si="4"/>
        <v>5.5323829085478504</v>
      </c>
      <c r="E10" s="27" t="s">
        <v>5</v>
      </c>
      <c r="F10" s="29">
        <v>5.4094423102250535E-3</v>
      </c>
      <c r="G10" s="17">
        <f t="shared" si="1"/>
        <v>6.6879855751340145</v>
      </c>
      <c r="H10" s="17">
        <f t="shared" si="5"/>
        <v>8.260205813632183</v>
      </c>
      <c r="I10" s="27" t="s">
        <v>5</v>
      </c>
      <c r="J10" s="8">
        <v>2.3594921830779754E-3</v>
      </c>
      <c r="K10" s="17">
        <f t="shared" si="2"/>
        <v>2.8684246888835085</v>
      </c>
      <c r="L10" s="17">
        <f t="shared" si="6"/>
        <v>3.5397162742713428</v>
      </c>
      <c r="M10" s="27" t="s">
        <v>5</v>
      </c>
      <c r="N10" s="9">
        <v>2.1855562634331958E-3</v>
      </c>
      <c r="O10" s="17">
        <f t="shared" si="3"/>
        <v>2.6544242526038264</v>
      </c>
      <c r="P10" s="17">
        <f t="shared" si="7"/>
        <v>3.4631792596485633</v>
      </c>
      <c r="Q10" s="27" t="s">
        <v>5</v>
      </c>
      <c r="R10" s="8">
        <v>3.6150677340712782E-3</v>
      </c>
      <c r="S10" s="17">
        <v>4.4253826756828429</v>
      </c>
      <c r="T10" s="17">
        <f t="shared" si="9"/>
        <v>3.9256376884628796</v>
      </c>
      <c r="U10" s="27" t="s">
        <v>5</v>
      </c>
      <c r="V10" s="9">
        <v>3.6243392994624035E-3</v>
      </c>
      <c r="W10" s="17">
        <v>4.4369596556238955</v>
      </c>
      <c r="X10" s="17">
        <f t="shared" si="8"/>
        <v>3.8899703728791035</v>
      </c>
      <c r="Y10" s="27" t="s">
        <v>5</v>
      </c>
    </row>
    <row r="11" spans="1:25" x14ac:dyDescent="0.25">
      <c r="A11" s="7">
        <v>24746</v>
      </c>
      <c r="B11" s="28">
        <v>1.3143589931365837E-3</v>
      </c>
      <c r="C11" s="17">
        <f t="shared" si="0"/>
        <v>1.5886826542747201</v>
      </c>
      <c r="D11" s="17">
        <f t="shared" si="4"/>
        <v>4.0207188530626325</v>
      </c>
      <c r="E11" s="27" t="s">
        <v>5</v>
      </c>
      <c r="F11" s="29">
        <v>3.8542335072322335E-3</v>
      </c>
      <c r="G11" s="17">
        <f t="shared" si="1"/>
        <v>4.7243945767398765</v>
      </c>
      <c r="H11" s="17">
        <f t="shared" si="5"/>
        <v>6.4878010306989919</v>
      </c>
      <c r="I11" s="27" t="s">
        <v>5</v>
      </c>
      <c r="J11" s="8">
        <v>3.6391478758111173E-3</v>
      </c>
      <c r="K11" s="17">
        <f t="shared" si="2"/>
        <v>4.4554528883353095</v>
      </c>
      <c r="L11" s="17">
        <f t="shared" si="6"/>
        <v>3.6514826678527346</v>
      </c>
      <c r="M11" s="27" t="s">
        <v>5</v>
      </c>
      <c r="N11" s="9">
        <v>3.7575507865146825E-3</v>
      </c>
      <c r="O11" s="17">
        <f t="shared" si="3"/>
        <v>4.6034246899743225</v>
      </c>
      <c r="P11" s="17">
        <f t="shared" si="7"/>
        <v>3.6373633993121768</v>
      </c>
      <c r="Q11" s="27" t="s">
        <v>5</v>
      </c>
      <c r="R11" s="8">
        <v>3.7340258070831045E-3</v>
      </c>
      <c r="S11" s="17">
        <v>4.5740095042044349</v>
      </c>
      <c r="T11" s="17">
        <f t="shared" si="9"/>
        <v>4.1027222554426146</v>
      </c>
      <c r="U11" s="27" t="s">
        <v>5</v>
      </c>
      <c r="V11" s="9">
        <v>3.9525891775360287E-3</v>
      </c>
      <c r="W11" s="17">
        <v>4.8475892408157417</v>
      </c>
      <c r="X11" s="17">
        <f t="shared" si="8"/>
        <v>4.1864170130720968</v>
      </c>
      <c r="Y11" s="27" t="s">
        <v>5</v>
      </c>
    </row>
    <row r="12" spans="1:25" x14ac:dyDescent="0.25">
      <c r="A12" s="7">
        <v>24777</v>
      </c>
      <c r="B12" s="28">
        <v>2.5214553034766706E-3</v>
      </c>
      <c r="C12" s="17">
        <f t="shared" si="0"/>
        <v>3.0680621127757712</v>
      </c>
      <c r="D12" s="17">
        <f t="shared" si="4"/>
        <v>3.0294762525840291</v>
      </c>
      <c r="E12" s="27" t="s">
        <v>5</v>
      </c>
      <c r="F12" s="29">
        <v>2.6346847107881926E-3</v>
      </c>
      <c r="G12" s="17">
        <f t="shared" si="1"/>
        <v>3.2078407217590366</v>
      </c>
      <c r="H12" s="17">
        <f t="shared" si="5"/>
        <v>4.8637429527902176</v>
      </c>
      <c r="I12" s="27" t="s">
        <v>5</v>
      </c>
      <c r="J12" s="8">
        <v>3.9266318585758761E-3</v>
      </c>
      <c r="K12" s="17">
        <f t="shared" si="2"/>
        <v>4.8150636969126248</v>
      </c>
      <c r="L12" s="17">
        <f t="shared" si="6"/>
        <v>4.0428649946757655</v>
      </c>
      <c r="M12" s="27" t="s">
        <v>5</v>
      </c>
      <c r="N12" s="9">
        <v>3.686024576112949E-3</v>
      </c>
      <c r="O12" s="17">
        <f t="shared" si="3"/>
        <v>4.5140131988250509</v>
      </c>
      <c r="P12" s="17">
        <f t="shared" si="7"/>
        <v>3.9200546530399727</v>
      </c>
      <c r="Q12" s="27" t="s">
        <v>5</v>
      </c>
      <c r="R12" s="8">
        <v>4.1801971847089227E-3</v>
      </c>
      <c r="S12" s="17">
        <v>5.1331875471069655</v>
      </c>
      <c r="T12" s="17">
        <f t="shared" si="9"/>
        <v>4.7104169878053659</v>
      </c>
      <c r="U12" s="27" t="s">
        <v>5</v>
      </c>
      <c r="V12" s="9">
        <v>3.8418962718235893E-3</v>
      </c>
      <c r="W12" s="17">
        <v>4.708951033600739</v>
      </c>
      <c r="X12" s="17">
        <f t="shared" si="8"/>
        <v>4.6643609488418614</v>
      </c>
      <c r="Y12" s="27" t="s">
        <v>5</v>
      </c>
    </row>
    <row r="13" spans="1:25" x14ac:dyDescent="0.25">
      <c r="A13" s="7">
        <v>24807</v>
      </c>
      <c r="B13" s="28">
        <v>1.8413039012572833E-3</v>
      </c>
      <c r="C13" s="17">
        <f t="shared" si="0"/>
        <v>2.2320792332072736</v>
      </c>
      <c r="D13" s="17">
        <f t="shared" si="4"/>
        <v>2.294482817175858</v>
      </c>
      <c r="E13" s="17">
        <f>(((1+B5)*(1+B4)*(1+B3)*(1+B2)*(1+B6)*(1+B7)*(1+B8)*(1+B9)*(1+B10)*(1+B11)*(1+B12)*(1+B13))-1)*100</f>
        <v>2.7456661369479773</v>
      </c>
      <c r="F13" s="29">
        <v>4.5632814845779782E-3</v>
      </c>
      <c r="G13" s="17">
        <f>((1+F13)^12 - 1)*100</f>
        <v>5.6154852740421424</v>
      </c>
      <c r="H13" s="17">
        <f t="shared" si="5"/>
        <v>4.511171613902043</v>
      </c>
      <c r="I13" s="17">
        <f>(((1+F5)*(1+F4)*(1+F3)*(1+F2)*(1+F6)*(1+F7)*(1+F8)*(1+F9)*(1+F10)*(1+F11)*(1+F12)*(1+F13))-1)*100</f>
        <v>5.2655520533138489</v>
      </c>
      <c r="J13" s="8">
        <v>3.1685355206936272E-3</v>
      </c>
      <c r="K13" s="17">
        <f>((1+J13)^12 - 1)*100</f>
        <v>3.8692089534538177</v>
      </c>
      <c r="L13" s="17">
        <f t="shared" si="6"/>
        <v>4.3791800746764364</v>
      </c>
      <c r="M13" s="17">
        <f>(((1+J5)*(1+J4)*(1+J3)*(1+J2)*(1+J6)*(1+J7)*(1+J8)*(1+J9)*(1+J10)*(1+J11)*(1+J12)*(1+J13))-1)*100</f>
        <v>3.4913508424866624</v>
      </c>
      <c r="N13" s="9">
        <v>3.1157623757851935E-3</v>
      </c>
      <c r="O13" s="17">
        <f>((1+N13)^12 - 1)*100</f>
        <v>3.8036576259678823</v>
      </c>
      <c r="P13" s="17">
        <f t="shared" si="7"/>
        <v>4.3064171945143226</v>
      </c>
      <c r="Q13" s="17">
        <f>(((1+N5)*(1+N4)*(1+N3)*(1+N2)*(1+N6)*(1+N7)*(1+N8)*(1+N9)*(1+N10)*(1+N11)*(1+N12)*(1+N13))-1)*100</f>
        <v>3.3807719943757197</v>
      </c>
      <c r="R13" s="8">
        <v>3.026817700771046E-3</v>
      </c>
      <c r="S13" s="17">
        <v>3.6932622160555262</v>
      </c>
      <c r="T13" s="17">
        <f t="shared" si="9"/>
        <v>4.4651366029268447</v>
      </c>
      <c r="U13" s="17">
        <f t="shared" ref="U13:U76" si="10">(((1+R5)*(1+R4)*(1+R3)*(1+R2)*(1+R6)*(1+R7)*(1+R8)*(1+R9)*(1+R10)*(1+R11)*(1+R12)*(1+R13))-1)*100</f>
        <v>3.6570059599178251</v>
      </c>
      <c r="V13" s="9">
        <v>2.9058076622388712E-3</v>
      </c>
      <c r="W13" s="17">
        <v>3.5432410683037263</v>
      </c>
      <c r="X13" s="17">
        <f t="shared" si="8"/>
        <v>4.3649503922973176</v>
      </c>
      <c r="Y13" s="17">
        <f>(((1+V5)*(1+V4)*(1+V3)*(1+V2)*(1+V6)*(1+V7)*(1+V8)*(1+V9)*(1+V10)*(1+V11)*(1+V12)*(1+V13))-1)*100</f>
        <v>3.5127240893134903</v>
      </c>
    </row>
    <row r="14" spans="1:25" x14ac:dyDescent="0.25">
      <c r="A14" s="7">
        <v>24838</v>
      </c>
      <c r="B14" s="28">
        <v>4.1033944200387596E-3</v>
      </c>
      <c r="C14" s="17">
        <f t="shared" si="0"/>
        <v>5.0367372436739721</v>
      </c>
      <c r="D14" s="17">
        <f t="shared" si="4"/>
        <v>3.4389672131245774</v>
      </c>
      <c r="E14" s="17">
        <f t="shared" ref="E14:E77" si="11">(((1+B6)*(1+B5)*(1+B4)*(1+B3)*(1+B7)*(1+B8)*(1+B9)*(1+B10)*(1+B11)*(1+B12)*(1+B13)*(1+B14))-1)*100</f>
        <v>3.0725854624642057</v>
      </c>
      <c r="F14" s="29">
        <v>6.0741734226192967E-3</v>
      </c>
      <c r="G14" s="17">
        <f t="shared" si="1"/>
        <v>7.5375174202176431</v>
      </c>
      <c r="H14" s="17">
        <f t="shared" si="5"/>
        <v>5.4387136819686877</v>
      </c>
      <c r="I14" s="17">
        <f t="shared" ref="I14:I77" si="12">(((1+F6)*(1+F5)*(1+F4)*(1+F3)*(1+F7)*(1+F8)*(1+F9)*(1+F10)*(1+F11)*(1+F12)*(1+F13)*(1+F14))-1)*100</f>
        <v>5.5302014140581113</v>
      </c>
      <c r="J14" s="8">
        <v>4.6381123839706346E-3</v>
      </c>
      <c r="K14" s="17">
        <f t="shared" ref="K14:K77" si="13">((1+J14)^12 - 1)*100</f>
        <v>5.7099327700439684</v>
      </c>
      <c r="L14" s="17">
        <f t="shared" si="6"/>
        <v>4.7953729981389248</v>
      </c>
      <c r="M14" s="17">
        <f t="shared" ref="M14:M77" si="14">(((1+J6)*(1+J5)*(1+J4)*(1+J3)*(1+J7)*(1+J8)*(1+J9)*(1+J10)*(1+J11)*(1+J12)*(1+J13)*(1+J14))-1)*100</f>
        <v>3.7132884544099243</v>
      </c>
      <c r="N14" s="9">
        <v>4.9056117490871385E-3</v>
      </c>
      <c r="O14" s="17">
        <f t="shared" ref="O14:O77" si="15">((1+N14)^12 - 1)*100</f>
        <v>6.0481893485937244</v>
      </c>
      <c r="P14" s="17">
        <f t="shared" si="7"/>
        <v>4.784443909300462</v>
      </c>
      <c r="Q14" s="17">
        <f t="shared" ref="Q14:Q77" si="16">(((1+N6)*(1+N5)*(1+N4)*(1+N3)*(1+N7)*(1+N8)*(1+N9)*(1+N10)*(1+N11)*(1+N12)*(1+N13)*(1+N14))-1)*100</f>
        <v>3.6559157132317166</v>
      </c>
      <c r="R14" s="8">
        <v>5.28030888284289E-3</v>
      </c>
      <c r="S14" s="17">
        <v>6.5236673590288508</v>
      </c>
      <c r="T14" s="17">
        <f t="shared" si="9"/>
        <v>5.1103526507507491</v>
      </c>
      <c r="U14" s="17">
        <f t="shared" si="10"/>
        <v>4.0034328070019054</v>
      </c>
      <c r="V14" s="9">
        <v>5.8757801437286337E-3</v>
      </c>
      <c r="W14" s="17">
        <v>7.2833222841948597</v>
      </c>
      <c r="X14" s="17">
        <f t="shared" si="8"/>
        <v>5.1669452493757762</v>
      </c>
      <c r="Y14" s="17">
        <f t="shared" ref="Y14:Y77" si="17">(((1+V6)*(1+V5)*(1+V4)*(1+V3)*(1+V7)*(1+V8)*(1+V9)*(1+V10)*(1+V11)*(1+V12)*(1+V13)*(1+V14))-1)*100</f>
        <v>3.9768223634641053</v>
      </c>
    </row>
    <row r="15" spans="1:25" x14ac:dyDescent="0.25">
      <c r="A15" s="7">
        <v>24869</v>
      </c>
      <c r="B15" s="28">
        <v>3.3730923959769069E-3</v>
      </c>
      <c r="C15" s="17">
        <f t="shared" si="0"/>
        <v>4.1236548037014931</v>
      </c>
      <c r="D15" s="17">
        <f t="shared" si="4"/>
        <v>3.7908989372061663</v>
      </c>
      <c r="E15" s="17">
        <f t="shared" si="11"/>
        <v>3.2473694878855985</v>
      </c>
      <c r="F15" s="29">
        <v>2.3653624634493286E-3</v>
      </c>
      <c r="G15" s="17">
        <f t="shared" si="1"/>
        <v>2.8756542621082293</v>
      </c>
      <c r="H15" s="17">
        <f t="shared" si="5"/>
        <v>5.3254698373653486</v>
      </c>
      <c r="I15" s="17">
        <f t="shared" si="12"/>
        <v>5.0483545677429742</v>
      </c>
      <c r="J15" s="8">
        <v>3.4472337028649456E-3</v>
      </c>
      <c r="K15" s="17">
        <f t="shared" si="13"/>
        <v>4.2160192740444025</v>
      </c>
      <c r="L15" s="17">
        <f t="shared" si="6"/>
        <v>4.5953474855643384</v>
      </c>
      <c r="M15" s="17">
        <f t="shared" si="14"/>
        <v>3.7392917393242797</v>
      </c>
      <c r="N15" s="9">
        <v>3.1474766346277741E-3</v>
      </c>
      <c r="O15" s="17">
        <f t="shared" si="15"/>
        <v>3.8430464426345345</v>
      </c>
      <c r="P15" s="17">
        <f t="shared" si="7"/>
        <v>4.5597280428313791</v>
      </c>
      <c r="Q15" s="17">
        <f t="shared" si="16"/>
        <v>3.6774927044053385</v>
      </c>
      <c r="R15" s="8">
        <v>3.4653339825046867E-3</v>
      </c>
      <c r="S15" s="17">
        <v>4.2385798175289091</v>
      </c>
      <c r="T15" s="17">
        <f t="shared" si="9"/>
        <v>4.8113651771990673</v>
      </c>
      <c r="U15" s="17">
        <f t="shared" si="10"/>
        <v>4.0493818911498058</v>
      </c>
      <c r="V15" s="9">
        <v>2.9739770624302051E-3</v>
      </c>
      <c r="W15" s="17">
        <v>3.627729002806146</v>
      </c>
      <c r="X15" s="17">
        <f t="shared" si="8"/>
        <v>4.8037083512458612</v>
      </c>
      <c r="Y15" s="17">
        <f t="shared" si="17"/>
        <v>4.0203005543655301</v>
      </c>
    </row>
    <row r="16" spans="1:25" x14ac:dyDescent="0.25">
      <c r="A16" s="7">
        <v>24898</v>
      </c>
      <c r="B16" s="28">
        <v>2.1819630248015036E-3</v>
      </c>
      <c r="C16" s="17">
        <f t="shared" si="0"/>
        <v>2.6500076505061365</v>
      </c>
      <c r="D16" s="17">
        <f t="shared" si="4"/>
        <v>3.9321402878960354</v>
      </c>
      <c r="E16" s="17">
        <f t="shared" si="11"/>
        <v>3.5582835890558329</v>
      </c>
      <c r="F16" s="29">
        <v>2.9033588573389646E-3</v>
      </c>
      <c r="G16" s="17">
        <f t="shared" si="1"/>
        <v>3.5402072385378514</v>
      </c>
      <c r="H16" s="17">
        <f t="shared" si="5"/>
        <v>4.631041614901954</v>
      </c>
      <c r="I16" s="17">
        <f t="shared" si="12"/>
        <v>5.1525509720435014</v>
      </c>
      <c r="J16" s="8">
        <v>4.5848875595083348E-3</v>
      </c>
      <c r="K16" s="17">
        <f t="shared" si="13"/>
        <v>5.6427473421088337</v>
      </c>
      <c r="L16" s="17">
        <f t="shared" si="6"/>
        <v>5.1873033352509257</v>
      </c>
      <c r="M16" s="17">
        <f t="shared" si="14"/>
        <v>4.1853101321336794</v>
      </c>
      <c r="N16" s="9">
        <v>4.8481027879935775E-3</v>
      </c>
      <c r="O16" s="17">
        <f t="shared" si="15"/>
        <v>5.9753848755867089</v>
      </c>
      <c r="P16" s="17">
        <f t="shared" si="7"/>
        <v>5.2838829362392481</v>
      </c>
      <c r="Q16" s="17">
        <f t="shared" si="16"/>
        <v>4.1463028083392084</v>
      </c>
      <c r="R16" s="8">
        <v>5.2100565337236757E-3</v>
      </c>
      <c r="S16" s="17">
        <v>6.4343709256417192</v>
      </c>
      <c r="T16" s="17">
        <f t="shared" si="9"/>
        <v>5.7268998047413922</v>
      </c>
      <c r="U16" s="17">
        <f t="shared" si="10"/>
        <v>4.3506731139031141</v>
      </c>
      <c r="V16" s="9">
        <v>5.7939633456712695E-3</v>
      </c>
      <c r="W16" s="17">
        <v>7.1786534686433257</v>
      </c>
      <c r="X16" s="17">
        <f t="shared" si="8"/>
        <v>6.0161829726212757</v>
      </c>
      <c r="Y16" s="17">
        <f t="shared" si="17"/>
        <v>4.3251968176319489</v>
      </c>
    </row>
    <row r="17" spans="1:25" x14ac:dyDescent="0.25">
      <c r="A17" s="7">
        <v>24929</v>
      </c>
      <c r="B17" s="28">
        <v>2.4135993935750812E-3</v>
      </c>
      <c r="C17" s="17">
        <f t="shared" si="0"/>
        <v>2.9350783353393028</v>
      </c>
      <c r="D17" s="17">
        <f t="shared" si="4"/>
        <v>3.2342791783893876</v>
      </c>
      <c r="E17" s="17">
        <f t="shared" si="11"/>
        <v>3.8289838481495364</v>
      </c>
      <c r="F17" s="29">
        <v>2.7824751075692204E-3</v>
      </c>
      <c r="G17" s="17">
        <f t="shared" si="1"/>
        <v>3.3905453489601722</v>
      </c>
      <c r="H17" s="17">
        <f t="shared" si="5"/>
        <v>3.2684096187966638</v>
      </c>
      <c r="I17" s="17">
        <f t="shared" si="12"/>
        <v>5.0102903885862027</v>
      </c>
      <c r="J17" s="8">
        <v>3.0312681176351448E-3</v>
      </c>
      <c r="K17" s="17">
        <f t="shared" si="13"/>
        <v>3.6987833785594004</v>
      </c>
      <c r="L17" s="17">
        <f t="shared" si="6"/>
        <v>4.515958922387564</v>
      </c>
      <c r="M17" s="17">
        <f t="shared" si="14"/>
        <v>4.1680880282938704</v>
      </c>
      <c r="N17" s="9">
        <v>3.0721782908880628E-3</v>
      </c>
      <c r="O17" s="17">
        <f t="shared" si="15"/>
        <v>3.749548938409597</v>
      </c>
      <c r="P17" s="17">
        <f t="shared" si="7"/>
        <v>4.5176284308680703</v>
      </c>
      <c r="Q17" s="17">
        <f t="shared" si="16"/>
        <v>4.1596754538463232</v>
      </c>
      <c r="R17" s="8">
        <v>2.8422071671491181E-3</v>
      </c>
      <c r="S17" s="17">
        <v>3.4644726944839999</v>
      </c>
      <c r="T17" s="17">
        <f t="shared" si="9"/>
        <v>4.7049492678429283</v>
      </c>
      <c r="U17" s="17">
        <f t="shared" si="10"/>
        <v>4.3316308233536382</v>
      </c>
      <c r="V17" s="9">
        <v>2.8649955827701645E-3</v>
      </c>
      <c r="W17" s="17">
        <v>3.4926895296812255</v>
      </c>
      <c r="X17" s="17">
        <f t="shared" si="8"/>
        <v>4.7525611840772974</v>
      </c>
      <c r="Y17" s="17">
        <f t="shared" si="17"/>
        <v>4.3564560904696847</v>
      </c>
    </row>
    <row r="18" spans="1:25" x14ac:dyDescent="0.25">
      <c r="A18" s="7">
        <v>24959</v>
      </c>
      <c r="B18" s="28">
        <v>2.422347305890124E-3</v>
      </c>
      <c r="C18" s="17">
        <f t="shared" si="0"/>
        <v>2.9458584396181875</v>
      </c>
      <c r="D18" s="17">
        <f t="shared" si="4"/>
        <v>2.8435568409204137</v>
      </c>
      <c r="E18" s="17">
        <f t="shared" si="11"/>
        <v>3.9572334394720299</v>
      </c>
      <c r="F18" s="29">
        <v>1.085127833315959E-3</v>
      </c>
      <c r="G18" s="17">
        <f t="shared" si="1"/>
        <v>1.3099530949616023</v>
      </c>
      <c r="H18" s="17">
        <f t="shared" si="5"/>
        <v>2.7418362620070358</v>
      </c>
      <c r="I18" s="17">
        <f t="shared" si="12"/>
        <v>4.9240997164593292</v>
      </c>
      <c r="J18" s="8">
        <v>2.5124107410278893E-3</v>
      </c>
      <c r="K18" s="17">
        <f t="shared" si="13"/>
        <v>3.0569043353773084</v>
      </c>
      <c r="L18" s="17">
        <f t="shared" si="6"/>
        <v>4.1270297723863925</v>
      </c>
      <c r="M18" s="17">
        <f t="shared" si="14"/>
        <v>4.132807261231175</v>
      </c>
      <c r="N18" s="9">
        <v>2.1929548460410116E-3</v>
      </c>
      <c r="O18" s="17">
        <f t="shared" si="15"/>
        <v>2.6635187130713334</v>
      </c>
      <c r="P18" s="17">
        <f t="shared" si="7"/>
        <v>4.1203905229497684</v>
      </c>
      <c r="Q18" s="17">
        <f t="shared" si="16"/>
        <v>4.0912860062409573</v>
      </c>
      <c r="R18" s="8">
        <v>3.8378652729052507E-3</v>
      </c>
      <c r="S18" s="17">
        <v>4.7039055496679971</v>
      </c>
      <c r="T18" s="17">
        <f t="shared" si="9"/>
        <v>4.8605205467163293</v>
      </c>
      <c r="U18" s="17">
        <f t="shared" si="10"/>
        <v>4.4704897578667913</v>
      </c>
      <c r="V18" s="9">
        <v>3.6240170962487657E-3</v>
      </c>
      <c r="W18" s="17">
        <v>4.4365573154657278</v>
      </c>
      <c r="X18" s="17">
        <f t="shared" si="8"/>
        <v>5.0243911091687021</v>
      </c>
      <c r="Y18" s="17">
        <f t="shared" si="17"/>
        <v>4.4818016803632732</v>
      </c>
    </row>
    <row r="19" spans="1:25" x14ac:dyDescent="0.25">
      <c r="A19" s="7">
        <v>24990</v>
      </c>
      <c r="B19" s="28">
        <v>3.5199867589133251E-3</v>
      </c>
      <c r="C19" s="17">
        <f t="shared" si="0"/>
        <v>4.3067272794114819</v>
      </c>
      <c r="D19" s="17">
        <f t="shared" si="4"/>
        <v>3.39388782467831</v>
      </c>
      <c r="E19" s="17">
        <f t="shared" si="11"/>
        <v>3.7816743605306957</v>
      </c>
      <c r="F19" s="29">
        <v>7.5021859251805066E-3</v>
      </c>
      <c r="G19" s="17">
        <f t="shared" si="1"/>
        <v>9.3835376184993269</v>
      </c>
      <c r="H19" s="17">
        <f t="shared" si="5"/>
        <v>4.6393343896551809</v>
      </c>
      <c r="I19" s="17">
        <f t="shared" si="12"/>
        <v>5.4986179905391674</v>
      </c>
      <c r="J19" s="8">
        <v>7.0009778052552577E-3</v>
      </c>
      <c r="K19" s="17">
        <f t="shared" si="13"/>
        <v>8.7323331433965201</v>
      </c>
      <c r="L19" s="17">
        <f t="shared" si="6"/>
        <v>5.1323777922515301</v>
      </c>
      <c r="M19" s="17">
        <f t="shared" si="14"/>
        <v>4.5574938366895745</v>
      </c>
      <c r="N19" s="9">
        <v>7.3291621171817801E-3</v>
      </c>
      <c r="O19" s="17">
        <f t="shared" si="15"/>
        <v>9.1583300869471973</v>
      </c>
      <c r="P19" s="17">
        <f t="shared" si="7"/>
        <v>5.1525353687684294</v>
      </c>
      <c r="Q19" s="17">
        <f t="shared" si="16"/>
        <v>4.5489372302042641</v>
      </c>
      <c r="R19" s="8">
        <v>3.5783416239929641E-3</v>
      </c>
      <c r="S19" s="17">
        <v>4.3795360187292687</v>
      </c>
      <c r="T19" s="17">
        <f t="shared" si="9"/>
        <v>4.1813140096379708</v>
      </c>
      <c r="U19" s="17">
        <f t="shared" si="10"/>
        <v>4.5724662878685596</v>
      </c>
      <c r="V19" s="9">
        <v>3.3079966066241226E-3</v>
      </c>
      <c r="W19" s="17">
        <v>4.0426210165049214</v>
      </c>
      <c r="X19" s="17">
        <f t="shared" si="8"/>
        <v>3.9899018438227962</v>
      </c>
      <c r="Y19" s="17">
        <f t="shared" si="17"/>
        <v>4.5617652044897428</v>
      </c>
    </row>
    <row r="20" spans="1:25" x14ac:dyDescent="0.25">
      <c r="A20" s="7">
        <v>25020</v>
      </c>
      <c r="B20" s="28">
        <v>3.0793493248725298E-3</v>
      </c>
      <c r="C20" s="17">
        <f t="shared" si="0"/>
        <v>3.7584498427925439</v>
      </c>
      <c r="D20" s="17">
        <f t="shared" si="4"/>
        <v>3.6688365222347086</v>
      </c>
      <c r="E20" s="17">
        <f t="shared" si="11"/>
        <v>3.5902891102250312</v>
      </c>
      <c r="F20" s="29">
        <v>4.2654885936211952E-3</v>
      </c>
      <c r="G20" s="17">
        <f t="shared" si="1"/>
        <v>5.2403931798973069</v>
      </c>
      <c r="H20" s="17">
        <f t="shared" si="5"/>
        <v>5.259712723292731</v>
      </c>
      <c r="I20" s="17">
        <f t="shared" si="12"/>
        <v>5.1071854583393694</v>
      </c>
      <c r="J20" s="8">
        <v>5.0886180500201482E-3</v>
      </c>
      <c r="K20" s="17">
        <f t="shared" si="13"/>
        <v>6.2801745704432088</v>
      </c>
      <c r="L20" s="17">
        <f t="shared" si="6"/>
        <v>5.9975969709978427</v>
      </c>
      <c r="M20" s="17">
        <f t="shared" si="14"/>
        <v>4.7367428603414474</v>
      </c>
      <c r="N20" s="9">
        <v>5.324621540632523E-3</v>
      </c>
      <c r="O20" s="17">
        <f t="shared" si="15"/>
        <v>6.5800276558693582</v>
      </c>
      <c r="P20" s="17">
        <f t="shared" si="7"/>
        <v>6.1002203104615127</v>
      </c>
      <c r="Q20" s="17">
        <f t="shared" si="16"/>
        <v>4.7562034109841056</v>
      </c>
      <c r="R20" s="8">
        <v>2.4819088016696635E-3</v>
      </c>
      <c r="S20" s="17">
        <v>3.0192839395446924</v>
      </c>
      <c r="T20" s="17">
        <f t="shared" si="9"/>
        <v>4.0316747830857924</v>
      </c>
      <c r="U20" s="17">
        <f t="shared" si="10"/>
        <v>4.4864791400621051</v>
      </c>
      <c r="V20" s="9">
        <v>2.253692140697218E-3</v>
      </c>
      <c r="W20" s="17">
        <v>2.7382059263932002</v>
      </c>
      <c r="X20" s="17">
        <f t="shared" si="8"/>
        <v>3.7365824635174238</v>
      </c>
      <c r="Y20" s="17">
        <f t="shared" si="17"/>
        <v>4.4592100280253621</v>
      </c>
    </row>
    <row r="21" spans="1:25" x14ac:dyDescent="0.25">
      <c r="A21" s="7">
        <v>25051</v>
      </c>
      <c r="B21" s="28">
        <v>4.4107759272966011E-3</v>
      </c>
      <c r="C21" s="17">
        <f t="shared" si="0"/>
        <v>5.423240464206569</v>
      </c>
      <c r="D21" s="17">
        <f t="shared" si="4"/>
        <v>4.493847035200127</v>
      </c>
      <c r="E21" s="17">
        <f t="shared" si="11"/>
        <v>3.5373733334252311</v>
      </c>
      <c r="F21" s="29">
        <v>5.2008986094802742E-3</v>
      </c>
      <c r="G21" s="17">
        <f t="shared" si="1"/>
        <v>6.4227355179741652</v>
      </c>
      <c r="H21" s="17">
        <f t="shared" si="5"/>
        <v>7.00143817631802</v>
      </c>
      <c r="I21" s="17">
        <f t="shared" si="12"/>
        <v>4.972109467402408</v>
      </c>
      <c r="J21" s="8">
        <v>4.8317196471551688E-3</v>
      </c>
      <c r="K21" s="17">
        <f t="shared" si="13"/>
        <v>5.9546527394262805</v>
      </c>
      <c r="L21" s="17">
        <f t="shared" si="6"/>
        <v>6.9819064463623182</v>
      </c>
      <c r="M21" s="17">
        <f t="shared" si="14"/>
        <v>4.9299874066400795</v>
      </c>
      <c r="N21" s="9">
        <v>4.8534735585425339E-3</v>
      </c>
      <c r="O21" s="17">
        <f t="shared" si="15"/>
        <v>5.9821821561680144</v>
      </c>
      <c r="P21" s="17">
        <f t="shared" si="7"/>
        <v>7.2313704313556437</v>
      </c>
      <c r="Q21" s="17">
        <f t="shared" si="16"/>
        <v>4.9494976271607038</v>
      </c>
      <c r="R21" s="8">
        <v>3.8858159604017338E-3</v>
      </c>
      <c r="S21" s="17">
        <v>4.7639384732228951</v>
      </c>
      <c r="T21" s="17">
        <f t="shared" si="9"/>
        <v>4.0515534823641897</v>
      </c>
      <c r="U21" s="17">
        <f t="shared" si="10"/>
        <v>4.6079547834438905</v>
      </c>
      <c r="V21" s="9">
        <v>3.6969991232475774E-3</v>
      </c>
      <c r="W21" s="17">
        <v>4.5277274032692327</v>
      </c>
      <c r="X21" s="17">
        <f t="shared" si="8"/>
        <v>3.7667600271887425</v>
      </c>
      <c r="Y21" s="17">
        <f t="shared" si="17"/>
        <v>4.5637081509560362</v>
      </c>
    </row>
    <row r="22" spans="1:25" x14ac:dyDescent="0.25">
      <c r="A22" s="7">
        <v>25082</v>
      </c>
      <c r="B22" s="28">
        <v>3.3408044673780175E-3</v>
      </c>
      <c r="C22" s="17">
        <f t="shared" si="0"/>
        <v>4.0834542975903831</v>
      </c>
      <c r="D22" s="17">
        <f t="shared" si="4"/>
        <v>4.4192359339025655</v>
      </c>
      <c r="E22" s="17">
        <f t="shared" si="11"/>
        <v>3.5069149964650492</v>
      </c>
      <c r="F22" s="29">
        <v>3.3249902134041983E-3</v>
      </c>
      <c r="G22" s="17">
        <f t="shared" si="1"/>
        <v>4.0637697458493882</v>
      </c>
      <c r="H22" s="17">
        <f t="shared" si="5"/>
        <v>5.2378930918582256</v>
      </c>
      <c r="I22" s="17">
        <f t="shared" si="12"/>
        <v>4.7544774018189795</v>
      </c>
      <c r="J22" s="8">
        <v>2.3240833813340548E-3</v>
      </c>
      <c r="K22" s="17">
        <f t="shared" si="13"/>
        <v>2.8248266774774544</v>
      </c>
      <c r="L22" s="17">
        <f t="shared" si="6"/>
        <v>5.0082512140612101</v>
      </c>
      <c r="M22" s="17">
        <f t="shared" si="14"/>
        <v>4.9262807074467618</v>
      </c>
      <c r="N22" s="9">
        <v>2.1973060962530576E-3</v>
      </c>
      <c r="O22" s="17">
        <f t="shared" si="15"/>
        <v>2.6688676869136119</v>
      </c>
      <c r="P22" s="17">
        <f t="shared" si="7"/>
        <v>5.0628439943727788</v>
      </c>
      <c r="Q22" s="17">
        <f t="shared" si="16"/>
        <v>4.9507280769949702</v>
      </c>
      <c r="R22" s="8">
        <v>3.5701989179270023E-3</v>
      </c>
      <c r="S22" s="17">
        <v>4.3693736556911666</v>
      </c>
      <c r="T22" s="17">
        <f t="shared" si="9"/>
        <v>4.0481765625204558</v>
      </c>
      <c r="U22" s="17">
        <f t="shared" si="10"/>
        <v>4.6032780550434138</v>
      </c>
      <c r="V22" s="9">
        <v>3.6559252607853551E-3</v>
      </c>
      <c r="W22" s="17">
        <v>4.4764084337716614</v>
      </c>
      <c r="X22" s="17">
        <f t="shared" si="8"/>
        <v>3.9107724884839046</v>
      </c>
      <c r="Y22" s="17">
        <f t="shared" si="17"/>
        <v>4.5669989691557555</v>
      </c>
    </row>
    <row r="23" spans="1:25" x14ac:dyDescent="0.25">
      <c r="A23" s="7">
        <v>25112</v>
      </c>
      <c r="B23" s="28">
        <v>4.9856577181532843E-3</v>
      </c>
      <c r="C23" s="17">
        <f t="shared" si="0"/>
        <v>6.1496012613091455</v>
      </c>
      <c r="D23" s="17">
        <f t="shared" si="4"/>
        <v>5.2152783567477323</v>
      </c>
      <c r="E23" s="17">
        <f t="shared" si="11"/>
        <v>3.8864209944006634</v>
      </c>
      <c r="F23" s="29">
        <v>2.3145511177380335E-3</v>
      </c>
      <c r="G23" s="17">
        <f t="shared" si="1"/>
        <v>2.8130927231344582</v>
      </c>
      <c r="H23" s="17">
        <f t="shared" si="5"/>
        <v>4.4225109033389609</v>
      </c>
      <c r="I23" s="17">
        <f t="shared" si="12"/>
        <v>4.5938080349999133</v>
      </c>
      <c r="J23" s="8">
        <v>5.8609793492551028E-3</v>
      </c>
      <c r="K23" s="17">
        <f t="shared" si="13"/>
        <v>7.2643805826124952</v>
      </c>
      <c r="L23" s="17">
        <f t="shared" si="6"/>
        <v>5.3313982194389986</v>
      </c>
      <c r="M23" s="17">
        <f t="shared" si="14"/>
        <v>5.1585639074003042</v>
      </c>
      <c r="N23" s="9">
        <v>6.0062034818012732E-3</v>
      </c>
      <c r="O23" s="17">
        <f t="shared" si="15"/>
        <v>7.450367543758718</v>
      </c>
      <c r="P23" s="17">
        <f t="shared" si="7"/>
        <v>5.3480525402296086</v>
      </c>
      <c r="Q23" s="17">
        <f t="shared" si="16"/>
        <v>5.1858423606959914</v>
      </c>
      <c r="R23" s="8">
        <v>5.4889166116452405E-3</v>
      </c>
      <c r="S23" s="17">
        <v>6.7892295860344509</v>
      </c>
      <c r="T23" s="17">
        <f t="shared" si="9"/>
        <v>5.3022010809875342</v>
      </c>
      <c r="U23" s="17">
        <f t="shared" si="10"/>
        <v>4.7861624906270883</v>
      </c>
      <c r="V23" s="9">
        <v>5.6416553442345842E-3</v>
      </c>
      <c r="W23" s="17">
        <v>6.9840540407816398</v>
      </c>
      <c r="X23" s="17">
        <f t="shared" si="8"/>
        <v>5.3229297388293073</v>
      </c>
      <c r="Y23" s="17">
        <f t="shared" si="17"/>
        <v>4.7429241891471685</v>
      </c>
    </row>
    <row r="24" spans="1:25" x14ac:dyDescent="0.25">
      <c r="A24" s="7">
        <v>25143</v>
      </c>
      <c r="B24" s="28">
        <v>2.1047140022229169E-3</v>
      </c>
      <c r="C24" s="17">
        <f t="shared" si="0"/>
        <v>2.5550997132460784</v>
      </c>
      <c r="D24" s="17">
        <f t="shared" si="4"/>
        <v>4.2523312153129211</v>
      </c>
      <c r="E24" s="17">
        <f t="shared" si="11"/>
        <v>3.8432361208613264</v>
      </c>
      <c r="F24" s="29">
        <v>4.0794617832898509E-3</v>
      </c>
      <c r="G24" s="17">
        <f t="shared" si="1"/>
        <v>5.0066987845381661</v>
      </c>
      <c r="H24" s="17">
        <f t="shared" si="5"/>
        <v>3.9573007013137707</v>
      </c>
      <c r="I24" s="17">
        <f t="shared" si="12"/>
        <v>4.7445256773066768</v>
      </c>
      <c r="J24" s="8">
        <v>5.5207383593439225E-3</v>
      </c>
      <c r="K24" s="17">
        <f t="shared" si="13"/>
        <v>6.8297926765126915</v>
      </c>
      <c r="L24" s="17">
        <f t="shared" si="6"/>
        <v>5.6206008192379198</v>
      </c>
      <c r="M24" s="17">
        <f t="shared" si="14"/>
        <v>5.3255421954708559</v>
      </c>
      <c r="N24" s="9">
        <v>5.7522506888293108E-3</v>
      </c>
      <c r="O24" s="17">
        <f t="shared" si="15"/>
        <v>7.1253262035672726</v>
      </c>
      <c r="P24" s="17">
        <f t="shared" si="7"/>
        <v>5.7254668890346583</v>
      </c>
      <c r="Q24" s="17">
        <f t="shared" si="16"/>
        <v>5.4023819247150495</v>
      </c>
      <c r="R24" s="8">
        <v>4.9891550191560642E-3</v>
      </c>
      <c r="S24" s="17">
        <v>6.154034091284899</v>
      </c>
      <c r="T24" s="17">
        <f t="shared" si="9"/>
        <v>5.7659020765952418</v>
      </c>
      <c r="U24" s="17">
        <f t="shared" si="10"/>
        <v>4.8705772075535281</v>
      </c>
      <c r="V24" s="9">
        <v>5.2475326522052855E-3</v>
      </c>
      <c r="W24" s="17">
        <v>6.481997569226694</v>
      </c>
      <c r="X24" s="17">
        <f t="shared" si="8"/>
        <v>5.9752602480610539</v>
      </c>
      <c r="Y24" s="17">
        <f t="shared" si="17"/>
        <v>4.8895911746302367</v>
      </c>
    </row>
    <row r="25" spans="1:25" x14ac:dyDescent="0.25">
      <c r="A25" s="7">
        <v>25173</v>
      </c>
      <c r="B25" s="28">
        <v>-1.0609414439003225E-3</v>
      </c>
      <c r="C25" s="17">
        <f t="shared" si="0"/>
        <v>-1.2657270037683244</v>
      </c>
      <c r="D25" s="17">
        <f t="shared" si="4"/>
        <v>2.4348778003298488</v>
      </c>
      <c r="E25" s="17">
        <f t="shared" si="11"/>
        <v>3.542411481784935</v>
      </c>
      <c r="F25" s="29">
        <v>-3.5602767628612835E-3</v>
      </c>
      <c r="G25" s="17">
        <f t="shared" si="1"/>
        <v>-4.1896582691057338</v>
      </c>
      <c r="H25" s="17">
        <f t="shared" si="5"/>
        <v>1.1329337824584673</v>
      </c>
      <c r="I25" s="17">
        <f t="shared" si="12"/>
        <v>3.8974926718971181</v>
      </c>
      <c r="J25" s="8">
        <v>5.8170460743173389E-3</v>
      </c>
      <c r="K25" s="17">
        <f t="shared" si="13"/>
        <v>7.2081738853057686</v>
      </c>
      <c r="L25" s="17">
        <f t="shared" si="6"/>
        <v>7.1006083680953624</v>
      </c>
      <c r="M25" s="17">
        <f t="shared" si="14"/>
        <v>5.6036169159126015</v>
      </c>
      <c r="N25" s="9">
        <v>6.0649931576530064E-3</v>
      </c>
      <c r="O25" s="17">
        <f t="shared" si="15"/>
        <v>7.5257428606162691</v>
      </c>
      <c r="P25" s="17">
        <f t="shared" si="7"/>
        <v>7.3670048734964633</v>
      </c>
      <c r="Q25" s="17">
        <f t="shared" si="16"/>
        <v>5.7122723291070265</v>
      </c>
      <c r="R25" s="8">
        <v>5.4631121759246802E-3</v>
      </c>
      <c r="S25" s="17">
        <v>6.7563471125482444</v>
      </c>
      <c r="T25" s="17">
        <f t="shared" si="9"/>
        <v>6.566136387217103</v>
      </c>
      <c r="U25" s="17">
        <f t="shared" si="10"/>
        <v>5.1253018104734593</v>
      </c>
      <c r="V25" s="9">
        <v>5.7921829110299259E-3</v>
      </c>
      <c r="W25" s="17">
        <v>7.1763767868988859</v>
      </c>
      <c r="X25" s="17">
        <f t="shared" si="8"/>
        <v>6.8804082412711187</v>
      </c>
      <c r="Y25" s="17">
        <f t="shared" si="17"/>
        <v>5.1914647080261833</v>
      </c>
    </row>
    <row r="26" spans="1:25" x14ac:dyDescent="0.25">
      <c r="A26" s="7">
        <v>25204</v>
      </c>
      <c r="B26" s="28">
        <v>2.0688748609910173E-3</v>
      </c>
      <c r="C26" s="17">
        <f t="shared" si="0"/>
        <v>2.5110951644448987</v>
      </c>
      <c r="D26" s="17">
        <f t="shared" si="4"/>
        <v>1.2508526261692854</v>
      </c>
      <c r="E26" s="17">
        <f t="shared" si="11"/>
        <v>3.3326133051017948</v>
      </c>
      <c r="F26" s="29">
        <v>1.6807212947975122E-3</v>
      </c>
      <c r="G26" s="17">
        <f t="shared" si="1"/>
        <v>2.0356142390036691</v>
      </c>
      <c r="H26" s="17">
        <f t="shared" si="5"/>
        <v>0.87736414297594489</v>
      </c>
      <c r="I26" s="17">
        <f t="shared" si="12"/>
        <v>3.4437799414511749</v>
      </c>
      <c r="J26" s="8">
        <v>4.6859085730190427E-3</v>
      </c>
      <c r="K26" s="17">
        <f t="shared" si="13"/>
        <v>5.7702990350841477</v>
      </c>
      <c r="L26" s="17">
        <f t="shared" si="6"/>
        <v>6.6010147405646036</v>
      </c>
      <c r="M26" s="17">
        <f t="shared" si="14"/>
        <v>5.6086410637884443</v>
      </c>
      <c r="N26" s="9">
        <v>5.2847709059150733E-3</v>
      </c>
      <c r="O26" s="17">
        <f t="shared" si="15"/>
        <v>6.5293412710021315</v>
      </c>
      <c r="P26" s="17">
        <f t="shared" si="7"/>
        <v>7.0593535936319451</v>
      </c>
      <c r="Q26" s="17">
        <f t="shared" si="16"/>
        <v>5.7521584393785075</v>
      </c>
      <c r="R26" s="8">
        <v>3.7427027049729039E-3</v>
      </c>
      <c r="S26" s="17">
        <v>4.5848580492010571</v>
      </c>
      <c r="T26" s="17">
        <f t="shared" si="9"/>
        <v>5.8277769052605066</v>
      </c>
      <c r="U26" s="17">
        <f t="shared" si="10"/>
        <v>4.9645095298668673</v>
      </c>
      <c r="V26" s="9">
        <v>4.5169684023733106E-3</v>
      </c>
      <c r="W26" s="17">
        <v>5.5570701758533181</v>
      </c>
      <c r="X26" s="17">
        <f t="shared" si="8"/>
        <v>6.40307918885481</v>
      </c>
      <c r="Y26" s="17">
        <f t="shared" si="17"/>
        <v>5.0493642616716627</v>
      </c>
    </row>
    <row r="27" spans="1:25" x14ac:dyDescent="0.25">
      <c r="A27" s="7">
        <v>25235</v>
      </c>
      <c r="B27" s="28">
        <v>4.6178747553330228E-3</v>
      </c>
      <c r="C27" s="17">
        <f t="shared" si="0"/>
        <v>5.6843822997134419</v>
      </c>
      <c r="D27" s="17">
        <f t="shared" si="4"/>
        <v>2.2703808222581667</v>
      </c>
      <c r="E27" s="17">
        <f t="shared" si="11"/>
        <v>3.4608075083977896</v>
      </c>
      <c r="F27" s="29">
        <v>1.130521406615714E-2</v>
      </c>
      <c r="G27" s="17">
        <f t="shared" si="1"/>
        <v>14.442399880622325</v>
      </c>
      <c r="H27" s="17">
        <f t="shared" si="5"/>
        <v>3.8126736593320887</v>
      </c>
      <c r="I27" s="17">
        <f t="shared" si="12"/>
        <v>4.3663697241098642</v>
      </c>
      <c r="J27" s="8">
        <v>3.4468706812107348E-3</v>
      </c>
      <c r="K27" s="17">
        <f t="shared" si="13"/>
        <v>4.2155668425242876</v>
      </c>
      <c r="L27" s="17">
        <f t="shared" si="6"/>
        <v>5.7242813960958649</v>
      </c>
      <c r="M27" s="17">
        <f t="shared" si="14"/>
        <v>5.6086028572716717</v>
      </c>
      <c r="N27" s="9">
        <v>3.1834916138384827E-3</v>
      </c>
      <c r="O27" s="17">
        <f t="shared" si="15"/>
        <v>3.8877933276455279</v>
      </c>
      <c r="P27" s="17">
        <f t="shared" si="7"/>
        <v>5.9697894835598841</v>
      </c>
      <c r="Q27" s="17">
        <f t="shared" si="16"/>
        <v>5.7559551511047413</v>
      </c>
      <c r="R27" s="8">
        <v>3.5834399710043614E-3</v>
      </c>
      <c r="S27" s="17">
        <v>4.3858993840131921</v>
      </c>
      <c r="T27" s="17">
        <f t="shared" si="9"/>
        <v>5.2369173247941436</v>
      </c>
      <c r="U27" s="17">
        <f t="shared" si="10"/>
        <v>4.9768636558497059</v>
      </c>
      <c r="V27" s="9">
        <v>3.1758421905262796E-3</v>
      </c>
      <c r="W27" s="17">
        <v>3.8782878078118532</v>
      </c>
      <c r="X27" s="17">
        <f t="shared" si="8"/>
        <v>5.5286527758138693</v>
      </c>
      <c r="Y27" s="17">
        <f t="shared" si="17"/>
        <v>5.0705071864713736</v>
      </c>
    </row>
    <row r="28" spans="1:25" x14ac:dyDescent="0.25">
      <c r="A28" s="7">
        <v>25263</v>
      </c>
      <c r="B28" s="28">
        <v>6.7310527287666195E-3</v>
      </c>
      <c r="C28" s="17">
        <f t="shared" si="0"/>
        <v>8.3831018693893977</v>
      </c>
      <c r="D28" s="17">
        <f t="shared" si="4"/>
        <v>5.4988569667476561</v>
      </c>
      <c r="E28" s="17">
        <f t="shared" si="11"/>
        <v>3.9304352921386565</v>
      </c>
      <c r="F28" s="29">
        <v>1.0795012054960517E-2</v>
      </c>
      <c r="G28" s="17">
        <f t="shared" si="1"/>
        <v>13.751486788649148</v>
      </c>
      <c r="H28" s="17">
        <f t="shared" si="5"/>
        <v>9.9255398565529553</v>
      </c>
      <c r="I28" s="17">
        <f t="shared" si="12"/>
        <v>5.1876085683947526</v>
      </c>
      <c r="J28" s="8">
        <v>7.6952712006785355E-3</v>
      </c>
      <c r="K28" s="17">
        <f t="shared" si="13"/>
        <v>9.6353599231520768</v>
      </c>
      <c r="L28" s="17">
        <f t="shared" si="6"/>
        <v>6.5161984144650464</v>
      </c>
      <c r="M28" s="17">
        <f t="shared" si="14"/>
        <v>5.9355869427003549</v>
      </c>
      <c r="N28" s="9">
        <v>8.4190937147101495E-3</v>
      </c>
      <c r="O28" s="17">
        <f t="shared" si="15"/>
        <v>10.584108661761071</v>
      </c>
      <c r="P28" s="17">
        <f t="shared" si="7"/>
        <v>6.9651148026871113</v>
      </c>
      <c r="Q28" s="17">
        <f t="shared" si="16"/>
        <v>6.1317866377174957</v>
      </c>
      <c r="R28" s="8">
        <v>4.9628125238081206E-3</v>
      </c>
      <c r="S28" s="17">
        <v>6.1206491453748235</v>
      </c>
      <c r="T28" s="17">
        <f t="shared" si="9"/>
        <v>5.0276179122335174</v>
      </c>
      <c r="U28" s="17">
        <f t="shared" si="10"/>
        <v>4.9510432807451155</v>
      </c>
      <c r="V28" s="9">
        <v>5.5195973868191845E-3</v>
      </c>
      <c r="W28" s="17">
        <v>6.8283380380203651</v>
      </c>
      <c r="X28" s="17">
        <f t="shared" si="8"/>
        <v>5.4142995650884096</v>
      </c>
      <c r="Y28" s="17">
        <f t="shared" si="17"/>
        <v>5.041845480891638</v>
      </c>
    </row>
    <row r="29" spans="1:25" x14ac:dyDescent="0.25">
      <c r="A29" s="7">
        <v>25294</v>
      </c>
      <c r="B29" s="28">
        <v>4.1427914996869063E-3</v>
      </c>
      <c r="C29" s="17">
        <f t="shared" si="0"/>
        <v>5.0862026733967447</v>
      </c>
      <c r="D29" s="17">
        <f t="shared" si="4"/>
        <v>6.3749484978733229</v>
      </c>
      <c r="E29" s="17">
        <f t="shared" si="11"/>
        <v>4.1097182631604445</v>
      </c>
      <c r="F29" s="29">
        <v>2.7969194760232911E-4</v>
      </c>
      <c r="G29" s="17">
        <f t="shared" si="1"/>
        <v>0.33614712084211185</v>
      </c>
      <c r="H29" s="17">
        <f t="shared" si="5"/>
        <v>9.3118269565205516</v>
      </c>
      <c r="I29" s="17">
        <f t="shared" si="12"/>
        <v>4.9250772798080433</v>
      </c>
      <c r="J29" s="8">
        <v>6.4953303398790803E-3</v>
      </c>
      <c r="K29" s="17">
        <f t="shared" si="13"/>
        <v>8.0789636625219874</v>
      </c>
      <c r="L29" s="17">
        <f t="shared" si="6"/>
        <v>7.2856090894466208</v>
      </c>
      <c r="M29" s="17">
        <f t="shared" si="14"/>
        <v>6.301445392365701</v>
      </c>
      <c r="N29" s="9">
        <v>6.6721775359092871E-3</v>
      </c>
      <c r="O29" s="17">
        <f t="shared" si="15"/>
        <v>8.307065387422119</v>
      </c>
      <c r="P29" s="17">
        <f t="shared" si="7"/>
        <v>7.5568341570263264</v>
      </c>
      <c r="Q29" s="17">
        <f t="shared" si="16"/>
        <v>6.5126907840368453</v>
      </c>
      <c r="R29" s="8">
        <v>4.8909506210013769E-3</v>
      </c>
      <c r="S29" s="17">
        <v>6.0296244846084424</v>
      </c>
      <c r="T29" s="17">
        <f t="shared" si="9"/>
        <v>5.5090354730556346</v>
      </c>
      <c r="U29" s="17">
        <f t="shared" si="10"/>
        <v>5.1654516506358661</v>
      </c>
      <c r="V29" s="9">
        <v>4.8051113137837359E-3</v>
      </c>
      <c r="W29" s="17">
        <v>5.920988999343213</v>
      </c>
      <c r="X29" s="17">
        <f t="shared" si="8"/>
        <v>5.535302816791754</v>
      </c>
      <c r="Y29" s="17">
        <f t="shared" si="17"/>
        <v>5.2450566187115744</v>
      </c>
    </row>
    <row r="30" spans="1:25" x14ac:dyDescent="0.25">
      <c r="A30" s="7">
        <v>25324</v>
      </c>
      <c r="B30" s="28">
        <v>8.2025413073642296E-4</v>
      </c>
      <c r="C30" s="17">
        <f t="shared" si="0"/>
        <v>0.98875771183573047</v>
      </c>
      <c r="D30" s="17">
        <f t="shared" si="4"/>
        <v>4.7755867643533678</v>
      </c>
      <c r="E30" s="17">
        <f t="shared" si="11"/>
        <v>3.9433278494342971</v>
      </c>
      <c r="F30" s="29">
        <v>-3.5856810221033949E-3</v>
      </c>
      <c r="G30" s="17">
        <f t="shared" si="1"/>
        <v>-4.2189664080448548</v>
      </c>
      <c r="H30" s="17">
        <f t="shared" si="5"/>
        <v>3.0144165446880145</v>
      </c>
      <c r="I30" s="17">
        <f t="shared" si="12"/>
        <v>4.4355235280958194</v>
      </c>
      <c r="J30" s="8">
        <v>4.8345481127151256E-3</v>
      </c>
      <c r="K30" s="17">
        <f t="shared" si="13"/>
        <v>5.9582317712592925</v>
      </c>
      <c r="L30" s="17">
        <f t="shared" si="6"/>
        <v>7.8803069642710222</v>
      </c>
      <c r="M30" s="17">
        <f t="shared" si="14"/>
        <v>6.5476733256713882</v>
      </c>
      <c r="N30" s="9">
        <v>4.779292317603526E-3</v>
      </c>
      <c r="O30" s="17">
        <f t="shared" si="15"/>
        <v>5.8883332679613209</v>
      </c>
      <c r="P30" s="17">
        <f t="shared" si="7"/>
        <v>8.2428472618503825</v>
      </c>
      <c r="Q30" s="17">
        <f t="shared" si="16"/>
        <v>6.7875657590001026</v>
      </c>
      <c r="R30" s="8">
        <v>4.0689504381728053E-3</v>
      </c>
      <c r="S30" s="17">
        <v>4.9935082177407608</v>
      </c>
      <c r="T30" s="17">
        <f t="shared" si="9"/>
        <v>5.7133550096106767</v>
      </c>
      <c r="U30" s="17">
        <f t="shared" si="10"/>
        <v>5.1896609145178463</v>
      </c>
      <c r="V30" s="9">
        <v>3.7936839078288125E-3</v>
      </c>
      <c r="W30" s="17">
        <v>4.6486196274989844</v>
      </c>
      <c r="X30" s="17">
        <f t="shared" si="8"/>
        <v>5.7955338636219267</v>
      </c>
      <c r="Y30" s="17">
        <f t="shared" si="17"/>
        <v>5.2628487329763773</v>
      </c>
    </row>
    <row r="31" spans="1:25" x14ac:dyDescent="0.25">
      <c r="A31" s="7">
        <v>25355</v>
      </c>
      <c r="B31" s="28">
        <v>8.8698835243340088E-3</v>
      </c>
      <c r="C31" s="17">
        <f t="shared" si="0"/>
        <v>11.178777322508694</v>
      </c>
      <c r="D31" s="17">
        <f t="shared" si="4"/>
        <v>5.6688240005492885</v>
      </c>
      <c r="E31" s="17">
        <f t="shared" si="11"/>
        <v>4.4974633731768465</v>
      </c>
      <c r="F31" s="29">
        <v>5.3356483569798122E-3</v>
      </c>
      <c r="G31" s="17">
        <f t="shared" si="1"/>
        <v>6.5940566681871982</v>
      </c>
      <c r="H31" s="17">
        <f t="shared" si="5"/>
        <v>0.80683433507320323</v>
      </c>
      <c r="I31" s="17">
        <f t="shared" si="12"/>
        <v>4.2109448737372768</v>
      </c>
      <c r="J31" s="8">
        <v>3.8102089783079518E-3</v>
      </c>
      <c r="K31" s="17">
        <f t="shared" si="13"/>
        <v>4.6692949805954731</v>
      </c>
      <c r="L31" s="17">
        <f t="shared" si="6"/>
        <v>6.2262191781339071</v>
      </c>
      <c r="M31" s="17">
        <f t="shared" si="14"/>
        <v>6.2100678991381164</v>
      </c>
      <c r="N31" s="9">
        <v>3.5139302188479781E-3</v>
      </c>
      <c r="O31" s="17">
        <f t="shared" si="15"/>
        <v>4.2991732665971227</v>
      </c>
      <c r="P31" s="17">
        <f t="shared" si="7"/>
        <v>6.1520997046795811</v>
      </c>
      <c r="Q31" s="17">
        <f t="shared" si="16"/>
        <v>6.3831107481148397</v>
      </c>
      <c r="R31" s="8">
        <v>4.202759235964324E-3</v>
      </c>
      <c r="S31" s="17">
        <v>5.1615368037416731</v>
      </c>
      <c r="T31" s="17">
        <f t="shared" si="9"/>
        <v>5.3939136234764984</v>
      </c>
      <c r="U31" s="17">
        <f t="shared" si="10"/>
        <v>5.255108995796709</v>
      </c>
      <c r="V31" s="9">
        <v>3.7984736194551327E-3</v>
      </c>
      <c r="W31" s="17">
        <v>4.6546118931139357</v>
      </c>
      <c r="X31" s="17">
        <f t="shared" si="8"/>
        <v>5.0730408159035401</v>
      </c>
      <c r="Y31" s="17">
        <f t="shared" si="17"/>
        <v>5.3143075151083075</v>
      </c>
    </row>
    <row r="32" spans="1:25" x14ac:dyDescent="0.25">
      <c r="A32" s="7">
        <v>25385</v>
      </c>
      <c r="B32" s="28">
        <v>3.1891818581164665E-3</v>
      </c>
      <c r="C32" s="17">
        <f t="shared" si="0"/>
        <v>3.8948648000393327</v>
      </c>
      <c r="D32" s="17">
        <f t="shared" si="4"/>
        <v>5.2679911410780988</v>
      </c>
      <c r="E32" s="17">
        <f t="shared" si="11"/>
        <v>4.508905360420945</v>
      </c>
      <c r="F32" s="29">
        <v>5.137028339828438E-3</v>
      </c>
      <c r="G32" s="17">
        <f t="shared" si="1"/>
        <v>6.3416189105403475</v>
      </c>
      <c r="H32" s="17">
        <f t="shared" si="5"/>
        <v>2.7792061968959558</v>
      </c>
      <c r="I32" s="17">
        <f t="shared" si="12"/>
        <v>4.3013830910004103</v>
      </c>
      <c r="J32" s="8">
        <v>5.3284982312286934E-3</v>
      </c>
      <c r="K32" s="17">
        <f t="shared" si="13"/>
        <v>6.5849596336035709</v>
      </c>
      <c r="L32" s="17">
        <f t="shared" si="6"/>
        <v>5.7344820142062769</v>
      </c>
      <c r="M32" s="17">
        <f t="shared" si="14"/>
        <v>6.2354165996171051</v>
      </c>
      <c r="N32" s="9">
        <v>5.4506377408740647E-3</v>
      </c>
      <c r="O32" s="17">
        <f t="shared" si="15"/>
        <v>6.7404543256299965</v>
      </c>
      <c r="P32" s="17">
        <f t="shared" si="7"/>
        <v>5.6377984699928385</v>
      </c>
      <c r="Q32" s="17">
        <f t="shared" si="16"/>
        <v>6.3964457397176488</v>
      </c>
      <c r="R32" s="8">
        <v>3.1704923698576445E-3</v>
      </c>
      <c r="S32" s="17">
        <v>3.8716403521454446</v>
      </c>
      <c r="T32" s="17">
        <f t="shared" si="9"/>
        <v>4.6739919572917898</v>
      </c>
      <c r="U32" s="17">
        <f t="shared" si="10"/>
        <v>5.3274064985107339</v>
      </c>
      <c r="V32" s="9">
        <v>2.859546059468282E-3</v>
      </c>
      <c r="W32" s="17">
        <v>3.4859412358997366</v>
      </c>
      <c r="X32" s="17">
        <f t="shared" si="8"/>
        <v>4.2616058955622149</v>
      </c>
      <c r="Y32" s="17">
        <f t="shared" si="17"/>
        <v>5.377969127343829</v>
      </c>
    </row>
    <row r="33" spans="1:25" x14ac:dyDescent="0.25">
      <c r="A33" s="7">
        <v>25416</v>
      </c>
      <c r="B33" s="28">
        <v>3.44609533421859E-3</v>
      </c>
      <c r="C33" s="17">
        <f t="shared" si="0"/>
        <v>4.2146005386540564</v>
      </c>
      <c r="D33" s="17">
        <f t="shared" si="4"/>
        <v>6.3771085073786482</v>
      </c>
      <c r="E33" s="17">
        <f t="shared" si="11"/>
        <v>4.4085303791669528</v>
      </c>
      <c r="F33" s="29">
        <v>1.9468532704798092E-3</v>
      </c>
      <c r="G33" s="17">
        <f t="shared" si="1"/>
        <v>2.3614025452475707</v>
      </c>
      <c r="H33" s="17">
        <f t="shared" si="5"/>
        <v>5.080991514849309</v>
      </c>
      <c r="I33" s="17">
        <f t="shared" si="12"/>
        <v>3.9637377208380009</v>
      </c>
      <c r="J33" s="8">
        <v>5.0965747230006537E-3</v>
      </c>
      <c r="K33" s="17">
        <f t="shared" si="13"/>
        <v>6.2902712731412347</v>
      </c>
      <c r="L33" s="17">
        <f t="shared" si="6"/>
        <v>5.8448129606312405</v>
      </c>
      <c r="M33" s="17">
        <f t="shared" si="14"/>
        <v>6.2634182926079029</v>
      </c>
      <c r="N33" s="9">
        <v>5.0899426444674422E-3</v>
      </c>
      <c r="O33" s="17">
        <f t="shared" si="15"/>
        <v>6.2818553673039679</v>
      </c>
      <c r="P33" s="17">
        <f t="shared" si="7"/>
        <v>5.768500362128548</v>
      </c>
      <c r="Q33" s="17">
        <f t="shared" si="16"/>
        <v>6.4214836889627813</v>
      </c>
      <c r="R33" s="8">
        <v>4.5333937787782608E-3</v>
      </c>
      <c r="S33" s="17">
        <v>5.5777842575539083</v>
      </c>
      <c r="T33" s="17">
        <f t="shared" si="9"/>
        <v>4.8677988869705091</v>
      </c>
      <c r="U33" s="17">
        <f t="shared" si="10"/>
        <v>5.3953501740076737</v>
      </c>
      <c r="V33" s="9">
        <v>4.3872955731026489E-3</v>
      </c>
      <c r="W33" s="17">
        <v>5.3936702106061274</v>
      </c>
      <c r="X33" s="17">
        <f t="shared" si="8"/>
        <v>4.5084527471036084</v>
      </c>
      <c r="Y33" s="17">
        <f t="shared" si="17"/>
        <v>5.450443228636459</v>
      </c>
    </row>
    <row r="34" spans="1:25" x14ac:dyDescent="0.25">
      <c r="A34" s="7">
        <v>25447</v>
      </c>
      <c r="B34" s="28">
        <v>3.6802664996904949E-3</v>
      </c>
      <c r="C34" s="17">
        <f t="shared" si="0"/>
        <v>4.5068183509677784</v>
      </c>
      <c r="D34" s="17">
        <f t="shared" si="4"/>
        <v>4.2051281892010017</v>
      </c>
      <c r="E34" s="17">
        <f t="shared" si="11"/>
        <v>4.4438550981014346</v>
      </c>
      <c r="F34" s="29">
        <v>3.8736979979184406E-4</v>
      </c>
      <c r="G34" s="17">
        <f t="shared" si="1"/>
        <v>0.46583540504536725</v>
      </c>
      <c r="H34" s="17">
        <f t="shared" si="5"/>
        <v>3.0273743058651714</v>
      </c>
      <c r="I34" s="17">
        <f t="shared" si="12"/>
        <v>3.659343829344075</v>
      </c>
      <c r="J34" s="8">
        <v>6.1130983903640839E-3</v>
      </c>
      <c r="K34" s="17">
        <f t="shared" si="13"/>
        <v>7.5874555105755359</v>
      </c>
      <c r="L34" s="17">
        <f t="shared" si="6"/>
        <v>6.8194552771659644</v>
      </c>
      <c r="M34" s="17">
        <f t="shared" si="14"/>
        <v>6.6651183948974069</v>
      </c>
      <c r="N34" s="9">
        <v>6.1567758496321292E-3</v>
      </c>
      <c r="O34" s="17">
        <f t="shared" si="15"/>
        <v>7.6435160334828778</v>
      </c>
      <c r="P34" s="17">
        <f t="shared" si="7"/>
        <v>6.8871136733215321</v>
      </c>
      <c r="Q34" s="17">
        <f t="shared" si="16"/>
        <v>6.8419324800471193</v>
      </c>
      <c r="R34" s="8">
        <v>4.4504662082215487E-3</v>
      </c>
      <c r="S34" s="17">
        <v>5.4732421685182109</v>
      </c>
      <c r="T34" s="17">
        <f t="shared" si="9"/>
        <v>4.9713082539039499</v>
      </c>
      <c r="U34" s="17">
        <f t="shared" si="10"/>
        <v>5.4877962026037341</v>
      </c>
      <c r="V34" s="9">
        <v>4.1254707865531134E-3</v>
      </c>
      <c r="W34" s="17">
        <v>5.0644528348452011</v>
      </c>
      <c r="X34" s="17">
        <f t="shared" si="8"/>
        <v>4.6446979049424408</v>
      </c>
      <c r="Y34" s="17">
        <f t="shared" si="17"/>
        <v>5.4997766531318604</v>
      </c>
    </row>
    <row r="35" spans="1:25" x14ac:dyDescent="0.25">
      <c r="A35" s="7">
        <v>25477</v>
      </c>
      <c r="B35" s="28">
        <v>3.7604525746339945E-3</v>
      </c>
      <c r="C35" s="17">
        <f t="shared" si="0"/>
        <v>4.60705355594202</v>
      </c>
      <c r="D35" s="17">
        <f t="shared" si="4"/>
        <v>4.4426913827241732</v>
      </c>
      <c r="E35" s="17">
        <f t="shared" si="11"/>
        <v>4.3165247750341917</v>
      </c>
      <c r="F35" s="29">
        <v>7.8466666296487277E-3</v>
      </c>
      <c r="G35" s="17">
        <f t="shared" si="1"/>
        <v>9.8331818059575795</v>
      </c>
      <c r="H35" s="17">
        <f t="shared" si="5"/>
        <v>4.1428353967351228</v>
      </c>
      <c r="I35" s="17">
        <f t="shared" si="12"/>
        <v>4.2314750663028811</v>
      </c>
      <c r="J35" s="8">
        <v>3.9356603392590233E-3</v>
      </c>
      <c r="K35" s="17">
        <f t="shared" si="13"/>
        <v>4.826375689920126</v>
      </c>
      <c r="L35" s="17">
        <f t="shared" si="6"/>
        <v>6.228709967492807</v>
      </c>
      <c r="M35" s="17">
        <f t="shared" si="14"/>
        <v>6.4609506377566239</v>
      </c>
      <c r="N35" s="9">
        <v>3.4102939480520024E-3</v>
      </c>
      <c r="O35" s="17">
        <f t="shared" si="15"/>
        <v>4.1699907271115499</v>
      </c>
      <c r="P35" s="17">
        <f t="shared" si="7"/>
        <v>6.0221342911743081</v>
      </c>
      <c r="Q35" s="17">
        <f t="shared" si="16"/>
        <v>6.5662363758191011</v>
      </c>
      <c r="R35" s="8">
        <v>2.7749534024873079E-3</v>
      </c>
      <c r="S35" s="17">
        <v>3.3812395488143299</v>
      </c>
      <c r="T35" s="17">
        <f t="shared" si="9"/>
        <v>4.8058500663467951</v>
      </c>
      <c r="U35" s="17">
        <f t="shared" si="10"/>
        <v>5.203069048301745</v>
      </c>
      <c r="V35" s="9">
        <v>1.6087225089783646E-3</v>
      </c>
      <c r="W35" s="17">
        <v>1.9476396585000444</v>
      </c>
      <c r="X35" s="17">
        <f t="shared" si="8"/>
        <v>4.1235985242375151</v>
      </c>
      <c r="Y35" s="17">
        <f t="shared" si="17"/>
        <v>5.0766900485589961</v>
      </c>
    </row>
    <row r="36" spans="1:25" x14ac:dyDescent="0.25">
      <c r="A36" s="7">
        <v>25508</v>
      </c>
      <c r="B36" s="28">
        <v>6.7580521904724092E-3</v>
      </c>
      <c r="C36" s="17">
        <f t="shared" si="0"/>
        <v>8.417987656354553</v>
      </c>
      <c r="D36" s="17">
        <f t="shared" si="4"/>
        <v>5.8284200875854841</v>
      </c>
      <c r="E36" s="17">
        <f t="shared" si="11"/>
        <v>4.8009253188280532</v>
      </c>
      <c r="F36" s="29">
        <v>5.6347546811422655E-3</v>
      </c>
      <c r="G36" s="17">
        <f t="shared" si="1"/>
        <v>6.9752449420644291</v>
      </c>
      <c r="H36" s="17">
        <f t="shared" si="5"/>
        <v>5.6846105849754025</v>
      </c>
      <c r="I36" s="17">
        <f t="shared" si="12"/>
        <v>4.3929269026101059</v>
      </c>
      <c r="J36" s="8">
        <v>4.8847868928871595E-3</v>
      </c>
      <c r="K36" s="17">
        <f t="shared" si="13"/>
        <v>6.0218204649187479</v>
      </c>
      <c r="L36" s="17">
        <f t="shared" si="6"/>
        <v>6.1392027953529826</v>
      </c>
      <c r="M36" s="17">
        <f t="shared" si="14"/>
        <v>6.3936183639450306</v>
      </c>
      <c r="N36" s="9">
        <v>4.5980354165562195E-3</v>
      </c>
      <c r="O36" s="17">
        <f t="shared" si="15"/>
        <v>5.6593401745671734</v>
      </c>
      <c r="P36" s="17">
        <f t="shared" si="7"/>
        <v>5.8147308434346234</v>
      </c>
      <c r="Q36" s="17">
        <f t="shared" si="16"/>
        <v>6.443939480684735</v>
      </c>
      <c r="R36" s="8">
        <v>4.2696452239871221E-3</v>
      </c>
      <c r="S36" s="17">
        <v>5.2456203479394059</v>
      </c>
      <c r="T36" s="17">
        <f t="shared" si="9"/>
        <v>4.6958228359636589</v>
      </c>
      <c r="U36" s="17">
        <f t="shared" si="10"/>
        <v>5.1277501871139997</v>
      </c>
      <c r="V36" s="9">
        <v>3.6357581341746057E-3</v>
      </c>
      <c r="W36" s="17">
        <v>4.4512194493988799</v>
      </c>
      <c r="X36" s="17">
        <f t="shared" si="8"/>
        <v>3.8123042766655457</v>
      </c>
      <c r="Y36" s="17">
        <f t="shared" si="17"/>
        <v>4.9082141996181328</v>
      </c>
    </row>
    <row r="37" spans="1:25" x14ac:dyDescent="0.25">
      <c r="A37" s="7">
        <v>25538</v>
      </c>
      <c r="B37" s="28">
        <v>7.7830263957855686E-3</v>
      </c>
      <c r="C37" s="17">
        <f t="shared" si="0"/>
        <v>9.7499860272627803</v>
      </c>
      <c r="D37" s="17">
        <f t="shared" si="4"/>
        <v>7.569445130573671</v>
      </c>
      <c r="E37" s="17">
        <f t="shared" si="11"/>
        <v>5.7287657162481187</v>
      </c>
      <c r="F37" s="29">
        <v>2.4322330877347689E-3</v>
      </c>
      <c r="G37" s="17">
        <f t="shared" si="1"/>
        <v>2.9580419928283419</v>
      </c>
      <c r="H37" s="17">
        <f t="shared" si="5"/>
        <v>6.5513712357391229</v>
      </c>
      <c r="I37" s="17">
        <f t="shared" si="12"/>
        <v>5.0207377256914265</v>
      </c>
      <c r="J37" s="8">
        <v>5.7144621866407229E-3</v>
      </c>
      <c r="K37" s="17">
        <f t="shared" si="13"/>
        <v>7.0770367462883899</v>
      </c>
      <c r="L37" s="17">
        <f t="shared" si="6"/>
        <v>5.9710873447247792</v>
      </c>
      <c r="M37" s="17">
        <f t="shared" si="14"/>
        <v>6.3827672145850611</v>
      </c>
      <c r="N37" s="9">
        <v>5.8137142154429501E-3</v>
      </c>
      <c r="O37" s="17">
        <f t="shared" si="15"/>
        <v>7.203912323037498</v>
      </c>
      <c r="P37" s="17">
        <f t="shared" si="7"/>
        <v>5.6704892553489206</v>
      </c>
      <c r="Q37" s="17">
        <f t="shared" si="16"/>
        <v>6.4173536033316214</v>
      </c>
      <c r="R37" s="8">
        <v>5.5829627485007704E-3</v>
      </c>
      <c r="S37" s="17">
        <v>6.909150739921599</v>
      </c>
      <c r="T37" s="17">
        <f t="shared" si="9"/>
        <v>5.1687912328082453</v>
      </c>
      <c r="U37" s="17">
        <f t="shared" si="10"/>
        <v>5.1402813490243338</v>
      </c>
      <c r="V37" s="9">
        <v>5.7187068175344104E-3</v>
      </c>
      <c r="W37" s="17">
        <v>7.0824599123940235</v>
      </c>
      <c r="X37" s="17">
        <f t="shared" si="8"/>
        <v>4.4727459322863261</v>
      </c>
      <c r="Y37" s="17">
        <f t="shared" si="17"/>
        <v>4.900550344314869</v>
      </c>
    </row>
    <row r="38" spans="1:25" x14ac:dyDescent="0.25">
      <c r="A38" s="7">
        <v>25569</v>
      </c>
      <c r="B38" s="28">
        <v>3.517533868694558E-4</v>
      </c>
      <c r="C38" s="17">
        <f t="shared" si="0"/>
        <v>0.42292164343715744</v>
      </c>
      <c r="D38" s="17">
        <f t="shared" si="4"/>
        <v>6.1156786793561402</v>
      </c>
      <c r="E38" s="17">
        <f t="shared" si="11"/>
        <v>5.5475914091737133</v>
      </c>
      <c r="F38" s="29">
        <v>1.2061591625385469E-3</v>
      </c>
      <c r="G38" s="17">
        <f t="shared" si="1"/>
        <v>1.4570315158994429</v>
      </c>
      <c r="H38" s="17">
        <f t="shared" si="5"/>
        <v>3.770817611784949</v>
      </c>
      <c r="I38" s="17">
        <f t="shared" si="12"/>
        <v>4.970982485157216</v>
      </c>
      <c r="J38" s="8">
        <v>6.8412769956732213E-3</v>
      </c>
      <c r="K38" s="17">
        <f t="shared" si="13"/>
        <v>8.5255865314799006</v>
      </c>
      <c r="L38" s="17">
        <f t="shared" si="6"/>
        <v>7.2032407480480121</v>
      </c>
      <c r="M38" s="17">
        <f t="shared" si="14"/>
        <v>6.6109918320623295</v>
      </c>
      <c r="N38" s="9">
        <v>7.1041112282909302E-3</v>
      </c>
      <c r="O38" s="17">
        <f t="shared" si="15"/>
        <v>8.8660401425081581</v>
      </c>
      <c r="P38" s="17">
        <f t="shared" si="7"/>
        <v>7.2351059361710268</v>
      </c>
      <c r="Q38" s="17">
        <f t="shared" si="16"/>
        <v>6.6099451833638412</v>
      </c>
      <c r="R38" s="8">
        <v>7.3522309729474383E-3</v>
      </c>
      <c r="S38" s="17">
        <v>9.188331898477454</v>
      </c>
      <c r="T38" s="17">
        <f t="shared" si="9"/>
        <v>7.1021973431539598</v>
      </c>
      <c r="U38" s="17">
        <f t="shared" si="10"/>
        <v>5.5183730817058185</v>
      </c>
      <c r="V38" s="9">
        <v>7.9175389761567943E-3</v>
      </c>
      <c r="W38" s="17">
        <v>9.9259000366052739</v>
      </c>
      <c r="X38" s="17">
        <f t="shared" si="8"/>
        <v>7.1298823671874567</v>
      </c>
      <c r="Y38" s="17">
        <f t="shared" si="17"/>
        <v>5.255668013697723</v>
      </c>
    </row>
    <row r="39" spans="1:25" x14ac:dyDescent="0.25">
      <c r="A39" s="7">
        <v>25600</v>
      </c>
      <c r="B39" s="28">
        <v>4.2650108460305439E-3</v>
      </c>
      <c r="C39" s="17">
        <f t="shared" si="0"/>
        <v>5.2397924039472743</v>
      </c>
      <c r="D39" s="17">
        <f t="shared" si="4"/>
        <v>5.068476794949861</v>
      </c>
      <c r="E39" s="17">
        <f t="shared" si="11"/>
        <v>5.5105186707146592</v>
      </c>
      <c r="F39" s="29">
        <v>2.5592338052051193E-3</v>
      </c>
      <c r="G39" s="17">
        <f t="shared" si="1"/>
        <v>3.1146793384953186</v>
      </c>
      <c r="H39" s="17">
        <f t="shared" si="5"/>
        <v>2.5071849805775592</v>
      </c>
      <c r="I39" s="17">
        <f t="shared" si="12"/>
        <v>4.063171343655636</v>
      </c>
      <c r="J39" s="8">
        <v>7.4367293035718018E-3</v>
      </c>
      <c r="K39" s="17">
        <f t="shared" si="13"/>
        <v>9.2982893396260646</v>
      </c>
      <c r="L39" s="17">
        <f t="shared" si="6"/>
        <v>8.2963825779351463</v>
      </c>
      <c r="M39" s="17">
        <f t="shared" si="14"/>
        <v>7.0348934828900145</v>
      </c>
      <c r="N39" s="9">
        <v>7.5292689093604493E-3</v>
      </c>
      <c r="O39" s="17">
        <f t="shared" si="15"/>
        <v>9.4188273163718037</v>
      </c>
      <c r="P39" s="17">
        <f t="shared" si="7"/>
        <v>8.4921641515746558</v>
      </c>
      <c r="Q39" s="17">
        <f t="shared" si="16"/>
        <v>7.071778021650843</v>
      </c>
      <c r="R39" s="8">
        <v>5.0471553195527569E-3</v>
      </c>
      <c r="S39" s="17">
        <v>6.2275742349891861</v>
      </c>
      <c r="T39" s="17">
        <f t="shared" si="9"/>
        <v>7.4342587394379045</v>
      </c>
      <c r="U39" s="17">
        <f t="shared" si="10"/>
        <v>5.6722704619156294</v>
      </c>
      <c r="V39" s="9">
        <v>4.6324492446102464E-3</v>
      </c>
      <c r="W39" s="17">
        <v>5.7027823562126434</v>
      </c>
      <c r="X39" s="17">
        <f t="shared" si="8"/>
        <v>7.5560710944614584</v>
      </c>
      <c r="Y39" s="17">
        <f t="shared" si="17"/>
        <v>5.4084987957631281</v>
      </c>
    </row>
    <row r="40" spans="1:25" x14ac:dyDescent="0.25">
      <c r="A40" s="7">
        <v>25628</v>
      </c>
      <c r="B40" s="28">
        <v>-1.9611526995747552E-3</v>
      </c>
      <c r="C40" s="17">
        <f t="shared" si="0"/>
        <v>-2.3281640603594278</v>
      </c>
      <c r="D40" s="17">
        <f t="shared" si="4"/>
        <v>1.0634366058276612</v>
      </c>
      <c r="E40" s="17">
        <f t="shared" si="11"/>
        <v>4.599531470458107</v>
      </c>
      <c r="F40" s="29">
        <v>4.3947751486932298E-5</v>
      </c>
      <c r="G40" s="17">
        <f t="shared" si="1"/>
        <v>5.2750050923844327E-2</v>
      </c>
      <c r="H40" s="17">
        <f t="shared" si="5"/>
        <v>1.5337809804149227</v>
      </c>
      <c r="I40" s="17">
        <f t="shared" si="12"/>
        <v>2.9563298640320035</v>
      </c>
      <c r="J40" s="8">
        <v>7.4693828369497952E-3</v>
      </c>
      <c r="K40" s="17">
        <f t="shared" si="13"/>
        <v>9.3408084760516541</v>
      </c>
      <c r="L40" s="17">
        <f t="shared" si="6"/>
        <v>9.0542501027937039</v>
      </c>
      <c r="M40" s="17">
        <f t="shared" si="14"/>
        <v>7.010900180905022</v>
      </c>
      <c r="N40" s="9">
        <v>7.8287169109040669E-3</v>
      </c>
      <c r="O40" s="17">
        <f t="shared" si="15"/>
        <v>9.8097105972885235</v>
      </c>
      <c r="P40" s="17">
        <f t="shared" si="7"/>
        <v>9.3641738064446542</v>
      </c>
      <c r="Q40" s="17">
        <f t="shared" si="16"/>
        <v>7.0090930779798555</v>
      </c>
      <c r="R40" s="8">
        <v>5.1580212404631759E-3</v>
      </c>
      <c r="S40" s="17">
        <v>6.3682740881002786</v>
      </c>
      <c r="T40" s="17">
        <f t="shared" si="9"/>
        <v>7.2527745760438078</v>
      </c>
      <c r="U40" s="17">
        <f t="shared" si="10"/>
        <v>5.6927967421379844</v>
      </c>
      <c r="V40" s="9">
        <v>5.211820199375581E-3</v>
      </c>
      <c r="W40" s="17">
        <v>6.4366118477782175</v>
      </c>
      <c r="X40" s="17">
        <f t="shared" si="8"/>
        <v>7.3394000507665424</v>
      </c>
      <c r="Y40" s="17">
        <f t="shared" si="17"/>
        <v>5.3762345501170428</v>
      </c>
    </row>
    <row r="41" spans="1:25" x14ac:dyDescent="0.25">
      <c r="A41" s="7">
        <v>25659</v>
      </c>
      <c r="B41" s="28">
        <v>5.053221361146271E-3</v>
      </c>
      <c r="C41" s="17">
        <f t="shared" si="0"/>
        <v>6.2352682295011563</v>
      </c>
      <c r="D41" s="17">
        <f t="shared" si="4"/>
        <v>2.9767902530659418</v>
      </c>
      <c r="E41" s="17">
        <f t="shared" si="11"/>
        <v>4.6943691148165767</v>
      </c>
      <c r="F41" s="29">
        <v>3.3879839136607458E-3</v>
      </c>
      <c r="G41" s="17">
        <f t="shared" si="1"/>
        <v>4.1422004772965426</v>
      </c>
      <c r="H41" s="17">
        <f t="shared" si="5"/>
        <v>2.4217263829297453</v>
      </c>
      <c r="I41" s="17">
        <f t="shared" si="12"/>
        <v>3.2762587154797629</v>
      </c>
      <c r="J41" s="8">
        <v>5.4528599553039583E-3</v>
      </c>
      <c r="K41" s="17">
        <f t="shared" si="13"/>
        <v>6.7432853315771535</v>
      </c>
      <c r="L41" s="17">
        <f t="shared" si="6"/>
        <v>8.453957377553234</v>
      </c>
      <c r="M41" s="17">
        <f t="shared" si="14"/>
        <v>6.9000644016395052</v>
      </c>
      <c r="N41" s="9">
        <v>5.0221530867785719E-3</v>
      </c>
      <c r="O41" s="17">
        <f t="shared" si="15"/>
        <v>6.1958675056199564</v>
      </c>
      <c r="P41" s="17">
        <f t="shared" si="7"/>
        <v>8.4626322427816305</v>
      </c>
      <c r="Q41" s="17">
        <f t="shared" si="16"/>
        <v>6.8336957402981735</v>
      </c>
      <c r="R41" s="8">
        <v>5.2882500665487097E-3</v>
      </c>
      <c r="S41" s="17">
        <v>6.5337655665592465</v>
      </c>
      <c r="T41" s="17">
        <f t="shared" si="9"/>
        <v>6.3764643639721008</v>
      </c>
      <c r="U41" s="17">
        <f t="shared" si="10"/>
        <v>5.7345840520128144</v>
      </c>
      <c r="V41" s="9">
        <v>4.5196013047974805E-3</v>
      </c>
      <c r="W41" s="17">
        <v>5.5603902846960374</v>
      </c>
      <c r="X41" s="17">
        <f t="shared" si="8"/>
        <v>5.8992333146941967</v>
      </c>
      <c r="Y41" s="17">
        <f t="shared" si="17"/>
        <v>5.3462924555411018</v>
      </c>
    </row>
    <row r="42" spans="1:25" x14ac:dyDescent="0.25">
      <c r="A42" s="7">
        <v>25689</v>
      </c>
      <c r="B42" s="28">
        <v>3.0100169656478919E-3</v>
      </c>
      <c r="C42" s="17">
        <f t="shared" si="0"/>
        <v>3.67242174578295</v>
      </c>
      <c r="D42" s="17">
        <f t="shared" si="4"/>
        <v>2.4630087670982403</v>
      </c>
      <c r="E42" s="17">
        <f t="shared" si="11"/>
        <v>4.9234370594009702</v>
      </c>
      <c r="F42" s="29">
        <v>3.7886707834272229E-3</v>
      </c>
      <c r="G42" s="17">
        <f t="shared" si="1"/>
        <v>4.6423481936717303</v>
      </c>
      <c r="H42" s="17">
        <f t="shared" si="5"/>
        <v>2.9250497504796025</v>
      </c>
      <c r="I42" s="17">
        <f t="shared" si="12"/>
        <v>4.0405948459642849</v>
      </c>
      <c r="J42" s="8">
        <v>5.9412843778552079E-3</v>
      </c>
      <c r="K42" s="17">
        <f t="shared" si="13"/>
        <v>7.3671898501262323</v>
      </c>
      <c r="L42" s="17">
        <f t="shared" si="6"/>
        <v>7.8114310691154598</v>
      </c>
      <c r="M42" s="17">
        <f t="shared" si="14"/>
        <v>7.0178053553530351</v>
      </c>
      <c r="N42" s="9">
        <v>6.0009786400287441E-3</v>
      </c>
      <c r="O42" s="17">
        <f t="shared" si="15"/>
        <v>7.4436710228377612</v>
      </c>
      <c r="P42" s="17">
        <f t="shared" si="7"/>
        <v>7.8060335235988543</v>
      </c>
      <c r="Q42" s="17">
        <f t="shared" si="16"/>
        <v>6.9635921920443433</v>
      </c>
      <c r="R42" s="8">
        <v>4.4693349891892914E-3</v>
      </c>
      <c r="S42" s="17">
        <v>5.4970206289244983</v>
      </c>
      <c r="T42" s="17">
        <f t="shared" si="9"/>
        <v>6.1320440044670077</v>
      </c>
      <c r="U42" s="17">
        <f t="shared" si="10"/>
        <v>5.7767469870822818</v>
      </c>
      <c r="V42" s="9">
        <v>4.2169644323348382E-3</v>
      </c>
      <c r="W42" s="17">
        <v>5.179389252313249</v>
      </c>
      <c r="X42" s="17">
        <f t="shared" si="8"/>
        <v>5.7241554128196537</v>
      </c>
      <c r="Y42" s="17">
        <f t="shared" si="17"/>
        <v>5.3907149645090469</v>
      </c>
    </row>
    <row r="43" spans="1:25" x14ac:dyDescent="0.25">
      <c r="A43" s="7">
        <v>25720</v>
      </c>
      <c r="B43" s="28">
        <v>1.4141932002426213E-3</v>
      </c>
      <c r="C43" s="17">
        <f t="shared" si="0"/>
        <v>1.7102938813278845</v>
      </c>
      <c r="D43" s="17">
        <f t="shared" si="4"/>
        <v>3.8561670906296142</v>
      </c>
      <c r="E43" s="17">
        <f t="shared" si="11"/>
        <v>4.1480381033716318</v>
      </c>
      <c r="F43" s="29">
        <v>7.4223065781255865E-3</v>
      </c>
      <c r="G43" s="17">
        <f t="shared" si="1"/>
        <v>9.279513906222526</v>
      </c>
      <c r="H43" s="17">
        <f t="shared" si="5"/>
        <v>5.9963703032835936</v>
      </c>
      <c r="I43" s="17">
        <f t="shared" si="12"/>
        <v>4.2565398021817025</v>
      </c>
      <c r="J43" s="8">
        <v>4.9739717755033063E-3</v>
      </c>
      <c r="K43" s="17">
        <f t="shared" si="13"/>
        <v>6.134790556529568</v>
      </c>
      <c r="L43" s="17">
        <f t="shared" si="6"/>
        <v>6.7472362348256709</v>
      </c>
      <c r="M43" s="17">
        <f t="shared" si="14"/>
        <v>7.141875960927746</v>
      </c>
      <c r="N43" s="9">
        <v>5.4277653443473642E-3</v>
      </c>
      <c r="O43" s="17">
        <f t="shared" si="15"/>
        <v>6.7113198722616119</v>
      </c>
      <c r="P43" s="17">
        <f t="shared" si="7"/>
        <v>6.7823929502137448</v>
      </c>
      <c r="Q43" s="17">
        <f t="shared" si="16"/>
        <v>7.1675860517430134</v>
      </c>
      <c r="R43" s="8">
        <v>4.5852553932971378E-3</v>
      </c>
      <c r="S43" s="17">
        <v>5.6432115224974488</v>
      </c>
      <c r="T43" s="17">
        <f t="shared" si="9"/>
        <v>5.8903432174467918</v>
      </c>
      <c r="U43" s="17">
        <f t="shared" si="10"/>
        <v>5.8170368577141307</v>
      </c>
      <c r="V43" s="9">
        <v>5.2618957370225627E-3</v>
      </c>
      <c r="W43" s="17">
        <v>6.5002561187683661</v>
      </c>
      <c r="X43" s="17">
        <f t="shared" si="8"/>
        <v>5.7452239654725901</v>
      </c>
      <c r="Y43" s="17">
        <f t="shared" si="17"/>
        <v>5.5443624418848536</v>
      </c>
    </row>
    <row r="44" spans="1:25" x14ac:dyDescent="0.25">
      <c r="A44" s="7">
        <v>25750</v>
      </c>
      <c r="B44" s="28">
        <v>2.5627542103860207E-3</v>
      </c>
      <c r="C44" s="17">
        <f t="shared" si="0"/>
        <v>3.1190243680938812</v>
      </c>
      <c r="D44" s="17">
        <f t="shared" si="4"/>
        <v>2.8305872628390905</v>
      </c>
      <c r="E44" s="17">
        <f t="shared" si="11"/>
        <v>4.0830042974807856</v>
      </c>
      <c r="F44" s="29">
        <v>2.6416425563208943E-3</v>
      </c>
      <c r="G44" s="17">
        <f t="shared" si="1"/>
        <v>3.216435656285932</v>
      </c>
      <c r="H44" s="17">
        <f t="shared" si="5"/>
        <v>5.6813525636101536</v>
      </c>
      <c r="I44" s="17">
        <f t="shared" si="12"/>
        <v>3.9977091353921246</v>
      </c>
      <c r="J44" s="8">
        <v>4.0295707398646536E-3</v>
      </c>
      <c r="K44" s="17">
        <f t="shared" si="13"/>
        <v>4.9441045876874368</v>
      </c>
      <c r="L44" s="17">
        <f t="shared" si="6"/>
        <v>6.1440855772732172</v>
      </c>
      <c r="M44" s="17">
        <f t="shared" si="14"/>
        <v>7.0034440668684805</v>
      </c>
      <c r="N44" s="9">
        <v>4.0991813025134001E-3</v>
      </c>
      <c r="O44" s="17">
        <f t="shared" si="15"/>
        <v>5.0314486818555215</v>
      </c>
      <c r="P44" s="17">
        <f t="shared" si="7"/>
        <v>6.3906744106540403</v>
      </c>
      <c r="Q44" s="17">
        <f t="shared" si="16"/>
        <v>7.0235388765592877</v>
      </c>
      <c r="R44" s="8">
        <v>4.7117406189529296E-3</v>
      </c>
      <c r="S44" s="17">
        <v>5.8029378880283256</v>
      </c>
      <c r="T44" s="17">
        <f t="shared" si="9"/>
        <v>5.6476494826825929</v>
      </c>
      <c r="U44" s="17">
        <f t="shared" si="10"/>
        <v>5.9796117380777725</v>
      </c>
      <c r="V44" s="9">
        <v>4.9933624856728443E-3</v>
      </c>
      <c r="W44" s="17">
        <v>6.1593672811172784</v>
      </c>
      <c r="X44" s="17">
        <f t="shared" si="8"/>
        <v>5.9448554501929873</v>
      </c>
      <c r="Y44" s="17">
        <f t="shared" si="17"/>
        <v>5.7689325675387204</v>
      </c>
    </row>
    <row r="45" spans="1:25" x14ac:dyDescent="0.25">
      <c r="A45" s="7">
        <v>25781</v>
      </c>
      <c r="B45" s="28">
        <v>-4.3432160705478111E-4</v>
      </c>
      <c r="C45" s="17">
        <f t="shared" si="0"/>
        <v>-0.51994273642461675</v>
      </c>
      <c r="D45" s="17">
        <f t="shared" si="4"/>
        <v>1.4253644808163379</v>
      </c>
      <c r="E45" s="17">
        <f t="shared" si="11"/>
        <v>3.6805058921827394</v>
      </c>
      <c r="F45" s="29">
        <v>2.0359288492045719E-3</v>
      </c>
      <c r="G45" s="17">
        <f t="shared" si="1"/>
        <v>2.4706581703604957</v>
      </c>
      <c r="H45" s="17">
        <f t="shared" si="5"/>
        <v>4.9451516077752222</v>
      </c>
      <c r="I45" s="17">
        <f t="shared" si="12"/>
        <v>4.0069547915834391</v>
      </c>
      <c r="J45" s="8">
        <v>5.7953177324743055E-3</v>
      </c>
      <c r="K45" s="17">
        <f t="shared" si="13"/>
        <v>7.1803853831414299</v>
      </c>
      <c r="L45" s="17">
        <f t="shared" si="6"/>
        <v>6.0824910313465486</v>
      </c>
      <c r="M45" s="17">
        <f t="shared" si="14"/>
        <v>7.0778328474211616</v>
      </c>
      <c r="N45" s="9">
        <v>6.0911324511130202E-3</v>
      </c>
      <c r="O45" s="17">
        <f t="shared" si="15"/>
        <v>7.5592720895336418</v>
      </c>
      <c r="P45" s="17">
        <f t="shared" si="7"/>
        <v>6.428816775817392</v>
      </c>
      <c r="Q45" s="17">
        <f t="shared" si="16"/>
        <v>7.1301471228944147</v>
      </c>
      <c r="R45" s="8">
        <v>4.3177132353839449E-3</v>
      </c>
      <c r="S45" s="17">
        <v>5.3060855389361006</v>
      </c>
      <c r="T45" s="17">
        <f t="shared" si="9"/>
        <v>5.5838750904079193</v>
      </c>
      <c r="U45" s="17">
        <f t="shared" si="10"/>
        <v>5.9568571533223258</v>
      </c>
      <c r="V45" s="9">
        <v>4.4657966882652852E-3</v>
      </c>
      <c r="W45" s="17">
        <v>5.4925612835483584</v>
      </c>
      <c r="X45" s="17">
        <f t="shared" si="8"/>
        <v>6.0499016638243086</v>
      </c>
      <c r="Y45" s="17">
        <f t="shared" si="17"/>
        <v>5.7771992781918247</v>
      </c>
    </row>
    <row r="46" spans="1:25" x14ac:dyDescent="0.25">
      <c r="A46" s="7">
        <v>25812</v>
      </c>
      <c r="B46" s="28">
        <v>5.3185188709986061E-3</v>
      </c>
      <c r="C46" s="17">
        <f t="shared" si="0"/>
        <v>6.5722641816331029</v>
      </c>
      <c r="D46" s="17">
        <f t="shared" si="4"/>
        <v>3.0163927000813606</v>
      </c>
      <c r="E46" s="17">
        <f t="shared" si="11"/>
        <v>3.8497379079008187</v>
      </c>
      <c r="F46" s="29">
        <v>4.509406529062108E-3</v>
      </c>
      <c r="G46" s="17">
        <f t="shared" si="1"/>
        <v>5.5475351316173427</v>
      </c>
      <c r="H46" s="17">
        <f t="shared" si="5"/>
        <v>3.7366358038874337</v>
      </c>
      <c r="I46" s="17">
        <f t="shared" si="12"/>
        <v>4.4355092702713206</v>
      </c>
      <c r="J46" s="8">
        <v>5.4982317862249984E-3</v>
      </c>
      <c r="K46" s="17">
        <f t="shared" si="13"/>
        <v>6.8011021505801184</v>
      </c>
      <c r="L46" s="17">
        <f t="shared" si="6"/>
        <v>6.3040225060128963</v>
      </c>
      <c r="M46" s="17">
        <f t="shared" si="14"/>
        <v>7.0123942962614594</v>
      </c>
      <c r="N46" s="9">
        <v>5.8439873163993209E-3</v>
      </c>
      <c r="O46" s="17">
        <f t="shared" si="15"/>
        <v>7.2426383667602678</v>
      </c>
      <c r="P46" s="17">
        <f t="shared" si="7"/>
        <v>6.6051617248109817</v>
      </c>
      <c r="Q46" s="17">
        <f t="shared" si="16"/>
        <v>7.0968430867959675</v>
      </c>
      <c r="R46" s="8">
        <v>3.8867937742939613E-3</v>
      </c>
      <c r="S46" s="17">
        <v>4.7651629971469101</v>
      </c>
      <c r="T46" s="17">
        <f t="shared" si="9"/>
        <v>5.2905424585950156</v>
      </c>
      <c r="U46" s="17">
        <f t="shared" si="10"/>
        <v>5.8973968199637516</v>
      </c>
      <c r="V46" s="9">
        <v>4.0887871553920629E-3</v>
      </c>
      <c r="W46" s="17">
        <v>5.0184023589851856</v>
      </c>
      <c r="X46" s="17">
        <f t="shared" si="8"/>
        <v>5.5557400954628244</v>
      </c>
      <c r="Y46" s="17">
        <f t="shared" si="17"/>
        <v>5.7733349286892333</v>
      </c>
    </row>
    <row r="47" spans="1:25" x14ac:dyDescent="0.25">
      <c r="A47" s="7">
        <v>25842</v>
      </c>
      <c r="B47" s="28">
        <v>5.3248777671894409E-3</v>
      </c>
      <c r="C47" s="17">
        <f t="shared" si="0"/>
        <v>6.5803536242725835</v>
      </c>
      <c r="D47" s="17">
        <f t="shared" si="4"/>
        <v>4.1563595304456413</v>
      </c>
      <c r="E47" s="17">
        <f t="shared" si="11"/>
        <v>4.0115944004600834</v>
      </c>
      <c r="F47" s="29">
        <v>5.5592266930795465E-3</v>
      </c>
      <c r="G47" s="17">
        <f t="shared" si="1"/>
        <v>6.8788725167626907</v>
      </c>
      <c r="H47" s="17">
        <f t="shared" si="5"/>
        <v>4.9493681724170235</v>
      </c>
      <c r="I47" s="17">
        <f t="shared" si="12"/>
        <v>4.198479211423467</v>
      </c>
      <c r="J47" s="8">
        <v>3.1619781568473374E-3</v>
      </c>
      <c r="K47" s="17">
        <f t="shared" si="13"/>
        <v>3.861061763604301</v>
      </c>
      <c r="L47" s="17">
        <f t="shared" si="6"/>
        <v>5.9370647610787808</v>
      </c>
      <c r="M47" s="17">
        <f t="shared" si="14"/>
        <v>6.9299252835198777</v>
      </c>
      <c r="N47" s="9">
        <v>3.1801162559557121E-3</v>
      </c>
      <c r="O47" s="17">
        <f t="shared" si="15"/>
        <v>3.8835988567914148</v>
      </c>
      <c r="P47" s="17">
        <f t="shared" si="7"/>
        <v>6.2153889124413997</v>
      </c>
      <c r="Q47" s="17">
        <f t="shared" si="16"/>
        <v>7.0722755650940439</v>
      </c>
      <c r="R47" s="8">
        <v>3.3882346921435126E-3</v>
      </c>
      <c r="S47" s="17">
        <v>4.1425128189948923</v>
      </c>
      <c r="T47" s="17">
        <f t="shared" si="9"/>
        <v>4.73684117537847</v>
      </c>
      <c r="U47" s="17">
        <f t="shared" si="10"/>
        <v>5.9621619917229696</v>
      </c>
      <c r="V47" s="9">
        <v>3.4731392191996321E-3</v>
      </c>
      <c r="W47" s="17">
        <v>4.2483097990415386</v>
      </c>
      <c r="X47" s="17">
        <f t="shared" si="8"/>
        <v>4.9185038243680701</v>
      </c>
      <c r="Y47" s="17">
        <f t="shared" si="17"/>
        <v>5.9702237623276533</v>
      </c>
    </row>
    <row r="48" spans="1:25" x14ac:dyDescent="0.25">
      <c r="A48" s="7">
        <v>25873</v>
      </c>
      <c r="B48" s="28">
        <v>2.1591900395378475E-3</v>
      </c>
      <c r="C48" s="17">
        <f t="shared" si="0"/>
        <v>2.6220204577955375</v>
      </c>
      <c r="D48" s="17">
        <f t="shared" si="4"/>
        <v>5.2415664139028095</v>
      </c>
      <c r="E48" s="17">
        <f t="shared" si="11"/>
        <v>3.5364703289854083</v>
      </c>
      <c r="F48" s="29">
        <v>7.5923019460022046E-3</v>
      </c>
      <c r="G48" s="17">
        <f t="shared" si="1"/>
        <v>9.5010011035362663</v>
      </c>
      <c r="H48" s="17">
        <f t="shared" si="5"/>
        <v>7.296613840194266</v>
      </c>
      <c r="I48" s="17">
        <f t="shared" si="12"/>
        <v>4.4013097590287931</v>
      </c>
      <c r="J48" s="8">
        <v>6.8383646931441406E-3</v>
      </c>
      <c r="K48" s="17">
        <f t="shared" si="13"/>
        <v>8.5218196500152388</v>
      </c>
      <c r="L48" s="17">
        <f t="shared" si="6"/>
        <v>6.3771914352436454</v>
      </c>
      <c r="M48" s="17">
        <f t="shared" si="14"/>
        <v>7.1378057599105871</v>
      </c>
      <c r="N48" s="9">
        <v>7.1288757924674283E-3</v>
      </c>
      <c r="O48" s="17">
        <f t="shared" si="15"/>
        <v>8.8981685152427445</v>
      </c>
      <c r="P48" s="17">
        <f t="shared" si="7"/>
        <v>6.6542953469836075</v>
      </c>
      <c r="Q48" s="17">
        <f t="shared" si="16"/>
        <v>7.3420181174258747</v>
      </c>
      <c r="R48" s="8">
        <v>7.5903276824180943E-3</v>
      </c>
      <c r="S48" s="17">
        <v>9.4984264727999026</v>
      </c>
      <c r="T48" s="17">
        <f t="shared" si="9"/>
        <v>6.108687163710802</v>
      </c>
      <c r="U48" s="17">
        <f t="shared" si="10"/>
        <v>6.3125327255759256</v>
      </c>
      <c r="V48" s="9">
        <v>8.2640286399188034E-3</v>
      </c>
      <c r="W48" s="17">
        <v>10.380226310035901</v>
      </c>
      <c r="X48" s="17">
        <f t="shared" si="8"/>
        <v>6.5144599822315907</v>
      </c>
      <c r="Y48" s="17">
        <f t="shared" si="17"/>
        <v>6.4589058934207966</v>
      </c>
    </row>
    <row r="49" spans="1:25" x14ac:dyDescent="0.25">
      <c r="A49" s="7">
        <v>25903</v>
      </c>
      <c r="B49" s="28">
        <v>4.2606904035044479E-3</v>
      </c>
      <c r="C49" s="17">
        <f t="shared" si="0"/>
        <v>5.2343595146845834</v>
      </c>
      <c r="D49" s="17">
        <f t="shared" si="4"/>
        <v>4.7993108204489987</v>
      </c>
      <c r="E49" s="17">
        <f t="shared" si="11"/>
        <v>3.1745965660805231</v>
      </c>
      <c r="F49" s="29">
        <v>7.117624104260179E-3</v>
      </c>
      <c r="G49" s="17">
        <f t="shared" si="1"/>
        <v>8.8835700306032717</v>
      </c>
      <c r="H49" s="17">
        <f t="shared" si="5"/>
        <v>8.4153480639298941</v>
      </c>
      <c r="I49" s="17">
        <f t="shared" si="12"/>
        <v>4.8892838511544134</v>
      </c>
      <c r="J49" s="8">
        <v>5.425079072520482E-3</v>
      </c>
      <c r="K49" s="17">
        <f t="shared" si="13"/>
        <v>6.7078986251894124</v>
      </c>
      <c r="L49" s="17">
        <f t="shared" si="6"/>
        <v>6.3462379007405145</v>
      </c>
      <c r="M49" s="17">
        <f t="shared" si="14"/>
        <v>7.1069780518119963</v>
      </c>
      <c r="N49" s="9">
        <v>5.8530929772586306E-3</v>
      </c>
      <c r="O49" s="17">
        <f t="shared" si="15"/>
        <v>7.2542890449479369</v>
      </c>
      <c r="P49" s="17">
        <f t="shared" si="7"/>
        <v>6.6581574609592575</v>
      </c>
      <c r="Q49" s="17">
        <f t="shared" si="16"/>
        <v>7.34622068068842</v>
      </c>
      <c r="R49" s="8">
        <v>3.8390426419527245E-3</v>
      </c>
      <c r="S49" s="17">
        <v>4.7053792051701349</v>
      </c>
      <c r="T49" s="17">
        <f t="shared" si="9"/>
        <v>6.0884998338547769</v>
      </c>
      <c r="U49" s="17">
        <f t="shared" si="10"/>
        <v>6.1281614998628164</v>
      </c>
      <c r="V49" s="9">
        <v>4.1892845019238546E-3</v>
      </c>
      <c r="W49" s="17">
        <v>5.1446049343103928</v>
      </c>
      <c r="X49" s="17">
        <f t="shared" si="8"/>
        <v>6.557109707703912</v>
      </c>
      <c r="Y49" s="17">
        <f t="shared" si="17"/>
        <v>6.2970110959340131</v>
      </c>
    </row>
    <row r="50" spans="1:25" x14ac:dyDescent="0.25">
      <c r="A50" s="7">
        <v>25934</v>
      </c>
      <c r="B50" s="28">
        <v>-5.6120649040424344E-4</v>
      </c>
      <c r="C50" s="17">
        <f t="shared" si="0"/>
        <v>-0.67137298417246916</v>
      </c>
      <c r="D50" s="17">
        <f t="shared" si="4"/>
        <v>2.3664207730420328</v>
      </c>
      <c r="E50" s="17">
        <f t="shared" si="11"/>
        <v>3.0804354205636431</v>
      </c>
      <c r="F50" s="29">
        <v>2.2393708148201598E-3</v>
      </c>
      <c r="G50" s="17">
        <f t="shared" si="1"/>
        <v>2.7205908449735361</v>
      </c>
      <c r="H50" s="17">
        <f t="shared" si="5"/>
        <v>6.9906887916926896</v>
      </c>
      <c r="I50" s="17">
        <f t="shared" si="12"/>
        <v>4.9975261240196911</v>
      </c>
      <c r="J50" s="8">
        <v>4.4565248528010649E-3</v>
      </c>
      <c r="K50" s="17">
        <f t="shared" si="13"/>
        <v>5.4808767441406614</v>
      </c>
      <c r="L50" s="17">
        <f t="shared" si="6"/>
        <v>6.8962463392953754</v>
      </c>
      <c r="M50" s="17">
        <f t="shared" si="14"/>
        <v>6.8532900065743307</v>
      </c>
      <c r="N50" s="9">
        <v>3.9982307655359612E-3</v>
      </c>
      <c r="O50" s="17">
        <f t="shared" si="15"/>
        <v>4.9048023871329338</v>
      </c>
      <c r="P50" s="17">
        <f t="shared" si="7"/>
        <v>7.006511199775467</v>
      </c>
      <c r="Q50" s="17">
        <f t="shared" si="16"/>
        <v>7.0151679862890726</v>
      </c>
      <c r="R50" s="8">
        <v>6.9972551794842339E-3</v>
      </c>
      <c r="S50" s="17">
        <v>8.7275097730357576</v>
      </c>
      <c r="T50" s="17">
        <f t="shared" si="9"/>
        <v>7.6230852452067177</v>
      </c>
      <c r="U50" s="17">
        <f t="shared" si="10"/>
        <v>6.0907635300376572</v>
      </c>
      <c r="V50" s="9">
        <v>6.8210313503151371E-3</v>
      </c>
      <c r="W50" s="17">
        <v>8.4994025327645559</v>
      </c>
      <c r="X50" s="17">
        <f t="shared" si="8"/>
        <v>7.9862699625091516</v>
      </c>
      <c r="Y50" s="17">
        <f t="shared" si="17"/>
        <v>6.181371196077512</v>
      </c>
    </row>
    <row r="51" spans="1:25" x14ac:dyDescent="0.25">
      <c r="A51" s="7">
        <v>25965</v>
      </c>
      <c r="B51" s="28">
        <v>1.2791265144020266E-3</v>
      </c>
      <c r="C51" s="17">
        <f t="shared" si="0"/>
        <v>1.545796679644873</v>
      </c>
      <c r="D51" s="17">
        <f t="shared" si="4"/>
        <v>2.0073147399776614</v>
      </c>
      <c r="E51" s="17">
        <f t="shared" si="11"/>
        <v>2.7739563003158718</v>
      </c>
      <c r="F51" s="29">
        <v>2.0534141164007418E-3</v>
      </c>
      <c r="G51" s="17">
        <f t="shared" si="1"/>
        <v>2.4921172668425529</v>
      </c>
      <c r="H51" s="17">
        <f t="shared" si="5"/>
        <v>4.6574402735391596</v>
      </c>
      <c r="I51" s="17">
        <f t="shared" si="12"/>
        <v>4.9445518815026679</v>
      </c>
      <c r="J51" s="8">
        <v>1.4330234505016556E-3</v>
      </c>
      <c r="K51" s="17">
        <f t="shared" si="13"/>
        <v>1.7332465622839077</v>
      </c>
      <c r="L51" s="17">
        <f t="shared" si="6"/>
        <v>4.6191211758490391</v>
      </c>
      <c r="M51" s="17">
        <f t="shared" si="14"/>
        <v>6.2165098456248957</v>
      </c>
      <c r="N51" s="9">
        <v>1.0637941450233389E-3</v>
      </c>
      <c r="O51" s="17">
        <f t="shared" si="15"/>
        <v>1.2840484649408568</v>
      </c>
      <c r="P51" s="17">
        <f t="shared" si="7"/>
        <v>4.4520649851845118</v>
      </c>
      <c r="Q51" s="17">
        <f t="shared" si="16"/>
        <v>6.3284347177204658</v>
      </c>
      <c r="R51" s="8">
        <v>5.3212536980239153E-3</v>
      </c>
      <c r="S51" s="17">
        <v>6.5757432111771319</v>
      </c>
      <c r="T51" s="17">
        <f t="shared" si="9"/>
        <v>6.6568946918674765</v>
      </c>
      <c r="U51" s="17">
        <f t="shared" si="10"/>
        <v>6.1196968055565071</v>
      </c>
      <c r="V51" s="9">
        <v>5.6207866668326421E-3</v>
      </c>
      <c r="W51" s="17">
        <v>6.9574159925299028</v>
      </c>
      <c r="X51" s="17">
        <f t="shared" si="8"/>
        <v>6.8583377410150748</v>
      </c>
      <c r="Y51" s="17">
        <f t="shared" si="17"/>
        <v>6.2858303171967833</v>
      </c>
    </row>
    <row r="52" spans="1:25" x14ac:dyDescent="0.25">
      <c r="A52" s="7">
        <v>25993</v>
      </c>
      <c r="B52" s="28">
        <v>3.6214014526754924E-3</v>
      </c>
      <c r="C52" s="17">
        <f t="shared" si="0"/>
        <v>4.4332911732884783</v>
      </c>
      <c r="D52" s="17">
        <f t="shared" si="4"/>
        <v>1.747820736240624</v>
      </c>
      <c r="E52" s="17">
        <f t="shared" si="11"/>
        <v>3.3488248818740463</v>
      </c>
      <c r="F52" s="29">
        <v>1.0679146493072749E-4</v>
      </c>
      <c r="G52" s="17">
        <f t="shared" si="1"/>
        <v>0.12822505386900218</v>
      </c>
      <c r="H52" s="17">
        <f t="shared" si="5"/>
        <v>1.7735281679525317</v>
      </c>
      <c r="I52" s="17">
        <f t="shared" si="12"/>
        <v>4.9511466970213247</v>
      </c>
      <c r="J52" s="8">
        <v>3.4756936253038559E-4</v>
      </c>
      <c r="K52" s="17">
        <f t="shared" si="13"/>
        <v>0.41788146894130573</v>
      </c>
      <c r="L52" s="17">
        <f t="shared" si="6"/>
        <v>2.5217230477740271</v>
      </c>
      <c r="M52" s="17">
        <f t="shared" si="14"/>
        <v>5.4656640294530545</v>
      </c>
      <c r="N52" s="9">
        <v>-2.1016548861856436E-5</v>
      </c>
      <c r="O52" s="17">
        <f t="shared" si="15"/>
        <v>-2.5216943649297718E-2</v>
      </c>
      <c r="P52" s="17">
        <f t="shared" si="7"/>
        <v>2.0333856583890197</v>
      </c>
      <c r="Q52" s="17">
        <f t="shared" si="16"/>
        <v>5.5002683262263874</v>
      </c>
      <c r="R52" s="8">
        <v>3.6028745773721144E-3</v>
      </c>
      <c r="S52" s="17">
        <v>4.4101594290322677</v>
      </c>
      <c r="T52" s="17">
        <f t="shared" si="9"/>
        <v>6.556559623775704</v>
      </c>
      <c r="U52" s="17">
        <f t="shared" si="10"/>
        <v>5.9555119819884705</v>
      </c>
      <c r="V52" s="9">
        <v>3.754135683127326E-3</v>
      </c>
      <c r="W52" s="17">
        <v>4.5991540392581243</v>
      </c>
      <c r="X52" s="17">
        <f t="shared" si="8"/>
        <v>6.6732369264426605</v>
      </c>
      <c r="Y52" s="17">
        <f t="shared" si="17"/>
        <v>6.1317023950646421</v>
      </c>
    </row>
    <row r="53" spans="1:25" x14ac:dyDescent="0.25">
      <c r="A53" s="7">
        <v>26024</v>
      </c>
      <c r="B53" s="28">
        <v>3.6174667173864243E-3</v>
      </c>
      <c r="C53" s="17">
        <f t="shared" si="0"/>
        <v>4.4283780636831027</v>
      </c>
      <c r="D53" s="17">
        <f t="shared" si="4"/>
        <v>3.4601609301822212</v>
      </c>
      <c r="E53" s="17">
        <f t="shared" si="11"/>
        <v>3.201187371643166</v>
      </c>
      <c r="F53" s="29">
        <v>2.167710645249087E-3</v>
      </c>
      <c r="G53" s="17">
        <f t="shared" si="1"/>
        <v>2.632491161522732</v>
      </c>
      <c r="H53" s="17">
        <f t="shared" si="5"/>
        <v>1.7444240383422738</v>
      </c>
      <c r="I53" s="17">
        <f t="shared" si="12"/>
        <v>4.8235100491276217</v>
      </c>
      <c r="J53" s="8">
        <v>3.1281879082669457E-3</v>
      </c>
      <c r="K53" s="17">
        <f t="shared" si="13"/>
        <v>3.8190883905237838</v>
      </c>
      <c r="L53" s="17">
        <f t="shared" si="6"/>
        <v>1.9804811530218513</v>
      </c>
      <c r="M53" s="17">
        <f t="shared" si="14"/>
        <v>5.2218205924744909</v>
      </c>
      <c r="N53" s="9">
        <v>3.1520407111286794E-3</v>
      </c>
      <c r="O53" s="17">
        <f t="shared" si="15"/>
        <v>3.8487161111032009</v>
      </c>
      <c r="P53" s="17">
        <f t="shared" si="7"/>
        <v>1.6898370677844055</v>
      </c>
      <c r="Q53" s="17">
        <f t="shared" si="16"/>
        <v>5.3039568749560617</v>
      </c>
      <c r="R53" s="8">
        <v>4.8644432267273613E-3</v>
      </c>
      <c r="S53" s="17">
        <v>5.9960666781461391</v>
      </c>
      <c r="T53" s="17">
        <f t="shared" si="9"/>
        <v>5.6566798938432195</v>
      </c>
      <c r="U53" s="17">
        <f t="shared" si="10"/>
        <v>5.9108435292419159</v>
      </c>
      <c r="V53" s="9">
        <v>5.3179679186426965E-3</v>
      </c>
      <c r="W53" s="17">
        <v>6.5715633164413534</v>
      </c>
      <c r="X53" s="17">
        <f t="shared" si="8"/>
        <v>6.0376603994026112</v>
      </c>
      <c r="Y53" s="17">
        <f t="shared" si="17"/>
        <v>6.2160531710502065</v>
      </c>
    </row>
    <row r="54" spans="1:25" x14ac:dyDescent="0.25">
      <c r="A54" s="7">
        <v>26054</v>
      </c>
      <c r="B54" s="28">
        <v>4.0010314709588886E-3</v>
      </c>
      <c r="C54" s="17">
        <f t="shared" si="0"/>
        <v>4.9083140900150868</v>
      </c>
      <c r="D54" s="17">
        <f t="shared" si="4"/>
        <v>4.5897524667295686</v>
      </c>
      <c r="E54" s="17">
        <f t="shared" si="11"/>
        <v>3.3031543230401139</v>
      </c>
      <c r="F54" s="29">
        <v>4.3338127653299316E-3</v>
      </c>
      <c r="G54" s="17">
        <f t="shared" si="1"/>
        <v>5.3263444025118512</v>
      </c>
      <c r="H54" s="17">
        <f t="shared" si="5"/>
        <v>2.6737599781896604</v>
      </c>
      <c r="I54" s="17">
        <f t="shared" si="12"/>
        <v>4.8804380636404465</v>
      </c>
      <c r="J54" s="8">
        <v>3.6978536363691528E-3</v>
      </c>
      <c r="K54" s="17">
        <f t="shared" si="13"/>
        <v>4.5287953040354934</v>
      </c>
      <c r="L54" s="17">
        <f t="shared" si="6"/>
        <v>2.9061673743032923</v>
      </c>
      <c r="M54" s="17">
        <f t="shared" si="14"/>
        <v>4.987156929039771</v>
      </c>
      <c r="N54" s="9">
        <v>3.6516446885314678E-3</v>
      </c>
      <c r="O54" s="17">
        <f t="shared" si="15"/>
        <v>4.4710614819317929</v>
      </c>
      <c r="P54" s="17">
        <f t="shared" si="7"/>
        <v>2.7454353089389816</v>
      </c>
      <c r="Q54" s="17">
        <f t="shared" si="16"/>
        <v>5.0580384649682397</v>
      </c>
      <c r="R54" s="8">
        <v>4.2229167300782983E-3</v>
      </c>
      <c r="S54" s="17">
        <v>5.1868706569121237</v>
      </c>
      <c r="T54" s="17">
        <f t="shared" si="9"/>
        <v>5.195706448819104</v>
      </c>
      <c r="U54" s="17">
        <f t="shared" si="10"/>
        <v>5.8848612869032424</v>
      </c>
      <c r="V54" s="9">
        <v>4.2698109208326304E-3</v>
      </c>
      <c r="W54" s="17">
        <v>5.2458287248412283</v>
      </c>
      <c r="X54" s="17">
        <f t="shared" si="8"/>
        <v>5.4689932013303411</v>
      </c>
      <c r="Y54" s="17">
        <f t="shared" si="17"/>
        <v>6.2216427454459877</v>
      </c>
    </row>
    <row r="55" spans="1:25" x14ac:dyDescent="0.25">
      <c r="A55" s="7">
        <v>26085</v>
      </c>
      <c r="B55" s="28">
        <v>4.3793624678377732E-3</v>
      </c>
      <c r="C55" s="17">
        <f t="shared" si="0"/>
        <v>5.3836812818740976</v>
      </c>
      <c r="D55" s="17">
        <f t="shared" si="4"/>
        <v>4.9060661915264259</v>
      </c>
      <c r="E55" s="17">
        <f t="shared" si="11"/>
        <v>3.609033089812419</v>
      </c>
      <c r="F55" s="29">
        <v>1.8350416064964548E-3</v>
      </c>
      <c r="G55" s="17">
        <f t="shared" si="1"/>
        <v>2.2244111276632728</v>
      </c>
      <c r="H55" s="17">
        <f t="shared" si="5"/>
        <v>3.3853097014513223</v>
      </c>
      <c r="I55" s="17">
        <f t="shared" si="12"/>
        <v>4.2987606539029999</v>
      </c>
      <c r="J55" s="8">
        <v>6.8328214380921383E-3</v>
      </c>
      <c r="K55" s="17">
        <f t="shared" si="13"/>
        <v>8.5146501269146135</v>
      </c>
      <c r="L55" s="17">
        <f t="shared" si="6"/>
        <v>5.6007923741038246</v>
      </c>
      <c r="M55" s="17">
        <f t="shared" si="14"/>
        <v>5.1813463774381008</v>
      </c>
      <c r="N55" s="9">
        <v>7.1433911553915701E-3</v>
      </c>
      <c r="O55" s="17">
        <f t="shared" si="15"/>
        <v>8.9170040996367828</v>
      </c>
      <c r="P55" s="17">
        <f t="shared" si="7"/>
        <v>5.7217334512267737</v>
      </c>
      <c r="Q55" s="17">
        <f t="shared" si="16"/>
        <v>5.2373057267853795</v>
      </c>
      <c r="R55" s="8">
        <v>4.5571342983737103E-3</v>
      </c>
      <c r="S55" s="17">
        <v>5.607730068781569</v>
      </c>
      <c r="T55" s="17">
        <f t="shared" si="9"/>
        <v>5.5963720571974962</v>
      </c>
      <c r="U55" s="17">
        <f t="shared" si="10"/>
        <v>5.8818972793994284</v>
      </c>
      <c r="V55" s="9">
        <v>4.5393814446660925E-3</v>
      </c>
      <c r="W55" s="17">
        <v>5.5853362440928089</v>
      </c>
      <c r="X55" s="17">
        <f t="shared" si="8"/>
        <v>5.7994180047127308</v>
      </c>
      <c r="Y55" s="17">
        <f t="shared" si="17"/>
        <v>6.1452978094978183</v>
      </c>
    </row>
    <row r="56" spans="1:25" x14ac:dyDescent="0.25">
      <c r="A56" s="7">
        <v>26115</v>
      </c>
      <c r="B56" s="28">
        <v>1.208524539242756E-3</v>
      </c>
      <c r="C56" s="17">
        <f t="shared" si="0"/>
        <v>1.4599078931368359</v>
      </c>
      <c r="D56" s="17">
        <f t="shared" si="4"/>
        <v>3.9024796770358527</v>
      </c>
      <c r="E56" s="17">
        <f t="shared" si="11"/>
        <v>3.4690813249782737</v>
      </c>
      <c r="F56" s="29">
        <v>3.1236895172712677E-3</v>
      </c>
      <c r="G56" s="17">
        <f t="shared" si="1"/>
        <v>3.8135017784877601</v>
      </c>
      <c r="H56" s="17">
        <f t="shared" si="5"/>
        <v>3.7803560761112687</v>
      </c>
      <c r="I56" s="17">
        <f t="shared" si="12"/>
        <v>4.3489050908285476</v>
      </c>
      <c r="J56" s="8">
        <v>3.2532358604914434E-3</v>
      </c>
      <c r="K56" s="17">
        <f t="shared" si="13"/>
        <v>3.9744974704424063</v>
      </c>
      <c r="L56" s="17">
        <f t="shared" si="6"/>
        <v>5.6534581546005658</v>
      </c>
      <c r="M56" s="17">
        <f t="shared" si="14"/>
        <v>5.1000181474417206</v>
      </c>
      <c r="N56" s="9">
        <v>3.3866683562615687E-3</v>
      </c>
      <c r="O56" s="17">
        <f t="shared" si="15"/>
        <v>4.1405619798461357</v>
      </c>
      <c r="P56" s="17">
        <f t="shared" si="7"/>
        <v>5.8206773571203962</v>
      </c>
      <c r="Q56" s="17">
        <f t="shared" si="16"/>
        <v>5.1626288978871226</v>
      </c>
      <c r="R56" s="8">
        <v>3.5547448424716657E-3</v>
      </c>
      <c r="S56" s="17">
        <v>4.3500889589899838</v>
      </c>
      <c r="T56" s="17">
        <f t="shared" si="9"/>
        <v>5.046927788732658</v>
      </c>
      <c r="U56" s="17">
        <f t="shared" si="10"/>
        <v>5.759966875876299</v>
      </c>
      <c r="V56" s="9">
        <v>3.8514133020739307E-3</v>
      </c>
      <c r="W56" s="17">
        <v>4.7208641074215185</v>
      </c>
      <c r="X56" s="17">
        <f t="shared" si="8"/>
        <v>5.1834081921348307</v>
      </c>
      <c r="Y56" s="17">
        <f t="shared" si="17"/>
        <v>6.024687524195449</v>
      </c>
    </row>
    <row r="57" spans="1:25" x14ac:dyDescent="0.25">
      <c r="A57" s="7">
        <v>26146</v>
      </c>
      <c r="B57" s="28">
        <v>1.5968066253081621E-3</v>
      </c>
      <c r="C57" s="17">
        <f t="shared" si="0"/>
        <v>1.9330864697693073</v>
      </c>
      <c r="D57" s="17">
        <f t="shared" si="4"/>
        <v>2.9108111179418472</v>
      </c>
      <c r="E57" s="17">
        <f t="shared" si="11"/>
        <v>3.679331613477288</v>
      </c>
      <c r="F57" s="29">
        <v>-5.1753592276083532E-3</v>
      </c>
      <c r="G57" s="17">
        <f t="shared" si="1"/>
        <v>-6.0366687985186402</v>
      </c>
      <c r="H57" s="17">
        <f t="shared" si="5"/>
        <v>-9.460197438357909E-2</v>
      </c>
      <c r="I57" s="17">
        <f t="shared" si="12"/>
        <v>3.5979439791105516</v>
      </c>
      <c r="J57" s="8">
        <v>3.7314127992023735E-3</v>
      </c>
      <c r="K57" s="17">
        <f t="shared" si="13"/>
        <v>4.570742716890086</v>
      </c>
      <c r="L57" s="17">
        <f t="shared" si="6"/>
        <v>5.6675891778872778</v>
      </c>
      <c r="M57" s="17">
        <f t="shared" si="14"/>
        <v>4.8843515579108487</v>
      </c>
      <c r="N57" s="9">
        <v>3.6962292152411258E-3</v>
      </c>
      <c r="O57" s="17">
        <f t="shared" si="15"/>
        <v>4.5267652436360661</v>
      </c>
      <c r="P57" s="17">
        <f t="shared" si="7"/>
        <v>5.8394818067507126</v>
      </c>
      <c r="Q57" s="17">
        <f t="shared" si="16"/>
        <v>4.9122993679699301</v>
      </c>
      <c r="R57" s="8">
        <v>2.803042337404184E-3</v>
      </c>
      <c r="S57" s="17">
        <v>3.4159949002440015</v>
      </c>
      <c r="T57" s="17">
        <f t="shared" si="9"/>
        <v>4.4540816964800722</v>
      </c>
      <c r="U57" s="17">
        <f t="shared" si="10"/>
        <v>5.6004640194722732</v>
      </c>
      <c r="V57" s="9">
        <v>2.523631728963964E-3</v>
      </c>
      <c r="W57" s="17">
        <v>3.0707472140419467</v>
      </c>
      <c r="X57" s="17">
        <f t="shared" si="8"/>
        <v>4.4537612448344532</v>
      </c>
      <c r="Y57" s="17">
        <f t="shared" si="17"/>
        <v>5.8196855882318266</v>
      </c>
    </row>
    <row r="58" spans="1:25" x14ac:dyDescent="0.25">
      <c r="A58" s="7">
        <v>26177</v>
      </c>
      <c r="B58" s="28">
        <v>-1.3296701072595004E-3</v>
      </c>
      <c r="C58" s="17">
        <f t="shared" si="0"/>
        <v>-1.5839867446959421</v>
      </c>
      <c r="D58" s="17">
        <f t="shared" si="4"/>
        <v>0.5908478782709059</v>
      </c>
      <c r="E58" s="17">
        <f t="shared" si="11"/>
        <v>2.9936983770777692</v>
      </c>
      <c r="F58" s="29">
        <v>-1.5404958455277206E-3</v>
      </c>
      <c r="G58" s="17">
        <f t="shared" si="1"/>
        <v>-1.833012522823263</v>
      </c>
      <c r="H58" s="17">
        <f t="shared" si="5"/>
        <v>-1.4342789892747843</v>
      </c>
      <c r="I58" s="17">
        <f t="shared" si="12"/>
        <v>2.9740001482135181</v>
      </c>
      <c r="J58" s="8">
        <v>3.3773607716270889E-3</v>
      </c>
      <c r="K58" s="17">
        <f t="shared" si="13"/>
        <v>4.1289702654160321</v>
      </c>
      <c r="L58" s="17">
        <f t="shared" si="6"/>
        <v>4.2244308241786266</v>
      </c>
      <c r="M58" s="17">
        <f t="shared" si="14"/>
        <v>4.663121749571042</v>
      </c>
      <c r="N58" s="9">
        <v>3.5301736361519264E-3</v>
      </c>
      <c r="O58" s="17">
        <f t="shared" si="15"/>
        <v>4.3194339818119598</v>
      </c>
      <c r="P58" s="17">
        <f t="shared" si="7"/>
        <v>4.3288010600122329</v>
      </c>
      <c r="Q58" s="17">
        <f t="shared" si="16"/>
        <v>4.670962225664721</v>
      </c>
      <c r="R58" s="8">
        <v>2.2658785498903375E-3</v>
      </c>
      <c r="S58" s="17">
        <v>2.7531972631132717</v>
      </c>
      <c r="T58" s="17">
        <f t="shared" si="9"/>
        <v>3.504355971590889</v>
      </c>
      <c r="U58" s="17">
        <f t="shared" si="10"/>
        <v>5.429957343924019</v>
      </c>
      <c r="V58" s="9">
        <v>2.2599490428208886E-3</v>
      </c>
      <c r="W58" s="17">
        <v>2.7459027198420305</v>
      </c>
      <c r="X58" s="17">
        <f t="shared" si="8"/>
        <v>3.5089058690445096</v>
      </c>
      <c r="Y58" s="17">
        <f t="shared" si="17"/>
        <v>5.6269465829368759</v>
      </c>
    </row>
    <row r="59" spans="1:25" x14ac:dyDescent="0.25">
      <c r="A59" s="7">
        <v>26207</v>
      </c>
      <c r="B59" s="28">
        <v>2.838425099474671E-3</v>
      </c>
      <c r="C59" s="17">
        <f t="shared" si="0"/>
        <v>3.4597903843269995</v>
      </c>
      <c r="D59" s="17">
        <f t="shared" si="4"/>
        <v>1.2474698184361532</v>
      </c>
      <c r="E59" s="17">
        <f t="shared" si="11"/>
        <v>2.7389658406103301</v>
      </c>
      <c r="F59" s="29">
        <v>9.7990350159038236E-4</v>
      </c>
      <c r="G59" s="17">
        <f t="shared" si="1"/>
        <v>1.1822423394851178</v>
      </c>
      <c r="H59" s="17">
        <f t="shared" si="5"/>
        <v>-2.2741650840299887</v>
      </c>
      <c r="I59" s="17">
        <f t="shared" si="12"/>
        <v>2.5050558886596574</v>
      </c>
      <c r="J59" s="8">
        <v>5.8089305816660106E-4</v>
      </c>
      <c r="K59" s="17">
        <f t="shared" si="13"/>
        <v>0.69930307028109873</v>
      </c>
      <c r="L59" s="17">
        <f t="shared" si="6"/>
        <v>3.1183789210643242</v>
      </c>
      <c r="M59" s="17">
        <f t="shared" si="14"/>
        <v>4.3938288239902867</v>
      </c>
      <c r="N59" s="9">
        <v>3.4142642110118E-4</v>
      </c>
      <c r="O59" s="17">
        <f t="shared" si="15"/>
        <v>0.41048195681800959</v>
      </c>
      <c r="P59" s="17">
        <f t="shared" si="7"/>
        <v>3.0680188192341973</v>
      </c>
      <c r="Q59" s="17">
        <f t="shared" si="16"/>
        <v>4.3747757366587647</v>
      </c>
      <c r="R59" s="8">
        <v>-5.8642262681936124E-4</v>
      </c>
      <c r="S59" s="17">
        <v>-0.70144189909963073</v>
      </c>
      <c r="T59" s="17">
        <f t="shared" si="9"/>
        <v>1.8064593279724317</v>
      </c>
      <c r="U59" s="17">
        <f t="shared" si="10"/>
        <v>5.012324430654358</v>
      </c>
      <c r="V59" s="9">
        <v>-1.2683090859630058E-3</v>
      </c>
      <c r="W59" s="17">
        <v>-1.511398847605594</v>
      </c>
      <c r="X59" s="17">
        <f t="shared" si="8"/>
        <v>1.4133903702615358</v>
      </c>
      <c r="Y59" s="17">
        <f t="shared" si="17"/>
        <v>5.1278552896264928</v>
      </c>
    </row>
    <row r="60" spans="1:25" x14ac:dyDescent="0.25">
      <c r="A60" s="7">
        <v>26238</v>
      </c>
      <c r="B60" s="28">
        <v>2.2749901482896947E-4</v>
      </c>
      <c r="C60" s="17">
        <f t="shared" si="0"/>
        <v>0.27334066525559475</v>
      </c>
      <c r="D60" s="17">
        <f t="shared" si="4"/>
        <v>0.69493257372488237</v>
      </c>
      <c r="E60" s="17">
        <f t="shared" si="11"/>
        <v>2.5409334918829796</v>
      </c>
      <c r="F60" s="29">
        <v>-2.2989739170196428E-4</v>
      </c>
      <c r="G60" s="17">
        <f t="shared" si="1"/>
        <v>-0.27552830866940381</v>
      </c>
      <c r="H60" s="17">
        <f t="shared" si="5"/>
        <v>-0.31637198253967602</v>
      </c>
      <c r="I60" s="17">
        <f t="shared" si="12"/>
        <v>1.7092826590160426</v>
      </c>
      <c r="J60" s="8">
        <v>3.0272553759789901E-3</v>
      </c>
      <c r="K60" s="17">
        <f t="shared" si="13"/>
        <v>3.6938051815461836</v>
      </c>
      <c r="L60" s="17">
        <f t="shared" si="6"/>
        <v>2.8293167399122021</v>
      </c>
      <c r="M60" s="17">
        <f t="shared" si="14"/>
        <v>3.9986747380542642</v>
      </c>
      <c r="N60" s="9">
        <v>3.0460872661613445E-3</v>
      </c>
      <c r="O60" s="17">
        <f t="shared" si="15"/>
        <v>3.7171698747831217</v>
      </c>
      <c r="P60" s="17">
        <f t="shared" si="7"/>
        <v>2.8012298782494227</v>
      </c>
      <c r="Q60" s="17">
        <f t="shared" si="16"/>
        <v>3.95165199643428</v>
      </c>
      <c r="R60" s="8">
        <v>1.7368461086475239E-3</v>
      </c>
      <c r="S60" s="17">
        <v>2.1042408366134024</v>
      </c>
      <c r="T60" s="17">
        <f t="shared" si="9"/>
        <v>1.3741803265458374</v>
      </c>
      <c r="U60" s="17">
        <f t="shared" si="10"/>
        <v>4.4022672584229428</v>
      </c>
      <c r="V60" s="9">
        <v>1.4612643866533175E-3</v>
      </c>
      <c r="W60" s="17">
        <v>1.7676790730447811</v>
      </c>
      <c r="X60" s="17">
        <f t="shared" si="8"/>
        <v>0.98420491349036077</v>
      </c>
      <c r="Y60" s="17">
        <f t="shared" si="17"/>
        <v>4.4185569355520871</v>
      </c>
    </row>
    <row r="61" spans="1:25" x14ac:dyDescent="0.25">
      <c r="A61" s="7">
        <v>26268</v>
      </c>
      <c r="B61" s="28">
        <v>6.9162572858138122E-3</v>
      </c>
      <c r="C61" s="17">
        <f t="shared" si="0"/>
        <v>8.6226101310115553</v>
      </c>
      <c r="D61" s="17">
        <f t="shared" si="4"/>
        <v>4.0620644618951873</v>
      </c>
      <c r="E61" s="17">
        <f t="shared" si="11"/>
        <v>2.8120825168963082</v>
      </c>
      <c r="F61" s="29">
        <v>9.519253967142069E-4</v>
      </c>
      <c r="G61" s="17">
        <f t="shared" si="1"/>
        <v>1.148310162875843</v>
      </c>
      <c r="H61" s="17">
        <f t="shared" si="5"/>
        <v>0.68270890059016764</v>
      </c>
      <c r="I61" s="17">
        <f t="shared" si="12"/>
        <v>1.0866058458743222</v>
      </c>
      <c r="J61" s="8">
        <v>3.1166457782850414E-3</v>
      </c>
      <c r="K61" s="17">
        <f t="shared" si="13"/>
        <v>3.8047546182581993</v>
      </c>
      <c r="L61" s="17">
        <f t="shared" si="6"/>
        <v>2.7224827671396445</v>
      </c>
      <c r="M61" s="17">
        <f t="shared" si="14"/>
        <v>3.7598961275752352</v>
      </c>
      <c r="N61" s="9">
        <v>3.2352097435369744E-3</v>
      </c>
      <c r="O61" s="17">
        <f t="shared" si="15"/>
        <v>3.9520815398150777</v>
      </c>
      <c r="P61" s="17">
        <f t="shared" si="7"/>
        <v>2.6804192223861545</v>
      </c>
      <c r="Q61" s="17">
        <f t="shared" si="16"/>
        <v>3.6811022623039813</v>
      </c>
      <c r="R61" s="8">
        <v>3.3768384693613259E-3</v>
      </c>
      <c r="S61" s="17">
        <v>4.128319822499904</v>
      </c>
      <c r="T61" s="17">
        <f t="shared" si="9"/>
        <v>1.8244003594552582</v>
      </c>
      <c r="U61" s="17">
        <f t="shared" si="10"/>
        <v>4.35419664002199</v>
      </c>
      <c r="V61" s="9">
        <v>3.6397277072863802E-3</v>
      </c>
      <c r="W61" s="17">
        <v>4.4561770540109569</v>
      </c>
      <c r="X61" s="17">
        <f t="shared" si="8"/>
        <v>1.5414409654077588</v>
      </c>
      <c r="Y61" s="17">
        <f t="shared" si="17"/>
        <v>4.3614124028072965</v>
      </c>
    </row>
    <row r="62" spans="1:25" x14ac:dyDescent="0.25">
      <c r="A62" s="7">
        <v>26299</v>
      </c>
      <c r="B62" s="28">
        <v>-3.4948916861642917E-4</v>
      </c>
      <c r="C62" s="17">
        <f t="shared" si="0"/>
        <v>-0.41858179904633586</v>
      </c>
      <c r="D62" s="17">
        <f t="shared" si="4"/>
        <v>2.7451526685241756</v>
      </c>
      <c r="E62" s="17">
        <f t="shared" si="11"/>
        <v>2.8338618383508374</v>
      </c>
      <c r="F62" s="29">
        <v>5.8580949958356452E-3</v>
      </c>
      <c r="G62" s="17">
        <f t="shared" si="1"/>
        <v>7.2606896132663357</v>
      </c>
      <c r="H62" s="17">
        <f t="shared" si="5"/>
        <v>2.6597778729405608</v>
      </c>
      <c r="I62" s="17">
        <f t="shared" si="12"/>
        <v>1.4515930491348028</v>
      </c>
      <c r="J62" s="8">
        <v>4.1473337307497823E-3</v>
      </c>
      <c r="K62" s="17">
        <f t="shared" si="13"/>
        <v>5.0919070934505317</v>
      </c>
      <c r="L62" s="17">
        <f t="shared" si="6"/>
        <v>4.1948955690694456</v>
      </c>
      <c r="M62" s="17">
        <f t="shared" si="14"/>
        <v>3.7279568271537444</v>
      </c>
      <c r="N62" s="9">
        <v>4.4970746017341627E-3</v>
      </c>
      <c r="O62" s="17">
        <f t="shared" si="15"/>
        <v>5.531987044454878</v>
      </c>
      <c r="P62" s="17">
        <f t="shared" si="7"/>
        <v>4.3973130562773965</v>
      </c>
      <c r="Q62" s="17">
        <f t="shared" si="16"/>
        <v>3.7326169733950199</v>
      </c>
      <c r="R62" s="8">
        <v>3.5066451217345921E-3</v>
      </c>
      <c r="S62" s="17">
        <v>4.2900876017665013</v>
      </c>
      <c r="T62" s="17">
        <f t="shared" si="9"/>
        <v>3.5027505643239198</v>
      </c>
      <c r="U62" s="17">
        <f t="shared" si="10"/>
        <v>3.9924679396839746</v>
      </c>
      <c r="V62" s="9">
        <v>3.9464500715857085E-3</v>
      </c>
      <c r="W62" s="17">
        <v>4.8398958638376399</v>
      </c>
      <c r="X62" s="17">
        <f t="shared" si="8"/>
        <v>3.6788550958865907</v>
      </c>
      <c r="Y62" s="17">
        <f t="shared" si="17"/>
        <v>4.0634494550999989</v>
      </c>
    </row>
    <row r="63" spans="1:25" x14ac:dyDescent="0.25">
      <c r="A63" s="7">
        <v>26330</v>
      </c>
      <c r="B63" s="28">
        <v>7.2674987932770333E-3</v>
      </c>
      <c r="C63" s="17">
        <f t="shared" si="0"/>
        <v>9.0781719822004661</v>
      </c>
      <c r="D63" s="17">
        <f t="shared" si="4"/>
        <v>5.6684809398019453</v>
      </c>
      <c r="E63" s="17">
        <f t="shared" si="11"/>
        <v>3.4488825965544923</v>
      </c>
      <c r="F63" s="29">
        <v>2.8481815453390655E-3</v>
      </c>
      <c r="G63" s="17">
        <f t="shared" si="1"/>
        <v>3.4718695448227255</v>
      </c>
      <c r="H63" s="17">
        <f t="shared" si="5"/>
        <v>3.9298987460690826</v>
      </c>
      <c r="I63" s="17">
        <f t="shared" si="12"/>
        <v>1.5320582425401685</v>
      </c>
      <c r="J63" s="8">
        <v>2.1780606634180951E-3</v>
      </c>
      <c r="K63" s="17">
        <f t="shared" si="13"/>
        <v>2.6452112898225799</v>
      </c>
      <c r="L63" s="17">
        <f t="shared" si="6"/>
        <v>3.8424846046190675</v>
      </c>
      <c r="M63" s="17">
        <f t="shared" si="14"/>
        <v>3.8051274277294711</v>
      </c>
      <c r="N63" s="9">
        <v>2.1658851437889367E-3</v>
      </c>
      <c r="O63" s="17">
        <f t="shared" si="15"/>
        <v>2.6302477779037492</v>
      </c>
      <c r="P63" s="17">
        <f t="shared" si="7"/>
        <v>4.0313484082283857</v>
      </c>
      <c r="Q63" s="17">
        <f t="shared" si="16"/>
        <v>3.846818270168928</v>
      </c>
      <c r="R63" s="8">
        <v>1.923546458721408E-3</v>
      </c>
      <c r="S63" s="17">
        <v>2.3328332126756557</v>
      </c>
      <c r="T63" s="17">
        <f t="shared" si="9"/>
        <v>3.5799341193608836</v>
      </c>
      <c r="U63" s="17">
        <f t="shared" si="10"/>
        <v>3.6410022168099632</v>
      </c>
      <c r="V63" s="9">
        <v>1.842474228840519E-3</v>
      </c>
      <c r="W63" s="17">
        <v>2.2335123439062521</v>
      </c>
      <c r="X63" s="17">
        <f t="shared" si="8"/>
        <v>3.8368081758909378</v>
      </c>
      <c r="Y63" s="17">
        <f t="shared" si="17"/>
        <v>3.6724628818015193</v>
      </c>
    </row>
    <row r="64" spans="1:25" x14ac:dyDescent="0.25">
      <c r="A64" s="7">
        <v>26359</v>
      </c>
      <c r="B64" s="28">
        <v>-1.5309256097446425E-4</v>
      </c>
      <c r="C64" s="17">
        <f t="shared" si="0"/>
        <v>-0.18355646568735118</v>
      </c>
      <c r="D64" s="17">
        <f t="shared" si="4"/>
        <v>2.7320804817223765</v>
      </c>
      <c r="E64" s="17">
        <f t="shared" si="11"/>
        <v>3.0598243445938644</v>
      </c>
      <c r="F64" s="29">
        <v>1.8944044043357033E-3</v>
      </c>
      <c r="G64" s="17">
        <f t="shared" si="1"/>
        <v>2.2971213624897846</v>
      </c>
      <c r="H64" s="17">
        <f t="shared" si="5"/>
        <v>4.3218863199429025</v>
      </c>
      <c r="I64" s="17">
        <f t="shared" si="12"/>
        <v>1.7135388830355147</v>
      </c>
      <c r="J64" s="8">
        <v>2.3756618556855773E-3</v>
      </c>
      <c r="K64" s="17">
        <f t="shared" si="13"/>
        <v>2.8883396557012109</v>
      </c>
      <c r="L64" s="17">
        <f t="shared" si="6"/>
        <v>3.5359982297725967</v>
      </c>
      <c r="M64" s="17">
        <f t="shared" si="14"/>
        <v>4.0155806803138239</v>
      </c>
      <c r="N64" s="9">
        <v>2.0751585261755581E-3</v>
      </c>
      <c r="O64" s="17">
        <f t="shared" si="15"/>
        <v>2.5188092164284859</v>
      </c>
      <c r="P64" s="17">
        <f t="shared" si="7"/>
        <v>3.5510122546401179</v>
      </c>
      <c r="Q64" s="17">
        <f t="shared" si="16"/>
        <v>4.0645039572506869</v>
      </c>
      <c r="R64" s="8">
        <v>2.2358187969809097E-3</v>
      </c>
      <c r="S64" s="17">
        <v>2.7162223285925435</v>
      </c>
      <c r="T64" s="17">
        <f t="shared" si="9"/>
        <v>3.1095812412215151</v>
      </c>
      <c r="U64" s="17">
        <f t="shared" si="10"/>
        <v>3.4998278192917009</v>
      </c>
      <c r="V64" s="9">
        <v>1.6932367408456651E-3</v>
      </c>
      <c r="W64" s="17">
        <v>2.050913832469492</v>
      </c>
      <c r="X64" s="17">
        <f t="shared" si="8"/>
        <v>3.0336108772393011</v>
      </c>
      <c r="Y64" s="17">
        <f t="shared" si="17"/>
        <v>3.4596035156466032</v>
      </c>
    </row>
    <row r="65" spans="1:25" x14ac:dyDescent="0.25">
      <c r="A65" s="7">
        <v>26390</v>
      </c>
      <c r="B65" s="28">
        <v>9.1491637037417387E-5</v>
      </c>
      <c r="C65" s="17">
        <f t="shared" si="0"/>
        <v>0.10984522804671215</v>
      </c>
      <c r="D65" s="17">
        <f t="shared" si="4"/>
        <v>2.9134753230896759</v>
      </c>
      <c r="E65" s="17">
        <f t="shared" si="11"/>
        <v>2.6977477721197518</v>
      </c>
      <c r="F65" s="29">
        <v>2.0333853500167443E-3</v>
      </c>
      <c r="G65" s="17">
        <f t="shared" si="1"/>
        <v>2.467536960155825</v>
      </c>
      <c r="H65" s="17">
        <f t="shared" si="5"/>
        <v>2.7442048241959727</v>
      </c>
      <c r="I65" s="17">
        <f t="shared" si="12"/>
        <v>1.6999057346168689</v>
      </c>
      <c r="J65" s="8">
        <v>2.5206893471892262E-3</v>
      </c>
      <c r="K65" s="17">
        <f t="shared" si="13"/>
        <v>3.067117151870713</v>
      </c>
      <c r="L65" s="17">
        <f t="shared" si="6"/>
        <v>2.8667440143814504</v>
      </c>
      <c r="M65" s="17">
        <f t="shared" si="14"/>
        <v>3.9525884163592595</v>
      </c>
      <c r="N65" s="9">
        <v>2.3276500528593975E-3</v>
      </c>
      <c r="O65" s="17">
        <f t="shared" si="15"/>
        <v>2.8292174676240123</v>
      </c>
      <c r="P65" s="17">
        <f t="shared" si="7"/>
        <v>2.6593445551557071</v>
      </c>
      <c r="Q65" s="17">
        <f t="shared" si="16"/>
        <v>3.9789837156141594</v>
      </c>
      <c r="R65" s="8">
        <v>2.4661306432721985E-3</v>
      </c>
      <c r="S65" s="17">
        <v>2.9998284597132274</v>
      </c>
      <c r="T65" s="17">
        <f t="shared" si="9"/>
        <v>2.6825974734902891</v>
      </c>
      <c r="U65" s="17">
        <f t="shared" si="10"/>
        <v>3.2528045107075743</v>
      </c>
      <c r="V65" s="9">
        <v>2.125802326679381E-3</v>
      </c>
      <c r="W65" s="17">
        <v>2.5810007855249451</v>
      </c>
      <c r="X65" s="17">
        <f t="shared" si="8"/>
        <v>2.2882394703224174</v>
      </c>
      <c r="Y65" s="17">
        <f t="shared" si="17"/>
        <v>3.1310903516130528</v>
      </c>
    </row>
    <row r="66" spans="1:25" x14ac:dyDescent="0.25">
      <c r="A66" s="7">
        <v>26420</v>
      </c>
      <c r="B66" s="28">
        <v>2.5542445106688551E-3</v>
      </c>
      <c r="C66" s="17">
        <f t="shared" si="0"/>
        <v>3.108521632406025</v>
      </c>
      <c r="D66" s="17">
        <f t="shared" si="4"/>
        <v>1.0007225283504617</v>
      </c>
      <c r="E66" s="17">
        <f t="shared" si="11"/>
        <v>2.5497581210432108</v>
      </c>
      <c r="F66" s="29">
        <v>2.153772169838539E-3</v>
      </c>
      <c r="G66" s="17">
        <f t="shared" si="1"/>
        <v>2.6153631178159387</v>
      </c>
      <c r="H66" s="17">
        <f t="shared" si="5"/>
        <v>2.459924630535637</v>
      </c>
      <c r="I66" s="17">
        <f t="shared" si="12"/>
        <v>1.4791525146802931</v>
      </c>
      <c r="J66" s="8">
        <v>2.5723363873207095E-3</v>
      </c>
      <c r="K66" s="17">
        <f t="shared" si="13"/>
        <v>3.1308519371067156</v>
      </c>
      <c r="L66" s="17">
        <f t="shared" si="6"/>
        <v>3.0287184266010847</v>
      </c>
      <c r="M66" s="17">
        <f t="shared" si="14"/>
        <v>3.8360190415001272</v>
      </c>
      <c r="N66" s="9">
        <v>2.6189739186104565E-3</v>
      </c>
      <c r="O66" s="17">
        <f t="shared" si="15"/>
        <v>3.1884358011900149</v>
      </c>
      <c r="P66" s="17">
        <f t="shared" si="7"/>
        <v>2.8451235797467778</v>
      </c>
      <c r="Q66" s="17">
        <f t="shared" si="16"/>
        <v>3.8719983310561812</v>
      </c>
      <c r="R66" s="8">
        <v>2.5506304177220864E-3</v>
      </c>
      <c r="S66" s="17">
        <v>3.1040613882501678</v>
      </c>
      <c r="T66" s="17">
        <f t="shared" si="9"/>
        <v>2.9399068715831422</v>
      </c>
      <c r="U66" s="17">
        <f t="shared" si="10"/>
        <v>3.0808623564118953</v>
      </c>
      <c r="V66" s="9">
        <v>2.624547437794735E-3</v>
      </c>
      <c r="W66" s="17">
        <v>3.1953194568054677</v>
      </c>
      <c r="X66" s="17">
        <f t="shared" si="8"/>
        <v>2.6080127482553728</v>
      </c>
      <c r="Y66" s="17">
        <f t="shared" si="17"/>
        <v>2.962133946594947</v>
      </c>
    </row>
    <row r="67" spans="1:25" x14ac:dyDescent="0.25">
      <c r="A67" s="7">
        <v>26451</v>
      </c>
      <c r="B67" s="28">
        <v>5.9745537635355855E-4</v>
      </c>
      <c r="C67" s="17">
        <f t="shared" ref="C67:C130" si="18">((1+B67)^12 - 1)*100</f>
        <v>0.71930703904954374</v>
      </c>
      <c r="D67" s="17">
        <f t="shared" si="4"/>
        <v>1.3043341437454004</v>
      </c>
      <c r="E67" s="17">
        <f t="shared" si="11"/>
        <v>2.163615521980744</v>
      </c>
      <c r="F67" s="29">
        <v>7.6041465170939755E-4</v>
      </c>
      <c r="G67" s="17">
        <f t="shared" ref="G67:G130" si="19">((1+F67)^12 - 1)*100</f>
        <v>0.91632359283051468</v>
      </c>
      <c r="H67" s="17">
        <f t="shared" si="5"/>
        <v>1.9968363381486443</v>
      </c>
      <c r="I67" s="17">
        <f t="shared" si="12"/>
        <v>1.3703000308758595</v>
      </c>
      <c r="J67" s="8">
        <v>3.1957384682826558E-3</v>
      </c>
      <c r="K67" s="17">
        <f t="shared" si="13"/>
        <v>3.9030134837745978</v>
      </c>
      <c r="L67" s="17">
        <f t="shared" si="6"/>
        <v>3.3662972009006253</v>
      </c>
      <c r="M67" s="17">
        <f t="shared" si="14"/>
        <v>3.4609217974817419</v>
      </c>
      <c r="N67" s="9">
        <v>3.4998459699060354E-3</v>
      </c>
      <c r="O67" s="17">
        <f t="shared" si="15"/>
        <v>4.2816086418703936</v>
      </c>
      <c r="P67" s="17">
        <f t="shared" si="7"/>
        <v>3.4312469866418116</v>
      </c>
      <c r="Q67" s="17">
        <f t="shared" si="16"/>
        <v>3.4962203408023029</v>
      </c>
      <c r="R67" s="8">
        <v>2.0647955455298686E-3</v>
      </c>
      <c r="S67" s="17">
        <v>2.5060875358099644</v>
      </c>
      <c r="T67" s="17">
        <f t="shared" si="9"/>
        <v>2.869661480196295</v>
      </c>
      <c r="U67" s="17">
        <f t="shared" si="10"/>
        <v>2.8251154017035152</v>
      </c>
      <c r="V67" s="9">
        <v>2.3107446720890181E-3</v>
      </c>
      <c r="W67" s="17">
        <v>2.8084074361665268</v>
      </c>
      <c r="X67" s="17">
        <f t="shared" si="8"/>
        <v>2.8612634376025348</v>
      </c>
      <c r="Y67" s="17">
        <f t="shared" si="17"/>
        <v>2.733705671770692</v>
      </c>
    </row>
    <row r="68" spans="1:25" x14ac:dyDescent="0.25">
      <c r="A68" s="7">
        <v>26481</v>
      </c>
      <c r="B68" s="28">
        <v>3.9229356377127106E-3</v>
      </c>
      <c r="C68" s="17">
        <f t="shared" si="18"/>
        <v>4.8104329388327427</v>
      </c>
      <c r="D68" s="17">
        <f t="shared" si="4"/>
        <v>2.8657036810180614</v>
      </c>
      <c r="E68" s="17">
        <f t="shared" si="11"/>
        <v>2.4405948375137765</v>
      </c>
      <c r="F68" s="29">
        <v>9.6719250399681086E-5</v>
      </c>
      <c r="G68" s="17">
        <f t="shared" si="19"/>
        <v>0.1161248608374077</v>
      </c>
      <c r="H68" s="17">
        <f t="shared" si="5"/>
        <v>1.2105875583986903</v>
      </c>
      <c r="I68" s="17">
        <f t="shared" si="12"/>
        <v>1.064410650190406</v>
      </c>
      <c r="J68" s="8">
        <v>3.1403112792657696E-3</v>
      </c>
      <c r="K68" s="17">
        <f t="shared" si="13"/>
        <v>3.8341459395738298</v>
      </c>
      <c r="L68" s="17">
        <f t="shared" si="6"/>
        <v>3.6220821581623763</v>
      </c>
      <c r="M68" s="17">
        <f t="shared" si="14"/>
        <v>3.4492764014345756</v>
      </c>
      <c r="N68" s="9">
        <v>3.1832952150026143E-3</v>
      </c>
      <c r="O68" s="17">
        <f t="shared" si="15"/>
        <v>3.8875492635850106</v>
      </c>
      <c r="P68" s="17">
        <f t="shared" si="7"/>
        <v>3.7848791918023039</v>
      </c>
      <c r="Q68" s="17">
        <f t="shared" si="16"/>
        <v>3.4752430325492245</v>
      </c>
      <c r="R68" s="8">
        <v>1.9897884519153512E-3</v>
      </c>
      <c r="S68" s="17">
        <v>2.4140513419654175</v>
      </c>
      <c r="T68" s="17">
        <f t="shared" si="9"/>
        <v>2.6742783397941672</v>
      </c>
      <c r="U68" s="17">
        <f t="shared" si="10"/>
        <v>2.6647685723106385</v>
      </c>
      <c r="V68" s="9">
        <v>1.788637771340696E-3</v>
      </c>
      <c r="W68" s="17">
        <v>2.1676066088108792</v>
      </c>
      <c r="X68" s="17">
        <f t="shared" si="8"/>
        <v>2.7229028712632219</v>
      </c>
      <c r="Y68" s="17">
        <f t="shared" si="17"/>
        <v>2.5226021444626268</v>
      </c>
    </row>
    <row r="69" spans="1:25" x14ac:dyDescent="0.25">
      <c r="A69" s="7">
        <v>26512</v>
      </c>
      <c r="B69" s="28">
        <v>1.5048496026457314E-3</v>
      </c>
      <c r="C69" s="17">
        <f t="shared" si="18"/>
        <v>1.8208409274897086</v>
      </c>
      <c r="D69" s="17">
        <f t="shared" ref="D69:D132" si="20">(((1+B69)*(1+B68)*(1+B67))^(12/3)-1)*100</f>
        <v>2.4356925200645696</v>
      </c>
      <c r="E69" s="17">
        <f t="shared" si="11"/>
        <v>2.4311897235610225</v>
      </c>
      <c r="F69" s="29">
        <v>-1.5509265758547799E-3</v>
      </c>
      <c r="G69" s="17">
        <f t="shared" si="19"/>
        <v>-1.8453182141889735</v>
      </c>
      <c r="H69" s="17">
        <f t="shared" ref="H69:H132" si="21">(((1+F69)*(1+F68)*(1+F67))^(12/3)-1)*100</f>
        <v>-0.27772971588745365</v>
      </c>
      <c r="I69" s="17">
        <f t="shared" si="12"/>
        <v>1.4326174022933902</v>
      </c>
      <c r="J69" s="8">
        <v>2.8542156337804749E-3</v>
      </c>
      <c r="K69" s="17">
        <f t="shared" si="13"/>
        <v>3.4793408141849502</v>
      </c>
      <c r="L69" s="17">
        <f t="shared" ref="L69:L132" si="22">(((1+J69)*(1+J68)*(1+J67))^(12/3)-1)*100</f>
        <v>3.7386672027602375</v>
      </c>
      <c r="M69" s="17">
        <f t="shared" si="14"/>
        <v>3.3588683392108631</v>
      </c>
      <c r="N69" s="9">
        <v>2.7137050488214051E-3</v>
      </c>
      <c r="O69" s="17">
        <f t="shared" si="15"/>
        <v>3.3054920959133094</v>
      </c>
      <c r="P69" s="17">
        <f t="shared" ref="P69:P132" si="23">(((1+N69)*(1+N68)*(1+N67))^(12/3)-1)*100</f>
        <v>3.8241086604048125</v>
      </c>
      <c r="Q69" s="17">
        <f t="shared" si="16"/>
        <v>3.3739505060393693</v>
      </c>
      <c r="R69" s="8">
        <v>1.5533467337649309E-3</v>
      </c>
      <c r="S69" s="17">
        <v>1.8800238745939168</v>
      </c>
      <c r="T69" s="17">
        <f t="shared" si="9"/>
        <v>2.2663480285262327</v>
      </c>
      <c r="U69" s="17">
        <f t="shared" si="10"/>
        <v>2.5368274866570006</v>
      </c>
      <c r="V69" s="9">
        <v>1.0041418709424359E-3</v>
      </c>
      <c r="W69" s="17">
        <v>1.2116473559542928</v>
      </c>
      <c r="X69" s="17">
        <f t="shared" ref="X69:X132" si="24">(((1+V69)*(1+V68)*(1+V67))^(12/3)-1)*100</f>
        <v>2.0604428257228857</v>
      </c>
      <c r="Y69" s="17">
        <f t="shared" si="17"/>
        <v>2.3672122371865001</v>
      </c>
    </row>
    <row r="70" spans="1:25" x14ac:dyDescent="0.25">
      <c r="A70" s="7">
        <v>26543</v>
      </c>
      <c r="B70" s="28">
        <v>8.8264752208921105E-3</v>
      </c>
      <c r="C70" s="17">
        <f t="shared" si="18"/>
        <v>11.12138708495165</v>
      </c>
      <c r="D70" s="17">
        <f t="shared" si="20"/>
        <v>5.8472590027605742</v>
      </c>
      <c r="E70" s="17">
        <f t="shared" si="11"/>
        <v>3.4728808781181897</v>
      </c>
      <c r="F70" s="29">
        <v>7.2919981981217795E-3</v>
      </c>
      <c r="G70" s="17">
        <f t="shared" si="19"/>
        <v>9.1100130709244276</v>
      </c>
      <c r="H70" s="17">
        <f t="shared" si="21"/>
        <v>2.3512661424445414</v>
      </c>
      <c r="I70" s="17">
        <f t="shared" si="12"/>
        <v>2.3299026555357871</v>
      </c>
      <c r="J70" s="8">
        <v>1.3141855466896842E-3</v>
      </c>
      <c r="K70" s="17">
        <f t="shared" si="13"/>
        <v>1.5884714896696295</v>
      </c>
      <c r="L70" s="17">
        <f t="shared" si="22"/>
        <v>2.9625819934593789</v>
      </c>
      <c r="M70" s="17">
        <f t="shared" si="14"/>
        <v>3.1463386721362285</v>
      </c>
      <c r="N70" s="9">
        <v>1.1871545042589607E-3</v>
      </c>
      <c r="O70" s="17">
        <f t="shared" si="15"/>
        <v>1.4339239281941252</v>
      </c>
      <c r="P70" s="17">
        <f t="shared" si="23"/>
        <v>2.8703094176623756</v>
      </c>
      <c r="Q70" s="17">
        <f t="shared" si="16"/>
        <v>3.1325953877398893</v>
      </c>
      <c r="R70" s="8">
        <v>2.0600178839320091E-3</v>
      </c>
      <c r="S70" s="17">
        <v>2.5002229263605624</v>
      </c>
      <c r="T70" s="17">
        <f t="shared" si="9"/>
        <v>2.2643976935314836</v>
      </c>
      <c r="U70" s="17">
        <f t="shared" si="10"/>
        <v>2.5157669077792599</v>
      </c>
      <c r="V70" s="9">
        <v>2.0220523632786041E-3</v>
      </c>
      <c r="W70" s="17">
        <v>2.4536309443980331</v>
      </c>
      <c r="X70" s="17">
        <f t="shared" si="24"/>
        <v>1.942909065579701</v>
      </c>
      <c r="Y70" s="17">
        <f t="shared" si="17"/>
        <v>2.3429143293348664</v>
      </c>
    </row>
    <row r="71" spans="1:25" x14ac:dyDescent="0.25">
      <c r="A71" s="7">
        <v>26573</v>
      </c>
      <c r="B71" s="28">
        <v>3.580810114833511E-3</v>
      </c>
      <c r="C71" s="17">
        <f t="shared" si="18"/>
        <v>4.382616955058638</v>
      </c>
      <c r="D71" s="17">
        <f t="shared" si="20"/>
        <v>5.7030465726661594</v>
      </c>
      <c r="E71" s="17">
        <f t="shared" si="11"/>
        <v>3.5494801730169279</v>
      </c>
      <c r="F71" s="29">
        <v>-2.5457671296952834E-5</v>
      </c>
      <c r="G71" s="17">
        <f t="shared" si="19"/>
        <v>-3.0544928505260582E-2</v>
      </c>
      <c r="H71" s="17">
        <f t="shared" si="21"/>
        <v>2.301260293730456</v>
      </c>
      <c r="I71" s="17">
        <f t="shared" si="12"/>
        <v>2.2271248569053714</v>
      </c>
      <c r="J71" s="8">
        <v>2.2611078977633958E-3</v>
      </c>
      <c r="K71" s="17">
        <f t="shared" si="13"/>
        <v>2.7473283183149455</v>
      </c>
      <c r="L71" s="17">
        <f t="shared" si="22"/>
        <v>2.6020896172680219</v>
      </c>
      <c r="M71" s="17">
        <f t="shared" si="14"/>
        <v>3.3195460660504494</v>
      </c>
      <c r="N71" s="9">
        <v>2.3514105224588947E-3</v>
      </c>
      <c r="O71" s="17">
        <f t="shared" si="15"/>
        <v>2.8584724411495399</v>
      </c>
      <c r="P71" s="17">
        <f t="shared" si="23"/>
        <v>2.5295148710619664</v>
      </c>
      <c r="Q71" s="17">
        <f t="shared" si="16"/>
        <v>3.3398195130095676</v>
      </c>
      <c r="R71" s="8">
        <v>2.0895045436645082E-3</v>
      </c>
      <c r="S71" s="17">
        <v>2.5364228945442546</v>
      </c>
      <c r="T71" s="17">
        <f t="shared" si="9"/>
        <v>2.3051123935050821</v>
      </c>
      <c r="U71" s="17">
        <f t="shared" si="10"/>
        <v>2.7902525984705218</v>
      </c>
      <c r="V71" s="9">
        <v>2.2021310597445509E-3</v>
      </c>
      <c r="W71" s="17">
        <v>2.6747992932260045</v>
      </c>
      <c r="X71" s="17">
        <f t="shared" si="24"/>
        <v>2.1113230898717639</v>
      </c>
      <c r="Y71" s="17">
        <f t="shared" si="17"/>
        <v>2.6985403315419099</v>
      </c>
    </row>
    <row r="72" spans="1:25" x14ac:dyDescent="0.25">
      <c r="A72" s="7">
        <v>26604</v>
      </c>
      <c r="B72" s="28">
        <v>5.1870747725971814E-3</v>
      </c>
      <c r="C72" s="17">
        <f t="shared" si="18"/>
        <v>6.405174141724701</v>
      </c>
      <c r="D72" s="17">
        <f t="shared" si="20"/>
        <v>7.2661913213366569</v>
      </c>
      <c r="E72" s="17">
        <f t="shared" si="11"/>
        <v>4.0629248564528098</v>
      </c>
      <c r="F72" s="29">
        <v>3.8946584767159099E-3</v>
      </c>
      <c r="G72" s="17">
        <f t="shared" si="19"/>
        <v>4.7750125021677636</v>
      </c>
      <c r="H72" s="17">
        <f t="shared" si="21"/>
        <v>4.5514077061509006</v>
      </c>
      <c r="I72" s="17">
        <f t="shared" si="12"/>
        <v>2.6488633012137219</v>
      </c>
      <c r="J72" s="8">
        <v>2.6028943812585388E-3</v>
      </c>
      <c r="K72" s="17">
        <f t="shared" si="13"/>
        <v>3.1685788943734083</v>
      </c>
      <c r="L72" s="17">
        <f t="shared" si="22"/>
        <v>2.4992774889606162</v>
      </c>
      <c r="M72" s="17">
        <f t="shared" si="14"/>
        <v>3.2758336094769858</v>
      </c>
      <c r="N72" s="9">
        <v>2.4310219977992302E-3</v>
      </c>
      <c r="O72" s="17">
        <f t="shared" si="15"/>
        <v>2.9565493358794326</v>
      </c>
      <c r="P72" s="17">
        <f t="shared" si="23"/>
        <v>2.4139440881114416</v>
      </c>
      <c r="Q72" s="17">
        <f t="shared" si="16"/>
        <v>3.276451802763547</v>
      </c>
      <c r="R72" s="8">
        <v>2.628590653106673E-3</v>
      </c>
      <c r="S72" s="17">
        <v>3.2003133518915261</v>
      </c>
      <c r="T72" s="17">
        <f t="shared" ref="T72:T135" si="25">(((1+R72)*(1+R71)*(1+R70))^(12/3)-1)*100</f>
        <v>2.745149749618081</v>
      </c>
      <c r="U72" s="17">
        <f t="shared" si="10"/>
        <v>2.8817563175703498</v>
      </c>
      <c r="V72" s="9">
        <v>2.3421890024620247E-3</v>
      </c>
      <c r="W72" s="17">
        <v>2.8471175794765546</v>
      </c>
      <c r="X72" s="17">
        <f t="shared" si="24"/>
        <v>2.6583895881880926</v>
      </c>
      <c r="Y72" s="17">
        <f t="shared" si="17"/>
        <v>2.7888779965149713</v>
      </c>
    </row>
    <row r="73" spans="1:25" x14ac:dyDescent="0.25">
      <c r="A73" s="7">
        <v>26634</v>
      </c>
      <c r="B73" s="28">
        <v>4.0628889848339554E-3</v>
      </c>
      <c r="C73" s="17">
        <f t="shared" si="18"/>
        <v>4.985902459745839</v>
      </c>
      <c r="D73" s="17">
        <f t="shared" si="20"/>
        <v>5.2544915823290239</v>
      </c>
      <c r="E73" s="17">
        <f t="shared" si="11"/>
        <v>3.7680345426415851</v>
      </c>
      <c r="F73" s="29">
        <v>4.2749090927839163E-3</v>
      </c>
      <c r="G73" s="17">
        <f t="shared" si="19"/>
        <v>5.2522402645401645</v>
      </c>
      <c r="H73" s="17">
        <f t="shared" si="21"/>
        <v>3.3043948994295747</v>
      </c>
      <c r="I73" s="17">
        <f t="shared" si="12"/>
        <v>2.9896394069540699</v>
      </c>
      <c r="J73" s="8">
        <v>2.2246594570196824E-3</v>
      </c>
      <c r="K73" s="17">
        <f t="shared" si="13"/>
        <v>2.7024989110473019</v>
      </c>
      <c r="L73" s="17">
        <f t="shared" si="22"/>
        <v>2.8725880096874379</v>
      </c>
      <c r="M73" s="17">
        <f t="shared" si="14"/>
        <v>3.1839991939235812</v>
      </c>
      <c r="N73" s="9">
        <v>2.0005425661291315E-3</v>
      </c>
      <c r="O73" s="17">
        <f t="shared" si="15"/>
        <v>2.4272423437236013</v>
      </c>
      <c r="P73" s="17">
        <f t="shared" si="23"/>
        <v>2.747163903063421</v>
      </c>
      <c r="Q73" s="17">
        <f t="shared" si="16"/>
        <v>3.1493509554232801</v>
      </c>
      <c r="R73" s="8">
        <v>2.0395364334140848E-3</v>
      </c>
      <c r="S73" s="17">
        <v>2.4750853032141418</v>
      </c>
      <c r="T73" s="17">
        <f t="shared" si="25"/>
        <v>2.7367498328626283</v>
      </c>
      <c r="U73" s="17">
        <f t="shared" si="10"/>
        <v>2.7446353706734206</v>
      </c>
      <c r="V73" s="9">
        <v>1.6132494343899881E-3</v>
      </c>
      <c r="W73" s="17">
        <v>1.9531690132991164</v>
      </c>
      <c r="X73" s="17">
        <f t="shared" si="24"/>
        <v>2.4909626347559</v>
      </c>
      <c r="Y73" s="17">
        <f t="shared" si="17"/>
        <v>2.5813339722950746</v>
      </c>
    </row>
    <row r="74" spans="1:25" x14ac:dyDescent="0.25">
      <c r="A74" s="7">
        <v>26665</v>
      </c>
      <c r="B74" s="28">
        <v>9.7447501463197861E-3</v>
      </c>
      <c r="C74" s="17">
        <f t="shared" si="18"/>
        <v>12.341248589199271</v>
      </c>
      <c r="D74" s="17">
        <f t="shared" si="20"/>
        <v>7.8642826816086586</v>
      </c>
      <c r="E74" s="17">
        <f t="shared" si="11"/>
        <v>4.8158601202455298</v>
      </c>
      <c r="F74" s="29">
        <v>9.0644806819673051E-4</v>
      </c>
      <c r="G74" s="17">
        <f t="shared" si="19"/>
        <v>1.0931769779540579</v>
      </c>
      <c r="H74" s="17">
        <f t="shared" si="21"/>
        <v>3.6900231860965915</v>
      </c>
      <c r="I74" s="17">
        <f t="shared" si="12"/>
        <v>2.4826411195364217</v>
      </c>
      <c r="J74" s="8">
        <v>1.6112076567893843E-3</v>
      </c>
      <c r="K74" s="17">
        <f t="shared" si="13"/>
        <v>1.9506750762864566</v>
      </c>
      <c r="L74" s="17">
        <f t="shared" si="22"/>
        <v>2.606023064240226</v>
      </c>
      <c r="M74" s="17">
        <f t="shared" si="14"/>
        <v>2.9233923865550349</v>
      </c>
      <c r="N74" s="9">
        <v>1.5288750744627208E-3</v>
      </c>
      <c r="O74" s="17">
        <f t="shared" si="15"/>
        <v>1.8501562108490299</v>
      </c>
      <c r="P74" s="17">
        <f t="shared" si="23"/>
        <v>2.4103191099828836</v>
      </c>
      <c r="Q74" s="17">
        <f t="shared" si="16"/>
        <v>2.8445537962422662</v>
      </c>
      <c r="R74" s="8">
        <v>1.0815256867478071E-3</v>
      </c>
      <c r="S74" s="17">
        <v>1.3055787287745035</v>
      </c>
      <c r="T74" s="17">
        <f t="shared" si="25"/>
        <v>2.3240109374998985</v>
      </c>
      <c r="U74" s="17">
        <f t="shared" si="10"/>
        <v>2.4963380491865639</v>
      </c>
      <c r="V74" s="9">
        <v>8.1363434245124665E-4</v>
      </c>
      <c r="W74" s="17">
        <v>0.9807422880137695</v>
      </c>
      <c r="X74" s="17">
        <f t="shared" si="24"/>
        <v>1.9241592203819602</v>
      </c>
      <c r="Y74" s="17">
        <f t="shared" si="17"/>
        <v>2.2612288346544052</v>
      </c>
    </row>
    <row r="75" spans="1:25" x14ac:dyDescent="0.25">
      <c r="A75" s="7">
        <v>26696</v>
      </c>
      <c r="B75" s="28">
        <v>1.2060878990195804E-2</v>
      </c>
      <c r="C75" s="17">
        <f t="shared" si="18"/>
        <v>15.47278793607687</v>
      </c>
      <c r="D75" s="17">
        <f t="shared" si="20"/>
        <v>10.845132757516595</v>
      </c>
      <c r="E75" s="17">
        <f t="shared" si="11"/>
        <v>5.3146573799856656</v>
      </c>
      <c r="F75" s="29">
        <v>5.2876630694573927E-3</v>
      </c>
      <c r="G75" s="17">
        <f t="shared" si="19"/>
        <v>6.5330190963641233</v>
      </c>
      <c r="H75" s="17">
        <f t="shared" si="21"/>
        <v>4.2667434402072768</v>
      </c>
      <c r="I75" s="17">
        <f t="shared" si="12"/>
        <v>2.7319355931712197</v>
      </c>
      <c r="J75" s="8">
        <v>2.9655817091607875E-3</v>
      </c>
      <c r="K75" s="17">
        <f t="shared" si="13"/>
        <v>3.6173205412238785</v>
      </c>
      <c r="L75" s="17">
        <f t="shared" si="22"/>
        <v>2.754572813569256</v>
      </c>
      <c r="M75" s="17">
        <f t="shared" si="14"/>
        <v>3.0042705665761948</v>
      </c>
      <c r="N75" s="9">
        <v>2.5393466402352711E-3</v>
      </c>
      <c r="O75" s="17">
        <f t="shared" si="15"/>
        <v>3.0901369291426395</v>
      </c>
      <c r="P75" s="17">
        <f t="shared" si="23"/>
        <v>2.4545929174492498</v>
      </c>
      <c r="Q75" s="17">
        <f t="shared" si="16"/>
        <v>2.8828792686331095</v>
      </c>
      <c r="R75" s="8">
        <v>3.2085586314419623E-3</v>
      </c>
      <c r="S75" s="17">
        <v>3.9189483267600522</v>
      </c>
      <c r="T75" s="17">
        <f t="shared" si="25"/>
        <v>2.5609727070577293</v>
      </c>
      <c r="U75" s="17">
        <f t="shared" si="10"/>
        <v>2.6277942291695666</v>
      </c>
      <c r="V75" s="9">
        <v>2.540246474601702E-3</v>
      </c>
      <c r="W75" s="17">
        <v>3.0912472836393201</v>
      </c>
      <c r="X75" s="17">
        <f t="shared" si="24"/>
        <v>2.0047417821186686</v>
      </c>
      <c r="Y75" s="17">
        <f t="shared" si="17"/>
        <v>2.3324526539012069</v>
      </c>
    </row>
    <row r="76" spans="1:25" x14ac:dyDescent="0.25">
      <c r="A76" s="7">
        <v>26724</v>
      </c>
      <c r="B76" s="28">
        <v>1.5966998936642256E-2</v>
      </c>
      <c r="C76" s="17">
        <f t="shared" si="18"/>
        <v>20.935892747704955</v>
      </c>
      <c r="D76" s="17">
        <f t="shared" si="20"/>
        <v>16.196051640638331</v>
      </c>
      <c r="E76" s="17">
        <f t="shared" si="11"/>
        <v>7.0125992352582101</v>
      </c>
      <c r="F76" s="29">
        <v>5.7433295649976504E-3</v>
      </c>
      <c r="G76" s="17">
        <f t="shared" si="19"/>
        <v>7.1139242105456413</v>
      </c>
      <c r="H76" s="17">
        <f t="shared" si="21"/>
        <v>4.8779049868323821</v>
      </c>
      <c r="I76" s="17">
        <f t="shared" si="12"/>
        <v>3.1265954794524875</v>
      </c>
      <c r="J76" s="8">
        <v>2.8922248093898153E-3</v>
      </c>
      <c r="K76" s="17">
        <f t="shared" si="13"/>
        <v>3.5264142695557776</v>
      </c>
      <c r="L76" s="17">
        <f t="shared" si="22"/>
        <v>3.0286189879150216</v>
      </c>
      <c r="M76" s="17">
        <f t="shared" si="14"/>
        <v>3.0573526517393201</v>
      </c>
      <c r="N76" s="9">
        <v>2.5420275535428466E-3</v>
      </c>
      <c r="O76" s="17">
        <f t="shared" si="15"/>
        <v>3.093445086003821</v>
      </c>
      <c r="P76" s="17">
        <f t="shared" si="23"/>
        <v>2.6762399457163522</v>
      </c>
      <c r="Q76" s="17">
        <f t="shared" si="16"/>
        <v>2.9308126290883418</v>
      </c>
      <c r="R76" s="8">
        <v>3.0970241053756929E-3</v>
      </c>
      <c r="S76" s="17">
        <v>3.7803913041603687</v>
      </c>
      <c r="T76" s="17">
        <f t="shared" si="25"/>
        <v>2.9946033925826399</v>
      </c>
      <c r="U76" s="17">
        <f t="shared" si="10"/>
        <v>2.715980661465589</v>
      </c>
      <c r="V76" s="9">
        <v>2.549351349619749E-3</v>
      </c>
      <c r="W76" s="17">
        <v>3.1024829001008447</v>
      </c>
      <c r="X76" s="17">
        <f t="shared" si="24"/>
        <v>2.3866088541935726</v>
      </c>
      <c r="Y76" s="17">
        <f t="shared" si="17"/>
        <v>2.4199128707174111</v>
      </c>
    </row>
    <row r="77" spans="1:25" x14ac:dyDescent="0.25">
      <c r="A77" s="7">
        <v>26755</v>
      </c>
      <c r="B77" s="28">
        <v>1.2680486264250107E-2</v>
      </c>
      <c r="C77" s="17">
        <f t="shared" si="18"/>
        <v>16.323991940332117</v>
      </c>
      <c r="D77" s="17">
        <f t="shared" si="20"/>
        <v>17.553271852195728</v>
      </c>
      <c r="E77" s="17">
        <f t="shared" si="11"/>
        <v>8.3596570275523483</v>
      </c>
      <c r="F77" s="29">
        <v>5.7541110522831901E-3</v>
      </c>
      <c r="G77" s="17">
        <f t="shared" si="19"/>
        <v>7.1277040544056147</v>
      </c>
      <c r="H77" s="17">
        <f t="shared" si="21"/>
        <v>6.9245228366861422</v>
      </c>
      <c r="I77" s="17">
        <f t="shared" si="12"/>
        <v>3.5095226154117087</v>
      </c>
      <c r="J77" s="8">
        <v>3.5697822500595547E-3</v>
      </c>
      <c r="K77" s="17">
        <f t="shared" si="13"/>
        <v>4.3688536649806986</v>
      </c>
      <c r="L77" s="17">
        <f t="shared" si="22"/>
        <v>3.8368443001260522</v>
      </c>
      <c r="M77" s="17">
        <f t="shared" si="14"/>
        <v>3.1651975455199821</v>
      </c>
      <c r="N77" s="9">
        <v>3.3190900218413688E-3</v>
      </c>
      <c r="O77" s="17">
        <f t="shared" si="15"/>
        <v>4.0564264464338029</v>
      </c>
      <c r="P77" s="17">
        <f t="shared" si="23"/>
        <v>3.4123384210690277</v>
      </c>
      <c r="Q77" s="17">
        <f t="shared" si="16"/>
        <v>3.0326253663453873</v>
      </c>
      <c r="R77" s="8">
        <v>4.1627126157763907E-3</v>
      </c>
      <c r="S77" s="17">
        <v>5.1112229740819304</v>
      </c>
      <c r="T77" s="17">
        <f t="shared" si="25"/>
        <v>4.2684806678198184</v>
      </c>
      <c r="U77" s="17">
        <f t="shared" ref="U77:U140" si="26">(((1+R69)*(1+R68)*(1+R67)*(1+R66)*(1+R70)*(1+R71)*(1+R72)*(1+R73)*(1+R74)*(1+R75)*(1+R76)*(1+R77))-1)*100</f>
        <v>2.8898180368654991</v>
      </c>
      <c r="V77" s="9">
        <v>3.8790794524383794E-3</v>
      </c>
      <c r="W77" s="17">
        <v>4.7555026485738727</v>
      </c>
      <c r="X77" s="17">
        <f t="shared" si="24"/>
        <v>3.6468054601697109</v>
      </c>
      <c r="Y77" s="17">
        <f t="shared" si="17"/>
        <v>2.5991024395734863</v>
      </c>
    </row>
    <row r="78" spans="1:25" x14ac:dyDescent="0.25">
      <c r="A78" s="7">
        <v>26785</v>
      </c>
      <c r="B78" s="28">
        <v>7.872700013874679E-3</v>
      </c>
      <c r="C78" s="17">
        <f t="shared" si="18"/>
        <v>9.867231457842319</v>
      </c>
      <c r="D78" s="17">
        <f t="shared" si="20"/>
        <v>15.619449653376583</v>
      </c>
      <c r="E78" s="17">
        <f t="shared" ref="E78:E141" si="27">(((1+B70)*(1+B69)*(1+B68)*(1+B67)*(1+B71)*(1+B72)*(1+B73)*(1+B74)*(1+B75)*(1+B76)*(1+B77)*(1+B78))-1)*100</f>
        <v>8.9344947656589735</v>
      </c>
      <c r="F78" s="29">
        <v>1.9560238908494215E-3</v>
      </c>
      <c r="G78" s="17">
        <f t="shared" si="19"/>
        <v>2.372645834055076</v>
      </c>
      <c r="H78" s="17">
        <f t="shared" si="21"/>
        <v>5.514112855889608</v>
      </c>
      <c r="I78" s="17">
        <f t="shared" ref="I78:I141" si="28">(((1+F70)*(1+F69)*(1+F68)*(1+F67)*(1+F71)*(1+F72)*(1+F73)*(1+F74)*(1+F75)*(1+F76)*(1+F77)*(1+F78))-1)*100</f>
        <v>3.489097775906469</v>
      </c>
      <c r="J78" s="8">
        <v>4.7676632122752782E-3</v>
      </c>
      <c r="K78" s="17">
        <f t="shared" ref="K78:K141" si="29">((1+J78)^12 - 1)*100</f>
        <v>5.8736278510632012</v>
      </c>
      <c r="L78" s="17">
        <f t="shared" si="22"/>
        <v>4.5851347041675927</v>
      </c>
      <c r="M78" s="17">
        <f t="shared" ref="M78:M141" si="30">(((1+J70)*(1+J69)*(1+J68)*(1+J67)*(1+J71)*(1+J72)*(1+J73)*(1+J74)*(1+J75)*(1+J76)*(1+J77)*(1+J78))-1)*100</f>
        <v>3.3910977797010577</v>
      </c>
      <c r="N78" s="9">
        <v>4.0174989699189772E-3</v>
      </c>
      <c r="O78" s="17">
        <f t="shared" ref="O78:O141" si="31">((1+N78)^12 - 1)*100</f>
        <v>4.92896426888354</v>
      </c>
      <c r="P78" s="17">
        <f t="shared" si="23"/>
        <v>4.0235766220352964</v>
      </c>
      <c r="Q78" s="17">
        <f t="shared" ref="Q78:Q141" si="32">(((1+N70)*(1+N69)*(1+N68)*(1+N67)*(1+N71)*(1+N72)*(1+N73)*(1+N74)*(1+N75)*(1+N76)*(1+N77)*(1+N78))-1)*100</f>
        <v>3.1763426821206364</v>
      </c>
      <c r="R78" s="8">
        <v>4.614578746767347E-3</v>
      </c>
      <c r="S78" s="17">
        <v>5.6802215494122121</v>
      </c>
      <c r="T78" s="17">
        <f t="shared" si="25"/>
        <v>4.8542494813307302</v>
      </c>
      <c r="U78" s="17">
        <f t="shared" si="26"/>
        <v>3.1016370329041143</v>
      </c>
      <c r="V78" s="9">
        <v>3.2987398188133081E-3</v>
      </c>
      <c r="W78" s="17">
        <v>4.0311025005706158</v>
      </c>
      <c r="X78" s="17">
        <f t="shared" si="24"/>
        <v>3.960826466873435</v>
      </c>
      <c r="Y78" s="17">
        <f t="shared" ref="Y78:Y141" si="33">(((1+V70)*(1+V69)*(1+V68)*(1+V67)*(1+V71)*(1+V72)*(1+V73)*(1+V74)*(1+V75)*(1+V76)*(1+V77)*(1+V78))-1)*100</f>
        <v>2.6680929039909929</v>
      </c>
    </row>
    <row r="79" spans="1:25" x14ac:dyDescent="0.25">
      <c r="A79" s="7">
        <v>26816</v>
      </c>
      <c r="B79" s="28">
        <v>7.9605748468646702E-3</v>
      </c>
      <c r="C79" s="17">
        <f t="shared" si="18"/>
        <v>9.9822364064904754</v>
      </c>
      <c r="D79" s="17">
        <f t="shared" si="20"/>
        <v>12.017706117006387</v>
      </c>
      <c r="E79" s="17">
        <f t="shared" si="27"/>
        <v>9.7361135336355265</v>
      </c>
      <c r="F79" s="29">
        <v>1.9629262580299284E-3</v>
      </c>
      <c r="G79" s="17">
        <f t="shared" si="19"/>
        <v>2.381108964340628</v>
      </c>
      <c r="H79" s="17">
        <f t="shared" si="21"/>
        <v>3.9366029192118956</v>
      </c>
      <c r="I79" s="17">
        <f t="shared" si="28"/>
        <v>3.6134500578124396</v>
      </c>
      <c r="J79" s="8">
        <v>3.3332464028729678E-3</v>
      </c>
      <c r="K79" s="17">
        <f t="shared" si="29"/>
        <v>4.074046086147165</v>
      </c>
      <c r="L79" s="17">
        <f t="shared" si="22"/>
        <v>4.7692212301799319</v>
      </c>
      <c r="M79" s="17">
        <f t="shared" si="30"/>
        <v>3.4052695866232385</v>
      </c>
      <c r="N79" s="9">
        <v>2.7524666553457142E-3</v>
      </c>
      <c r="O79" s="17">
        <f t="shared" si="31"/>
        <v>3.3534236833828945</v>
      </c>
      <c r="P79" s="17">
        <f t="shared" si="23"/>
        <v>4.1109446159498075</v>
      </c>
      <c r="Q79" s="17">
        <f t="shared" si="32"/>
        <v>3.0994997562524329</v>
      </c>
      <c r="R79" s="8">
        <v>3.8021163815754951E-3</v>
      </c>
      <c r="S79" s="17">
        <v>4.6591694549175999</v>
      </c>
      <c r="T79" s="17">
        <f t="shared" si="25"/>
        <v>5.1493751093185658</v>
      </c>
      <c r="U79" s="17">
        <f t="shared" si="26"/>
        <v>3.2803885697746837</v>
      </c>
      <c r="V79" s="9">
        <v>2.9262083517353483E-3</v>
      </c>
      <c r="W79" s="17">
        <v>3.5685186946299741</v>
      </c>
      <c r="X79" s="17">
        <f t="shared" si="24"/>
        <v>4.117229586694271</v>
      </c>
      <c r="Y79" s="17">
        <f t="shared" si="33"/>
        <v>2.7311357104029099</v>
      </c>
    </row>
    <row r="80" spans="1:25" x14ac:dyDescent="0.25">
      <c r="A80" s="7">
        <v>26846</v>
      </c>
      <c r="B80" s="28">
        <v>5.8659032182519866E-4</v>
      </c>
      <c r="C80" s="17">
        <f t="shared" si="18"/>
        <v>0.70618381466756031</v>
      </c>
      <c r="D80" s="17">
        <f t="shared" si="20"/>
        <v>6.7617347967430241</v>
      </c>
      <c r="E80" s="17">
        <f t="shared" si="27"/>
        <v>9.3714266085987763</v>
      </c>
      <c r="F80" s="29">
        <v>1.8178372912806986E-4</v>
      </c>
      <c r="G80" s="17">
        <f t="shared" si="19"/>
        <v>0.21835870630357856</v>
      </c>
      <c r="H80" s="17">
        <f t="shared" si="21"/>
        <v>1.6522543331684902</v>
      </c>
      <c r="I80" s="17">
        <f t="shared" si="28"/>
        <v>3.6222630295468239</v>
      </c>
      <c r="J80" s="8">
        <v>2.6607749372245149E-3</v>
      </c>
      <c r="K80" s="17">
        <f t="shared" si="29"/>
        <v>3.2400730159919178</v>
      </c>
      <c r="L80" s="17">
        <f t="shared" si="22"/>
        <v>4.3901477481023798</v>
      </c>
      <c r="M80" s="17">
        <f t="shared" si="30"/>
        <v>3.3558382317392166</v>
      </c>
      <c r="N80" s="9">
        <v>2.3525532472059383E-3</v>
      </c>
      <c r="O80" s="17">
        <f t="shared" si="31"/>
        <v>2.8598796082288658</v>
      </c>
      <c r="P80" s="17">
        <f t="shared" si="23"/>
        <v>3.7103472627559864</v>
      </c>
      <c r="Q80" s="17">
        <f t="shared" si="32"/>
        <v>3.0141224560970903</v>
      </c>
      <c r="R80" s="8">
        <v>2.751811189157499E-3</v>
      </c>
      <c r="S80" s="17">
        <v>3.3526129816391581</v>
      </c>
      <c r="T80" s="17">
        <f t="shared" si="25"/>
        <v>4.5596578312352865</v>
      </c>
      <c r="U80" s="17">
        <f t="shared" si="26"/>
        <v>3.3589342848193038</v>
      </c>
      <c r="V80" s="9">
        <v>2.248545045297117E-3</v>
      </c>
      <c r="W80" s="17">
        <v>2.731874734017925</v>
      </c>
      <c r="X80" s="17">
        <f t="shared" si="24"/>
        <v>3.4424329301224077</v>
      </c>
      <c r="Y80" s="17">
        <f t="shared" si="33"/>
        <v>2.7782981504562043</v>
      </c>
    </row>
    <row r="81" spans="1:25" x14ac:dyDescent="0.25">
      <c r="A81" s="7">
        <v>26877</v>
      </c>
      <c r="B81" s="28">
        <v>3.4951510071677419E-2</v>
      </c>
      <c r="C81" s="17">
        <f t="shared" si="18"/>
        <v>51.021935029127178</v>
      </c>
      <c r="D81" s="17">
        <f t="shared" si="20"/>
        <v>18.706064070122498</v>
      </c>
      <c r="E81" s="17">
        <f t="shared" si="27"/>
        <v>13.024038947163863</v>
      </c>
      <c r="F81" s="29">
        <v>1.1268204931553355E-3</v>
      </c>
      <c r="G81" s="17">
        <f t="shared" si="19"/>
        <v>1.3605963294645473</v>
      </c>
      <c r="H81" s="17">
        <f t="shared" si="21"/>
        <v>1.316168460193845</v>
      </c>
      <c r="I81" s="17">
        <f t="shared" si="28"/>
        <v>3.9001682512523672</v>
      </c>
      <c r="J81" s="8">
        <v>5.7580541718584193E-3</v>
      </c>
      <c r="K81" s="17">
        <f t="shared" si="29"/>
        <v>7.1327441704858163</v>
      </c>
      <c r="L81" s="17">
        <f t="shared" si="22"/>
        <v>4.8023426245264567</v>
      </c>
      <c r="M81" s="17">
        <f t="shared" si="30"/>
        <v>3.6551127040541864</v>
      </c>
      <c r="N81" s="9">
        <v>5.721947626395509E-3</v>
      </c>
      <c r="O81" s="17">
        <f t="shared" si="31"/>
        <v>7.0866007116037411</v>
      </c>
      <c r="P81" s="17">
        <f t="shared" si="23"/>
        <v>4.4163891551158185</v>
      </c>
      <c r="Q81" s="17">
        <f t="shared" si="32"/>
        <v>3.3231752472413056</v>
      </c>
      <c r="R81" s="8">
        <v>3.3708399715705619E-3</v>
      </c>
      <c r="S81" s="17">
        <v>4.1208499316057745</v>
      </c>
      <c r="T81" s="17">
        <f t="shared" si="25"/>
        <v>4.0428283750188143</v>
      </c>
      <c r="U81" s="17">
        <f t="shared" si="26"/>
        <v>3.5464970988641653</v>
      </c>
      <c r="V81" s="9">
        <v>2.7210690740797692E-3</v>
      </c>
      <c r="W81" s="17">
        <v>3.3145966885212763</v>
      </c>
      <c r="X81" s="17">
        <f t="shared" si="24"/>
        <v>3.2044018181647704</v>
      </c>
      <c r="Y81" s="17">
        <f t="shared" si="33"/>
        <v>2.954583990449744</v>
      </c>
    </row>
    <row r="82" spans="1:25" x14ac:dyDescent="0.25">
      <c r="A82" s="7">
        <v>26908</v>
      </c>
      <c r="B82" s="28">
        <v>-3.0683149732943491E-3</v>
      </c>
      <c r="C82" s="17">
        <f t="shared" si="18"/>
        <v>-3.6204730374823746</v>
      </c>
      <c r="D82" s="17">
        <f t="shared" si="20"/>
        <v>13.595288794399174</v>
      </c>
      <c r="E82" s="17">
        <f t="shared" si="27"/>
        <v>11.691404184697207</v>
      </c>
      <c r="F82" s="29">
        <v>9.2369492254128856E-4</v>
      </c>
      <c r="G82" s="17">
        <f t="shared" si="19"/>
        <v>1.1140824827562845</v>
      </c>
      <c r="H82" s="17">
        <f t="shared" si="21"/>
        <v>0.89648331365841383</v>
      </c>
      <c r="I82" s="17">
        <f t="shared" si="28"/>
        <v>3.2432904213961944</v>
      </c>
      <c r="J82" s="8">
        <v>8.1251239464160806E-3</v>
      </c>
      <c r="K82" s="17">
        <f t="shared" si="29"/>
        <v>10.197884555738312</v>
      </c>
      <c r="L82" s="17">
        <f t="shared" si="22"/>
        <v>6.8188578426644053</v>
      </c>
      <c r="M82" s="17">
        <f t="shared" si="30"/>
        <v>4.3601747092015142</v>
      </c>
      <c r="N82" s="9">
        <v>7.2041345807690059E-3</v>
      </c>
      <c r="O82" s="17">
        <f t="shared" si="31"/>
        <v>8.9958590519153105</v>
      </c>
      <c r="P82" s="17">
        <f t="shared" si="23"/>
        <v>6.2829779344832692</v>
      </c>
      <c r="Q82" s="17">
        <f t="shared" si="32"/>
        <v>3.9441315630583951</v>
      </c>
      <c r="R82" s="8">
        <v>5.7201759341432689E-3</v>
      </c>
      <c r="S82" s="17">
        <v>7.0843369925345456</v>
      </c>
      <c r="T82" s="17">
        <f t="shared" si="25"/>
        <v>4.8403283792292751</v>
      </c>
      <c r="U82" s="17">
        <f t="shared" si="26"/>
        <v>3.9247145091625857</v>
      </c>
      <c r="V82" s="9">
        <v>3.5501608059100801E-3</v>
      </c>
      <c r="W82" s="17">
        <v>4.3443692996502081</v>
      </c>
      <c r="X82" s="17">
        <f t="shared" si="24"/>
        <v>3.4614686178270793</v>
      </c>
      <c r="Y82" s="17">
        <f t="shared" si="33"/>
        <v>3.1115922804692442</v>
      </c>
    </row>
    <row r="83" spans="1:25" x14ac:dyDescent="0.25">
      <c r="A83" s="7">
        <v>26938</v>
      </c>
      <c r="B83" s="28">
        <v>6.012605450239219E-3</v>
      </c>
      <c r="C83" s="17">
        <f t="shared" si="18"/>
        <v>7.4585732737410648</v>
      </c>
      <c r="D83" s="17">
        <f t="shared" si="20"/>
        <v>16.07943806523593</v>
      </c>
      <c r="E83" s="17">
        <f t="shared" si="27"/>
        <v>11.96204570450683</v>
      </c>
      <c r="F83" s="29">
        <v>-3.1787947647189235E-4</v>
      </c>
      <c r="G83" s="17">
        <f t="shared" si="19"/>
        <v>-0.38078916533419438</v>
      </c>
      <c r="H83" s="17">
        <f t="shared" si="21"/>
        <v>0.69501395947755285</v>
      </c>
      <c r="I83" s="17">
        <f t="shared" si="28"/>
        <v>3.2130990634372969</v>
      </c>
      <c r="J83" s="8">
        <v>1.0631002343182674E-2</v>
      </c>
      <c r="K83" s="17">
        <f t="shared" si="29"/>
        <v>13.530199092747131</v>
      </c>
      <c r="L83" s="17">
        <f t="shared" si="22"/>
        <v>10.256015964765153</v>
      </c>
      <c r="M83" s="17">
        <f t="shared" si="30"/>
        <v>5.2316877707565546</v>
      </c>
      <c r="N83" s="9">
        <v>1.0259415153446395E-2</v>
      </c>
      <c r="O83" s="17">
        <f t="shared" si="31"/>
        <v>13.030299587415328</v>
      </c>
      <c r="P83" s="17">
        <f t="shared" si="23"/>
        <v>9.6764378585642028</v>
      </c>
      <c r="Q83" s="17">
        <f t="shared" si="32"/>
        <v>4.7641939335360428</v>
      </c>
      <c r="R83" s="8">
        <v>8.3349118251919863E-3</v>
      </c>
      <c r="S83" s="17">
        <v>10.473382005005604</v>
      </c>
      <c r="T83" s="17">
        <f t="shared" si="25"/>
        <v>7.1948124488448117</v>
      </c>
      <c r="U83" s="17">
        <f t="shared" si="26"/>
        <v>4.5724133083050011</v>
      </c>
      <c r="V83" s="9">
        <v>7.1231486923636223E-3</v>
      </c>
      <c r="W83" s="17">
        <v>8.8907376743054165</v>
      </c>
      <c r="X83" s="17">
        <f t="shared" si="24"/>
        <v>5.4890094556208968</v>
      </c>
      <c r="Y83" s="17">
        <f t="shared" si="33"/>
        <v>3.6178913073961372</v>
      </c>
    </row>
    <row r="84" spans="1:25" x14ac:dyDescent="0.25">
      <c r="A84" s="7">
        <v>26969</v>
      </c>
      <c r="B84" s="28">
        <v>1.2441354526646452E-2</v>
      </c>
      <c r="C84" s="17">
        <f t="shared" si="18"/>
        <v>15.994798360215135</v>
      </c>
      <c r="D84" s="17">
        <f t="shared" si="20"/>
        <v>6.3052692050632464</v>
      </c>
      <c r="E84" s="17">
        <f t="shared" si="27"/>
        <v>12.770058483182778</v>
      </c>
      <c r="F84" s="29">
        <v>1.376291526323617E-3</v>
      </c>
      <c r="G84" s="17">
        <f t="shared" si="19"/>
        <v>1.6641089395094566</v>
      </c>
      <c r="H84" s="17">
        <f t="shared" si="21"/>
        <v>0.7954203411028038</v>
      </c>
      <c r="I84" s="17">
        <f t="shared" si="28"/>
        <v>2.9541790110850563</v>
      </c>
      <c r="J84" s="8">
        <v>4.828975015510939E-3</v>
      </c>
      <c r="K84" s="17">
        <f t="shared" si="29"/>
        <v>5.9511798937540883</v>
      </c>
      <c r="L84" s="17">
        <f t="shared" si="22"/>
        <v>9.8491796961641889</v>
      </c>
      <c r="M84" s="17">
        <f t="shared" si="30"/>
        <v>5.4653338369797799</v>
      </c>
      <c r="N84" s="9">
        <v>3.9896254910046745E-3</v>
      </c>
      <c r="O84" s="17">
        <f t="shared" si="31"/>
        <v>4.8940132198730835</v>
      </c>
      <c r="P84" s="17">
        <f t="shared" si="23"/>
        <v>8.9227321443106291</v>
      </c>
      <c r="Q84" s="17">
        <f t="shared" si="32"/>
        <v>4.9270837833555792</v>
      </c>
      <c r="R84" s="8">
        <v>4.8412584367412805E-3</v>
      </c>
      <c r="S84" s="17">
        <v>5.9667232012402316</v>
      </c>
      <c r="T84" s="17">
        <f t="shared" si="25"/>
        <v>7.8245618884096091</v>
      </c>
      <c r="U84" s="17">
        <f t="shared" si="26"/>
        <v>4.8031906989971063</v>
      </c>
      <c r="V84" s="9">
        <v>3.3987754721051906E-3</v>
      </c>
      <c r="W84" s="17">
        <v>4.1556420150831608</v>
      </c>
      <c r="X84" s="17">
        <f t="shared" si="24"/>
        <v>5.7744850029691097</v>
      </c>
      <c r="Y84" s="17">
        <f t="shared" si="33"/>
        <v>3.7271167427510576</v>
      </c>
    </row>
    <row r="85" spans="1:25" x14ac:dyDescent="0.25">
      <c r="A85" s="7">
        <v>26999</v>
      </c>
      <c r="B85" s="28">
        <v>1.1277803856235696E-2</v>
      </c>
      <c r="C85" s="17">
        <f t="shared" si="18"/>
        <v>14.405183547697931</v>
      </c>
      <c r="D85" s="17">
        <f t="shared" si="20"/>
        <v>12.557670295171363</v>
      </c>
      <c r="E85" s="17">
        <f t="shared" si="27"/>
        <v>13.580392557796127</v>
      </c>
      <c r="F85" s="29">
        <v>1.3417925312774173E-3</v>
      </c>
      <c r="G85" s="17">
        <f t="shared" si="19"/>
        <v>1.6220870328348624</v>
      </c>
      <c r="H85" s="17">
        <f t="shared" si="21"/>
        <v>0.96393962704348635</v>
      </c>
      <c r="I85" s="17">
        <f t="shared" si="28"/>
        <v>2.6534878310111143</v>
      </c>
      <c r="J85" s="8">
        <v>6.020042542119128E-3</v>
      </c>
      <c r="K85" s="17">
        <f t="shared" si="29"/>
        <v>7.4681064955728571</v>
      </c>
      <c r="L85" s="17">
        <f t="shared" si="22"/>
        <v>8.934538529162106</v>
      </c>
      <c r="M85" s="17">
        <f t="shared" si="30"/>
        <v>5.8647266680503352</v>
      </c>
      <c r="N85" s="9">
        <v>5.6400641118460318E-3</v>
      </c>
      <c r="O85" s="17">
        <f t="shared" si="31"/>
        <v>6.982022680889699</v>
      </c>
      <c r="P85" s="17">
        <f t="shared" si="23"/>
        <v>8.2477293194313397</v>
      </c>
      <c r="Q85" s="17">
        <f t="shared" si="32"/>
        <v>5.3082057148674089</v>
      </c>
      <c r="R85" s="8">
        <v>5.3524831527031755E-3</v>
      </c>
      <c r="S85" s="17">
        <v>6.6154782237111132</v>
      </c>
      <c r="T85" s="17">
        <f t="shared" si="25"/>
        <v>7.6669650650012855</v>
      </c>
      <c r="U85" s="17">
        <f t="shared" si="26"/>
        <v>5.149691385021038</v>
      </c>
      <c r="V85" s="9">
        <v>4.5282921861941562E-3</v>
      </c>
      <c r="W85" s="17">
        <v>5.5713502279817639</v>
      </c>
      <c r="X85" s="17">
        <f t="shared" si="24"/>
        <v>6.1874696510708649</v>
      </c>
      <c r="Y85" s="17">
        <f t="shared" si="33"/>
        <v>4.0289987116619574</v>
      </c>
    </row>
    <row r="86" spans="1:25" x14ac:dyDescent="0.25">
      <c r="A86" s="7">
        <v>27030</v>
      </c>
      <c r="B86" s="28">
        <v>1.54129652572802E-2</v>
      </c>
      <c r="C86" s="17">
        <f t="shared" si="18"/>
        <v>20.146867567839031</v>
      </c>
      <c r="D86" s="17">
        <f t="shared" si="20"/>
        <v>16.824040563052954</v>
      </c>
      <c r="E86" s="17">
        <f t="shared" si="27"/>
        <v>14.217977548767058</v>
      </c>
      <c r="F86" s="29">
        <v>1.5628215621384918E-3</v>
      </c>
      <c r="G86" s="17">
        <f t="shared" si="19"/>
        <v>1.8915900599079549</v>
      </c>
      <c r="H86" s="17">
        <f t="shared" si="21"/>
        <v>1.725859819881137</v>
      </c>
      <c r="I86" s="17">
        <f t="shared" si="28"/>
        <v>2.7208058392055978</v>
      </c>
      <c r="J86" s="8">
        <v>6.5569235892886614E-3</v>
      </c>
      <c r="K86" s="17">
        <f t="shared" si="29"/>
        <v>8.1583580766660511</v>
      </c>
      <c r="L86" s="17">
        <f t="shared" si="22"/>
        <v>7.1885740369635798</v>
      </c>
      <c r="M86" s="17">
        <f t="shared" si="30"/>
        <v>6.3874612993816804</v>
      </c>
      <c r="N86" s="9">
        <v>6.6401806354265142E-3</v>
      </c>
      <c r="O86" s="17">
        <f t="shared" si="31"/>
        <v>8.2657623530177027</v>
      </c>
      <c r="P86" s="17">
        <f t="shared" si="23"/>
        <v>6.7048635855894378</v>
      </c>
      <c r="Q86" s="17">
        <f t="shared" si="32"/>
        <v>5.8456464526050356</v>
      </c>
      <c r="R86" s="8">
        <v>6.2280457609204393E-3</v>
      </c>
      <c r="S86" s="17">
        <v>7.7350492839488139</v>
      </c>
      <c r="T86" s="17">
        <f t="shared" si="25"/>
        <v>6.7699222034982132</v>
      </c>
      <c r="U86" s="17">
        <f t="shared" si="26"/>
        <v>5.6902617418007617</v>
      </c>
      <c r="V86" s="9">
        <v>6.2879142009238057E-3</v>
      </c>
      <c r="W86" s="17">
        <v>7.8119945503163146</v>
      </c>
      <c r="X86" s="17">
        <f t="shared" si="24"/>
        <v>5.8356510398143158</v>
      </c>
      <c r="Y86" s="17">
        <f t="shared" si="33"/>
        <v>4.5980195890788389</v>
      </c>
    </row>
    <row r="87" spans="1:25" x14ac:dyDescent="0.25">
      <c r="A87" s="7">
        <v>27061</v>
      </c>
      <c r="B87" s="28">
        <v>2.0670132090170081E-2</v>
      </c>
      <c r="C87" s="17">
        <f t="shared" si="18"/>
        <v>27.827670396995074</v>
      </c>
      <c r="D87" s="17">
        <f t="shared" si="20"/>
        <v>20.668619141297008</v>
      </c>
      <c r="E87" s="17">
        <f t="shared" si="27"/>
        <v>15.189590519585195</v>
      </c>
      <c r="F87" s="29">
        <v>5.2371883089932176E-3</v>
      </c>
      <c r="G87" s="17">
        <f t="shared" si="19"/>
        <v>6.4688494763909254</v>
      </c>
      <c r="H87" s="17">
        <f t="shared" si="21"/>
        <v>3.3038094264311146</v>
      </c>
      <c r="I87" s="17">
        <f t="shared" si="28"/>
        <v>2.7156483024527667</v>
      </c>
      <c r="J87" s="8">
        <v>6.8446713049593304E-3</v>
      </c>
      <c r="K87" s="17">
        <f t="shared" si="29"/>
        <v>8.5299770098390191</v>
      </c>
      <c r="L87" s="17">
        <f t="shared" si="22"/>
        <v>8.0512506221806603</v>
      </c>
      <c r="M87" s="17">
        <f t="shared" si="30"/>
        <v>6.7989275568244967</v>
      </c>
      <c r="N87" s="9">
        <v>6.7614027959811548E-3</v>
      </c>
      <c r="O87" s="17">
        <f t="shared" si="31"/>
        <v>8.4223176646072808</v>
      </c>
      <c r="P87" s="17">
        <f t="shared" si="23"/>
        <v>7.8880995916295937</v>
      </c>
      <c r="Q87" s="17">
        <f t="shared" si="32"/>
        <v>6.2914007909876446</v>
      </c>
      <c r="R87" s="8">
        <v>6.7111436281835106E-3</v>
      </c>
      <c r="S87" s="17">
        <v>8.357384072537144</v>
      </c>
      <c r="T87" s="17">
        <f t="shared" si="25"/>
        <v>7.5668857649610732</v>
      </c>
      <c r="U87" s="17">
        <f t="shared" si="26"/>
        <v>6.0592668922188286</v>
      </c>
      <c r="V87" s="9">
        <v>6.5334312896504982E-3</v>
      </c>
      <c r="W87" s="17">
        <v>8.1280699247472157</v>
      </c>
      <c r="X87" s="17">
        <f t="shared" si="24"/>
        <v>7.1643997933124259</v>
      </c>
      <c r="Y87" s="17">
        <f t="shared" si="33"/>
        <v>5.0146404928042232</v>
      </c>
    </row>
    <row r="88" spans="1:25" x14ac:dyDescent="0.25">
      <c r="A88" s="7">
        <v>27089</v>
      </c>
      <c r="B88" s="28">
        <v>1.3845578127649015E-2</v>
      </c>
      <c r="C88" s="17">
        <f t="shared" si="18"/>
        <v>17.940166354142107</v>
      </c>
      <c r="D88" s="17">
        <f t="shared" si="20"/>
        <v>21.8988721955246</v>
      </c>
      <c r="E88" s="17">
        <f t="shared" si="27"/>
        <v>14.949065389769544</v>
      </c>
      <c r="F88" s="29">
        <v>4.495122309916633E-3</v>
      </c>
      <c r="G88" s="17">
        <f t="shared" si="19"/>
        <v>5.5295257885169535</v>
      </c>
      <c r="H88" s="17">
        <f t="shared" si="21"/>
        <v>4.6112269322187149</v>
      </c>
      <c r="I88" s="17">
        <f t="shared" si="28"/>
        <v>2.5881700347351932</v>
      </c>
      <c r="J88" s="8">
        <v>7.217777341285511E-3</v>
      </c>
      <c r="K88" s="17">
        <f t="shared" si="29"/>
        <v>9.0135767931659672</v>
      </c>
      <c r="L88" s="17">
        <f t="shared" si="22"/>
        <v>8.5667395390452974</v>
      </c>
      <c r="M88" s="17">
        <f t="shared" si="30"/>
        <v>7.2595596766766413</v>
      </c>
      <c r="N88" s="9">
        <v>7.4886113685054823E-3</v>
      </c>
      <c r="O88" s="17">
        <f t="shared" si="31"/>
        <v>9.3658536111693724</v>
      </c>
      <c r="P88" s="17">
        <f t="shared" si="23"/>
        <v>8.6835604384319467</v>
      </c>
      <c r="Q88" s="17">
        <f t="shared" si="32"/>
        <v>6.815846957205185</v>
      </c>
      <c r="R88" s="8">
        <v>7.3289069539373064E-3</v>
      </c>
      <c r="S88" s="17">
        <v>9.1579982809486324</v>
      </c>
      <c r="T88" s="17">
        <f t="shared" si="25"/>
        <v>8.4152469046919087</v>
      </c>
      <c r="U88" s="17">
        <f t="shared" si="26"/>
        <v>6.5067115378576235</v>
      </c>
      <c r="V88" s="9">
        <v>7.8247589136745399E-3</v>
      </c>
      <c r="W88" s="17">
        <v>9.8045357043498029</v>
      </c>
      <c r="X88" s="17">
        <f t="shared" si="24"/>
        <v>8.5780248672505888</v>
      </c>
      <c r="Y88" s="17">
        <f t="shared" si="33"/>
        <v>5.5672267849866897</v>
      </c>
    </row>
    <row r="89" spans="1:25" x14ac:dyDescent="0.25">
      <c r="A89" s="7">
        <v>27120</v>
      </c>
      <c r="B89" s="28">
        <v>3.651762391012451E-3</v>
      </c>
      <c r="C89" s="17">
        <f t="shared" si="18"/>
        <v>4.4712085031950233</v>
      </c>
      <c r="D89" s="17">
        <f t="shared" si="20"/>
        <v>16.348577061317403</v>
      </c>
      <c r="E89" s="17">
        <f t="shared" si="27"/>
        <v>13.924217587359999</v>
      </c>
      <c r="F89" s="29">
        <v>8.9821817945741692E-3</v>
      </c>
      <c r="G89" s="17">
        <f t="shared" si="19"/>
        <v>11.327373263127537</v>
      </c>
      <c r="H89" s="17">
        <f t="shared" si="21"/>
        <v>7.7455899043041176</v>
      </c>
      <c r="I89" s="17">
        <f t="shared" si="28"/>
        <v>2.9174372647222446</v>
      </c>
      <c r="J89" s="8">
        <v>6.7647943217723494E-3</v>
      </c>
      <c r="K89" s="17">
        <f t="shared" si="29"/>
        <v>8.4267007158310037</v>
      </c>
      <c r="L89" s="17">
        <f t="shared" si="22"/>
        <v>8.6564506683743723</v>
      </c>
      <c r="M89" s="17">
        <f t="shared" si="30"/>
        <v>7.6010362675772436</v>
      </c>
      <c r="N89" s="9">
        <v>6.0282976400574066E-3</v>
      </c>
      <c r="O89" s="17">
        <f t="shared" si="31"/>
        <v>7.4786891847438808</v>
      </c>
      <c r="P89" s="17">
        <f t="shared" si="23"/>
        <v>8.4195494674504943</v>
      </c>
      <c r="Q89" s="17">
        <f t="shared" si="32"/>
        <v>7.104275941763194</v>
      </c>
      <c r="R89" s="8">
        <v>7.9876929385296249E-3</v>
      </c>
      <c r="S89" s="17">
        <v>10.017749101833973</v>
      </c>
      <c r="T89" s="17">
        <f t="shared" si="25"/>
        <v>9.1756057108389975</v>
      </c>
      <c r="U89" s="17">
        <f t="shared" si="26"/>
        <v>6.9124088125674943</v>
      </c>
      <c r="V89" s="9">
        <v>7.027656512238566E-3</v>
      </c>
      <c r="W89" s="17">
        <v>8.7669062273864498</v>
      </c>
      <c r="X89" s="17">
        <f t="shared" si="24"/>
        <v>8.8976485786602222</v>
      </c>
      <c r="Y89" s="17">
        <f t="shared" si="33"/>
        <v>5.8983289618576684</v>
      </c>
    </row>
    <row r="90" spans="1:25" x14ac:dyDescent="0.25">
      <c r="A90" s="7">
        <v>27150</v>
      </c>
      <c r="B90" s="28">
        <v>1.089450212640215E-2</v>
      </c>
      <c r="C90" s="17">
        <f t="shared" si="18"/>
        <v>13.88591490088098</v>
      </c>
      <c r="D90" s="17">
        <f t="shared" si="20"/>
        <v>11.954818412747947</v>
      </c>
      <c r="E90" s="17">
        <f t="shared" si="27"/>
        <v>14.265784971186179</v>
      </c>
      <c r="F90" s="29">
        <v>1.0826773987203013E-2</v>
      </c>
      <c r="G90" s="17">
        <f t="shared" si="19"/>
        <v>13.794386780625366</v>
      </c>
      <c r="H90" s="17">
        <f t="shared" si="21"/>
        <v>10.162114368116338</v>
      </c>
      <c r="I90" s="17">
        <f t="shared" si="28"/>
        <v>3.8286098558977688</v>
      </c>
      <c r="J90" s="8">
        <v>9.5799136987760308E-3</v>
      </c>
      <c r="K90" s="17">
        <f t="shared" si="29"/>
        <v>12.121375417985437</v>
      </c>
      <c r="L90" s="17">
        <f t="shared" si="22"/>
        <v>9.8419960549846799</v>
      </c>
      <c r="M90" s="17">
        <f t="shared" si="30"/>
        <v>8.1163824098597246</v>
      </c>
      <c r="N90" s="9">
        <v>9.8508708123297081E-3</v>
      </c>
      <c r="O90" s="17">
        <f t="shared" si="31"/>
        <v>12.483010613641611</v>
      </c>
      <c r="P90" s="17">
        <f t="shared" si="23"/>
        <v>9.7565245546824109</v>
      </c>
      <c r="Q90" s="17">
        <f t="shared" si="32"/>
        <v>7.7265550037530994</v>
      </c>
      <c r="R90" s="8">
        <v>1.1099688328396121E-2</v>
      </c>
      <c r="S90" s="17">
        <v>14.163616554892577</v>
      </c>
      <c r="T90" s="17">
        <f t="shared" si="25"/>
        <v>11.091802191789712</v>
      </c>
      <c r="U90" s="17">
        <f t="shared" si="26"/>
        <v>7.6025627297546805</v>
      </c>
      <c r="V90" s="9">
        <v>1.195502820393133E-2</v>
      </c>
      <c r="W90" s="17">
        <v>15.327944593274268</v>
      </c>
      <c r="X90" s="17">
        <f t="shared" si="24"/>
        <v>11.262941109089297</v>
      </c>
      <c r="Y90" s="17">
        <f t="shared" si="33"/>
        <v>6.8120014689730279</v>
      </c>
    </row>
    <row r="91" spans="1:25" x14ac:dyDescent="0.25">
      <c r="A91" s="7">
        <v>27181</v>
      </c>
      <c r="B91" s="28">
        <v>4.8377031492448739E-3</v>
      </c>
      <c r="C91" s="17">
        <f t="shared" si="18"/>
        <v>5.9622241642239837</v>
      </c>
      <c r="D91" s="17">
        <f t="shared" si="20"/>
        <v>8.0287206931408015</v>
      </c>
      <c r="E91" s="17">
        <f t="shared" si="27"/>
        <v>13.911765781549645</v>
      </c>
      <c r="F91" s="29">
        <v>1.4378877467295234E-2</v>
      </c>
      <c r="G91" s="17">
        <f t="shared" si="19"/>
        <v>18.686785383720085</v>
      </c>
      <c r="H91" s="17">
        <f t="shared" si="21"/>
        <v>14.562299716242123</v>
      </c>
      <c r="I91" s="17">
        <f t="shared" si="28"/>
        <v>5.1152152983876098</v>
      </c>
      <c r="J91" s="8">
        <v>1.0763827422446021E-2</v>
      </c>
      <c r="K91" s="17">
        <f t="shared" si="29"/>
        <v>13.709380964054851</v>
      </c>
      <c r="L91" s="17">
        <f t="shared" si="22"/>
        <v>11.397040140965963</v>
      </c>
      <c r="M91" s="17">
        <f t="shared" si="30"/>
        <v>8.9170810231268263</v>
      </c>
      <c r="N91" s="9">
        <v>1.1010232931930972E-2</v>
      </c>
      <c r="O91" s="17">
        <f t="shared" si="31"/>
        <v>14.042470238260819</v>
      </c>
      <c r="P91" s="17">
        <f t="shared" si="23"/>
        <v>11.29918125676177</v>
      </c>
      <c r="Q91" s="17">
        <f t="shared" si="32"/>
        <v>8.6136938965347696</v>
      </c>
      <c r="R91" s="8">
        <v>1.1664561430547168E-2</v>
      </c>
      <c r="S91" s="17">
        <v>14.93133287419921</v>
      </c>
      <c r="T91" s="17">
        <f t="shared" si="25"/>
        <v>13.016791128782224</v>
      </c>
      <c r="U91" s="17">
        <f t="shared" si="26"/>
        <v>8.4453774865524309</v>
      </c>
      <c r="V91" s="9">
        <v>1.2317605282406625E-2</v>
      </c>
      <c r="W91" s="17">
        <v>15.824778168042887</v>
      </c>
      <c r="X91" s="17">
        <f t="shared" si="24"/>
        <v>13.260272336897483</v>
      </c>
      <c r="Y91" s="17">
        <f t="shared" si="33"/>
        <v>7.8121886157453746</v>
      </c>
    </row>
    <row r="92" spans="1:25" x14ac:dyDescent="0.25">
      <c r="A92" s="7">
        <v>27211</v>
      </c>
      <c r="B92" s="28">
        <v>2.6625169789555761E-3</v>
      </c>
      <c r="C92" s="17">
        <f t="shared" si="18"/>
        <v>3.2422254915483784</v>
      </c>
      <c r="D92" s="17">
        <f t="shared" si="20"/>
        <v>7.6034376430771156</v>
      </c>
      <c r="E92" s="17">
        <f t="shared" si="27"/>
        <v>14.148099621553056</v>
      </c>
      <c r="F92" s="29">
        <v>1.1174647847631669E-2</v>
      </c>
      <c r="G92" s="17">
        <f t="shared" si="19"/>
        <v>14.26522244202495</v>
      </c>
      <c r="H92" s="17">
        <f t="shared" si="21"/>
        <v>15.561301784845472</v>
      </c>
      <c r="I92" s="17">
        <f t="shared" si="28"/>
        <v>6.2705225608876036</v>
      </c>
      <c r="J92" s="8">
        <v>1.0854228010635776E-2</v>
      </c>
      <c r="K92" s="17">
        <f t="shared" si="29"/>
        <v>13.831480144949593</v>
      </c>
      <c r="L92" s="17">
        <f t="shared" si="22"/>
        <v>13.218057228417113</v>
      </c>
      <c r="M92" s="17">
        <f t="shared" si="30"/>
        <v>9.8071198224523481</v>
      </c>
      <c r="N92" s="9">
        <v>1.0747440337011948E-2</v>
      </c>
      <c r="O92" s="17">
        <f t="shared" si="31"/>
        <v>13.687260672716528</v>
      </c>
      <c r="P92" s="17">
        <f t="shared" si="23"/>
        <v>13.402279200409218</v>
      </c>
      <c r="Q92" s="17">
        <f t="shared" si="32"/>
        <v>9.5233535703833851</v>
      </c>
      <c r="R92" s="8">
        <v>1.0547563463410263E-2</v>
      </c>
      <c r="S92" s="17">
        <v>13.417771918326316</v>
      </c>
      <c r="T92" s="17">
        <f t="shared" si="25"/>
        <v>14.169234978283773</v>
      </c>
      <c r="U92" s="17">
        <f t="shared" si="26"/>
        <v>9.2884707512461251</v>
      </c>
      <c r="V92" s="9">
        <v>1.0286322744257862E-2</v>
      </c>
      <c r="W92" s="17">
        <v>13.066430726468781</v>
      </c>
      <c r="X92" s="17">
        <f t="shared" si="24"/>
        <v>14.733410639518363</v>
      </c>
      <c r="Y92" s="17">
        <f t="shared" si="33"/>
        <v>8.6768148699971412</v>
      </c>
    </row>
    <row r="93" spans="1:25" x14ac:dyDescent="0.25">
      <c r="A93" s="7">
        <v>27242</v>
      </c>
      <c r="B93" s="28">
        <v>1.4383154774937477E-2</v>
      </c>
      <c r="C93" s="17">
        <f t="shared" si="18"/>
        <v>18.692791088441773</v>
      </c>
      <c r="D93" s="17">
        <f t="shared" si="20"/>
        <v>9.0965261276016349</v>
      </c>
      <c r="E93" s="17">
        <f t="shared" si="27"/>
        <v>11.879550180718713</v>
      </c>
      <c r="F93" s="29">
        <v>1.7498968113286946E-2</v>
      </c>
      <c r="G93" s="17">
        <f t="shared" si="19"/>
        <v>23.142432881667997</v>
      </c>
      <c r="H93" s="17">
        <f t="shared" si="21"/>
        <v>18.642800305013019</v>
      </c>
      <c r="I93" s="17">
        <f t="shared" si="28"/>
        <v>8.0084409218983623</v>
      </c>
      <c r="J93" s="8">
        <v>1.1128464549642628E-2</v>
      </c>
      <c r="K93" s="17">
        <f t="shared" si="29"/>
        <v>14.202612256061432</v>
      </c>
      <c r="L93" s="17">
        <f t="shared" si="22"/>
        <v>13.914298156947691</v>
      </c>
      <c r="M93" s="17">
        <f t="shared" si="30"/>
        <v>10.393452980216257</v>
      </c>
      <c r="N93" s="9">
        <v>1.1006837883683352E-2</v>
      </c>
      <c r="O93" s="17">
        <f t="shared" si="31"/>
        <v>14.037874765037417</v>
      </c>
      <c r="P93" s="17">
        <f t="shared" si="23"/>
        <v>13.922413653023513</v>
      </c>
      <c r="Q93" s="17">
        <f t="shared" si="32"/>
        <v>10.098879346265765</v>
      </c>
      <c r="R93" s="8">
        <v>1.1052323211018988E-2</v>
      </c>
      <c r="S93" s="17">
        <v>14.099456945181288</v>
      </c>
      <c r="T93" s="17">
        <f t="shared" si="25"/>
        <v>14.147843381362613</v>
      </c>
      <c r="U93" s="17">
        <f t="shared" si="26"/>
        <v>10.125148002465023</v>
      </c>
      <c r="V93" s="9">
        <v>1.0823921478273855E-2</v>
      </c>
      <c r="W93" s="17">
        <v>13.790533367066327</v>
      </c>
      <c r="X93" s="17">
        <f t="shared" si="24"/>
        <v>14.221299698500278</v>
      </c>
      <c r="Y93" s="17">
        <f t="shared" si="33"/>
        <v>9.5550174108719244</v>
      </c>
    </row>
    <row r="94" spans="1:25" x14ac:dyDescent="0.25">
      <c r="A94" s="7">
        <v>27273</v>
      </c>
      <c r="B94" s="28">
        <v>1.3949943453121772E-2</v>
      </c>
      <c r="C94" s="17">
        <f t="shared" si="18"/>
        <v>18.085938082132436</v>
      </c>
      <c r="D94" s="17">
        <f t="shared" si="20"/>
        <v>13.1079925895482</v>
      </c>
      <c r="E94" s="17">
        <f t="shared" si="27"/>
        <v>13.789405315432003</v>
      </c>
      <c r="F94" s="29">
        <v>7.5173608096906278E-3</v>
      </c>
      <c r="G94" s="17">
        <f t="shared" si="19"/>
        <v>9.4033095267223032</v>
      </c>
      <c r="H94" s="17">
        <f t="shared" si="21"/>
        <v>15.46510450232268</v>
      </c>
      <c r="I94" s="17">
        <f t="shared" si="28"/>
        <v>8.7199552721366267</v>
      </c>
      <c r="J94" s="8">
        <v>1.1159243848098585E-2</v>
      </c>
      <c r="K94" s="17">
        <f t="shared" si="29"/>
        <v>14.244335914029161</v>
      </c>
      <c r="L94" s="17">
        <f t="shared" si="22"/>
        <v>14.092658411758041</v>
      </c>
      <c r="M94" s="17">
        <f t="shared" si="30"/>
        <v>10.725700401440651</v>
      </c>
      <c r="N94" s="9">
        <v>1.1687367946299407E-2</v>
      </c>
      <c r="O94" s="17">
        <f t="shared" si="31"/>
        <v>14.962428259495987</v>
      </c>
      <c r="P94" s="17">
        <f t="shared" si="23"/>
        <v>14.227923473520265</v>
      </c>
      <c r="Q94" s="17">
        <f t="shared" si="32"/>
        <v>10.588947796588588</v>
      </c>
      <c r="R94" s="8">
        <v>9.8954036349626941E-3</v>
      </c>
      <c r="S94" s="17">
        <v>12.542548922340725</v>
      </c>
      <c r="T94" s="17">
        <f t="shared" si="25"/>
        <v>13.351467030021723</v>
      </c>
      <c r="U94" s="17">
        <f t="shared" si="26"/>
        <v>10.582330407172869</v>
      </c>
      <c r="V94" s="9">
        <v>1.0482138683052762E-2</v>
      </c>
      <c r="W94" s="17">
        <v>13.329688687980855</v>
      </c>
      <c r="X94" s="17">
        <f t="shared" si="24"/>
        <v>13.395156262960128</v>
      </c>
      <c r="Y94" s="17">
        <f t="shared" si="33"/>
        <v>10.311763796535644</v>
      </c>
    </row>
    <row r="95" spans="1:25" x14ac:dyDescent="0.25">
      <c r="A95" s="7">
        <v>27303</v>
      </c>
      <c r="B95" s="28">
        <v>8.8444378737874921E-3</v>
      </c>
      <c r="C95" s="17">
        <f t="shared" si="18"/>
        <v>11.145132263392664</v>
      </c>
      <c r="D95" s="17">
        <f t="shared" si="20"/>
        <v>15.923368178426944</v>
      </c>
      <c r="E95" s="17">
        <f t="shared" si="27"/>
        <v>14.109711965351469</v>
      </c>
      <c r="F95" s="29">
        <v>9.7905041801952409E-3</v>
      </c>
      <c r="G95" s="17">
        <f t="shared" si="19"/>
        <v>12.402349335536854</v>
      </c>
      <c r="H95" s="17">
        <f t="shared" si="21"/>
        <v>14.834185052175686</v>
      </c>
      <c r="I95" s="17">
        <f t="shared" si="28"/>
        <v>9.8192877463944228</v>
      </c>
      <c r="J95" s="8">
        <v>9.894367454775635E-3</v>
      </c>
      <c r="K95" s="17">
        <f t="shared" si="29"/>
        <v>12.541163269518707</v>
      </c>
      <c r="L95" s="17">
        <f t="shared" si="22"/>
        <v>13.659926746163652</v>
      </c>
      <c r="M95" s="17">
        <f t="shared" si="30"/>
        <v>10.644993977661965</v>
      </c>
      <c r="N95" s="9">
        <v>9.9910895170575546E-3</v>
      </c>
      <c r="O95" s="17">
        <f t="shared" si="31"/>
        <v>12.670574219495379</v>
      </c>
      <c r="P95" s="17">
        <f t="shared" si="23"/>
        <v>13.88639619659684</v>
      </c>
      <c r="Q95" s="17">
        <f t="shared" si="32"/>
        <v>10.559575291517099</v>
      </c>
      <c r="R95" s="8">
        <v>9.2644490429480732E-3</v>
      </c>
      <c r="S95" s="17">
        <v>11.701680769840038</v>
      </c>
      <c r="T95" s="17">
        <f t="shared" si="25"/>
        <v>12.776863187447907</v>
      </c>
      <c r="U95" s="17">
        <f t="shared" si="26"/>
        <v>10.684271131960021</v>
      </c>
      <c r="V95" s="9">
        <v>9.2712821522090913E-3</v>
      </c>
      <c r="W95" s="17">
        <v>11.710756268885048</v>
      </c>
      <c r="X95" s="17">
        <f t="shared" si="24"/>
        <v>12.940127479073116</v>
      </c>
      <c r="Y95" s="17">
        <f t="shared" si="33"/>
        <v>10.547052193127037</v>
      </c>
    </row>
    <row r="96" spans="1:25" x14ac:dyDescent="0.25">
      <c r="A96" s="7">
        <v>27334</v>
      </c>
      <c r="B96" s="28">
        <v>1.0115505836954274E-2</v>
      </c>
      <c r="C96" s="17">
        <f t="shared" si="18"/>
        <v>12.837239764662666</v>
      </c>
      <c r="D96" s="17">
        <f t="shared" si="20"/>
        <v>13.984822766431071</v>
      </c>
      <c r="E96" s="17">
        <f t="shared" si="27"/>
        <v>13.84757142469779</v>
      </c>
      <c r="F96" s="29">
        <v>8.8343343081074052E-3</v>
      </c>
      <c r="G96" s="17">
        <f t="shared" si="19"/>
        <v>11.131775592156568</v>
      </c>
      <c r="H96" s="17">
        <f t="shared" si="21"/>
        <v>10.972328955315991</v>
      </c>
      <c r="I96" s="17">
        <f t="shared" si="28"/>
        <v>10.63719900833302</v>
      </c>
      <c r="J96" s="8">
        <v>7.8366857754478443E-3</v>
      </c>
      <c r="K96" s="17">
        <f t="shared" si="29"/>
        <v>9.8201301864565771</v>
      </c>
      <c r="L96" s="17">
        <f t="shared" si="22"/>
        <v>12.187036816383801</v>
      </c>
      <c r="M96" s="17">
        <f t="shared" si="30"/>
        <v>10.976182813965774</v>
      </c>
      <c r="N96" s="9">
        <v>7.8399255410273334E-3</v>
      </c>
      <c r="O96" s="17">
        <f t="shared" si="31"/>
        <v>9.8243665605425292</v>
      </c>
      <c r="P96" s="17">
        <f t="shared" si="23"/>
        <v>12.466120478395148</v>
      </c>
      <c r="Q96" s="17">
        <f t="shared" si="32"/>
        <v>10.983571244729507</v>
      </c>
      <c r="R96" s="8">
        <v>8.594671762814067E-3</v>
      </c>
      <c r="S96" s="17">
        <v>10.815378530736153</v>
      </c>
      <c r="T96" s="17">
        <f t="shared" si="25"/>
        <v>11.684309403625392</v>
      </c>
      <c r="U96" s="17">
        <f t="shared" si="26"/>
        <v>11.097713369492812</v>
      </c>
      <c r="V96" s="9">
        <v>8.7923603684456359E-3</v>
      </c>
      <c r="W96" s="17">
        <v>11.076302803416404</v>
      </c>
      <c r="X96" s="17">
        <f t="shared" si="24"/>
        <v>12.034909537146943</v>
      </c>
      <c r="Y96" s="17">
        <f t="shared" si="33"/>
        <v>11.141277465888955</v>
      </c>
    </row>
    <row r="97" spans="1:25" x14ac:dyDescent="0.25">
      <c r="A97" s="7">
        <v>27364</v>
      </c>
      <c r="B97" s="28">
        <v>7.2701530589119887E-3</v>
      </c>
      <c r="C97" s="17">
        <f t="shared" si="18"/>
        <v>9.0816212344384528</v>
      </c>
      <c r="D97" s="17">
        <f t="shared" si="20"/>
        <v>11.01069670547734</v>
      </c>
      <c r="E97" s="17">
        <f t="shared" si="27"/>
        <v>13.39639835568185</v>
      </c>
      <c r="F97" s="29">
        <v>2.4238211081220522E-3</v>
      </c>
      <c r="G97" s="17">
        <f t="shared" si="19"/>
        <v>2.9476747167179074</v>
      </c>
      <c r="H97" s="17">
        <f t="shared" si="21"/>
        <v>8.7451911910441318</v>
      </c>
      <c r="I97" s="17">
        <f t="shared" si="28"/>
        <v>10.756751205077375</v>
      </c>
      <c r="J97" s="8">
        <v>1.0157384327545605E-2</v>
      </c>
      <c r="K97" s="17">
        <f t="shared" si="29"/>
        <v>12.893390146603402</v>
      </c>
      <c r="L97" s="17">
        <f t="shared" si="22"/>
        <v>11.743076207791381</v>
      </c>
      <c r="M97" s="17">
        <f t="shared" si="30"/>
        <v>11.432581671769015</v>
      </c>
      <c r="N97" s="9">
        <v>1.0262368360118056E-2</v>
      </c>
      <c r="O97" s="17">
        <f t="shared" si="31"/>
        <v>13.034264595174472</v>
      </c>
      <c r="P97" s="17">
        <f t="shared" si="23"/>
        <v>11.833807015132836</v>
      </c>
      <c r="Q97" s="17">
        <f t="shared" si="32"/>
        <v>11.493693952803952</v>
      </c>
      <c r="R97" s="8">
        <v>8.5437615436683451E-3</v>
      </c>
      <c r="S97" s="17">
        <v>10.748274437539962</v>
      </c>
      <c r="T97" s="17">
        <f t="shared" si="25"/>
        <v>11.087596429060431</v>
      </c>
      <c r="U97" s="17">
        <f t="shared" si="26"/>
        <v>11.450369515375014</v>
      </c>
      <c r="V97" s="9">
        <v>8.3176892403052424E-3</v>
      </c>
      <c r="W97" s="17">
        <v>10.450741212335135</v>
      </c>
      <c r="X97" s="17">
        <f t="shared" si="24"/>
        <v>11.078075690966816</v>
      </c>
      <c r="Y97" s="17">
        <f t="shared" si="33"/>
        <v>11.560537363987699</v>
      </c>
    </row>
    <row r="98" spans="1:25" x14ac:dyDescent="0.25">
      <c r="A98" s="7">
        <v>27395</v>
      </c>
      <c r="B98" s="28">
        <v>4.139957277331895E-3</v>
      </c>
      <c r="C98" s="17">
        <f t="shared" si="18"/>
        <v>5.082643422137556</v>
      </c>
      <c r="D98" s="17">
        <f t="shared" si="20"/>
        <v>8.9544591103297719</v>
      </c>
      <c r="E98" s="17">
        <f t="shared" si="27"/>
        <v>12.13748346361414</v>
      </c>
      <c r="F98" s="29">
        <v>2.0328472664664721E-3</v>
      </c>
      <c r="G98" s="17">
        <f t="shared" si="19"/>
        <v>2.4668766715782331</v>
      </c>
      <c r="H98" s="17">
        <f t="shared" si="21"/>
        <v>5.4417886655294678</v>
      </c>
      <c r="I98" s="17">
        <f t="shared" si="28"/>
        <v>10.808728493844043</v>
      </c>
      <c r="J98" s="8">
        <v>8.187776358148038E-3</v>
      </c>
      <c r="K98" s="17">
        <f t="shared" si="29"/>
        <v>10.280094870458601</v>
      </c>
      <c r="L98" s="17">
        <f t="shared" si="22"/>
        <v>10.989663167644114</v>
      </c>
      <c r="M98" s="17">
        <f t="shared" si="30"/>
        <v>11.613127977796612</v>
      </c>
      <c r="N98" s="9">
        <v>7.8056643782655928E-3</v>
      </c>
      <c r="O98" s="17">
        <f t="shared" si="31"/>
        <v>9.7795736488959442</v>
      </c>
      <c r="P98" s="17">
        <f t="shared" si="23"/>
        <v>10.868997350141708</v>
      </c>
      <c r="Q98" s="17">
        <f t="shared" si="32"/>
        <v>11.622780880020599</v>
      </c>
      <c r="R98" s="8">
        <v>7.9905062910836013E-3</v>
      </c>
      <c r="S98" s="17">
        <v>10.021433950000214</v>
      </c>
      <c r="T98" s="17">
        <f t="shared" si="25"/>
        <v>10.527776789640232</v>
      </c>
      <c r="U98" s="17">
        <f t="shared" si="26"/>
        <v>11.645580609093219</v>
      </c>
      <c r="V98" s="9">
        <v>7.2817778392257919E-3</v>
      </c>
      <c r="W98" s="17">
        <v>9.096728963441624</v>
      </c>
      <c r="X98" s="17">
        <f t="shared" si="24"/>
        <v>10.204820940722637</v>
      </c>
      <c r="Y98" s="17">
        <f t="shared" si="33"/>
        <v>11.67072050341611</v>
      </c>
    </row>
    <row r="99" spans="1:25" x14ac:dyDescent="0.25">
      <c r="A99" s="7">
        <v>27426</v>
      </c>
      <c r="B99" s="28">
        <v>2.4200615940064858E-3</v>
      </c>
      <c r="C99" s="17">
        <f t="shared" si="18"/>
        <v>2.9430416434239159</v>
      </c>
      <c r="D99" s="17">
        <f t="shared" si="20"/>
        <v>5.6719827968256586</v>
      </c>
      <c r="E99" s="17">
        <f t="shared" si="27"/>
        <v>10.132411585707391</v>
      </c>
      <c r="F99" s="29">
        <v>3.8804197020512097E-3</v>
      </c>
      <c r="G99" s="17">
        <f t="shared" si="19"/>
        <v>4.7571809330088755</v>
      </c>
      <c r="H99" s="17">
        <f t="shared" si="21"/>
        <v>3.3858924428797232</v>
      </c>
      <c r="I99" s="17">
        <f t="shared" si="28"/>
        <v>10.659169955874992</v>
      </c>
      <c r="J99" s="8">
        <v>7.9602891641599189E-3</v>
      </c>
      <c r="K99" s="17">
        <f t="shared" si="29"/>
        <v>9.9818623445529155</v>
      </c>
      <c r="L99" s="17">
        <f t="shared" si="22"/>
        <v>11.044121286179355</v>
      </c>
      <c r="M99" s="17">
        <f t="shared" si="30"/>
        <v>11.736799088586626</v>
      </c>
      <c r="N99" s="9">
        <v>8.2045921208933493E-3</v>
      </c>
      <c r="O99" s="17">
        <f t="shared" si="31"/>
        <v>10.302169496820701</v>
      </c>
      <c r="P99" s="17">
        <f t="shared" si="23"/>
        <v>11.029547316998967</v>
      </c>
      <c r="Q99" s="17">
        <f t="shared" si="32"/>
        <v>11.782791787605728</v>
      </c>
      <c r="R99" s="8">
        <v>7.672990216482615E-3</v>
      </c>
      <c r="S99" s="17">
        <v>9.6062739077958703</v>
      </c>
      <c r="T99" s="17">
        <f t="shared" si="25"/>
        <v>10.124316962707457</v>
      </c>
      <c r="U99" s="17">
        <f t="shared" si="26"/>
        <v>11.752250651922536</v>
      </c>
      <c r="V99" s="9">
        <v>8.0217480523827427E-3</v>
      </c>
      <c r="W99" s="17">
        <v>10.062361113797014</v>
      </c>
      <c r="X99" s="17">
        <f t="shared" si="24"/>
        <v>9.8684665662002402</v>
      </c>
      <c r="Y99" s="17">
        <f t="shared" si="33"/>
        <v>11.835843091563714</v>
      </c>
    </row>
    <row r="100" spans="1:25" x14ac:dyDescent="0.25">
      <c r="A100" s="7">
        <v>27454</v>
      </c>
      <c r="B100" s="28">
        <v>8.505671749689575E-4</v>
      </c>
      <c r="C100" s="17">
        <f t="shared" si="18"/>
        <v>1.0254690395465671</v>
      </c>
      <c r="D100" s="17">
        <f t="shared" si="20"/>
        <v>3.0037304313841773</v>
      </c>
      <c r="E100" s="17">
        <f t="shared" si="27"/>
        <v>8.7207844842267299</v>
      </c>
      <c r="F100" s="29">
        <v>5.1755804924127763E-3</v>
      </c>
      <c r="G100" s="17">
        <f t="shared" si="19"/>
        <v>6.3905741851857156</v>
      </c>
      <c r="H100" s="17">
        <f t="shared" si="21"/>
        <v>4.52579628186629</v>
      </c>
      <c r="I100" s="17">
        <f t="shared" si="28"/>
        <v>10.734131930296087</v>
      </c>
      <c r="J100" s="8">
        <v>5.3257775966178639E-3</v>
      </c>
      <c r="K100" s="17">
        <f t="shared" si="29"/>
        <v>6.5814983838970331</v>
      </c>
      <c r="L100" s="17">
        <f t="shared" si="22"/>
        <v>8.9348084252985913</v>
      </c>
      <c r="M100" s="17">
        <f t="shared" si="30"/>
        <v>11.526908040094973</v>
      </c>
      <c r="N100" s="9">
        <v>5.5875546989267487E-3</v>
      </c>
      <c r="O100" s="17">
        <f t="shared" si="31"/>
        <v>6.9150092383459594</v>
      </c>
      <c r="P100" s="17">
        <f t="shared" si="23"/>
        <v>8.9886878589591213</v>
      </c>
      <c r="Q100" s="17">
        <f t="shared" si="32"/>
        <v>11.571865907676116</v>
      </c>
      <c r="R100" s="8">
        <v>5.982012626302294E-3</v>
      </c>
      <c r="S100" s="17">
        <v>7.4193660740703438</v>
      </c>
      <c r="T100" s="17">
        <f t="shared" si="25"/>
        <v>9.0096888540565967</v>
      </c>
      <c r="U100" s="17">
        <f t="shared" si="26"/>
        <v>11.602827289340102</v>
      </c>
      <c r="V100" s="9">
        <v>6.5996624197439489E-3</v>
      </c>
      <c r="W100" s="17">
        <v>8.2134803409730672</v>
      </c>
      <c r="X100" s="17">
        <f t="shared" si="24"/>
        <v>9.1215785551032269</v>
      </c>
      <c r="Y100" s="17">
        <f t="shared" si="33"/>
        <v>11.699897136619143</v>
      </c>
    </row>
    <row r="101" spans="1:25" x14ac:dyDescent="0.25">
      <c r="A101" s="7">
        <v>27485</v>
      </c>
      <c r="B101" s="28">
        <v>-6.4538066438984455E-4</v>
      </c>
      <c r="C101" s="17">
        <f t="shared" si="18"/>
        <v>-0.77171369560915526</v>
      </c>
      <c r="D101" s="17">
        <f t="shared" si="20"/>
        <v>1.0542199890988924</v>
      </c>
      <c r="E101" s="17">
        <f t="shared" si="27"/>
        <v>8.2552955750942569</v>
      </c>
      <c r="F101" s="29">
        <v>-8.3288924901625907E-4</v>
      </c>
      <c r="G101" s="17">
        <f t="shared" si="19"/>
        <v>-0.99490133646151779</v>
      </c>
      <c r="H101" s="17">
        <f t="shared" si="21"/>
        <v>3.3351733043458287</v>
      </c>
      <c r="I101" s="17">
        <f t="shared" si="28"/>
        <v>9.6569440557658481</v>
      </c>
      <c r="J101" s="8">
        <v>6.5688602052667265E-3</v>
      </c>
      <c r="K101" s="17">
        <f t="shared" si="29"/>
        <v>8.173750696377823</v>
      </c>
      <c r="L101" s="17">
        <f t="shared" si="22"/>
        <v>8.2367956204815407</v>
      </c>
      <c r="M101" s="17">
        <f t="shared" si="30"/>
        <v>11.505202944409554</v>
      </c>
      <c r="N101" s="9">
        <v>7.1517930415445812E-3</v>
      </c>
      <c r="O101" s="17">
        <f t="shared" si="31"/>
        <v>8.9279080118145551</v>
      </c>
      <c r="P101" s="17">
        <f t="shared" si="23"/>
        <v>8.706112532801825</v>
      </c>
      <c r="Q101" s="17">
        <f t="shared" si="32"/>
        <v>11.696465263953337</v>
      </c>
      <c r="R101" s="8">
        <v>6.7456867422814168E-3</v>
      </c>
      <c r="S101" s="17">
        <v>8.4020090830063019</v>
      </c>
      <c r="T101" s="17">
        <f t="shared" si="25"/>
        <v>8.4721987560474332</v>
      </c>
      <c r="U101" s="17">
        <f t="shared" si="26"/>
        <v>11.465314297878781</v>
      </c>
      <c r="V101" s="9">
        <v>7.7952046578104554E-3</v>
      </c>
      <c r="W101" s="17">
        <v>9.7659019879952069</v>
      </c>
      <c r="X101" s="17">
        <f t="shared" si="24"/>
        <v>9.3442324206662875</v>
      </c>
      <c r="Y101" s="17">
        <f t="shared" si="33"/>
        <v>11.785033873781646</v>
      </c>
    </row>
    <row r="102" spans="1:25" x14ac:dyDescent="0.25">
      <c r="A102" s="7">
        <v>27515</v>
      </c>
      <c r="B102" s="28">
        <v>2.8630776744756137E-3</v>
      </c>
      <c r="C102" s="17">
        <f t="shared" si="18"/>
        <v>3.490314485373669</v>
      </c>
      <c r="D102" s="17">
        <f t="shared" si="20"/>
        <v>1.2329807020466932</v>
      </c>
      <c r="E102" s="17">
        <f t="shared" si="27"/>
        <v>7.3952214267993366</v>
      </c>
      <c r="F102" s="29">
        <v>-9.5626710515409605E-4</v>
      </c>
      <c r="G102" s="17">
        <f t="shared" si="19"/>
        <v>-1.1415043741495379</v>
      </c>
      <c r="H102" s="17">
        <f t="shared" si="21"/>
        <v>1.3580477395582768</v>
      </c>
      <c r="I102" s="17">
        <f t="shared" si="28"/>
        <v>8.3786911333835867</v>
      </c>
      <c r="J102" s="8">
        <v>2.7428616891933774E-3</v>
      </c>
      <c r="K102" s="17">
        <f t="shared" si="29"/>
        <v>3.3415445342667605</v>
      </c>
      <c r="L102" s="17">
        <f t="shared" si="22"/>
        <v>6.0131045026203367</v>
      </c>
      <c r="M102" s="17">
        <f t="shared" si="30"/>
        <v>10.750070179260796</v>
      </c>
      <c r="N102" s="9">
        <v>2.8860987372978323E-3</v>
      </c>
      <c r="O102" s="17">
        <f t="shared" si="31"/>
        <v>3.5188259490373186</v>
      </c>
      <c r="P102" s="17">
        <f t="shared" si="23"/>
        <v>6.4304078017900057</v>
      </c>
      <c r="Q102" s="17">
        <f t="shared" si="32"/>
        <v>10.926113477729293</v>
      </c>
      <c r="R102" s="8">
        <v>3.1290269929730606E-3</v>
      </c>
      <c r="S102" s="17">
        <v>3.8201304915564727</v>
      </c>
      <c r="T102" s="17">
        <f t="shared" si="25"/>
        <v>6.5288312417602024</v>
      </c>
      <c r="U102" s="17">
        <f t="shared" si="26"/>
        <v>10.586615311843438</v>
      </c>
      <c r="V102" s="9">
        <v>3.4726301495412149E-3</v>
      </c>
      <c r="W102" s="17">
        <v>4.2476751691588044</v>
      </c>
      <c r="X102" s="17">
        <f t="shared" si="24"/>
        <v>7.3837084361521921</v>
      </c>
      <c r="Y102" s="17">
        <f t="shared" si="33"/>
        <v>10.848030620263716</v>
      </c>
    </row>
    <row r="103" spans="1:25" x14ac:dyDescent="0.25">
      <c r="A103" s="7">
        <v>27546</v>
      </c>
      <c r="B103" s="28">
        <v>8.9381413288667742E-3</v>
      </c>
      <c r="C103" s="17">
        <f t="shared" si="18"/>
        <v>11.26907610861525</v>
      </c>
      <c r="D103" s="17">
        <f t="shared" si="20"/>
        <v>4.5449902819693966</v>
      </c>
      <c r="E103" s="17">
        <f t="shared" si="27"/>
        <v>7.8334687824343163</v>
      </c>
      <c r="F103" s="29">
        <v>2.5802637772264093E-3</v>
      </c>
      <c r="G103" s="17">
        <f t="shared" si="19"/>
        <v>3.1406378926990497</v>
      </c>
      <c r="H103" s="17">
        <f t="shared" si="21"/>
        <v>0.31528786899668315</v>
      </c>
      <c r="I103" s="17">
        <f t="shared" si="28"/>
        <v>7.1180987281958652</v>
      </c>
      <c r="J103" s="8">
        <v>6.078191383829438E-3</v>
      </c>
      <c r="K103" s="17">
        <f t="shared" si="29"/>
        <v>7.5426712079919023</v>
      </c>
      <c r="L103" s="17">
        <f t="shared" si="22"/>
        <v>6.3308336059596959</v>
      </c>
      <c r="M103" s="17">
        <f t="shared" si="30"/>
        <v>10.236661897293908</v>
      </c>
      <c r="N103" s="9">
        <v>6.5197451071198542E-3</v>
      </c>
      <c r="O103" s="17">
        <f t="shared" si="31"/>
        <v>8.1104281878064519</v>
      </c>
      <c r="P103" s="17">
        <f t="shared" si="23"/>
        <v>6.8256054071604177</v>
      </c>
      <c r="Q103" s="17">
        <f t="shared" si="32"/>
        <v>10.433425722650092</v>
      </c>
      <c r="R103" s="8">
        <v>4.8061023373918224E-3</v>
      </c>
      <c r="S103" s="17">
        <v>5.9222426247746318</v>
      </c>
      <c r="T103" s="17">
        <f t="shared" si="25"/>
        <v>6.0316101158925273</v>
      </c>
      <c r="U103" s="17">
        <f t="shared" si="26"/>
        <v>9.8369065582874846</v>
      </c>
      <c r="V103" s="9">
        <v>5.2479735217992873E-3</v>
      </c>
      <c r="W103" s="17">
        <v>6.4825579659859134</v>
      </c>
      <c r="X103" s="17">
        <f t="shared" si="24"/>
        <v>6.8080783504360198</v>
      </c>
      <c r="Y103" s="17">
        <f t="shared" si="33"/>
        <v>10.07391116033871</v>
      </c>
    </row>
    <row r="104" spans="1:25" x14ac:dyDescent="0.25">
      <c r="A104" s="7">
        <v>27576</v>
      </c>
      <c r="B104" s="28">
        <v>1.5914036268698212E-2</v>
      </c>
      <c r="C104" s="17">
        <f t="shared" si="18"/>
        <v>20.860261337505403</v>
      </c>
      <c r="D104" s="17">
        <f t="shared" si="20"/>
        <v>11.648417701821989</v>
      </c>
      <c r="E104" s="17">
        <f t="shared" si="27"/>
        <v>9.2586315540074793</v>
      </c>
      <c r="F104" s="29">
        <v>6.627861325641078E-3</v>
      </c>
      <c r="G104" s="17">
        <f t="shared" si="19"/>
        <v>8.2498638853757846</v>
      </c>
      <c r="H104" s="17">
        <f t="shared" si="21"/>
        <v>3.3452189661023146</v>
      </c>
      <c r="I104" s="17">
        <f t="shared" si="28"/>
        <v>6.6364379897711823</v>
      </c>
      <c r="J104" s="8">
        <v>4.6203487736337237E-3</v>
      </c>
      <c r="K104" s="17">
        <f t="shared" si="29"/>
        <v>5.6875055008104081</v>
      </c>
      <c r="L104" s="17">
        <f t="shared" si="22"/>
        <v>5.5098822653446566</v>
      </c>
      <c r="M104" s="17">
        <f t="shared" si="30"/>
        <v>9.5568388142857952</v>
      </c>
      <c r="N104" s="9">
        <v>4.6648850882449163E-3</v>
      </c>
      <c r="O104" s="17">
        <f t="shared" si="31"/>
        <v>5.7437426235795952</v>
      </c>
      <c r="P104" s="17">
        <f t="shared" si="23"/>
        <v>5.7743911716437557</v>
      </c>
      <c r="Q104" s="17">
        <f t="shared" si="32"/>
        <v>9.768850788832161</v>
      </c>
      <c r="R104" s="8">
        <v>4.9178776341429337E-3</v>
      </c>
      <c r="S104" s="17">
        <v>6.0637234908762938</v>
      </c>
      <c r="T104" s="17">
        <f t="shared" si="25"/>
        <v>5.2636768240108767</v>
      </c>
      <c r="U104" s="17">
        <f t="shared" si="26"/>
        <v>9.2250132652469183</v>
      </c>
      <c r="V104" s="9">
        <v>5.0689704250519406E-3</v>
      </c>
      <c r="W104" s="17">
        <v>6.2552462787733853</v>
      </c>
      <c r="X104" s="17">
        <f t="shared" si="24"/>
        <v>5.6570332772956311</v>
      </c>
      <c r="Y104" s="17">
        <f t="shared" si="33"/>
        <v>9.5054640154575321</v>
      </c>
    </row>
    <row r="105" spans="1:25" x14ac:dyDescent="0.25">
      <c r="A105" s="7">
        <v>27607</v>
      </c>
      <c r="B105" s="28">
        <v>1.7690244125011011E-3</v>
      </c>
      <c r="C105" s="17">
        <f t="shared" si="18"/>
        <v>2.1436059273205021</v>
      </c>
      <c r="D105" s="17">
        <f t="shared" si="20"/>
        <v>11.162012013434142</v>
      </c>
      <c r="E105" s="17">
        <f t="shared" si="27"/>
        <v>7.8999707608385927</v>
      </c>
      <c r="F105" s="29">
        <v>3.3747230284363488E-3</v>
      </c>
      <c r="G105" s="17">
        <f t="shared" si="19"/>
        <v>4.1256854213877814</v>
      </c>
      <c r="H105" s="17">
        <f t="shared" si="21"/>
        <v>5.1489681155297395</v>
      </c>
      <c r="I105" s="17">
        <f t="shared" si="28"/>
        <v>5.1561817611719185</v>
      </c>
      <c r="J105" s="8">
        <v>3.74370200225031E-3</v>
      </c>
      <c r="K105" s="17">
        <f t="shared" si="29"/>
        <v>4.5861075160521958</v>
      </c>
      <c r="L105" s="17">
        <f t="shared" si="22"/>
        <v>5.9317521190918043</v>
      </c>
      <c r="M105" s="17">
        <f t="shared" si="30"/>
        <v>8.756691979880582</v>
      </c>
      <c r="N105" s="9">
        <v>3.2087158136729172E-3</v>
      </c>
      <c r="O105" s="17">
        <f t="shared" si="31"/>
        <v>3.9191437105741134</v>
      </c>
      <c r="P105" s="17">
        <f t="shared" si="23"/>
        <v>5.9105625461061351</v>
      </c>
      <c r="Q105" s="17">
        <f t="shared" si="32"/>
        <v>8.9221790692541667</v>
      </c>
      <c r="R105" s="8">
        <v>4.7270254561154815E-3</v>
      </c>
      <c r="S105" s="17">
        <v>5.8222546643542872</v>
      </c>
      <c r="T105" s="17">
        <f t="shared" si="25"/>
        <v>5.936027281191758</v>
      </c>
      <c r="U105" s="17">
        <f t="shared" si="26"/>
        <v>8.5416849000127915</v>
      </c>
      <c r="V105" s="9">
        <v>4.0504770491829219E-3</v>
      </c>
      <c r="W105" s="17">
        <v>4.9703298534317986</v>
      </c>
      <c r="X105" s="17">
        <f t="shared" si="24"/>
        <v>5.900612798347038</v>
      </c>
      <c r="Y105" s="17">
        <f t="shared" si="33"/>
        <v>8.7716772901633924</v>
      </c>
    </row>
    <row r="106" spans="1:25" x14ac:dyDescent="0.25">
      <c r="A106" s="7">
        <v>27638</v>
      </c>
      <c r="B106" s="28">
        <v>6.5714095756861579E-3</v>
      </c>
      <c r="C106" s="17">
        <f t="shared" si="18"/>
        <v>8.1770384452365406</v>
      </c>
      <c r="D106" s="17">
        <f t="shared" si="20"/>
        <v>10.122636549737262</v>
      </c>
      <c r="E106" s="17">
        <f t="shared" si="27"/>
        <v>7.1147805305183498</v>
      </c>
      <c r="F106" s="29">
        <v>2.9370986713645269E-3</v>
      </c>
      <c r="G106" s="17">
        <f t="shared" si="19"/>
        <v>3.5820147419991288</v>
      </c>
      <c r="H106" s="17">
        <f t="shared" si="21"/>
        <v>5.2987450797765678</v>
      </c>
      <c r="I106" s="17">
        <f t="shared" si="28"/>
        <v>4.6781325516332073</v>
      </c>
      <c r="J106" s="8">
        <v>7.714064234016973E-3</v>
      </c>
      <c r="K106" s="17">
        <f t="shared" si="29"/>
        <v>9.6598982023435642</v>
      </c>
      <c r="L106" s="17">
        <f t="shared" si="22"/>
        <v>6.622410125133471</v>
      </c>
      <c r="M106" s="17">
        <f t="shared" si="30"/>
        <v>8.3861407137139068</v>
      </c>
      <c r="N106" s="9">
        <v>7.9824478962033842E-3</v>
      </c>
      <c r="O106" s="17">
        <f t="shared" si="31"/>
        <v>10.010879598481015</v>
      </c>
      <c r="P106" s="17">
        <f t="shared" si="23"/>
        <v>6.5275546915126714</v>
      </c>
      <c r="Q106" s="17">
        <f t="shared" si="32"/>
        <v>8.523293032006297</v>
      </c>
      <c r="R106" s="8">
        <v>8.6329336883893774E-3</v>
      </c>
      <c r="S106" s="17">
        <v>10.865835603294215</v>
      </c>
      <c r="T106" s="17">
        <f t="shared" si="25"/>
        <v>7.5591112045740427</v>
      </c>
      <c r="U106" s="17">
        <f t="shared" si="26"/>
        <v>8.4059969716952168</v>
      </c>
      <c r="V106" s="9">
        <v>9.3251588607511267E-3</v>
      </c>
      <c r="W106" s="17">
        <v>11.782337125367803</v>
      </c>
      <c r="X106" s="17">
        <f t="shared" si="24"/>
        <v>7.6291829042585135</v>
      </c>
      <c r="Y106" s="17">
        <f t="shared" si="33"/>
        <v>8.6471361121999593</v>
      </c>
    </row>
    <row r="107" spans="1:25" x14ac:dyDescent="0.25">
      <c r="A107" s="7">
        <v>27668</v>
      </c>
      <c r="B107" s="28">
        <v>7.0062643879314108E-3</v>
      </c>
      <c r="C107" s="17">
        <f t="shared" si="18"/>
        <v>8.7391832547169646</v>
      </c>
      <c r="D107" s="17">
        <f t="shared" si="20"/>
        <v>6.3108147649769242</v>
      </c>
      <c r="E107" s="17">
        <f t="shared" si="27"/>
        <v>6.9196111445132269</v>
      </c>
      <c r="F107" s="29">
        <v>3.5202388653816142E-3</v>
      </c>
      <c r="G107" s="17">
        <f t="shared" si="19"/>
        <v>4.3070417297939034</v>
      </c>
      <c r="H107" s="17">
        <f t="shared" si="21"/>
        <v>4.0044572413105106</v>
      </c>
      <c r="I107" s="17">
        <f t="shared" si="28"/>
        <v>4.0281366752203951</v>
      </c>
      <c r="J107" s="8">
        <v>6.2943098036833678E-3</v>
      </c>
      <c r="K107" s="17">
        <f t="shared" si="29"/>
        <v>7.8202174072177222</v>
      </c>
      <c r="L107" s="17">
        <f t="shared" si="22"/>
        <v>7.3348318935818391</v>
      </c>
      <c r="M107" s="17">
        <f t="shared" si="30"/>
        <v>7.9997672793000074</v>
      </c>
      <c r="N107" s="9">
        <v>6.1604570331760212E-3</v>
      </c>
      <c r="O107" s="17">
        <f t="shared" si="31"/>
        <v>7.6482420983244204</v>
      </c>
      <c r="P107" s="17">
        <f t="shared" si="23"/>
        <v>7.1632919571849918</v>
      </c>
      <c r="Q107" s="17">
        <f t="shared" si="32"/>
        <v>8.1116925180404031</v>
      </c>
      <c r="R107" s="8">
        <v>6.4147365565359344E-3</v>
      </c>
      <c r="S107" s="17">
        <v>7.9751580249260323</v>
      </c>
      <c r="T107" s="17">
        <f t="shared" si="25"/>
        <v>8.2013961132636695</v>
      </c>
      <c r="U107" s="17">
        <f t="shared" si="26"/>
        <v>8.0999068052723935</v>
      </c>
      <c r="V107" s="9">
        <v>6.2146170531301214E-3</v>
      </c>
      <c r="W107" s="17">
        <v>7.7177970956666231</v>
      </c>
      <c r="X107" s="17">
        <f t="shared" si="24"/>
        <v>8.1207551312181501</v>
      </c>
      <c r="Y107" s="17">
        <f t="shared" si="33"/>
        <v>8.3180888927438801</v>
      </c>
    </row>
    <row r="108" spans="1:25" x14ac:dyDescent="0.25">
      <c r="A108" s="7">
        <v>27699</v>
      </c>
      <c r="B108" s="28">
        <v>5.4773583154672338E-3</v>
      </c>
      <c r="C108" s="17">
        <f t="shared" si="18"/>
        <v>6.7744997547279695</v>
      </c>
      <c r="D108" s="17">
        <f t="shared" si="20"/>
        <v>7.8937364239747954</v>
      </c>
      <c r="E108" s="17">
        <f t="shared" si="27"/>
        <v>6.4286683497905672</v>
      </c>
      <c r="F108" s="29">
        <v>3.5666797549019219E-3</v>
      </c>
      <c r="G108" s="17">
        <f t="shared" si="19"/>
        <v>4.3649819060269435</v>
      </c>
      <c r="H108" s="17">
        <f t="shared" si="21"/>
        <v>4.0840689139050479</v>
      </c>
      <c r="I108" s="17">
        <f t="shared" si="28"/>
        <v>3.4849510706240094</v>
      </c>
      <c r="J108" s="8">
        <v>7.6171174567940614E-3</v>
      </c>
      <c r="K108" s="17">
        <f t="shared" si="29"/>
        <v>9.5333676634598916</v>
      </c>
      <c r="L108" s="17">
        <f t="shared" si="22"/>
        <v>9.0012539342806832</v>
      </c>
      <c r="M108" s="17">
        <f t="shared" si="30"/>
        <v>7.9762383408804594</v>
      </c>
      <c r="N108" s="9">
        <v>7.6828105267284256E-3</v>
      </c>
      <c r="O108" s="17">
        <f t="shared" si="31"/>
        <v>9.619092653409588</v>
      </c>
      <c r="P108" s="17">
        <f t="shared" si="23"/>
        <v>9.0878194503934306</v>
      </c>
      <c r="Q108" s="17">
        <f t="shared" si="32"/>
        <v>8.094838680753913</v>
      </c>
      <c r="R108" s="8">
        <v>7.3595530320883923E-3</v>
      </c>
      <c r="S108" s="17">
        <v>9.1978560592760772</v>
      </c>
      <c r="T108" s="17">
        <f t="shared" si="25"/>
        <v>9.3398729448021847</v>
      </c>
      <c r="U108" s="17">
        <f t="shared" si="26"/>
        <v>7.9675283350872039</v>
      </c>
      <c r="V108" s="9">
        <v>7.4081714983314844E-3</v>
      </c>
      <c r="W108" s="17">
        <v>9.2611157972074754</v>
      </c>
      <c r="X108" s="17">
        <f t="shared" si="24"/>
        <v>9.5743139037292924</v>
      </c>
      <c r="Y108" s="17">
        <f t="shared" si="33"/>
        <v>8.1694629723189749</v>
      </c>
    </row>
    <row r="109" spans="1:25" x14ac:dyDescent="0.25">
      <c r="A109" s="7">
        <v>27729</v>
      </c>
      <c r="B109" s="28">
        <v>5.1897149341855178E-3</v>
      </c>
      <c r="C109" s="17">
        <f t="shared" si="18"/>
        <v>6.408527916387019</v>
      </c>
      <c r="D109" s="17">
        <f t="shared" si="20"/>
        <v>7.3025432815194025</v>
      </c>
      <c r="E109" s="17">
        <f t="shared" si="27"/>
        <v>6.2088482166055003</v>
      </c>
      <c r="F109" s="29">
        <v>4.9899015865722289E-3</v>
      </c>
      <c r="G109" s="17">
        <f t="shared" si="19"/>
        <v>6.1549803876664422</v>
      </c>
      <c r="H109" s="17">
        <f t="shared" si="21"/>
        <v>4.9388422176984248</v>
      </c>
      <c r="I109" s="17">
        <f t="shared" si="28"/>
        <v>3.7498596922708849</v>
      </c>
      <c r="J109" s="8">
        <v>6.218917595633951E-3</v>
      </c>
      <c r="K109" s="17">
        <f t="shared" si="29"/>
        <v>7.7233218318004671</v>
      </c>
      <c r="L109" s="17">
        <f t="shared" si="22"/>
        <v>8.3557910267147317</v>
      </c>
      <c r="M109" s="17">
        <f t="shared" si="30"/>
        <v>7.5552536219244848</v>
      </c>
      <c r="N109" s="9">
        <v>6.4472831792447942E-3</v>
      </c>
      <c r="O109" s="17">
        <f t="shared" si="31"/>
        <v>8.0170674095499272</v>
      </c>
      <c r="P109" s="17">
        <f t="shared" si="23"/>
        <v>8.42476989773151</v>
      </c>
      <c r="Q109" s="17">
        <f t="shared" si="32"/>
        <v>7.6866367818262171</v>
      </c>
      <c r="R109" s="8">
        <v>6.3437080413299533E-3</v>
      </c>
      <c r="S109" s="17">
        <v>7.8837483274938114</v>
      </c>
      <c r="T109" s="17">
        <f t="shared" si="25"/>
        <v>8.3506021171528388</v>
      </c>
      <c r="U109" s="17">
        <f t="shared" si="26"/>
        <v>7.7320062408462453</v>
      </c>
      <c r="V109" s="9">
        <v>6.7648921355651509E-3</v>
      </c>
      <c r="W109" s="17">
        <v>8.4268271282669218</v>
      </c>
      <c r="X109" s="17">
        <f t="shared" si="24"/>
        <v>8.4667467675021193</v>
      </c>
      <c r="Y109" s="17">
        <f t="shared" si="33"/>
        <v>8.0028833013313427</v>
      </c>
    </row>
    <row r="110" spans="1:25" x14ac:dyDescent="0.25">
      <c r="A110" s="7">
        <v>27760</v>
      </c>
      <c r="B110" s="28">
        <v>-1.1903742726776319E-3</v>
      </c>
      <c r="C110" s="17">
        <f t="shared" si="18"/>
        <v>-1.4191339965027416</v>
      </c>
      <c r="D110" s="17">
        <f t="shared" si="20"/>
        <v>3.8513635598785623</v>
      </c>
      <c r="E110" s="17">
        <f t="shared" si="27"/>
        <v>5.645053926341248</v>
      </c>
      <c r="F110" s="29">
        <v>1.843647666532919E-3</v>
      </c>
      <c r="G110" s="17">
        <f t="shared" si="19"/>
        <v>2.2349492815412653</v>
      </c>
      <c r="H110" s="17">
        <f t="shared" si="21"/>
        <v>4.2393082871318377</v>
      </c>
      <c r="I110" s="17">
        <f t="shared" si="28"/>
        <v>3.7302700830075697</v>
      </c>
      <c r="J110" s="8">
        <v>7.3987606665905292E-3</v>
      </c>
      <c r="K110" s="17">
        <f t="shared" si="29"/>
        <v>9.2488683069345434</v>
      </c>
      <c r="L110" s="17">
        <f t="shared" si="22"/>
        <v>8.8322751340679453</v>
      </c>
      <c r="M110" s="17">
        <f t="shared" si="30"/>
        <v>7.4710800336236005</v>
      </c>
      <c r="N110" s="9">
        <v>7.8640252740149082E-3</v>
      </c>
      <c r="O110" s="17">
        <f t="shared" si="31"/>
        <v>9.8558844946413426</v>
      </c>
      <c r="P110" s="17">
        <f t="shared" si="23"/>
        <v>9.1609492202632037</v>
      </c>
      <c r="Q110" s="17">
        <f t="shared" si="32"/>
        <v>7.692872794189487</v>
      </c>
      <c r="R110" s="8">
        <v>9.3491022527611382E-3</v>
      </c>
      <c r="S110" s="17">
        <v>11.814161924619926</v>
      </c>
      <c r="T110" s="17">
        <f t="shared" si="25"/>
        <v>9.619794600503063</v>
      </c>
      <c r="U110" s="17">
        <f t="shared" si="26"/>
        <v>7.8772102558729129</v>
      </c>
      <c r="V110" s="9">
        <v>1.0622653546881912E-2</v>
      </c>
      <c r="W110" s="17">
        <v>13.518945163987151</v>
      </c>
      <c r="X110" s="17">
        <f t="shared" si="24"/>
        <v>10.379962583018742</v>
      </c>
      <c r="Y110" s="17">
        <f t="shared" si="33"/>
        <v>8.3610990629151782</v>
      </c>
    </row>
    <row r="111" spans="1:25" x14ac:dyDescent="0.25">
      <c r="A111" s="7">
        <v>27791</v>
      </c>
      <c r="B111" s="28">
        <v>-3.7608303206811923E-3</v>
      </c>
      <c r="C111" s="17">
        <f t="shared" si="18"/>
        <v>-4.4208074039235434</v>
      </c>
      <c r="D111" s="17">
        <f t="shared" si="20"/>
        <v>8.6954351341428371E-2</v>
      </c>
      <c r="E111" s="17">
        <f t="shared" si="27"/>
        <v>4.9936497050393269</v>
      </c>
      <c r="F111" s="29">
        <v>6.041155281083491E-3</v>
      </c>
      <c r="G111" s="17">
        <f t="shared" si="19"/>
        <v>7.4951740436775216</v>
      </c>
      <c r="H111" s="17">
        <f t="shared" si="21"/>
        <v>5.2712005548908536</v>
      </c>
      <c r="I111" s="17">
        <f t="shared" si="28"/>
        <v>3.9535373973132559</v>
      </c>
      <c r="J111" s="8">
        <v>4.7939526055589092E-3</v>
      </c>
      <c r="K111" s="17">
        <f t="shared" si="29"/>
        <v>5.9068743909493238</v>
      </c>
      <c r="L111" s="17">
        <f t="shared" si="22"/>
        <v>7.6176766024014908</v>
      </c>
      <c r="M111" s="17">
        <f t="shared" si="30"/>
        <v>7.1334778350439443</v>
      </c>
      <c r="N111" s="9">
        <v>5.2388494017598401E-3</v>
      </c>
      <c r="O111" s="17">
        <f t="shared" si="31"/>
        <v>6.4709606944611586</v>
      </c>
      <c r="P111" s="17">
        <f t="shared" si="23"/>
        <v>8.1057913083371957</v>
      </c>
      <c r="Q111" s="17">
        <f t="shared" si="32"/>
        <v>7.3760825753311554</v>
      </c>
      <c r="R111" s="8">
        <v>6.3888050892872998E-3</v>
      </c>
      <c r="S111" s="17">
        <v>7.941777462257904</v>
      </c>
      <c r="T111" s="17">
        <f t="shared" si="25"/>
        <v>9.1978619547800058</v>
      </c>
      <c r="U111" s="17">
        <f t="shared" si="26"/>
        <v>7.7397308252253438</v>
      </c>
      <c r="V111" s="9">
        <v>7.5358037200713044E-3</v>
      </c>
      <c r="W111" s="17">
        <v>9.4273438749021601</v>
      </c>
      <c r="X111" s="17">
        <f t="shared" si="24"/>
        <v>10.435910977255315</v>
      </c>
      <c r="Y111" s="17">
        <f t="shared" si="33"/>
        <v>8.3088606444143629</v>
      </c>
    </row>
    <row r="112" spans="1:25" x14ac:dyDescent="0.25">
      <c r="A112" s="7">
        <v>27820</v>
      </c>
      <c r="B112" s="28">
        <v>-2.6210087340853201E-3</v>
      </c>
      <c r="C112" s="17">
        <f t="shared" si="18"/>
        <v>-3.1002643430593224</v>
      </c>
      <c r="D112" s="17">
        <f t="shared" si="20"/>
        <v>-2.9878358544134342</v>
      </c>
      <c r="E112" s="17">
        <f t="shared" si="27"/>
        <v>4.6294660427883771</v>
      </c>
      <c r="F112" s="29">
        <v>6.2163881418968612E-3</v>
      </c>
      <c r="G112" s="17">
        <f t="shared" si="19"/>
        <v>7.7200723115985914</v>
      </c>
      <c r="H112" s="17">
        <f t="shared" si="21"/>
        <v>5.7860326313362576</v>
      </c>
      <c r="I112" s="17">
        <f t="shared" si="28"/>
        <v>4.0611759422737981</v>
      </c>
      <c r="J112" s="8">
        <v>5.055559101050054E-3</v>
      </c>
      <c r="K112" s="17">
        <f t="shared" si="29"/>
        <v>6.2382334886251334</v>
      </c>
      <c r="L112" s="17">
        <f t="shared" si="22"/>
        <v>7.1208424502374967</v>
      </c>
      <c r="M112" s="17">
        <f t="shared" si="30"/>
        <v>7.1046817493863212</v>
      </c>
      <c r="N112" s="9">
        <v>5.233496314959612E-3</v>
      </c>
      <c r="O112" s="17">
        <f t="shared" si="31"/>
        <v>6.4641571579445944</v>
      </c>
      <c r="P112" s="17">
        <f t="shared" si="23"/>
        <v>7.5852267127314743</v>
      </c>
      <c r="Q112" s="17">
        <f t="shared" si="32"/>
        <v>7.3382764170352388</v>
      </c>
      <c r="R112" s="8">
        <v>6.7932641088596472E-3</v>
      </c>
      <c r="S112" s="17">
        <v>8.4635001580255054</v>
      </c>
      <c r="T112" s="17">
        <f t="shared" si="25"/>
        <v>9.3931171765217591</v>
      </c>
      <c r="U112" s="17">
        <f t="shared" si="26"/>
        <v>7.8266150987662764</v>
      </c>
      <c r="V112" s="9">
        <v>7.5167759210705686E-3</v>
      </c>
      <c r="W112" s="17">
        <v>9.4025473933964765</v>
      </c>
      <c r="X112" s="17">
        <f t="shared" si="24"/>
        <v>10.766188830512524</v>
      </c>
      <c r="Y112" s="17">
        <f t="shared" si="33"/>
        <v>8.4075409064079842</v>
      </c>
    </row>
    <row r="113" spans="1:25" x14ac:dyDescent="0.25">
      <c r="A113" s="7">
        <v>27851</v>
      </c>
      <c r="B113" s="28">
        <v>1.049482055399316E-3</v>
      </c>
      <c r="C113" s="17">
        <f t="shared" si="18"/>
        <v>1.2666732797677938</v>
      </c>
      <c r="D113" s="17">
        <f t="shared" si="20"/>
        <v>-2.1146951626102584</v>
      </c>
      <c r="E113" s="17">
        <f t="shared" si="27"/>
        <v>4.8069131451045077</v>
      </c>
      <c r="F113" s="29">
        <v>6.1775798351622014E-3</v>
      </c>
      <c r="G113" s="17">
        <f t="shared" si="19"/>
        <v>7.6702276023921989</v>
      </c>
      <c r="H113" s="17">
        <f t="shared" si="21"/>
        <v>7.6284480965107537</v>
      </c>
      <c r="I113" s="17">
        <f t="shared" si="28"/>
        <v>4.791301712985252</v>
      </c>
      <c r="J113" s="8">
        <v>2.6765580238991907E-3</v>
      </c>
      <c r="K113" s="17">
        <f t="shared" si="29"/>
        <v>3.2595761796644362</v>
      </c>
      <c r="L113" s="17">
        <f t="shared" si="22"/>
        <v>5.1263961633335908</v>
      </c>
      <c r="M113" s="17">
        <f t="shared" si="30"/>
        <v>6.6905185431822556</v>
      </c>
      <c r="N113" s="9">
        <v>2.5819308567199689E-3</v>
      </c>
      <c r="O113" s="17">
        <f t="shared" si="31"/>
        <v>3.1426959250113295</v>
      </c>
      <c r="P113" s="17">
        <f t="shared" si="23"/>
        <v>5.3475299387780062</v>
      </c>
      <c r="Q113" s="17">
        <f t="shared" si="32"/>
        <v>6.8512384811734384</v>
      </c>
      <c r="R113" s="8">
        <v>4.1797742285680159E-3</v>
      </c>
      <c r="S113" s="17">
        <v>5.1326561688815442</v>
      </c>
      <c r="T113" s="17">
        <f t="shared" si="25"/>
        <v>7.1692700017722766</v>
      </c>
      <c r="U113" s="17">
        <f t="shared" si="26"/>
        <v>7.5517952861395177</v>
      </c>
      <c r="V113" s="9">
        <v>4.3818909296982258E-3</v>
      </c>
      <c r="W113" s="17">
        <v>5.3868648874099812</v>
      </c>
      <c r="X113" s="17">
        <f t="shared" si="24"/>
        <v>8.055429128035918</v>
      </c>
      <c r="Y113" s="17">
        <f t="shared" si="33"/>
        <v>8.0403740992069714</v>
      </c>
    </row>
    <row r="114" spans="1:25" x14ac:dyDescent="0.25">
      <c r="A114" s="7">
        <v>27881</v>
      </c>
      <c r="B114" s="28">
        <v>4.8219403642675643E-3</v>
      </c>
      <c r="C114" s="17">
        <f t="shared" si="18"/>
        <v>5.9422792638568644</v>
      </c>
      <c r="D114" s="17">
        <f t="shared" si="20"/>
        <v>1.3023412213358565</v>
      </c>
      <c r="E114" s="17">
        <f t="shared" si="27"/>
        <v>5.0116293784195021</v>
      </c>
      <c r="F114" s="29">
        <v>5.7284025825204135E-3</v>
      </c>
      <c r="G114" s="17">
        <f t="shared" si="19"/>
        <v>7.0948486816784007</v>
      </c>
      <c r="H114" s="17">
        <f t="shared" si="21"/>
        <v>7.4946746655053964</v>
      </c>
      <c r="I114" s="17">
        <f t="shared" si="28"/>
        <v>5.4924674528102013</v>
      </c>
      <c r="J114" s="8">
        <v>3.9146695058285457E-3</v>
      </c>
      <c r="K114" s="17">
        <f t="shared" si="29"/>
        <v>4.8000775109763527</v>
      </c>
      <c r="L114" s="17">
        <f t="shared" si="22"/>
        <v>4.7588995248659227</v>
      </c>
      <c r="M114" s="17">
        <f t="shared" si="30"/>
        <v>6.8151973500491625</v>
      </c>
      <c r="N114" s="9">
        <v>3.9977166471675861E-3</v>
      </c>
      <c r="O114" s="17">
        <f t="shared" si="31"/>
        <v>4.9041577644758139</v>
      </c>
      <c r="P114" s="17">
        <f t="shared" si="23"/>
        <v>4.8282172589220407</v>
      </c>
      <c r="Q114" s="17">
        <f t="shared" si="32"/>
        <v>6.9696744137654143</v>
      </c>
      <c r="R114" s="8">
        <v>3.8978329693051691E-3</v>
      </c>
      <c r="S114" s="17">
        <v>4.7789883769192132</v>
      </c>
      <c r="T114" s="17">
        <f t="shared" si="25"/>
        <v>6.1121590310578844</v>
      </c>
      <c r="U114" s="17">
        <f t="shared" si="26"/>
        <v>7.634223827988329</v>
      </c>
      <c r="V114" s="9">
        <v>4.0344644862232038E-3</v>
      </c>
      <c r="W114" s="17">
        <v>4.9502428562693046</v>
      </c>
      <c r="X114" s="17">
        <f t="shared" si="24"/>
        <v>6.5612048997226724</v>
      </c>
      <c r="Y114" s="17">
        <f t="shared" si="33"/>
        <v>8.1008648291911243</v>
      </c>
    </row>
    <row r="115" spans="1:25" x14ac:dyDescent="0.25">
      <c r="A115" s="7">
        <v>27912</v>
      </c>
      <c r="B115" s="28">
        <v>3.3413542641797644E-3</v>
      </c>
      <c r="C115" s="17">
        <f t="shared" si="18"/>
        <v>4.0841387101749227</v>
      </c>
      <c r="D115" s="17">
        <f t="shared" si="20"/>
        <v>3.7465036193416124</v>
      </c>
      <c r="E115" s="17">
        <f t="shared" si="27"/>
        <v>4.4291083051526181</v>
      </c>
      <c r="F115" s="29">
        <v>4.1988754945579115E-3</v>
      </c>
      <c r="G115" s="17">
        <f t="shared" si="19"/>
        <v>5.1566563766729079</v>
      </c>
      <c r="H115" s="17">
        <f t="shared" si="21"/>
        <v>6.6351359748880068</v>
      </c>
      <c r="I115" s="17">
        <f t="shared" si="28"/>
        <v>5.6627793471078602</v>
      </c>
      <c r="J115" s="8">
        <v>5.4889647381043518E-3</v>
      </c>
      <c r="K115" s="17">
        <f t="shared" si="29"/>
        <v>6.7892909220325759</v>
      </c>
      <c r="L115" s="17">
        <f t="shared" si="22"/>
        <v>4.9397152980111603</v>
      </c>
      <c r="M115" s="17">
        <f t="shared" si="30"/>
        <v>6.7526392298294713</v>
      </c>
      <c r="N115" s="9">
        <v>5.6248009662785104E-3</v>
      </c>
      <c r="O115" s="17">
        <f t="shared" si="31"/>
        <v>6.9625396160059028</v>
      </c>
      <c r="P115" s="17">
        <f t="shared" si="23"/>
        <v>4.9915374302423432</v>
      </c>
      <c r="Q115" s="17">
        <f t="shared" si="32"/>
        <v>6.8745626349555833</v>
      </c>
      <c r="R115" s="8">
        <v>5.2624744709200456E-3</v>
      </c>
      <c r="S115" s="17">
        <v>6.5009918733461181</v>
      </c>
      <c r="T115" s="17">
        <f t="shared" si="25"/>
        <v>5.468271910642386</v>
      </c>
      <c r="U115" s="17">
        <f t="shared" si="26"/>
        <v>7.6831101357592857</v>
      </c>
      <c r="V115" s="9">
        <v>5.4380304725610666E-3</v>
      </c>
      <c r="W115" s="17">
        <v>6.7243945089200619</v>
      </c>
      <c r="X115" s="17">
        <f t="shared" si="24"/>
        <v>5.6844790131187706</v>
      </c>
      <c r="Y115" s="17">
        <f t="shared" si="33"/>
        <v>8.1213028915252607</v>
      </c>
    </row>
    <row r="116" spans="1:25" x14ac:dyDescent="0.25">
      <c r="A116" s="7">
        <v>27942</v>
      </c>
      <c r="B116" s="28">
        <v>4.6365288305605205E-3</v>
      </c>
      <c r="C116" s="17">
        <f t="shared" si="18"/>
        <v>5.7079332933618332</v>
      </c>
      <c r="D116" s="17">
        <f t="shared" si="20"/>
        <v>5.2415289736350568</v>
      </c>
      <c r="E116" s="17">
        <f t="shared" si="27"/>
        <v>3.2698566326440304</v>
      </c>
      <c r="F116" s="29">
        <v>5.5665989674752317E-3</v>
      </c>
      <c r="G116" s="17">
        <f t="shared" si="19"/>
        <v>6.8882759069662569</v>
      </c>
      <c r="H116" s="17">
        <f t="shared" si="21"/>
        <v>6.3763637268765327</v>
      </c>
      <c r="I116" s="17">
        <f t="shared" si="28"/>
        <v>5.5513817445890457</v>
      </c>
      <c r="J116" s="8">
        <v>6.7023576241902558E-3</v>
      </c>
      <c r="K116" s="17">
        <f t="shared" si="29"/>
        <v>8.3460364356109817</v>
      </c>
      <c r="L116" s="17">
        <f t="shared" si="22"/>
        <v>6.6352467811289673</v>
      </c>
      <c r="M116" s="17">
        <f t="shared" si="30"/>
        <v>6.973876973986326</v>
      </c>
      <c r="N116" s="9">
        <v>6.7154894385093866E-3</v>
      </c>
      <c r="O116" s="17">
        <f t="shared" si="31"/>
        <v>8.362997342903423</v>
      </c>
      <c r="P116" s="17">
        <f t="shared" si="23"/>
        <v>6.7337591418837661</v>
      </c>
      <c r="Q116" s="17">
        <f t="shared" si="32"/>
        <v>7.0927024807138084</v>
      </c>
      <c r="R116" s="8">
        <v>6.0810523921304357E-3</v>
      </c>
      <c r="S116" s="17">
        <v>7.5463411249822698</v>
      </c>
      <c r="T116" s="17">
        <f t="shared" si="25"/>
        <v>6.2693027445461125</v>
      </c>
      <c r="U116" s="17">
        <f t="shared" si="26"/>
        <v>7.8077514406452275</v>
      </c>
      <c r="V116" s="9">
        <v>5.9537818688837401E-3</v>
      </c>
      <c r="W116" s="17">
        <v>7.3831976891934215</v>
      </c>
      <c r="X116" s="17">
        <f t="shared" si="24"/>
        <v>6.3476326163105279</v>
      </c>
      <c r="Y116" s="17">
        <f t="shared" si="33"/>
        <v>8.2164873703377328</v>
      </c>
    </row>
    <row r="117" spans="1:25" x14ac:dyDescent="0.25">
      <c r="A117" s="7">
        <v>27973</v>
      </c>
      <c r="B117" s="28">
        <v>4.8969897178764458E-3</v>
      </c>
      <c r="C117" s="17">
        <f t="shared" si="18"/>
        <v>6.0372712168884179</v>
      </c>
      <c r="D117" s="17">
        <f t="shared" si="20"/>
        <v>5.2729741215827408</v>
      </c>
      <c r="E117" s="17">
        <f t="shared" si="27"/>
        <v>3.5923107321081504</v>
      </c>
      <c r="F117" s="29">
        <v>5.8354565561503698E-3</v>
      </c>
      <c r="G117" s="17">
        <f t="shared" si="19"/>
        <v>7.2317243255296537</v>
      </c>
      <c r="H117" s="17">
        <f t="shared" si="21"/>
        <v>6.4216635546200607</v>
      </c>
      <c r="I117" s="17">
        <f t="shared" si="28"/>
        <v>5.8102419869236144</v>
      </c>
      <c r="J117" s="8">
        <v>5.5339956778557393E-3</v>
      </c>
      <c r="K117" s="17">
        <f t="shared" si="29"/>
        <v>6.8466959097098767</v>
      </c>
      <c r="L117" s="17">
        <f t="shared" si="22"/>
        <v>7.324928867978886</v>
      </c>
      <c r="M117" s="17">
        <f t="shared" si="30"/>
        <v>7.1646773297140864</v>
      </c>
      <c r="N117" s="9">
        <v>5.683180265828423E-3</v>
      </c>
      <c r="O117" s="17">
        <f t="shared" si="31"/>
        <v>7.0370770653115811</v>
      </c>
      <c r="P117" s="17">
        <f t="shared" si="23"/>
        <v>7.4522841865710676</v>
      </c>
      <c r="Q117" s="17">
        <f t="shared" si="32"/>
        <v>7.3568519853947079</v>
      </c>
      <c r="R117" s="8">
        <v>5.3770440988617722E-3</v>
      </c>
      <c r="S117" s="17">
        <v>6.6467380527635678</v>
      </c>
      <c r="T117" s="17">
        <f t="shared" si="25"/>
        <v>6.897026019402519</v>
      </c>
      <c r="U117" s="17">
        <f t="shared" si="26"/>
        <v>7.877498791411619</v>
      </c>
      <c r="V117" s="9">
        <v>5.5922103062913432E-3</v>
      </c>
      <c r="W117" s="17">
        <v>6.9209492519452409</v>
      </c>
      <c r="X117" s="17">
        <f t="shared" si="24"/>
        <v>7.0091577724253229</v>
      </c>
      <c r="Y117" s="17">
        <f t="shared" si="33"/>
        <v>8.3826552686256939</v>
      </c>
    </row>
    <row r="118" spans="1:25" x14ac:dyDescent="0.25">
      <c r="A118" s="7">
        <v>28004</v>
      </c>
      <c r="B118" s="28">
        <v>5.3989571402385719E-3</v>
      </c>
      <c r="C118" s="17">
        <f t="shared" si="18"/>
        <v>6.6746348649909137</v>
      </c>
      <c r="D118" s="17">
        <f t="shared" si="20"/>
        <v>6.1391886133393303</v>
      </c>
      <c r="E118" s="17">
        <f t="shared" si="27"/>
        <v>3.4716466084741215</v>
      </c>
      <c r="F118" s="29">
        <v>5.7744907818491863E-3</v>
      </c>
      <c r="G118" s="17">
        <f t="shared" si="19"/>
        <v>7.1537558729815265</v>
      </c>
      <c r="H118" s="17">
        <f t="shared" si="21"/>
        <v>7.0911510747704742</v>
      </c>
      <c r="I118" s="17">
        <f t="shared" si="28"/>
        <v>6.1095879241911177</v>
      </c>
      <c r="J118" s="8">
        <v>5.5755214202539895E-3</v>
      </c>
      <c r="K118" s="17">
        <f t="shared" si="29"/>
        <v>6.8996575754424194</v>
      </c>
      <c r="L118" s="17">
        <f t="shared" si="22"/>
        <v>7.3618895495666692</v>
      </c>
      <c r="M118" s="17">
        <f t="shared" si="30"/>
        <v>6.9372554262926212</v>
      </c>
      <c r="N118" s="9">
        <v>5.5189012177696405E-3</v>
      </c>
      <c r="O118" s="17">
        <f t="shared" si="31"/>
        <v>6.8274504933175217</v>
      </c>
      <c r="P118" s="17">
        <f t="shared" si="23"/>
        <v>7.4070292464747833</v>
      </c>
      <c r="Q118" s="17">
        <f t="shared" si="32"/>
        <v>7.094467837071794</v>
      </c>
      <c r="R118" s="8">
        <v>5.4606411085569928E-3</v>
      </c>
      <c r="S118" s="17">
        <v>6.7531987297979601</v>
      </c>
      <c r="T118" s="17">
        <f t="shared" si="25"/>
        <v>6.9813410690131361</v>
      </c>
      <c r="U118" s="17">
        <f t="shared" si="26"/>
        <v>7.5382088698586536</v>
      </c>
      <c r="V118" s="9">
        <v>5.3369913434790969E-3</v>
      </c>
      <c r="W118" s="17">
        <v>6.5957654160790247</v>
      </c>
      <c r="X118" s="17">
        <f t="shared" si="24"/>
        <v>6.9661497218841406</v>
      </c>
      <c r="Y118" s="17">
        <f t="shared" si="33"/>
        <v>7.9544006260227729</v>
      </c>
    </row>
    <row r="119" spans="1:25" x14ac:dyDescent="0.25">
      <c r="A119" s="7">
        <v>28034</v>
      </c>
      <c r="B119" s="28">
        <v>5.54929034126549E-3</v>
      </c>
      <c r="C119" s="17">
        <f t="shared" si="18"/>
        <v>6.8661998267499191</v>
      </c>
      <c r="D119" s="17">
        <f t="shared" si="20"/>
        <v>6.5254452280250952</v>
      </c>
      <c r="E119" s="17">
        <f t="shared" si="27"/>
        <v>3.3219399889567791</v>
      </c>
      <c r="F119" s="29">
        <v>4.4001205175368844E-3</v>
      </c>
      <c r="G119" s="17">
        <f t="shared" si="19"/>
        <v>5.4098205092078411</v>
      </c>
      <c r="H119" s="17">
        <f t="shared" si="21"/>
        <v>6.595103078861575</v>
      </c>
      <c r="I119" s="17">
        <f t="shared" si="28"/>
        <v>6.2026242934802855</v>
      </c>
      <c r="J119" s="8">
        <v>4.2461712250493602E-3</v>
      </c>
      <c r="K119" s="17">
        <f t="shared" si="29"/>
        <v>5.216103757337831</v>
      </c>
      <c r="L119" s="17">
        <f t="shared" si="22"/>
        <v>6.3179372811068557</v>
      </c>
      <c r="M119" s="17">
        <f t="shared" si="30"/>
        <v>6.7196030792624928</v>
      </c>
      <c r="N119" s="9">
        <v>4.1571057845335583E-3</v>
      </c>
      <c r="O119" s="17">
        <f t="shared" si="31"/>
        <v>5.1041804167348159</v>
      </c>
      <c r="P119" s="17">
        <f t="shared" si="23"/>
        <v>6.3193627605155234</v>
      </c>
      <c r="Q119" s="17">
        <f t="shared" si="32"/>
        <v>6.881233621431182</v>
      </c>
      <c r="R119" s="8">
        <v>5.5536720319350648E-3</v>
      </c>
      <c r="S119" s="17">
        <v>6.8717880065558345</v>
      </c>
      <c r="T119" s="17">
        <f t="shared" si="25"/>
        <v>6.7572020248044096</v>
      </c>
      <c r="U119" s="17">
        <f t="shared" si="26"/>
        <v>7.4462017346950793</v>
      </c>
      <c r="V119" s="9">
        <v>5.7173234642092516E-3</v>
      </c>
      <c r="W119" s="17">
        <v>7.0806924389802406</v>
      </c>
      <c r="X119" s="17">
        <f t="shared" si="24"/>
        <v>6.8656117888817869</v>
      </c>
      <c r="Y119" s="17">
        <f t="shared" si="33"/>
        <v>7.9010471660180492</v>
      </c>
    </row>
    <row r="120" spans="1:25" x14ac:dyDescent="0.25">
      <c r="A120" s="7">
        <v>28065</v>
      </c>
      <c r="B120" s="28">
        <v>3.4436617701918831E-3</v>
      </c>
      <c r="C120" s="17">
        <f t="shared" si="18"/>
        <v>4.2115676759468146</v>
      </c>
      <c r="D120" s="17">
        <f t="shared" si="20"/>
        <v>5.910532940982538</v>
      </c>
      <c r="E120" s="17">
        <f t="shared" si="27"/>
        <v>3.1129591793255029</v>
      </c>
      <c r="F120" s="29">
        <v>4.4496960263731835E-3</v>
      </c>
      <c r="G120" s="17">
        <f t="shared" si="19"/>
        <v>5.4722716887968481</v>
      </c>
      <c r="H120" s="17">
        <f t="shared" si="21"/>
        <v>6.0088827376265197</v>
      </c>
      <c r="I120" s="17">
        <f t="shared" si="28"/>
        <v>6.2960696491461299</v>
      </c>
      <c r="J120" s="8">
        <v>5.0323039147247414E-3</v>
      </c>
      <c r="K120" s="17">
        <f t="shared" si="29"/>
        <v>6.2087392919046636</v>
      </c>
      <c r="L120" s="17">
        <f t="shared" si="22"/>
        <v>6.105914899600795</v>
      </c>
      <c r="M120" s="17">
        <f t="shared" si="30"/>
        <v>6.4458381039911306</v>
      </c>
      <c r="N120" s="9">
        <v>5.1816242922137047E-3</v>
      </c>
      <c r="O120" s="17">
        <f t="shared" si="31"/>
        <v>6.3982507496542329</v>
      </c>
      <c r="P120" s="17">
        <f t="shared" si="23"/>
        <v>6.107426300885721</v>
      </c>
      <c r="Q120" s="17">
        <f t="shared" si="32"/>
        <v>6.6159419369157701</v>
      </c>
      <c r="R120" s="8">
        <v>6.7765843168785247E-3</v>
      </c>
      <c r="S120" s="17">
        <v>8.441938824499573</v>
      </c>
      <c r="T120" s="17">
        <f t="shared" si="25"/>
        <v>7.3528920529959407</v>
      </c>
      <c r="U120" s="17">
        <f t="shared" si="26"/>
        <v>7.3840215786714181</v>
      </c>
      <c r="V120" s="9">
        <v>7.4489474554820046E-3</v>
      </c>
      <c r="W120" s="17">
        <v>9.314197183505879</v>
      </c>
      <c r="X120" s="17">
        <f t="shared" si="24"/>
        <v>7.6570720939755255</v>
      </c>
      <c r="Y120" s="17">
        <f t="shared" si="33"/>
        <v>7.9054145799424269</v>
      </c>
    </row>
    <row r="121" spans="1:25" x14ac:dyDescent="0.25">
      <c r="A121" s="7">
        <v>28095</v>
      </c>
      <c r="B121" s="28">
        <v>5.3299652948694638E-3</v>
      </c>
      <c r="C121" s="17">
        <f t="shared" si="18"/>
        <v>6.5868261061952094</v>
      </c>
      <c r="D121" s="17">
        <f t="shared" si="20"/>
        <v>5.881465033268829</v>
      </c>
      <c r="E121" s="17">
        <f t="shared" si="27"/>
        <v>3.1273461447920425</v>
      </c>
      <c r="F121" s="29">
        <v>6.6283331858118279E-3</v>
      </c>
      <c r="G121" s="17">
        <f t="shared" si="19"/>
        <v>8.250472796767049</v>
      </c>
      <c r="H121" s="17">
        <f t="shared" si="21"/>
        <v>6.3693222116321779</v>
      </c>
      <c r="I121" s="17">
        <f t="shared" si="28"/>
        <v>6.4693637679360094</v>
      </c>
      <c r="J121" s="8">
        <v>2.9613902991875193E-3</v>
      </c>
      <c r="K121" s="17">
        <f t="shared" si="29"/>
        <v>3.6121244384285323</v>
      </c>
      <c r="L121" s="17">
        <f t="shared" si="22"/>
        <v>5.0068625412557743</v>
      </c>
      <c r="M121" s="17">
        <f t="shared" si="30"/>
        <v>6.101230964179627</v>
      </c>
      <c r="N121" s="9">
        <v>2.5273064638512929E-3</v>
      </c>
      <c r="O121" s="17">
        <f t="shared" si="31"/>
        <v>3.0752809562253125</v>
      </c>
      <c r="P121" s="17">
        <f t="shared" si="23"/>
        <v>4.8502978248801565</v>
      </c>
      <c r="Q121" s="17">
        <f t="shared" si="32"/>
        <v>6.2006871919655371</v>
      </c>
      <c r="R121" s="8">
        <v>4.6052236943127361E-3</v>
      </c>
      <c r="S121" s="17">
        <v>5.6684129206666212</v>
      </c>
      <c r="T121" s="17">
        <f t="shared" si="25"/>
        <v>6.9880268179463467</v>
      </c>
      <c r="U121" s="17">
        <f t="shared" si="26"/>
        <v>7.1985129506127343</v>
      </c>
      <c r="V121" s="9">
        <v>4.2677466308837274E-3</v>
      </c>
      <c r="W121" s="17">
        <v>5.2432327437867077</v>
      </c>
      <c r="X121" s="17">
        <f t="shared" si="24"/>
        <v>7.1997995876252885</v>
      </c>
      <c r="Y121" s="17">
        <f t="shared" si="33"/>
        <v>7.6377696480879331</v>
      </c>
    </row>
    <row r="122" spans="1:25" x14ac:dyDescent="0.25">
      <c r="A122" s="7">
        <v>28126</v>
      </c>
      <c r="B122" s="28">
        <v>7.3907005655678018E-3</v>
      </c>
      <c r="C122" s="17">
        <f t="shared" si="18"/>
        <v>9.238379691680576</v>
      </c>
      <c r="D122" s="17">
        <f t="shared" si="20"/>
        <v>6.659178982354419</v>
      </c>
      <c r="E122" s="17">
        <f t="shared" si="27"/>
        <v>4.0133442893270033</v>
      </c>
      <c r="F122" s="29">
        <v>8.1265845693180936E-3</v>
      </c>
      <c r="G122" s="17">
        <f t="shared" si="19"/>
        <v>10.199800494536749</v>
      </c>
      <c r="H122" s="17">
        <f t="shared" si="21"/>
        <v>7.9567089673134195</v>
      </c>
      <c r="I122" s="17">
        <f t="shared" si="28"/>
        <v>7.1370730419247241</v>
      </c>
      <c r="J122" s="8">
        <v>5.9341161555951389E-3</v>
      </c>
      <c r="K122" s="17">
        <f t="shared" si="29"/>
        <v>7.3580091745232279</v>
      </c>
      <c r="L122" s="17">
        <f t="shared" si="22"/>
        <v>5.7146299455594241</v>
      </c>
      <c r="M122" s="17">
        <f t="shared" si="30"/>
        <v>5.946971705970161</v>
      </c>
      <c r="N122" s="9">
        <v>6.4480361718999594E-3</v>
      </c>
      <c r="O122" s="17">
        <f t="shared" si="31"/>
        <v>8.0180371937932158</v>
      </c>
      <c r="P122" s="17">
        <f t="shared" si="23"/>
        <v>5.8104185241453887</v>
      </c>
      <c r="Q122" s="17">
        <f t="shared" si="32"/>
        <v>6.0514815333350791</v>
      </c>
      <c r="R122" s="8">
        <v>3.9406107077088158E-3</v>
      </c>
      <c r="S122" s="17">
        <v>4.8325785964667523</v>
      </c>
      <c r="T122" s="17">
        <f t="shared" si="25"/>
        <v>6.3031765341328816</v>
      </c>
      <c r="U122" s="17">
        <f t="shared" si="26"/>
        <v>6.6241009363338543</v>
      </c>
      <c r="V122" s="9">
        <v>4.3264300321382999E-3</v>
      </c>
      <c r="W122" s="17">
        <v>5.3170538875268125</v>
      </c>
      <c r="X122" s="17">
        <f t="shared" si="24"/>
        <v>6.6080051873337986</v>
      </c>
      <c r="Y122" s="17">
        <f t="shared" si="33"/>
        <v>6.9671816160917333</v>
      </c>
    </row>
    <row r="123" spans="1:25" x14ac:dyDescent="0.25">
      <c r="A123" s="7">
        <v>28157</v>
      </c>
      <c r="B123" s="28">
        <v>1.43795807516358E-2</v>
      </c>
      <c r="C123" s="17">
        <f t="shared" si="18"/>
        <v>18.687772835778581</v>
      </c>
      <c r="D123" s="17">
        <f t="shared" si="20"/>
        <v>11.385396061088681</v>
      </c>
      <c r="E123" s="17">
        <f t="shared" si="27"/>
        <v>5.9073120029455861</v>
      </c>
      <c r="F123" s="29">
        <v>5.5409252229968835E-3</v>
      </c>
      <c r="G123" s="17">
        <f t="shared" si="19"/>
        <v>6.8555321348736209</v>
      </c>
      <c r="H123" s="17">
        <f t="shared" si="21"/>
        <v>8.4266085644116639</v>
      </c>
      <c r="I123" s="17">
        <f t="shared" si="28"/>
        <v>7.0838016782338364</v>
      </c>
      <c r="J123" s="8">
        <v>4.7900000987686061E-3</v>
      </c>
      <c r="K123" s="17">
        <f t="shared" si="29"/>
        <v>5.9018752933794882</v>
      </c>
      <c r="L123" s="17">
        <f t="shared" si="22"/>
        <v>5.6127196037583094</v>
      </c>
      <c r="M123" s="17">
        <f t="shared" si="30"/>
        <v>5.9465549477642154</v>
      </c>
      <c r="N123" s="9">
        <v>5.2620419824124355E-3</v>
      </c>
      <c r="O123" s="17">
        <f t="shared" si="31"/>
        <v>6.50044204266369</v>
      </c>
      <c r="P123" s="17">
        <f t="shared" si="23"/>
        <v>5.8442832523860622</v>
      </c>
      <c r="Q123" s="17">
        <f t="shared" si="32"/>
        <v>6.0539283225138352</v>
      </c>
      <c r="R123" s="8">
        <v>4.3004499974555847E-3</v>
      </c>
      <c r="S123" s="17">
        <v>5.2843662905743383</v>
      </c>
      <c r="T123" s="17">
        <f t="shared" si="25"/>
        <v>5.2612315228641515</v>
      </c>
      <c r="U123" s="17">
        <f t="shared" si="26"/>
        <v>6.4028455100251236</v>
      </c>
      <c r="V123" s="9">
        <v>4.980098413170814E-3</v>
      </c>
      <c r="W123" s="17">
        <v>6.142555189967247</v>
      </c>
      <c r="X123" s="17">
        <f t="shared" si="24"/>
        <v>5.5668282206921438</v>
      </c>
      <c r="Y123" s="17">
        <f t="shared" si="33"/>
        <v>6.6958497262362249</v>
      </c>
    </row>
    <row r="124" spans="1:25" x14ac:dyDescent="0.25">
      <c r="A124" s="7">
        <v>28185</v>
      </c>
      <c r="B124" s="28">
        <v>4.8878624087760137E-3</v>
      </c>
      <c r="C124" s="17">
        <f t="shared" si="18"/>
        <v>6.025714371402513</v>
      </c>
      <c r="D124" s="17">
        <f t="shared" si="20"/>
        <v>11.189594351482747</v>
      </c>
      <c r="E124" s="17">
        <f t="shared" si="27"/>
        <v>6.704646181709073</v>
      </c>
      <c r="F124" s="29">
        <v>1.4469165138828357E-3</v>
      </c>
      <c r="G124" s="17">
        <f t="shared" si="19"/>
        <v>1.7501842217293229</v>
      </c>
      <c r="H124" s="17">
        <f t="shared" si="21"/>
        <v>6.2113693169288497</v>
      </c>
      <c r="I124" s="17">
        <f t="shared" si="28"/>
        <v>6.5762238252559335</v>
      </c>
      <c r="J124" s="8">
        <v>5.6307122382321557E-3</v>
      </c>
      <c r="K124" s="17">
        <f t="shared" si="29"/>
        <v>6.9700848368736912</v>
      </c>
      <c r="L124" s="17">
        <f t="shared" si="22"/>
        <v>6.7415438945789719</v>
      </c>
      <c r="M124" s="17">
        <f t="shared" si="30"/>
        <v>6.0071839278240891</v>
      </c>
      <c r="N124" s="9">
        <v>5.7072630091569475E-3</v>
      </c>
      <c r="O124" s="17">
        <f t="shared" si="31"/>
        <v>7.0678392699994097</v>
      </c>
      <c r="P124" s="17">
        <f t="shared" si="23"/>
        <v>7.1936131974567941</v>
      </c>
      <c r="Q124" s="17">
        <f t="shared" si="32"/>
        <v>6.1039115544815115</v>
      </c>
      <c r="R124" s="8">
        <v>5.6260466687242999E-3</v>
      </c>
      <c r="S124" s="17">
        <v>6.9641296054915536</v>
      </c>
      <c r="T124" s="17">
        <f t="shared" si="25"/>
        <v>5.6897261136035215</v>
      </c>
      <c r="U124" s="17">
        <f t="shared" si="26"/>
        <v>6.2794882515026407</v>
      </c>
      <c r="V124" s="9">
        <v>5.7542808620303382E-3</v>
      </c>
      <c r="W124" s="17">
        <v>7.1279211016344712</v>
      </c>
      <c r="X124" s="17">
        <f t="shared" si="24"/>
        <v>6.1932646710435968</v>
      </c>
      <c r="Y124" s="17">
        <f t="shared" si="33"/>
        <v>6.5092018088448445</v>
      </c>
    </row>
    <row r="125" spans="1:25" x14ac:dyDescent="0.25">
      <c r="A125" s="7">
        <v>28216</v>
      </c>
      <c r="B125" s="28">
        <v>6.4495747691084198E-3</v>
      </c>
      <c r="C125" s="17">
        <f t="shared" si="18"/>
        <v>8.0200187881756868</v>
      </c>
      <c r="D125" s="17">
        <f t="shared" si="20"/>
        <v>10.774673520204935</v>
      </c>
      <c r="E125" s="17">
        <f t="shared" si="27"/>
        <v>7.280257070774887</v>
      </c>
      <c r="F125" s="29">
        <v>1.449337684074985E-3</v>
      </c>
      <c r="G125" s="17">
        <f t="shared" si="19"/>
        <v>1.7531362438668374</v>
      </c>
      <c r="H125" s="17">
        <f t="shared" si="21"/>
        <v>3.4252723492825154</v>
      </c>
      <c r="I125" s="17">
        <f t="shared" si="28"/>
        <v>6.0753995136300976</v>
      </c>
      <c r="J125" s="8">
        <v>7.2765479126865526E-3</v>
      </c>
      <c r="K125" s="17">
        <f t="shared" si="29"/>
        <v>9.0899318395687665</v>
      </c>
      <c r="L125" s="17">
        <f t="shared" si="22"/>
        <v>7.3124772439805863</v>
      </c>
      <c r="M125" s="17">
        <f t="shared" si="30"/>
        <v>6.4935142108097477</v>
      </c>
      <c r="N125" s="9">
        <v>7.0968208977249354E-3</v>
      </c>
      <c r="O125" s="17">
        <f t="shared" si="31"/>
        <v>8.8565836684910249</v>
      </c>
      <c r="P125" s="17">
        <f t="shared" si="23"/>
        <v>7.4702806533269994</v>
      </c>
      <c r="Q125" s="17">
        <f t="shared" si="32"/>
        <v>6.5817253658472241</v>
      </c>
      <c r="R125" s="8">
        <v>6.1252353472375804E-3</v>
      </c>
      <c r="S125" s="17">
        <v>7.6030307489734605</v>
      </c>
      <c r="T125" s="17">
        <f t="shared" si="25"/>
        <v>6.612677615669571</v>
      </c>
      <c r="U125" s="17">
        <f t="shared" si="26"/>
        <v>6.4853902397838281</v>
      </c>
      <c r="V125" s="9">
        <v>5.545740663344712E-3</v>
      </c>
      <c r="W125" s="17">
        <v>6.8616729490089234</v>
      </c>
      <c r="X125" s="17">
        <f t="shared" si="24"/>
        <v>6.7099037344365842</v>
      </c>
      <c r="Y125" s="17">
        <f t="shared" si="33"/>
        <v>6.6326217024884837</v>
      </c>
    </row>
    <row r="126" spans="1:25" x14ac:dyDescent="0.25">
      <c r="A126" s="7">
        <v>28246</v>
      </c>
      <c r="B126" s="28">
        <v>2.2679252249234228E-3</v>
      </c>
      <c r="C126" s="17">
        <f t="shared" si="18"/>
        <v>2.7557152149247921</v>
      </c>
      <c r="D126" s="17">
        <f t="shared" si="20"/>
        <v>5.578093185109001</v>
      </c>
      <c r="E126" s="17">
        <f t="shared" si="27"/>
        <v>7.0075765194204997</v>
      </c>
      <c r="F126" s="29">
        <v>1.561933375143297E-3</v>
      </c>
      <c r="G126" s="17">
        <f t="shared" si="19"/>
        <v>1.8905057743273002</v>
      </c>
      <c r="H126" s="17">
        <f t="shared" si="21"/>
        <v>1.7979210374327259</v>
      </c>
      <c r="I126" s="17">
        <f t="shared" si="28"/>
        <v>5.6359569319163416</v>
      </c>
      <c r="J126" s="8">
        <v>5.7863713591535153E-3</v>
      </c>
      <c r="K126" s="17">
        <f t="shared" si="29"/>
        <v>7.1689457335611273</v>
      </c>
      <c r="L126" s="17">
        <f t="shared" si="22"/>
        <v>7.7387641861830447</v>
      </c>
      <c r="M126" s="17">
        <f t="shared" si="30"/>
        <v>6.6920610733768315</v>
      </c>
      <c r="N126" s="9">
        <v>5.5082431589645355E-3</v>
      </c>
      <c r="O126" s="17">
        <f t="shared" si="31"/>
        <v>6.8138633966543516</v>
      </c>
      <c r="P126" s="17">
        <f t="shared" si="23"/>
        <v>7.5756025707733432</v>
      </c>
      <c r="Q126" s="17">
        <f t="shared" si="32"/>
        <v>6.7420788399326081</v>
      </c>
      <c r="R126" s="8">
        <v>5.915206547384381E-3</v>
      </c>
      <c r="S126" s="17">
        <v>7.3337942127452482</v>
      </c>
      <c r="T126" s="17">
        <f t="shared" si="25"/>
        <v>7.2999984596431311</v>
      </c>
      <c r="U126" s="17">
        <f t="shared" si="26"/>
        <v>6.6993769679808857</v>
      </c>
      <c r="V126" s="9">
        <v>5.475489258781315E-3</v>
      </c>
      <c r="W126" s="17">
        <v>6.7721180137489734</v>
      </c>
      <c r="X126" s="17">
        <f t="shared" si="24"/>
        <v>6.9204639617239883</v>
      </c>
      <c r="Y126" s="17">
        <f t="shared" si="33"/>
        <v>6.785664506168243</v>
      </c>
    </row>
    <row r="127" spans="1:25" x14ac:dyDescent="0.25">
      <c r="A127" s="7">
        <v>28277</v>
      </c>
      <c r="B127" s="28">
        <v>3.0868171374336143E-3</v>
      </c>
      <c r="C127" s="17">
        <f t="shared" si="18"/>
        <v>3.7677198617675378</v>
      </c>
      <c r="D127" s="17">
        <f t="shared" si="20"/>
        <v>4.8232215772445519</v>
      </c>
      <c r="E127" s="17">
        <f t="shared" si="27"/>
        <v>6.9804298250761398</v>
      </c>
      <c r="F127" s="29">
        <v>1.4116310248068666E-3</v>
      </c>
      <c r="G127" s="17">
        <f t="shared" si="19"/>
        <v>1.7071711460858285</v>
      </c>
      <c r="H127" s="17">
        <f t="shared" si="21"/>
        <v>1.7835745971652273</v>
      </c>
      <c r="I127" s="17">
        <f t="shared" si="28"/>
        <v>5.3427548143374137</v>
      </c>
      <c r="J127" s="8">
        <v>7.123264192598313E-3</v>
      </c>
      <c r="K127" s="17">
        <f t="shared" si="29"/>
        <v>8.890887529826518</v>
      </c>
      <c r="L127" s="17">
        <f t="shared" si="22"/>
        <v>8.3798108684183461</v>
      </c>
      <c r="M127" s="17">
        <f t="shared" si="30"/>
        <v>6.865475982267899</v>
      </c>
      <c r="N127" s="9">
        <v>7.3081821569434668E-3</v>
      </c>
      <c r="O127" s="17">
        <f t="shared" si="31"/>
        <v>9.1310515147367433</v>
      </c>
      <c r="P127" s="17">
        <f t="shared" si="23"/>
        <v>8.2622099088782051</v>
      </c>
      <c r="Q127" s="17">
        <f t="shared" si="32"/>
        <v>6.9207613939019863</v>
      </c>
      <c r="R127" s="8">
        <v>6.9875547953247106E-3</v>
      </c>
      <c r="S127" s="17">
        <v>8.7149420001191302</v>
      </c>
      <c r="T127" s="17">
        <f t="shared" si="25"/>
        <v>7.8822696639446743</v>
      </c>
      <c r="U127" s="17">
        <f t="shared" si="26"/>
        <v>6.8824783972176284</v>
      </c>
      <c r="V127" s="9">
        <v>7.2678181939098774E-3</v>
      </c>
      <c r="W127" s="17">
        <v>9.0785870421279604</v>
      </c>
      <c r="X127" s="17">
        <f t="shared" si="24"/>
        <v>7.5655271974317095</v>
      </c>
      <c r="Y127" s="17">
        <f t="shared" si="33"/>
        <v>6.9800027864078018</v>
      </c>
    </row>
    <row r="128" spans="1:25" x14ac:dyDescent="0.25">
      <c r="A128" s="7">
        <v>28307</v>
      </c>
      <c r="B128" s="28">
        <v>2.5138098401252511E-3</v>
      </c>
      <c r="C128" s="17">
        <f t="shared" si="18"/>
        <v>3.0586302543028188</v>
      </c>
      <c r="D128" s="17">
        <f t="shared" si="20"/>
        <v>3.1931513814219104</v>
      </c>
      <c r="E128" s="17">
        <f t="shared" si="27"/>
        <v>6.7543884822842237</v>
      </c>
      <c r="F128" s="29">
        <v>2.6603558042306548E-3</v>
      </c>
      <c r="G128" s="17">
        <f t="shared" si="19"/>
        <v>3.2395551392885302</v>
      </c>
      <c r="H128" s="17">
        <f t="shared" si="21"/>
        <v>2.2768018153717984</v>
      </c>
      <c r="I128" s="17">
        <f t="shared" si="28"/>
        <v>5.0382979426684349</v>
      </c>
      <c r="J128" s="8">
        <v>6.37700882863379E-3</v>
      </c>
      <c r="K128" s="17">
        <f t="shared" si="29"/>
        <v>7.9265957282963484</v>
      </c>
      <c r="L128" s="17">
        <f t="shared" si="22"/>
        <v>7.9931787865090476</v>
      </c>
      <c r="M128" s="17">
        <f t="shared" si="30"/>
        <v>6.8309389081922411</v>
      </c>
      <c r="N128" s="9">
        <v>6.3417517582433931E-3</v>
      </c>
      <c r="O128" s="17">
        <f t="shared" si="31"/>
        <v>7.8812317054610004</v>
      </c>
      <c r="P128" s="17">
        <f t="shared" si="23"/>
        <v>7.9378972304995132</v>
      </c>
      <c r="Q128" s="17">
        <f t="shared" si="32"/>
        <v>6.8810676395544279</v>
      </c>
      <c r="R128" s="8">
        <v>4.83432397928434E-3</v>
      </c>
      <c r="S128" s="17">
        <v>5.9579481573695414</v>
      </c>
      <c r="T128" s="17">
        <f t="shared" si="25"/>
        <v>7.3296599354665037</v>
      </c>
      <c r="U128" s="17">
        <f t="shared" si="26"/>
        <v>6.750030397788187</v>
      </c>
      <c r="V128" s="9">
        <v>4.4036767352810639E-3</v>
      </c>
      <c r="W128" s="17">
        <v>5.4142992132588885</v>
      </c>
      <c r="X128" s="17">
        <f t="shared" si="24"/>
        <v>7.0776823408871925</v>
      </c>
      <c r="Y128" s="17">
        <f t="shared" si="33"/>
        <v>6.8151540085604312</v>
      </c>
    </row>
    <row r="129" spans="1:25" x14ac:dyDescent="0.25">
      <c r="A129" s="7">
        <v>28338</v>
      </c>
      <c r="B129" s="28">
        <v>1.4236833963028866E-3</v>
      </c>
      <c r="C129" s="17">
        <f t="shared" si="18"/>
        <v>1.7218611343133405</v>
      </c>
      <c r="D129" s="17">
        <f t="shared" si="20"/>
        <v>2.8458990805647399</v>
      </c>
      <c r="E129" s="17">
        <f t="shared" si="27"/>
        <v>6.3854046997023461</v>
      </c>
      <c r="F129" s="29">
        <v>-1.6234465127101081E-3</v>
      </c>
      <c r="G129" s="17">
        <f t="shared" si="19"/>
        <v>-1.9308347855362062</v>
      </c>
      <c r="H129" s="17">
        <f t="shared" si="21"/>
        <v>0.98186626546041822</v>
      </c>
      <c r="I129" s="17">
        <f t="shared" si="28"/>
        <v>4.259372843373388</v>
      </c>
      <c r="J129" s="8">
        <v>5.2275090424643133E-3</v>
      </c>
      <c r="K129" s="17">
        <f t="shared" si="29"/>
        <v>6.456548071601742</v>
      </c>
      <c r="L129" s="17">
        <f t="shared" si="22"/>
        <v>7.7533543637128943</v>
      </c>
      <c r="M129" s="17">
        <f t="shared" si="30"/>
        <v>6.798376851451815</v>
      </c>
      <c r="N129" s="9">
        <v>5.2286271774781767E-3</v>
      </c>
      <c r="O129" s="17">
        <f t="shared" si="31"/>
        <v>6.4579690457115424</v>
      </c>
      <c r="P129" s="17">
        <f t="shared" si="23"/>
        <v>7.8178839963745084</v>
      </c>
      <c r="Q129" s="17">
        <f t="shared" si="32"/>
        <v>6.8327590665018256</v>
      </c>
      <c r="R129" s="8">
        <v>5.1113165000554314E-3</v>
      </c>
      <c r="S129" s="17">
        <v>6.3089803277106116</v>
      </c>
      <c r="T129" s="17">
        <f t="shared" si="25"/>
        <v>6.9869754992795574</v>
      </c>
      <c r="U129" s="17">
        <f t="shared" si="26"/>
        <v>6.7218156803181106</v>
      </c>
      <c r="V129" s="9">
        <v>5.0852092534710968E-3</v>
      </c>
      <c r="W129" s="17">
        <v>6.2758492117277687</v>
      </c>
      <c r="X129" s="17">
        <f t="shared" si="24"/>
        <v>6.911528303172898</v>
      </c>
      <c r="Y129" s="17">
        <f t="shared" si="33"/>
        <v>6.7612997772085182</v>
      </c>
    </row>
    <row r="130" spans="1:25" x14ac:dyDescent="0.25">
      <c r="A130" s="7">
        <v>28369</v>
      </c>
      <c r="B130" s="28">
        <v>2.1720787462112747E-3</v>
      </c>
      <c r="C130" s="17">
        <f t="shared" si="18"/>
        <v>2.6378593627837787</v>
      </c>
      <c r="D130" s="17">
        <f t="shared" si="20"/>
        <v>2.4712615827093609</v>
      </c>
      <c r="E130" s="17">
        <f t="shared" si="27"/>
        <v>6.043955405939605</v>
      </c>
      <c r="F130" s="29">
        <v>-5.0642948156785382E-4</v>
      </c>
      <c r="G130" s="17">
        <f t="shared" si="19"/>
        <v>-0.60602552467388104</v>
      </c>
      <c r="H130" s="17">
        <f t="shared" si="21"/>
        <v>0.21042100740291669</v>
      </c>
      <c r="I130" s="17">
        <f t="shared" si="28"/>
        <v>3.6082877208683639</v>
      </c>
      <c r="J130" s="8">
        <v>5.778059012664356E-3</v>
      </c>
      <c r="K130" s="17">
        <f t="shared" si="29"/>
        <v>7.1583178116414681</v>
      </c>
      <c r="L130" s="17">
        <f t="shared" si="22"/>
        <v>7.1788061596919084</v>
      </c>
      <c r="M130" s="17">
        <f t="shared" si="30"/>
        <v>6.8198876039115675</v>
      </c>
      <c r="N130" s="9">
        <v>5.8866991154535222E-3</v>
      </c>
      <c r="O130" s="17">
        <f t="shared" si="31"/>
        <v>7.2972980874863591</v>
      </c>
      <c r="P130" s="17">
        <f t="shared" si="23"/>
        <v>7.2105736026857326</v>
      </c>
      <c r="Q130" s="17">
        <f t="shared" si="32"/>
        <v>6.8718362674781597</v>
      </c>
      <c r="R130" s="8">
        <v>4.9766553137870709E-3</v>
      </c>
      <c r="S130" s="17">
        <v>6.1381914918532399</v>
      </c>
      <c r="T130" s="17">
        <f t="shared" si="25"/>
        <v>6.1349432153250616</v>
      </c>
      <c r="U130" s="17">
        <f t="shared" si="26"/>
        <v>6.6704443578918138</v>
      </c>
      <c r="V130" s="9">
        <v>4.9677303700577848E-3</v>
      </c>
      <c r="W130" s="17">
        <v>6.1268810068100921</v>
      </c>
      <c r="X130" s="17">
        <f t="shared" si="24"/>
        <v>5.9383416476497031</v>
      </c>
      <c r="Y130" s="17">
        <f t="shared" si="33"/>
        <v>6.7220862778357482</v>
      </c>
    </row>
    <row r="131" spans="1:25" x14ac:dyDescent="0.25">
      <c r="A131" s="7">
        <v>28399</v>
      </c>
      <c r="B131" s="28">
        <v>3.3562115248157933E-3</v>
      </c>
      <c r="C131" s="17">
        <f t="shared" ref="C131:C194" si="34">((1+B131)^12 - 1)*100</f>
        <v>4.1026352801022403</v>
      </c>
      <c r="D131" s="17">
        <f t="shared" si="20"/>
        <v>2.8161179892566279</v>
      </c>
      <c r="E131" s="17">
        <f t="shared" si="27"/>
        <v>5.8126760898014718</v>
      </c>
      <c r="F131" s="29">
        <v>3.4358958869413043E-3</v>
      </c>
      <c r="G131" s="17">
        <f t="shared" ref="G131:G194" si="35">((1+F131)^12 - 1)*100</f>
        <v>4.2018898779631275</v>
      </c>
      <c r="H131" s="17">
        <f t="shared" si="21"/>
        <v>0.52082487875331207</v>
      </c>
      <c r="I131" s="17">
        <f t="shared" si="28"/>
        <v>3.5088237115423304</v>
      </c>
      <c r="J131" s="8">
        <v>4.9280925797730423E-3</v>
      </c>
      <c r="K131" s="17">
        <f t="shared" si="29"/>
        <v>6.0766618107150894</v>
      </c>
      <c r="L131" s="17">
        <f t="shared" si="22"/>
        <v>6.5629015323288797</v>
      </c>
      <c r="M131" s="17">
        <f t="shared" si="30"/>
        <v>6.8924223713355826</v>
      </c>
      <c r="N131" s="9">
        <v>4.8777015149269291E-3</v>
      </c>
      <c r="O131" s="17">
        <f t="shared" si="31"/>
        <v>6.0128501763996534</v>
      </c>
      <c r="P131" s="17">
        <f t="shared" si="23"/>
        <v>6.588043648974784</v>
      </c>
      <c r="Q131" s="17">
        <f t="shared" si="32"/>
        <v>6.9485288372663101</v>
      </c>
      <c r="R131" s="8">
        <v>4.6815800826665232E-3</v>
      </c>
      <c r="S131" s="17">
        <v>5.7648308799116865</v>
      </c>
      <c r="T131" s="17">
        <f t="shared" si="25"/>
        <v>6.070424046948264</v>
      </c>
      <c r="U131" s="17">
        <f t="shared" si="26"/>
        <v>6.5779317070639109</v>
      </c>
      <c r="V131" s="9">
        <v>4.5366207325847662E-3</v>
      </c>
      <c r="W131" s="17">
        <v>5.5818542146631067</v>
      </c>
      <c r="X131" s="17">
        <f t="shared" si="24"/>
        <v>5.9944412554626014</v>
      </c>
      <c r="Y131" s="17">
        <f t="shared" si="33"/>
        <v>6.5967955466799344</v>
      </c>
    </row>
    <row r="132" spans="1:25" x14ac:dyDescent="0.25">
      <c r="A132" s="7">
        <v>28430</v>
      </c>
      <c r="B132" s="28">
        <v>9.2290672647346288E-3</v>
      </c>
      <c r="C132" s="17">
        <f t="shared" si="34"/>
        <v>11.654698726832336</v>
      </c>
      <c r="D132" s="17">
        <f t="shared" si="20"/>
        <v>6.059303584291853</v>
      </c>
      <c r="E132" s="17">
        <f t="shared" si="27"/>
        <v>6.4227444583258242</v>
      </c>
      <c r="F132" s="29">
        <v>4.4505705716089512E-3</v>
      </c>
      <c r="G132" s="17">
        <f t="shared" si="35"/>
        <v>5.4733736738713068</v>
      </c>
      <c r="H132" s="17">
        <f t="shared" si="21"/>
        <v>2.9894716439475388</v>
      </c>
      <c r="I132" s="17">
        <f t="shared" si="28"/>
        <v>3.5089138336748871</v>
      </c>
      <c r="J132" s="8">
        <v>5.7437400879813572E-3</v>
      </c>
      <c r="K132" s="17">
        <f t="shared" si="29"/>
        <v>7.1144488711647913</v>
      </c>
      <c r="L132" s="17">
        <f t="shared" si="22"/>
        <v>6.7819702235617285</v>
      </c>
      <c r="M132" s="17">
        <f t="shared" si="30"/>
        <v>6.9680887311389439</v>
      </c>
      <c r="N132" s="9">
        <v>5.6390790495477574E-3</v>
      </c>
      <c r="O132" s="17">
        <f t="shared" si="31"/>
        <v>6.9807651726442099</v>
      </c>
      <c r="P132" s="17">
        <f t="shared" si="23"/>
        <v>6.7622371150740879</v>
      </c>
      <c r="Q132" s="17">
        <f t="shared" si="32"/>
        <v>6.9972007510022083</v>
      </c>
      <c r="R132" s="8">
        <v>4.9711944461812542E-3</v>
      </c>
      <c r="S132" s="17">
        <v>6.1312708619647438</v>
      </c>
      <c r="T132" s="17">
        <f t="shared" si="25"/>
        <v>6.0112875207010141</v>
      </c>
      <c r="U132" s="17">
        <f t="shared" si="26"/>
        <v>6.3868121266712263</v>
      </c>
      <c r="V132" s="9">
        <v>4.6071141407167861E-3</v>
      </c>
      <c r="W132" s="17">
        <v>5.670799082322775</v>
      </c>
      <c r="X132" s="17">
        <f t="shared" si="24"/>
        <v>5.7929089765986985</v>
      </c>
      <c r="Y132" s="17">
        <f t="shared" si="33"/>
        <v>6.2961050495615734</v>
      </c>
    </row>
    <row r="133" spans="1:25" x14ac:dyDescent="0.25">
      <c r="A133" s="7">
        <v>28460</v>
      </c>
      <c r="B133" s="28">
        <v>2.8597287204882109E-3</v>
      </c>
      <c r="C133" s="17">
        <f t="shared" si="34"/>
        <v>3.4861674235039164</v>
      </c>
      <c r="D133" s="17">
        <f t="shared" ref="D133:D196" si="36">(((1+B133)*(1+B132)*(1+B131))^(12/3)-1)*100</f>
        <v>6.3506977567177492</v>
      </c>
      <c r="E133" s="17">
        <f t="shared" si="27"/>
        <v>6.1612488650557129</v>
      </c>
      <c r="F133" s="29">
        <v>3.3642633720950988E-3</v>
      </c>
      <c r="G133" s="17">
        <f t="shared" si="35"/>
        <v>4.1126606988936221</v>
      </c>
      <c r="H133" s="17">
        <f t="shared" ref="H133:H196" si="37">(((1+F133)*(1+F132)*(1+F131))^(12/3)-1)*100</f>
        <v>4.5941334602536354</v>
      </c>
      <c r="I133" s="17">
        <f t="shared" si="28"/>
        <v>3.1732782172742668</v>
      </c>
      <c r="J133" s="8">
        <v>5.8618038852143849E-3</v>
      </c>
      <c r="K133" s="17">
        <f t="shared" si="29"/>
        <v>7.2654357233070233</v>
      </c>
      <c r="L133" s="17">
        <f t="shared" ref="L133:L196" si="38">(((1+J133)*(1+J132)*(1+J131))^(12/3)-1)*100</f>
        <v>6.8175389430861211</v>
      </c>
      <c r="M133" s="17">
        <f t="shared" si="30"/>
        <v>7.2774243654194715</v>
      </c>
      <c r="N133" s="9">
        <v>6.0580605986886391E-3</v>
      </c>
      <c r="O133" s="17">
        <f t="shared" si="31"/>
        <v>7.5168519801208644</v>
      </c>
      <c r="P133" s="17">
        <f t="shared" ref="P133:P196" si="39">(((1+N133)*(1+N132)*(1+N131))^(12/3)-1)*100</f>
        <v>6.8350071831259296</v>
      </c>
      <c r="Q133" s="17">
        <f t="shared" si="32"/>
        <v>7.3740291989974116</v>
      </c>
      <c r="R133" s="8">
        <v>4.8870689417914726E-3</v>
      </c>
      <c r="S133" s="17">
        <v>6.0247097513847603</v>
      </c>
      <c r="T133" s="17">
        <f t="shared" si="25"/>
        <v>5.9734920285981374</v>
      </c>
      <c r="U133" s="17">
        <f t="shared" si="26"/>
        <v>6.4166592911942821</v>
      </c>
      <c r="V133" s="9">
        <v>5.0601311455054287E-3</v>
      </c>
      <c r="W133" s="17">
        <v>6.2440330256743559</v>
      </c>
      <c r="X133" s="17">
        <f t="shared" ref="X133:X196" si="40">(((1+V133)*(1+V132)*(1+V131))^(12/3)-1)*100</f>
        <v>5.8318224453223211</v>
      </c>
      <c r="Y133" s="17">
        <f t="shared" si="33"/>
        <v>6.3799745035875821</v>
      </c>
    </row>
    <row r="134" spans="1:25" x14ac:dyDescent="0.25">
      <c r="A134" s="7">
        <v>28491</v>
      </c>
      <c r="B134" s="28">
        <v>4.7342136738646751E-3</v>
      </c>
      <c r="C134" s="17">
        <f t="shared" si="34"/>
        <v>5.8313401571005619</v>
      </c>
      <c r="D134" s="17">
        <f t="shared" si="36"/>
        <v>6.936147566178108</v>
      </c>
      <c r="E134" s="17">
        <f t="shared" si="27"/>
        <v>5.881301903208036</v>
      </c>
      <c r="F134" s="29">
        <v>4.3534040253035223E-3</v>
      </c>
      <c r="G134" s="17">
        <f t="shared" si="35"/>
        <v>5.3510019078252258</v>
      </c>
      <c r="H134" s="17">
        <f t="shared" si="37"/>
        <v>4.9772079403152203</v>
      </c>
      <c r="I134" s="17">
        <f t="shared" si="28"/>
        <v>2.7871249186804059</v>
      </c>
      <c r="J134" s="8">
        <v>6.3545373772826604E-3</v>
      </c>
      <c r="K134" s="17">
        <f t="shared" si="29"/>
        <v>7.8976804879878459</v>
      </c>
      <c r="L134" s="17">
        <f t="shared" si="38"/>
        <v>7.4253199447693152</v>
      </c>
      <c r="M134" s="17">
        <f t="shared" si="30"/>
        <v>7.3222600113000968</v>
      </c>
      <c r="N134" s="9">
        <v>6.5292772684250287E-3</v>
      </c>
      <c r="O134" s="17">
        <f t="shared" si="31"/>
        <v>8.1227150373107229</v>
      </c>
      <c r="P134" s="17">
        <f t="shared" si="39"/>
        <v>7.5390991673399466</v>
      </c>
      <c r="Q134" s="17">
        <f t="shared" si="32"/>
        <v>7.3826964958244812</v>
      </c>
      <c r="R134" s="8">
        <v>4.3953883033191797E-3</v>
      </c>
      <c r="S134" s="17">
        <v>5.4038610245532581</v>
      </c>
      <c r="T134" s="17">
        <f t="shared" si="25"/>
        <v>5.8527939438593357</v>
      </c>
      <c r="U134" s="17">
        <f t="shared" si="26"/>
        <v>6.4648652427507391</v>
      </c>
      <c r="V134" s="9">
        <v>4.3069714819174805E-3</v>
      </c>
      <c r="W134" s="17">
        <v>5.2925706268132089</v>
      </c>
      <c r="X134" s="17">
        <f t="shared" si="40"/>
        <v>5.7350778761815713</v>
      </c>
      <c r="Y134" s="17">
        <f t="shared" si="33"/>
        <v>6.3779134206423116</v>
      </c>
    </row>
    <row r="135" spans="1:25" x14ac:dyDescent="0.25">
      <c r="A135" s="7">
        <v>28522</v>
      </c>
      <c r="B135" s="28">
        <v>4.1361703726236383E-3</v>
      </c>
      <c r="C135" s="17">
        <f t="shared" si="34"/>
        <v>5.0778879531381049</v>
      </c>
      <c r="D135" s="17">
        <f t="shared" si="36"/>
        <v>4.7938938855118352</v>
      </c>
      <c r="E135" s="17">
        <f t="shared" si="27"/>
        <v>4.8120910797261995</v>
      </c>
      <c r="F135" s="29">
        <v>-1.2460671895086182E-3</v>
      </c>
      <c r="G135" s="17">
        <f t="shared" si="35"/>
        <v>-1.4850753620565094</v>
      </c>
      <c r="H135" s="17">
        <f t="shared" si="37"/>
        <v>2.6159212295966849</v>
      </c>
      <c r="I135" s="17">
        <f t="shared" si="28"/>
        <v>2.0933536166603872</v>
      </c>
      <c r="J135" s="8">
        <v>5.3374302534538939E-3</v>
      </c>
      <c r="K135" s="17">
        <f t="shared" si="29"/>
        <v>6.5963238683089509</v>
      </c>
      <c r="L135" s="17">
        <f t="shared" si="38"/>
        <v>7.2518303394899508</v>
      </c>
      <c r="M135" s="17">
        <f t="shared" si="30"/>
        <v>7.3807313748620595</v>
      </c>
      <c r="N135" s="9">
        <v>4.9717511163193586E-3</v>
      </c>
      <c r="O135" s="17">
        <f t="shared" si="31"/>
        <v>6.1319763184737974</v>
      </c>
      <c r="P135" s="17">
        <f t="shared" si="39"/>
        <v>7.253937440185898</v>
      </c>
      <c r="Q135" s="17">
        <f t="shared" si="32"/>
        <v>7.3516874507522534</v>
      </c>
      <c r="R135" s="8">
        <v>5.435138402466148E-3</v>
      </c>
      <c r="S135" s="17">
        <v>6.7207107467697869</v>
      </c>
      <c r="T135" s="17">
        <f t="shared" si="25"/>
        <v>6.0483966913054799</v>
      </c>
      <c r="U135" s="17">
        <f t="shared" si="26"/>
        <v>6.5851524019691743</v>
      </c>
      <c r="V135" s="9">
        <v>4.7272573704852192E-3</v>
      </c>
      <c r="W135" s="17">
        <v>5.8225477795829317</v>
      </c>
      <c r="X135" s="17">
        <f t="shared" si="40"/>
        <v>5.7856673358530841</v>
      </c>
      <c r="Y135" s="17">
        <f t="shared" si="33"/>
        <v>6.3511500025503098</v>
      </c>
    </row>
    <row r="136" spans="1:25" x14ac:dyDescent="0.25">
      <c r="A136" s="7">
        <v>28550</v>
      </c>
      <c r="B136" s="28">
        <v>8.1616072364564269E-3</v>
      </c>
      <c r="C136" s="17">
        <f t="shared" si="34"/>
        <v>10.245749824903205</v>
      </c>
      <c r="D136" s="17">
        <f t="shared" si="36"/>
        <v>7.0276103242425725</v>
      </c>
      <c r="E136" s="17">
        <f t="shared" si="27"/>
        <v>5.1535501159893693</v>
      </c>
      <c r="F136" s="29">
        <v>4.4267756798010505E-3</v>
      </c>
      <c r="G136" s="17">
        <f t="shared" si="35"/>
        <v>5.4433942927009538</v>
      </c>
      <c r="H136" s="17">
        <f t="shared" si="37"/>
        <v>3.0512725474276969</v>
      </c>
      <c r="I136" s="17">
        <f t="shared" si="28"/>
        <v>2.3971378817445599</v>
      </c>
      <c r="J136" s="8">
        <v>6.6485417176109021E-3</v>
      </c>
      <c r="K136" s="17">
        <f t="shared" si="29"/>
        <v>8.2765538192210553</v>
      </c>
      <c r="L136" s="17">
        <f t="shared" si="38"/>
        <v>7.5877735867366347</v>
      </c>
      <c r="M136" s="17">
        <f t="shared" si="30"/>
        <v>7.4894146843319076</v>
      </c>
      <c r="N136" s="9">
        <v>6.5790403809808514E-3</v>
      </c>
      <c r="O136" s="17">
        <f t="shared" si="31"/>
        <v>8.18687992091618</v>
      </c>
      <c r="P136" s="17">
        <f t="shared" si="39"/>
        <v>7.476272724791877</v>
      </c>
      <c r="Q136" s="17">
        <f t="shared" si="32"/>
        <v>7.4447431294659916</v>
      </c>
      <c r="R136" s="8">
        <v>5.0193443947822488E-3</v>
      </c>
      <c r="S136" s="17">
        <v>6.1923061883182751</v>
      </c>
      <c r="T136" s="17">
        <f t="shared" ref="T136:T199" si="41">(((1+R136)*(1+R135)*(1+R134))^(12/3)-1)*100</f>
        <v>6.1042452343420317</v>
      </c>
      <c r="U136" s="17">
        <f t="shared" si="26"/>
        <v>6.5208487231364964</v>
      </c>
      <c r="V136" s="9">
        <v>4.5162238455640985E-3</v>
      </c>
      <c r="W136" s="17">
        <v>5.5561313017382874</v>
      </c>
      <c r="X136" s="17">
        <f t="shared" si="40"/>
        <v>5.5568614946030159</v>
      </c>
      <c r="Y136" s="17">
        <f t="shared" si="33"/>
        <v>6.2202345394244407</v>
      </c>
    </row>
    <row r="137" spans="1:25" x14ac:dyDescent="0.25">
      <c r="A137" s="7">
        <v>28581</v>
      </c>
      <c r="B137" s="28">
        <v>9.5016132065216773E-3</v>
      </c>
      <c r="C137" s="17">
        <f t="shared" si="34"/>
        <v>12.01706967841718</v>
      </c>
      <c r="D137" s="17">
        <f t="shared" si="36"/>
        <v>9.0734707405428985</v>
      </c>
      <c r="E137" s="17">
        <f t="shared" si="27"/>
        <v>5.4724261777713057</v>
      </c>
      <c r="F137" s="29">
        <v>5.1031395252281826E-3</v>
      </c>
      <c r="G137" s="17">
        <f t="shared" si="35"/>
        <v>6.29860240900324</v>
      </c>
      <c r="H137" s="17">
        <f t="shared" si="37"/>
        <v>3.3593224894744145</v>
      </c>
      <c r="I137" s="17">
        <f t="shared" si="28"/>
        <v>2.7707352639010585</v>
      </c>
      <c r="J137" s="8">
        <v>6.967522274003381E-3</v>
      </c>
      <c r="K137" s="17">
        <f t="shared" si="29"/>
        <v>8.6889921724846673</v>
      </c>
      <c r="L137" s="17">
        <f t="shared" si="38"/>
        <v>7.850146174674455</v>
      </c>
      <c r="M137" s="17">
        <f t="shared" si="30"/>
        <v>7.456437658217907</v>
      </c>
      <c r="N137" s="9">
        <v>6.9140485799135953E-3</v>
      </c>
      <c r="O137" s="17">
        <f t="shared" si="31"/>
        <v>8.6197509557375049</v>
      </c>
      <c r="P137" s="17">
        <f t="shared" si="39"/>
        <v>7.6407090951468026</v>
      </c>
      <c r="Q137" s="17">
        <f t="shared" si="32"/>
        <v>7.4252435894705648</v>
      </c>
      <c r="R137" s="8">
        <v>5.653554258016372E-3</v>
      </c>
      <c r="S137" s="17">
        <v>6.9992452597295474</v>
      </c>
      <c r="T137" s="17">
        <f t="shared" si="41"/>
        <v>6.636895221250172</v>
      </c>
      <c r="U137" s="17">
        <f t="shared" si="26"/>
        <v>6.4709107351154316</v>
      </c>
      <c r="V137" s="9">
        <v>5.2519059843019978E-3</v>
      </c>
      <c r="W137" s="17">
        <v>6.4875567048477301</v>
      </c>
      <c r="X137" s="17">
        <f t="shared" si="40"/>
        <v>5.9546887845540075</v>
      </c>
      <c r="Y137" s="17">
        <f t="shared" si="33"/>
        <v>6.1891954854444986</v>
      </c>
    </row>
    <row r="138" spans="1:25" x14ac:dyDescent="0.25">
      <c r="A138" s="7">
        <v>28611</v>
      </c>
      <c r="B138" s="28">
        <v>1.0808815607523777E-2</v>
      </c>
      <c r="C138" s="17">
        <f t="shared" si="34"/>
        <v>13.770129055943725</v>
      </c>
      <c r="D138" s="17">
        <f t="shared" si="36"/>
        <v>12.001740411092721</v>
      </c>
      <c r="E138" s="17">
        <f t="shared" si="27"/>
        <v>6.371216219534892</v>
      </c>
      <c r="F138" s="29">
        <v>7.0730524735310215E-3</v>
      </c>
      <c r="G138" s="17">
        <f t="shared" si="35"/>
        <v>8.8257582672572443</v>
      </c>
      <c r="H138" s="17">
        <f t="shared" si="37"/>
        <v>6.8463140759152941</v>
      </c>
      <c r="I138" s="17">
        <f t="shared" si="28"/>
        <v>3.3362337548027199</v>
      </c>
      <c r="J138" s="8">
        <v>7.7622359307142558E-3</v>
      </c>
      <c r="K138" s="17">
        <f t="shared" si="29"/>
        <v>9.7228195323579403</v>
      </c>
      <c r="L138" s="17">
        <f t="shared" si="38"/>
        <v>8.8944256299077651</v>
      </c>
      <c r="M138" s="17">
        <f t="shared" si="30"/>
        <v>7.6675355356609298</v>
      </c>
      <c r="N138" s="9">
        <v>7.6636565725567655E-3</v>
      </c>
      <c r="O138" s="17">
        <f t="shared" si="31"/>
        <v>9.5940916959823319</v>
      </c>
      <c r="P138" s="17">
        <f t="shared" si="39"/>
        <v>8.7986517264971873</v>
      </c>
      <c r="Q138" s="17">
        <f t="shared" si="32"/>
        <v>7.6555209766192789</v>
      </c>
      <c r="R138" s="8">
        <v>5.7621003871593229E-3</v>
      </c>
      <c r="S138" s="17">
        <v>7.1379162900258031</v>
      </c>
      <c r="T138" s="17">
        <f t="shared" si="41"/>
        <v>6.7756738284762807</v>
      </c>
      <c r="U138" s="17">
        <f t="shared" si="26"/>
        <v>6.4547052416381367</v>
      </c>
      <c r="V138" s="9">
        <v>5.115042025176166E-3</v>
      </c>
      <c r="W138" s="17">
        <v>6.3137089365060239</v>
      </c>
      <c r="X138" s="17">
        <f t="shared" si="40"/>
        <v>6.1183606486818753</v>
      </c>
      <c r="Y138" s="17">
        <f t="shared" si="33"/>
        <v>6.1511283200482714</v>
      </c>
    </row>
    <row r="139" spans="1:25" x14ac:dyDescent="0.25">
      <c r="A139" s="7">
        <v>28642</v>
      </c>
      <c r="B139" s="28">
        <v>1.0014823771526581E-2</v>
      </c>
      <c r="C139" s="17">
        <f t="shared" si="34"/>
        <v>12.702350710526144</v>
      </c>
      <c r="D139" s="17">
        <f t="shared" si="36"/>
        <v>12.82754649827902</v>
      </c>
      <c r="E139" s="17">
        <f t="shared" si="27"/>
        <v>7.1058889109261836</v>
      </c>
      <c r="F139" s="29">
        <v>8.5874523384240099E-3</v>
      </c>
      <c r="G139" s="17">
        <f t="shared" si="35"/>
        <v>10.805860434628457</v>
      </c>
      <c r="H139" s="17">
        <f t="shared" si="37"/>
        <v>8.6277195333067436</v>
      </c>
      <c r="I139" s="17">
        <f t="shared" si="28"/>
        <v>4.0767108230466587</v>
      </c>
      <c r="J139" s="8">
        <v>7.8233700089075688E-3</v>
      </c>
      <c r="K139" s="17">
        <f t="shared" si="29"/>
        <v>9.8027198304795107</v>
      </c>
      <c r="L139" s="17">
        <f t="shared" si="38"/>
        <v>9.4036654673665723</v>
      </c>
      <c r="M139" s="17">
        <f t="shared" si="30"/>
        <v>7.7423810590801612</v>
      </c>
      <c r="N139" s="9">
        <v>7.6509437672159977E-3</v>
      </c>
      <c r="O139" s="17">
        <f t="shared" si="31"/>
        <v>9.5775010210256148</v>
      </c>
      <c r="P139" s="17">
        <f t="shared" si="39"/>
        <v>9.2628301205482941</v>
      </c>
      <c r="Q139" s="17">
        <f t="shared" si="32"/>
        <v>7.6921534396314106</v>
      </c>
      <c r="R139" s="8">
        <v>5.9494969760816464E-3</v>
      </c>
      <c r="S139" s="17">
        <v>7.3777089911668314</v>
      </c>
      <c r="T139" s="17">
        <f t="shared" si="41"/>
        <v>7.1715095229641701</v>
      </c>
      <c r="U139" s="17">
        <f t="shared" si="26"/>
        <v>6.3449659120456081</v>
      </c>
      <c r="V139" s="9">
        <v>5.1805342106240543E-3</v>
      </c>
      <c r="W139" s="17">
        <v>6.3968661391950565</v>
      </c>
      <c r="X139" s="17">
        <f t="shared" si="40"/>
        <v>6.3993535748489316</v>
      </c>
      <c r="Y139" s="17">
        <f t="shared" si="33"/>
        <v>5.9311594637539766</v>
      </c>
    </row>
    <row r="140" spans="1:25" x14ac:dyDescent="0.25">
      <c r="A140" s="7">
        <v>28672</v>
      </c>
      <c r="B140" s="28">
        <v>4.720294414592742E-3</v>
      </c>
      <c r="C140" s="17">
        <f t="shared" si="34"/>
        <v>5.8137476642181607</v>
      </c>
      <c r="D140" s="17">
        <f t="shared" si="36"/>
        <v>10.705137035179501</v>
      </c>
      <c r="E140" s="17">
        <f t="shared" si="27"/>
        <v>7.3416238099340392</v>
      </c>
      <c r="F140" s="29">
        <v>7.2265445505669493E-3</v>
      </c>
      <c r="G140" s="17">
        <f t="shared" si="35"/>
        <v>9.0249640893856018</v>
      </c>
      <c r="H140" s="17">
        <f t="shared" si="37"/>
        <v>9.5485906968697734</v>
      </c>
      <c r="I140" s="17">
        <f t="shared" si="28"/>
        <v>4.5506837920235021</v>
      </c>
      <c r="J140" s="8">
        <v>8.5024738284642642E-3</v>
      </c>
      <c r="K140" s="17">
        <f t="shared" si="29"/>
        <v>10.693880996448968</v>
      </c>
      <c r="L140" s="17">
        <f t="shared" si="38"/>
        <v>10.072261753739076</v>
      </c>
      <c r="M140" s="17">
        <f t="shared" si="30"/>
        <v>7.9699326207022247</v>
      </c>
      <c r="N140" s="9">
        <v>8.5291972578748834E-3</v>
      </c>
      <c r="O140" s="17">
        <f t="shared" si="31"/>
        <v>10.729084296535184</v>
      </c>
      <c r="P140" s="17">
        <f t="shared" si="39"/>
        <v>9.96557445542512</v>
      </c>
      <c r="Q140" s="17">
        <f t="shared" si="32"/>
        <v>7.9262396394492507</v>
      </c>
      <c r="R140" s="8">
        <v>5.8884675087380461E-3</v>
      </c>
      <c r="S140" s="17">
        <v>7.2995617100940713</v>
      </c>
      <c r="T140" s="17">
        <f t="shared" si="41"/>
        <v>7.2716825113595895</v>
      </c>
      <c r="U140" s="17">
        <f t="shared" si="26"/>
        <v>6.4565294355349634</v>
      </c>
      <c r="V140" s="9">
        <v>5.3501912279030712E-3</v>
      </c>
      <c r="W140" s="17">
        <v>6.6125616156687439</v>
      </c>
      <c r="X140" s="17">
        <f t="shared" si="40"/>
        <v>6.4409710842235679</v>
      </c>
      <c r="Y140" s="17">
        <f t="shared" si="33"/>
        <v>6.0309852409540454</v>
      </c>
    </row>
    <row r="141" spans="1:25" x14ac:dyDescent="0.25">
      <c r="A141" s="7">
        <v>28703</v>
      </c>
      <c r="B141" s="28">
        <v>4.2445778961752991E-3</v>
      </c>
      <c r="C141" s="17">
        <f t="shared" si="34"/>
        <v>5.2141005545607966</v>
      </c>
      <c r="D141" s="17">
        <f t="shared" si="36"/>
        <v>7.8573318402872072</v>
      </c>
      <c r="E141" s="17">
        <f t="shared" si="27"/>
        <v>7.6439927285378406</v>
      </c>
      <c r="F141" s="29">
        <v>5.5552209412315602E-3</v>
      </c>
      <c r="G141" s="17">
        <f t="shared" si="35"/>
        <v>6.8737634687870308</v>
      </c>
      <c r="H141" s="17">
        <f t="shared" si="37"/>
        <v>8.8896483405402904</v>
      </c>
      <c r="I141" s="17">
        <f t="shared" si="28"/>
        <v>5.3024388171225567</v>
      </c>
      <c r="J141" s="8">
        <v>7.8894596994811324E-3</v>
      </c>
      <c r="K141" s="17">
        <f t="shared" si="29"/>
        <v>9.8891569491001974</v>
      </c>
      <c r="L141" s="17">
        <f t="shared" si="38"/>
        <v>10.127856057801798</v>
      </c>
      <c r="M141" s="17">
        <f t="shared" si="30"/>
        <v>8.2558486252806382</v>
      </c>
      <c r="N141" s="9">
        <v>7.692911605461341E-3</v>
      </c>
      <c r="O141" s="17">
        <f t="shared" si="31"/>
        <v>9.6322793282934036</v>
      </c>
      <c r="P141" s="17">
        <f t="shared" si="39"/>
        <v>9.9783453302277891</v>
      </c>
      <c r="Q141" s="17">
        <f t="shared" si="32"/>
        <v>8.1908172136684332</v>
      </c>
      <c r="R141" s="8">
        <v>6.2316988302888419E-3</v>
      </c>
      <c r="S141" s="17">
        <v>7.7397429094387293</v>
      </c>
      <c r="T141" s="17">
        <f t="shared" si="41"/>
        <v>7.4721669262506341</v>
      </c>
      <c r="U141" s="17">
        <f t="shared" ref="U141:U204" si="42">(((1+R133)*(1+R132)*(1+R131)*(1+R130)*(1+R134)*(1+R135)*(1+R136)*(1+R137)*(1+R138)*(1+R139)*(1+R140)*(1+R141))-1)*100</f>
        <v>6.5751949132383691</v>
      </c>
      <c r="V141" s="9">
        <v>5.4581750175051033E-3</v>
      </c>
      <c r="W141" s="17">
        <v>6.7500567722191152</v>
      </c>
      <c r="X141" s="17">
        <f t="shared" si="40"/>
        <v>6.586395695565872</v>
      </c>
      <c r="Y141" s="17">
        <f t="shared" si="33"/>
        <v>6.0703310865177329</v>
      </c>
    </row>
    <row r="142" spans="1:25" x14ac:dyDescent="0.25">
      <c r="A142" s="7">
        <v>28734</v>
      </c>
      <c r="B142" s="28">
        <v>5.6451552608061716E-3</v>
      </c>
      <c r="C142" s="17">
        <f t="shared" si="34"/>
        <v>6.9885221424635269</v>
      </c>
      <c r="D142" s="17">
        <f t="shared" si="36"/>
        <v>6.0028993087153815</v>
      </c>
      <c r="E142" s="17">
        <f t="shared" ref="E142:E205" si="43">(((1+B134)*(1+B133)*(1+B132)*(1+B131)*(1+B135)*(1+B136)*(1+B137)*(1+B138)*(1+B139)*(1+B140)*(1+B141)*(1+B142))-1)*100</f>
        <v>8.0170382673343745</v>
      </c>
      <c r="F142" s="29">
        <v>4.7493368169502356E-3</v>
      </c>
      <c r="G142" s="17">
        <f t="shared" si="35"/>
        <v>5.8504572726503223</v>
      </c>
      <c r="H142" s="17">
        <f t="shared" si="37"/>
        <v>7.2415949970588089</v>
      </c>
      <c r="I142" s="17">
        <f t="shared" ref="I142:I205" si="44">(((1+F134)*(1+F133)*(1+F132)*(1+F131)*(1+F135)*(1+F136)*(1+F137)*(1+F138)*(1+F139)*(1+F140)*(1+F141)*(1+F142))-1)*100</f>
        <v>5.8561642490928101</v>
      </c>
      <c r="J142" s="8">
        <v>9.3767106778355966E-3</v>
      </c>
      <c r="K142" s="17">
        <f t="shared" ref="K142:K205" si="45">((1+J142)^12 - 1)*100</f>
        <v>11.850868479650201</v>
      </c>
      <c r="L142" s="17">
        <f t="shared" si="38"/>
        <v>10.808379971005234</v>
      </c>
      <c r="M142" s="17">
        <f t="shared" ref="M142:M205" si="46">(((1+J134)*(1+J133)*(1+J132)*(1+J131)*(1+J135)*(1+J136)*(1+J137)*(1+J138)*(1+J139)*(1+J140)*(1+J141)*(1+J142))-1)*100</f>
        <v>8.6431856589620928</v>
      </c>
      <c r="N142" s="9">
        <v>9.6299127001267994E-3</v>
      </c>
      <c r="O142" s="17">
        <f t="shared" ref="O142:O205" si="47">((1+N142)^12 - 1)*100</f>
        <v>12.188026712718836</v>
      </c>
      <c r="P142" s="17">
        <f t="shared" si="39"/>
        <v>10.84485859941131</v>
      </c>
      <c r="Q142" s="17">
        <f t="shared" ref="Q142:Q205" si="48">(((1+N134)*(1+N133)*(1+N132)*(1+N131)*(1+N135)*(1+N136)*(1+N137)*(1+N138)*(1+N139)*(1+N140)*(1+N141)*(1+N142))-1)*100</f>
        <v>8.5934284989028775</v>
      </c>
      <c r="R142" s="8">
        <v>6.3131412509657607E-3</v>
      </c>
      <c r="S142" s="17">
        <v>7.844432427180692</v>
      </c>
      <c r="T142" s="17">
        <f t="shared" si="41"/>
        <v>7.6276532009736719</v>
      </c>
      <c r="U142" s="17">
        <f t="shared" si="42"/>
        <v>6.7169258166384083</v>
      </c>
      <c r="V142" s="9">
        <v>6.1268380679686471E-3</v>
      </c>
      <c r="W142" s="17">
        <v>7.6050876593421579</v>
      </c>
      <c r="X142" s="17">
        <f t="shared" si="40"/>
        <v>6.9883359887619401</v>
      </c>
      <c r="Y142" s="17">
        <f t="shared" ref="Y142:Y205" si="49">(((1+V134)*(1+V133)*(1+V132)*(1+V131)*(1+V135)*(1+V136)*(1+V137)*(1+V138)*(1+V139)*(1+V140)*(1+V141)*(1+V142))-1)*100</f>
        <v>6.1926702756945673</v>
      </c>
    </row>
    <row r="143" spans="1:25" x14ac:dyDescent="0.25">
      <c r="A143" s="7">
        <v>28764</v>
      </c>
      <c r="B143" s="28">
        <v>9.139484073936735E-3</v>
      </c>
      <c r="C143" s="17">
        <f t="shared" si="34"/>
        <v>11.535825783925091</v>
      </c>
      <c r="D143" s="17">
        <f t="shared" si="36"/>
        <v>7.8802243179727949</v>
      </c>
      <c r="E143" s="17">
        <f t="shared" si="43"/>
        <v>8.6396406542767146</v>
      </c>
      <c r="F143" s="29">
        <v>6.9378209530230345E-3</v>
      </c>
      <c r="G143" s="17">
        <f t="shared" si="35"/>
        <v>8.6505279767104639</v>
      </c>
      <c r="H143" s="17">
        <f t="shared" si="37"/>
        <v>7.1186837480047727</v>
      </c>
      <c r="I143" s="17">
        <f t="shared" si="44"/>
        <v>6.2255952775248424</v>
      </c>
      <c r="J143" s="8">
        <v>8.9222384726069942E-3</v>
      </c>
      <c r="K143" s="17">
        <f t="shared" si="45"/>
        <v>11.248032090236437</v>
      </c>
      <c r="L143" s="17">
        <f t="shared" si="38"/>
        <v>10.992980364507154</v>
      </c>
      <c r="M143" s="17">
        <f t="shared" si="46"/>
        <v>9.0749943992971982</v>
      </c>
      <c r="N143" s="9">
        <v>9.1293983979381706E-3</v>
      </c>
      <c r="O143" s="17">
        <f t="shared" si="47"/>
        <v>11.522449805055679</v>
      </c>
      <c r="P143" s="17">
        <f t="shared" si="39"/>
        <v>11.108960517584897</v>
      </c>
      <c r="Q143" s="17">
        <f t="shared" si="48"/>
        <v>9.052893706229348</v>
      </c>
      <c r="R143" s="8">
        <v>6.9495747810252723E-3</v>
      </c>
      <c r="S143" s="17">
        <v>8.6657480816606736</v>
      </c>
      <c r="T143" s="17">
        <f t="shared" si="41"/>
        <v>8.0825160492211658</v>
      </c>
      <c r="U143" s="17">
        <f t="shared" si="42"/>
        <v>6.9578314197423996</v>
      </c>
      <c r="V143" s="9">
        <v>6.9199277276684925E-3</v>
      </c>
      <c r="W143" s="17">
        <v>8.6273616796941788</v>
      </c>
      <c r="X143" s="17">
        <f t="shared" si="40"/>
        <v>7.6581015818518505</v>
      </c>
      <c r="Y143" s="17">
        <f t="shared" si="49"/>
        <v>6.4446170227530297</v>
      </c>
    </row>
    <row r="144" spans="1:25" x14ac:dyDescent="0.25">
      <c r="A144" s="7">
        <v>28795</v>
      </c>
      <c r="B144" s="28">
        <v>7.1452105854968775E-3</v>
      </c>
      <c r="C144" s="17">
        <f t="shared" si="34"/>
        <v>8.9193652590936026</v>
      </c>
      <c r="D144" s="17">
        <f t="shared" si="36"/>
        <v>9.1320280037509249</v>
      </c>
      <c r="E144" s="17">
        <f t="shared" si="43"/>
        <v>8.415321470306969</v>
      </c>
      <c r="F144" s="29">
        <v>5.3170826883767192E-3</v>
      </c>
      <c r="G144" s="17">
        <f t="shared" si="35"/>
        <v>6.5704372259571597</v>
      </c>
      <c r="H144" s="17">
        <f t="shared" si="37"/>
        <v>7.0172472663001306</v>
      </c>
      <c r="I144" s="17">
        <f t="shared" si="44"/>
        <v>6.3172332018943234</v>
      </c>
      <c r="J144" s="8">
        <v>7.3324352690396638E-3</v>
      </c>
      <c r="K144" s="17">
        <f t="shared" si="45"/>
        <v>9.1625864693458468</v>
      </c>
      <c r="L144" s="17">
        <f t="shared" si="38"/>
        <v>10.747816307692082</v>
      </c>
      <c r="M144" s="17">
        <f t="shared" si="46"/>
        <v>9.247291686438075</v>
      </c>
      <c r="N144" s="9">
        <v>7.2570043899473037E-3</v>
      </c>
      <c r="O144" s="17">
        <f t="shared" si="47"/>
        <v>9.0645353495503187</v>
      </c>
      <c r="P144" s="17">
        <f t="shared" si="39"/>
        <v>10.916831430258011</v>
      </c>
      <c r="Q144" s="17">
        <f t="shared" si="48"/>
        <v>9.2283437696238035</v>
      </c>
      <c r="R144" s="8">
        <v>6.8018510035025856E-3</v>
      </c>
      <c r="S144" s="17">
        <v>8.4746016427794224</v>
      </c>
      <c r="T144" s="17">
        <f t="shared" si="41"/>
        <v>8.3276916962378156</v>
      </c>
      <c r="U144" s="17">
        <f t="shared" si="42"/>
        <v>7.15266591502699</v>
      </c>
      <c r="V144" s="9">
        <v>6.5271366194914514E-3</v>
      </c>
      <c r="W144" s="17">
        <v>8.1199556532861816</v>
      </c>
      <c r="X144" s="17">
        <f t="shared" si="40"/>
        <v>8.1166628067937729</v>
      </c>
      <c r="Y144" s="17">
        <f t="shared" si="49"/>
        <v>6.6480558144473845</v>
      </c>
    </row>
    <row r="145" spans="1:25" x14ac:dyDescent="0.25">
      <c r="A145" s="7">
        <v>28825</v>
      </c>
      <c r="B145" s="28">
        <v>6.6307828426643498E-3</v>
      </c>
      <c r="C145" s="17">
        <f t="shared" si="34"/>
        <v>8.2536340039732092</v>
      </c>
      <c r="D145" s="17">
        <f t="shared" si="36"/>
        <v>9.5604963291607383</v>
      </c>
      <c r="E145" s="17">
        <f t="shared" si="43"/>
        <v>8.8229956776054266</v>
      </c>
      <c r="F145" s="29">
        <v>3.6213212163325151E-3</v>
      </c>
      <c r="G145" s="17">
        <f t="shared" si="35"/>
        <v>4.433190984013935</v>
      </c>
      <c r="H145" s="17">
        <f t="shared" si="37"/>
        <v>6.5374699469489927</v>
      </c>
      <c r="I145" s="17">
        <f t="shared" si="44"/>
        <v>6.3444712447166207</v>
      </c>
      <c r="J145" s="8">
        <v>4.7952767765167964E-3</v>
      </c>
      <c r="K145" s="17">
        <f t="shared" si="45"/>
        <v>5.9085492396893313</v>
      </c>
      <c r="L145" s="17">
        <f t="shared" si="38"/>
        <v>8.750782657559931</v>
      </c>
      <c r="M145" s="17">
        <f t="shared" si="46"/>
        <v>9.1314554973260353</v>
      </c>
      <c r="N145" s="9">
        <v>4.5252327298679991E-3</v>
      </c>
      <c r="O145" s="17">
        <f t="shared" si="47"/>
        <v>5.5674918734396783</v>
      </c>
      <c r="P145" s="17">
        <f t="shared" si="39"/>
        <v>8.6906082916641267</v>
      </c>
      <c r="Q145" s="17">
        <f t="shared" si="48"/>
        <v>9.0619237030765909</v>
      </c>
      <c r="R145" s="8">
        <v>6.169796963327809E-3</v>
      </c>
      <c r="S145" s="17">
        <v>7.6602339637042105</v>
      </c>
      <c r="T145" s="17">
        <f t="shared" si="41"/>
        <v>8.2659819257347102</v>
      </c>
      <c r="U145" s="17">
        <f t="shared" si="42"/>
        <v>7.2894451924201187</v>
      </c>
      <c r="V145" s="9">
        <v>5.9361780104867437E-3</v>
      </c>
      <c r="W145" s="17">
        <v>7.360649814242004</v>
      </c>
      <c r="X145" s="17">
        <f t="shared" si="40"/>
        <v>8.0347340887022778</v>
      </c>
      <c r="Y145" s="17">
        <f t="shared" si="49"/>
        <v>6.7410141281415425</v>
      </c>
    </row>
    <row r="146" spans="1:25" x14ac:dyDescent="0.25">
      <c r="A146" s="7">
        <v>28856</v>
      </c>
      <c r="B146" s="28">
        <v>1.0211281776147356E-2</v>
      </c>
      <c r="C146" s="17">
        <f t="shared" si="34"/>
        <v>12.965693156196711</v>
      </c>
      <c r="D146" s="17">
        <f t="shared" si="36"/>
        <v>10.026691138774325</v>
      </c>
      <c r="E146" s="17">
        <f t="shared" si="43"/>
        <v>9.416218193877901</v>
      </c>
      <c r="F146" s="29">
        <v>-3.600015336873173E-4</v>
      </c>
      <c r="G146" s="17">
        <f t="shared" si="35"/>
        <v>-0.43114749875082792</v>
      </c>
      <c r="H146" s="17">
        <f t="shared" si="37"/>
        <v>3.482346021604954</v>
      </c>
      <c r="I146" s="17">
        <f t="shared" si="44"/>
        <v>5.8453992846636549</v>
      </c>
      <c r="J146" s="8">
        <v>6.7913989485047189E-3</v>
      </c>
      <c r="K146" s="17">
        <f t="shared" si="45"/>
        <v>8.4610889409497005</v>
      </c>
      <c r="L146" s="17">
        <f t="shared" si="38"/>
        <v>7.8349642937842967</v>
      </c>
      <c r="M146" s="17">
        <f t="shared" si="46"/>
        <v>9.1788297947009934</v>
      </c>
      <c r="N146" s="9">
        <v>6.6437672345844752E-3</v>
      </c>
      <c r="O146" s="17">
        <f t="shared" si="47"/>
        <v>8.270391377476848</v>
      </c>
      <c r="P146" s="17">
        <f t="shared" si="39"/>
        <v>7.623675866414481</v>
      </c>
      <c r="Q146" s="17">
        <f t="shared" si="48"/>
        <v>9.0743292001008946</v>
      </c>
      <c r="R146" s="8">
        <v>5.8843809724713385E-3</v>
      </c>
      <c r="S146" s="17">
        <v>7.2943308269456164</v>
      </c>
      <c r="T146" s="17">
        <f t="shared" si="41"/>
        <v>7.808595008961472</v>
      </c>
      <c r="U146" s="17">
        <f t="shared" si="42"/>
        <v>7.4484992852895893</v>
      </c>
      <c r="V146" s="9">
        <v>5.376246049071335E-3</v>
      </c>
      <c r="W146" s="17">
        <v>6.6457222065886112</v>
      </c>
      <c r="X146" s="17">
        <f t="shared" si="40"/>
        <v>7.3737555215329209</v>
      </c>
      <c r="Y146" s="17">
        <f t="shared" si="49"/>
        <v>6.8546601098189219</v>
      </c>
    </row>
    <row r="147" spans="1:25" x14ac:dyDescent="0.25">
      <c r="A147" s="7">
        <v>28887</v>
      </c>
      <c r="B147" s="28">
        <v>1.2355498878822053E-2</v>
      </c>
      <c r="C147" s="17">
        <f t="shared" si="34"/>
        <v>15.876816237058167</v>
      </c>
      <c r="D147" s="17">
        <f t="shared" si="36"/>
        <v>12.3212350048872</v>
      </c>
      <c r="E147" s="17">
        <f t="shared" si="43"/>
        <v>10.311841584187253</v>
      </c>
      <c r="F147" s="29">
        <v>8.4903109118973467E-3</v>
      </c>
      <c r="G147" s="17">
        <f t="shared" si="35"/>
        <v>10.67786194439082</v>
      </c>
      <c r="H147" s="17">
        <f t="shared" si="37"/>
        <v>4.7950905017067447</v>
      </c>
      <c r="I147" s="17">
        <f t="shared" si="44"/>
        <v>6.8772358500825082</v>
      </c>
      <c r="J147" s="8">
        <v>9.6805175853226268E-3</v>
      </c>
      <c r="K147" s="17">
        <f t="shared" si="45"/>
        <v>12.255522663051943</v>
      </c>
      <c r="L147" s="17">
        <f t="shared" si="38"/>
        <v>8.8439343990090578</v>
      </c>
      <c r="M147" s="17">
        <f t="shared" si="46"/>
        <v>9.6504855575527682</v>
      </c>
      <c r="N147" s="9">
        <v>9.5800237859495815E-3</v>
      </c>
      <c r="O147" s="17">
        <f t="shared" si="47"/>
        <v>12.121522130088858</v>
      </c>
      <c r="P147" s="17">
        <f t="shared" si="39"/>
        <v>8.6199582972473543</v>
      </c>
      <c r="Q147" s="17">
        <f t="shared" si="48"/>
        <v>9.5744867912498144</v>
      </c>
      <c r="R147" s="8">
        <v>6.0020244763596279E-3</v>
      </c>
      <c r="S147" s="17">
        <v>7.4450114088559838</v>
      </c>
      <c r="T147" s="17">
        <f t="shared" si="41"/>
        <v>7.46642052447819</v>
      </c>
      <c r="U147" s="17">
        <f t="shared" si="42"/>
        <v>7.5090810727953761</v>
      </c>
      <c r="V147" s="9">
        <v>4.9502688817637999E-3</v>
      </c>
      <c r="W147" s="17">
        <v>6.1047554461241438</v>
      </c>
      <c r="X147" s="17">
        <f t="shared" si="40"/>
        <v>6.7024701162320621</v>
      </c>
      <c r="Y147" s="17">
        <f t="shared" si="49"/>
        <v>6.8783778093870263</v>
      </c>
    </row>
    <row r="148" spans="1:25" x14ac:dyDescent="0.25">
      <c r="A148" s="7">
        <v>28915</v>
      </c>
      <c r="B148" s="28">
        <v>1.3437548446164196E-2</v>
      </c>
      <c r="C148" s="17">
        <f t="shared" si="34"/>
        <v>17.371834713500832</v>
      </c>
      <c r="D148" s="17">
        <f t="shared" si="36"/>
        <v>15.390221331545618</v>
      </c>
      <c r="E148" s="17">
        <f t="shared" si="43"/>
        <v>10.88912878373467</v>
      </c>
      <c r="F148" s="29">
        <v>8.147653352483979E-3</v>
      </c>
      <c r="G148" s="17">
        <f t="shared" si="35"/>
        <v>10.227440387744569</v>
      </c>
      <c r="H148" s="17">
        <f t="shared" si="37"/>
        <v>6.6984216769243154</v>
      </c>
      <c r="I148" s="17">
        <f t="shared" si="44"/>
        <v>7.273160301940651</v>
      </c>
      <c r="J148" s="8">
        <v>7.7848596199329365E-3</v>
      </c>
      <c r="K148" s="17">
        <f t="shared" si="45"/>
        <v>9.7523817612521277</v>
      </c>
      <c r="L148" s="17">
        <f t="shared" si="38"/>
        <v>10.14510725083715</v>
      </c>
      <c r="M148" s="17">
        <f t="shared" si="46"/>
        <v>9.7742604447887729</v>
      </c>
      <c r="N148" s="9">
        <v>7.5291242974696113E-3</v>
      </c>
      <c r="O148" s="17">
        <f t="shared" si="47"/>
        <v>9.4186388563259449</v>
      </c>
      <c r="P148" s="17">
        <f t="shared" si="39"/>
        <v>9.9250486595694234</v>
      </c>
      <c r="Q148" s="17">
        <f t="shared" si="48"/>
        <v>9.6779113146916007</v>
      </c>
      <c r="R148" s="8">
        <v>6.5493176439682882E-3</v>
      </c>
      <c r="S148" s="17">
        <v>8.1485510322792045</v>
      </c>
      <c r="T148" s="17">
        <f t="shared" si="41"/>
        <v>7.6286548159711698</v>
      </c>
      <c r="U148" s="17">
        <f t="shared" si="42"/>
        <v>7.6727456022428919</v>
      </c>
      <c r="V148" s="9">
        <v>5.7408092397640727E-3</v>
      </c>
      <c r="W148" s="17">
        <v>7.1107032113422397</v>
      </c>
      <c r="X148" s="17">
        <f t="shared" si="40"/>
        <v>6.6196010093077629</v>
      </c>
      <c r="Y148" s="17">
        <f t="shared" si="49"/>
        <v>7.0086710762494953</v>
      </c>
    </row>
    <row r="149" spans="1:25" x14ac:dyDescent="0.25">
      <c r="A149" s="7">
        <v>28946</v>
      </c>
      <c r="B149" s="28">
        <v>1.4636318584708062E-2</v>
      </c>
      <c r="C149" s="17">
        <f t="shared" si="34"/>
        <v>19.048751259717058</v>
      </c>
      <c r="D149" s="17">
        <f t="shared" si="36"/>
        <v>17.425323141017412</v>
      </c>
      <c r="E149" s="17">
        <f t="shared" si="43"/>
        <v>11.453152653037524</v>
      </c>
      <c r="F149" s="29">
        <v>1.0017510038584176E-2</v>
      </c>
      <c r="G149" s="17">
        <f t="shared" si="35"/>
        <v>12.705947723562595</v>
      </c>
      <c r="H149" s="17">
        <f t="shared" si="37"/>
        <v>11.198545416073436</v>
      </c>
      <c r="I149" s="17">
        <f t="shared" si="44"/>
        <v>7.7976637435589691</v>
      </c>
      <c r="J149" s="8">
        <v>9.1115206837348219E-3</v>
      </c>
      <c r="K149" s="17">
        <f t="shared" si="45"/>
        <v>11.498743363866515</v>
      </c>
      <c r="L149" s="17">
        <f t="shared" si="38"/>
        <v>11.163927145942388</v>
      </c>
      <c r="M149" s="17">
        <f t="shared" si="46"/>
        <v>10.007987784168648</v>
      </c>
      <c r="N149" s="9">
        <v>9.1469089069155275E-3</v>
      </c>
      <c r="O149" s="17">
        <f t="shared" si="47"/>
        <v>11.545673798833844</v>
      </c>
      <c r="P149" s="17">
        <f t="shared" si="39"/>
        <v>11.022501410973028</v>
      </c>
      <c r="Q149" s="17">
        <f t="shared" si="48"/>
        <v>9.9211251791405211</v>
      </c>
      <c r="R149" s="8">
        <v>6.4794394375484558E-3</v>
      </c>
      <c r="S149" s="17">
        <v>8.0584887761713233</v>
      </c>
      <c r="T149" s="17">
        <f t="shared" si="41"/>
        <v>7.8835636203143711</v>
      </c>
      <c r="U149" s="17">
        <f t="shared" si="42"/>
        <v>7.761171009239054</v>
      </c>
      <c r="V149" s="9">
        <v>5.9394536115959752E-3</v>
      </c>
      <c r="W149" s="17">
        <v>7.3648450342125971</v>
      </c>
      <c r="X149" s="17">
        <f t="shared" si="40"/>
        <v>6.8587132559068786</v>
      </c>
      <c r="Y149" s="17">
        <f t="shared" si="49"/>
        <v>7.0818602514804763</v>
      </c>
    </row>
    <row r="150" spans="1:25" x14ac:dyDescent="0.25">
      <c r="A150" s="7">
        <v>28976</v>
      </c>
      <c r="B150" s="28">
        <v>1.4804888230165682E-2</v>
      </c>
      <c r="C150" s="17">
        <f t="shared" si="34"/>
        <v>19.286310506160874</v>
      </c>
      <c r="D150" s="17">
        <f t="shared" si="36"/>
        <v>18.565894275182913</v>
      </c>
      <c r="E150" s="17">
        <f t="shared" si="43"/>
        <v>11.893765046941397</v>
      </c>
      <c r="F150" s="29">
        <v>8.2050733495593834E-3</v>
      </c>
      <c r="G150" s="17">
        <f t="shared" si="35"/>
        <v>10.302801281745943</v>
      </c>
      <c r="H150" s="17">
        <f t="shared" si="37"/>
        <v>11.072794884905779</v>
      </c>
      <c r="I150" s="17">
        <f t="shared" si="44"/>
        <v>7.9188358923371505</v>
      </c>
      <c r="J150" s="8">
        <v>9.3878952798146387E-3</v>
      </c>
      <c r="K150" s="17">
        <f t="shared" si="45"/>
        <v>11.865742019042468</v>
      </c>
      <c r="L150" s="17">
        <f t="shared" si="38"/>
        <v>11.035114494318421</v>
      </c>
      <c r="M150" s="17">
        <f t="shared" si="46"/>
        <v>10.185445826791039</v>
      </c>
      <c r="N150" s="9">
        <v>9.1600996059046039E-3</v>
      </c>
      <c r="O150" s="17">
        <f t="shared" si="47"/>
        <v>11.563171404106743</v>
      </c>
      <c r="P150" s="17">
        <f t="shared" si="39"/>
        <v>10.83790206254247</v>
      </c>
      <c r="Q150" s="17">
        <f t="shared" si="48"/>
        <v>10.084364868216511</v>
      </c>
      <c r="R150" s="8">
        <v>7.1023975604851989E-3</v>
      </c>
      <c r="S150" s="17">
        <v>8.8638172325214537</v>
      </c>
      <c r="T150" s="17">
        <f t="shared" si="41"/>
        <v>8.3563542560679327</v>
      </c>
      <c r="U150" s="17">
        <f t="shared" si="42"/>
        <v>7.9047755384238139</v>
      </c>
      <c r="V150" s="9">
        <v>6.1016146556831354E-3</v>
      </c>
      <c r="W150" s="17">
        <v>7.5727204486274458</v>
      </c>
      <c r="X150" s="17">
        <f t="shared" si="40"/>
        <v>7.3492566152088656</v>
      </c>
      <c r="Y150" s="17">
        <f t="shared" si="49"/>
        <v>7.1869666603299631</v>
      </c>
    </row>
    <row r="151" spans="1:25" x14ac:dyDescent="0.25">
      <c r="A151" s="7">
        <v>29007</v>
      </c>
      <c r="B151" s="28">
        <v>1.3783796206135016E-2</v>
      </c>
      <c r="C151" s="17">
        <f t="shared" si="34"/>
        <v>17.853950521040041</v>
      </c>
      <c r="D151" s="17">
        <f t="shared" si="36"/>
        <v>18.728012678227014</v>
      </c>
      <c r="E151" s="17">
        <f t="shared" si="43"/>
        <v>12.311307944472038</v>
      </c>
      <c r="F151" s="29">
        <v>3.8391691583150871E-3</v>
      </c>
      <c r="G151" s="17">
        <f t="shared" si="35"/>
        <v>4.7055375606710026</v>
      </c>
      <c r="H151" s="17">
        <f t="shared" si="37"/>
        <v>9.1861810206819161</v>
      </c>
      <c r="I151" s="17">
        <f t="shared" si="44"/>
        <v>7.4107696933214839</v>
      </c>
      <c r="J151" s="8">
        <v>9.1654453017852907E-3</v>
      </c>
      <c r="K151" s="17">
        <f t="shared" si="45"/>
        <v>11.570263244082902</v>
      </c>
      <c r="L151" s="17">
        <f t="shared" si="38"/>
        <v>11.644803260857749</v>
      </c>
      <c r="M151" s="17">
        <f t="shared" si="46"/>
        <v>10.332175074077243</v>
      </c>
      <c r="N151" s="9">
        <v>9.3541862490116087E-3</v>
      </c>
      <c r="O151" s="17">
        <f t="shared" si="47"/>
        <v>11.820920480529784</v>
      </c>
      <c r="P151" s="17">
        <f t="shared" si="39"/>
        <v>11.643184353778979</v>
      </c>
      <c r="Q151" s="17">
        <f t="shared" si="48"/>
        <v>10.27044157263961</v>
      </c>
      <c r="R151" s="8">
        <v>5.5233638920407935E-3</v>
      </c>
      <c r="S151" s="17">
        <v>6.8331400661520103</v>
      </c>
      <c r="T151" s="17">
        <f t="shared" si="41"/>
        <v>7.9152481756760817</v>
      </c>
      <c r="U151" s="17">
        <f t="shared" si="42"/>
        <v>7.8590656942207682</v>
      </c>
      <c r="V151" s="9">
        <v>5.0576574180039172E-3</v>
      </c>
      <c r="W151" s="17">
        <v>6.240895121139256</v>
      </c>
      <c r="X151" s="17">
        <f t="shared" si="40"/>
        <v>7.0578847107808373</v>
      </c>
      <c r="Y151" s="17">
        <f t="shared" si="49"/>
        <v>7.1738637497326785</v>
      </c>
    </row>
    <row r="152" spans="1:25" x14ac:dyDescent="0.25">
      <c r="A152" s="7">
        <v>29037</v>
      </c>
      <c r="B152" s="28">
        <v>1.2251360623170931E-2</v>
      </c>
      <c r="C152" s="17">
        <f t="shared" si="34"/>
        <v>15.733857943040451</v>
      </c>
      <c r="D152" s="17">
        <f t="shared" si="36"/>
        <v>17.615635767070881</v>
      </c>
      <c r="E152" s="17">
        <f t="shared" si="43"/>
        <v>13.15315806017483</v>
      </c>
      <c r="F152" s="29">
        <v>9.3531823986986505E-4</v>
      </c>
      <c r="G152" s="17">
        <f t="shared" si="35"/>
        <v>1.128173740344951</v>
      </c>
      <c r="H152" s="17">
        <f t="shared" si="37"/>
        <v>5.3115777021146782</v>
      </c>
      <c r="I152" s="17">
        <f t="shared" si="44"/>
        <v>6.739872501420674</v>
      </c>
      <c r="J152" s="8">
        <v>1.0341431789199386E-2</v>
      </c>
      <c r="K152" s="17">
        <f t="shared" si="45"/>
        <v>13.140463434926787</v>
      </c>
      <c r="L152" s="17">
        <f t="shared" si="38"/>
        <v>12.190092544750787</v>
      </c>
      <c r="M152" s="17">
        <f t="shared" si="46"/>
        <v>10.533360729980924</v>
      </c>
      <c r="N152" s="9">
        <v>1.0669934465635248E-2</v>
      </c>
      <c r="O152" s="17">
        <f t="shared" si="47"/>
        <v>13.582691939706738</v>
      </c>
      <c r="P152" s="17">
        <f t="shared" si="39"/>
        <v>12.318688547180967</v>
      </c>
      <c r="Q152" s="17">
        <f t="shared" si="48"/>
        <v>10.504505234685846</v>
      </c>
      <c r="R152" s="8">
        <v>6.5695921801400235E-3</v>
      </c>
      <c r="S152" s="17">
        <v>8.1746946649900352</v>
      </c>
      <c r="T152" s="17">
        <f t="shared" si="41"/>
        <v>7.9539182664585706</v>
      </c>
      <c r="U152" s="17">
        <f t="shared" si="42"/>
        <v>7.9321010982955853</v>
      </c>
      <c r="V152" s="9">
        <v>6.3618998173645275E-3</v>
      </c>
      <c r="W152" s="17">
        <v>7.907153358352681</v>
      </c>
      <c r="X152" s="17">
        <f t="shared" si="40"/>
        <v>7.2378346839155894</v>
      </c>
      <c r="Y152" s="17">
        <f t="shared" si="49"/>
        <v>7.2817154410810936</v>
      </c>
    </row>
    <row r="153" spans="1:25" x14ac:dyDescent="0.25">
      <c r="A153" s="7">
        <v>29068</v>
      </c>
      <c r="B153" s="28">
        <v>7.9912102788585512E-3</v>
      </c>
      <c r="C153" s="17">
        <f t="shared" si="34"/>
        <v>10.022356030613278</v>
      </c>
      <c r="D153" s="17">
        <f t="shared" si="36"/>
        <v>14.488492956203691</v>
      </c>
      <c r="E153" s="17">
        <f t="shared" si="43"/>
        <v>13.575309491730714</v>
      </c>
      <c r="F153" s="29">
        <v>-7.4611026834954085E-4</v>
      </c>
      <c r="G153" s="17">
        <f t="shared" si="35"/>
        <v>-0.89166735277467213</v>
      </c>
      <c r="H153" s="17">
        <f t="shared" si="37"/>
        <v>1.6211241946136434</v>
      </c>
      <c r="I153" s="17">
        <f t="shared" si="44"/>
        <v>6.0709850292137491</v>
      </c>
      <c r="J153" s="8">
        <v>1.1163179329604974E-2</v>
      </c>
      <c r="K153" s="17">
        <f t="shared" si="45"/>
        <v>14.249671763136496</v>
      </c>
      <c r="L153" s="17">
        <f t="shared" si="38"/>
        <v>12.981444766928574</v>
      </c>
      <c r="M153" s="17">
        <f t="shared" si="46"/>
        <v>10.892383467368472</v>
      </c>
      <c r="N153" s="9">
        <v>1.1612671456657649E-2</v>
      </c>
      <c r="O153" s="17">
        <f t="shared" si="47"/>
        <v>14.860612574588107</v>
      </c>
      <c r="P153" s="17">
        <f t="shared" si="39"/>
        <v>13.414552313279525</v>
      </c>
      <c r="Q153" s="17">
        <f t="shared" si="48"/>
        <v>10.934349602951876</v>
      </c>
      <c r="R153" s="8">
        <v>6.9998249653393718E-3</v>
      </c>
      <c r="S153" s="17">
        <v>8.7308393988546626</v>
      </c>
      <c r="T153" s="17">
        <f t="shared" si="41"/>
        <v>7.9099448948830808</v>
      </c>
      <c r="U153" s="17">
        <f t="shared" si="42"/>
        <v>8.0144931236719064</v>
      </c>
      <c r="V153" s="9">
        <v>6.9531310552981215E-3</v>
      </c>
      <c r="W153" s="17">
        <v>8.6703535084330152</v>
      </c>
      <c r="X153" s="17">
        <f t="shared" si="40"/>
        <v>7.6013397839447716</v>
      </c>
      <c r="Y153" s="17">
        <f t="shared" si="49"/>
        <v>7.4412262514045757</v>
      </c>
    </row>
    <row r="154" spans="1:25" x14ac:dyDescent="0.25">
      <c r="A154" s="7">
        <v>29099</v>
      </c>
      <c r="B154" s="28">
        <v>1.0771804953624243E-2</v>
      </c>
      <c r="C154" s="17">
        <f t="shared" si="34"/>
        <v>13.720150951887788</v>
      </c>
      <c r="D154" s="17">
        <f t="shared" si="36"/>
        <v>13.133945408794133</v>
      </c>
      <c r="E154" s="17">
        <f t="shared" si="43"/>
        <v>14.154301815684711</v>
      </c>
      <c r="F154" s="29">
        <v>-7.3073104355277075E-4</v>
      </c>
      <c r="G154" s="17">
        <f t="shared" si="35"/>
        <v>-0.87336163441501524</v>
      </c>
      <c r="H154" s="17">
        <f t="shared" si="37"/>
        <v>-0.21676704115709544</v>
      </c>
      <c r="I154" s="17">
        <f t="shared" si="44"/>
        <v>5.4924564602554238</v>
      </c>
      <c r="J154" s="8">
        <v>9.5759744336203056E-3</v>
      </c>
      <c r="K154" s="17">
        <f t="shared" si="45"/>
        <v>12.116125713513458</v>
      </c>
      <c r="L154" s="17">
        <f t="shared" si="38"/>
        <v>13.16540066740972</v>
      </c>
      <c r="M154" s="17">
        <f t="shared" si="46"/>
        <v>10.914275029343123</v>
      </c>
      <c r="N154" s="9">
        <v>1.0051948671439775E-2</v>
      </c>
      <c r="O154" s="17">
        <f t="shared" si="47"/>
        <v>12.752071677252253</v>
      </c>
      <c r="P154" s="17">
        <f t="shared" si="39"/>
        <v>13.728489726658921</v>
      </c>
      <c r="Q154" s="17">
        <f t="shared" si="48"/>
        <v>10.98072133322432</v>
      </c>
      <c r="R154" s="8">
        <v>5.4543046842446246E-3</v>
      </c>
      <c r="S154" s="17">
        <v>6.7451258912507139</v>
      </c>
      <c r="T154" s="17">
        <f t="shared" si="41"/>
        <v>7.8803029874389363</v>
      </c>
      <c r="U154" s="17">
        <f t="shared" si="42"/>
        <v>7.9223083030353081</v>
      </c>
      <c r="V154" s="9">
        <v>5.476743168430484E-3</v>
      </c>
      <c r="W154" s="17">
        <v>6.7737158668095487</v>
      </c>
      <c r="X154" s="17">
        <f t="shared" si="40"/>
        <v>7.7809211267091394</v>
      </c>
      <c r="Y154" s="17">
        <f t="shared" si="49"/>
        <v>7.3718045934749732</v>
      </c>
    </row>
    <row r="155" spans="1:25" x14ac:dyDescent="0.25">
      <c r="A155" s="7">
        <v>29129</v>
      </c>
      <c r="B155" s="28">
        <v>7.7732983613910548E-3</v>
      </c>
      <c r="C155" s="17">
        <f t="shared" si="34"/>
        <v>9.7372738271552564</v>
      </c>
      <c r="D155" s="17">
        <f t="shared" si="36"/>
        <v>11.145234136547067</v>
      </c>
      <c r="E155" s="17">
        <f t="shared" si="43"/>
        <v>13.999758287631824</v>
      </c>
      <c r="F155" s="29">
        <v>4.1863417092197447E-4</v>
      </c>
      <c r="G155" s="17">
        <f t="shared" si="35"/>
        <v>0.50351930086973695</v>
      </c>
      <c r="H155" s="17">
        <f t="shared" si="37"/>
        <v>-0.42264048529415676</v>
      </c>
      <c r="I155" s="17">
        <f t="shared" si="44"/>
        <v>4.8094698711568684</v>
      </c>
      <c r="J155" s="8">
        <v>1.1496910226792592E-2</v>
      </c>
      <c r="K155" s="17">
        <f t="shared" si="45"/>
        <v>14.702986547842478</v>
      </c>
      <c r="L155" s="17">
        <f t="shared" si="38"/>
        <v>13.683976520721597</v>
      </c>
      <c r="M155" s="17">
        <f t="shared" si="46"/>
        <v>11.197317507905581</v>
      </c>
      <c r="N155" s="9">
        <v>1.1612981421588604E-2</v>
      </c>
      <c r="O155" s="17">
        <f t="shared" si="47"/>
        <v>14.861034904076709</v>
      </c>
      <c r="P155" s="17">
        <f t="shared" si="39"/>
        <v>14.153560300593316</v>
      </c>
      <c r="Q155" s="17">
        <f t="shared" si="48"/>
        <v>11.253857598893724</v>
      </c>
      <c r="R155" s="8">
        <v>6.7261264131470051E-3</v>
      </c>
      <c r="S155" s="17">
        <v>8.3767377267936372</v>
      </c>
      <c r="T155" s="17">
        <f t="shared" si="41"/>
        <v>7.9474256195013027</v>
      </c>
      <c r="U155" s="17">
        <f t="shared" si="42"/>
        <v>7.8983596721883265</v>
      </c>
      <c r="V155" s="9">
        <v>5.8462619131763082E-3</v>
      </c>
      <c r="W155" s="17">
        <v>7.2455486009114223</v>
      </c>
      <c r="X155" s="17">
        <f t="shared" si="40"/>
        <v>7.560192464233717</v>
      </c>
      <c r="Y155" s="17">
        <f t="shared" si="49"/>
        <v>7.2573154142881346</v>
      </c>
    </row>
    <row r="156" spans="1:25" x14ac:dyDescent="0.25">
      <c r="A156" s="7">
        <v>29160</v>
      </c>
      <c r="B156" s="28">
        <v>6.6668907772693201E-3</v>
      </c>
      <c r="C156" s="17">
        <f t="shared" si="34"/>
        <v>8.3002400062774271</v>
      </c>
      <c r="D156" s="17">
        <f t="shared" si="36"/>
        <v>10.562284689527136</v>
      </c>
      <c r="E156" s="17">
        <f t="shared" si="43"/>
        <v>13.945616797458449</v>
      </c>
      <c r="F156" s="29">
        <v>1.8689673565477974E-3</v>
      </c>
      <c r="G156" s="17">
        <f t="shared" si="35"/>
        <v>2.2659591151678926</v>
      </c>
      <c r="H156" s="17">
        <f t="shared" si="37"/>
        <v>0.62384643474899804</v>
      </c>
      <c r="I156" s="17">
        <f t="shared" si="44"/>
        <v>4.4499861359186044</v>
      </c>
      <c r="J156" s="8">
        <v>1.2776200077143175E-2</v>
      </c>
      <c r="K156" s="17">
        <f t="shared" si="45"/>
        <v>16.455993326886475</v>
      </c>
      <c r="L156" s="17">
        <f t="shared" si="38"/>
        <v>14.411114793730961</v>
      </c>
      <c r="M156" s="17">
        <f t="shared" si="46"/>
        <v>11.798243302222255</v>
      </c>
      <c r="N156" s="9">
        <v>1.3311014873329214E-2</v>
      </c>
      <c r="O156" s="17">
        <f t="shared" si="47"/>
        <v>17.1961007484541</v>
      </c>
      <c r="P156" s="17">
        <f t="shared" si="39"/>
        <v>14.922078615670342</v>
      </c>
      <c r="Q156" s="17">
        <f t="shared" si="48"/>
        <v>11.922537009694478</v>
      </c>
      <c r="R156" s="8">
        <v>9.3538971522362634E-3</v>
      </c>
      <c r="S156" s="17">
        <v>11.820536151416562</v>
      </c>
      <c r="T156" s="17">
        <f t="shared" si="41"/>
        <v>8.960369174668914</v>
      </c>
      <c r="U156" s="17">
        <f t="shared" si="42"/>
        <v>8.171860950500065</v>
      </c>
      <c r="V156" s="9">
        <v>9.6716216238516839E-3</v>
      </c>
      <c r="W156" s="17">
        <v>12.243654682279548</v>
      </c>
      <c r="X156" s="17">
        <f t="shared" si="40"/>
        <v>8.7264338498090233</v>
      </c>
      <c r="Y156" s="17">
        <f t="shared" si="49"/>
        <v>7.5923973089113916</v>
      </c>
    </row>
    <row r="157" spans="1:25" x14ac:dyDescent="0.25">
      <c r="A157" s="7">
        <v>29190</v>
      </c>
      <c r="B157" s="28">
        <v>1.1283607028162257E-2</v>
      </c>
      <c r="C157" s="17">
        <f t="shared" si="34"/>
        <v>14.413061903987789</v>
      </c>
      <c r="D157" s="17">
        <f t="shared" si="36"/>
        <v>10.786386704251338</v>
      </c>
      <c r="E157" s="17">
        <f t="shared" si="43"/>
        <v>14.472293440675665</v>
      </c>
      <c r="F157" s="29">
        <v>5.9843295056213799E-3</v>
      </c>
      <c r="G157" s="17">
        <f t="shared" si="35"/>
        <v>7.4223348849298931</v>
      </c>
      <c r="H157" s="17">
        <f t="shared" si="37"/>
        <v>3.3559899540144489</v>
      </c>
      <c r="I157" s="17">
        <f t="shared" si="44"/>
        <v>4.695911743354042</v>
      </c>
      <c r="J157" s="8">
        <v>1.1458433374436425E-2</v>
      </c>
      <c r="K157" s="17">
        <f t="shared" si="45"/>
        <v>14.650638548490535</v>
      </c>
      <c r="L157" s="17">
        <f t="shared" si="38"/>
        <v>15.266829913385372</v>
      </c>
      <c r="M157" s="17">
        <f t="shared" si="46"/>
        <v>12.539617410672331</v>
      </c>
      <c r="N157" s="9">
        <v>1.1794091632582843E-2</v>
      </c>
      <c r="O157" s="17">
        <f t="shared" si="47"/>
        <v>15.108042435690304</v>
      </c>
      <c r="P157" s="17">
        <f t="shared" si="39"/>
        <v>15.717005146608853</v>
      </c>
      <c r="Q157" s="17">
        <f t="shared" si="48"/>
        <v>12.732421224694734</v>
      </c>
      <c r="R157" s="8">
        <v>8.2662750935522927E-3</v>
      </c>
      <c r="S157" s="17">
        <v>10.383177526289389</v>
      </c>
      <c r="T157" s="17">
        <f t="shared" si="41"/>
        <v>10.184417143722225</v>
      </c>
      <c r="U157" s="17">
        <f t="shared" si="42"/>
        <v>8.3972502848578046</v>
      </c>
      <c r="V157" s="9">
        <v>8.2264169812731047E-3</v>
      </c>
      <c r="W157" s="17">
        <v>10.330825776763298</v>
      </c>
      <c r="X157" s="17">
        <f t="shared" si="40"/>
        <v>9.9206566849829194</v>
      </c>
      <c r="Y157" s="17">
        <f t="shared" si="49"/>
        <v>7.8373554947920754</v>
      </c>
    </row>
    <row r="158" spans="1:25" x14ac:dyDescent="0.25">
      <c r="A158" s="7">
        <v>29221</v>
      </c>
      <c r="B158" s="28">
        <v>1.973304550132415E-2</v>
      </c>
      <c r="C158" s="17">
        <f t="shared" si="34"/>
        <v>26.426443068588945</v>
      </c>
      <c r="D158" s="17">
        <f t="shared" si="36"/>
        <v>16.139775522221832</v>
      </c>
      <c r="E158" s="17">
        <f t="shared" si="43"/>
        <v>15.551254001584081</v>
      </c>
      <c r="F158" s="29">
        <v>1.1042811891809752E-2</v>
      </c>
      <c r="G158" s="17">
        <f t="shared" si="35"/>
        <v>14.086577134518198</v>
      </c>
      <c r="H158" s="17">
        <f t="shared" si="37"/>
        <v>7.8168761772382744</v>
      </c>
      <c r="I158" s="17">
        <f t="shared" si="44"/>
        <v>5.8901696260452496</v>
      </c>
      <c r="J158" s="8">
        <v>1.2728394708664475E-2</v>
      </c>
      <c r="K158" s="17">
        <f t="shared" si="45"/>
        <v>16.390046557067883</v>
      </c>
      <c r="L158" s="17">
        <f t="shared" si="38"/>
        <v>15.829199421550101</v>
      </c>
      <c r="M158" s="17">
        <f t="shared" si="46"/>
        <v>13.2032575968271</v>
      </c>
      <c r="N158" s="9">
        <v>1.3232390650769307E-2</v>
      </c>
      <c r="O158" s="17">
        <f t="shared" si="47"/>
        <v>17.087026386515049</v>
      </c>
      <c r="P158" s="17">
        <f t="shared" si="39"/>
        <v>16.45975417736263</v>
      </c>
      <c r="Q158" s="17">
        <f t="shared" si="48"/>
        <v>13.470270595465372</v>
      </c>
      <c r="R158" s="8">
        <v>8.4245338350374659E-3</v>
      </c>
      <c r="S158" s="17">
        <v>10.591267693689698</v>
      </c>
      <c r="T158" s="17">
        <f t="shared" si="41"/>
        <v>10.929851793432377</v>
      </c>
      <c r="U158" s="17">
        <f t="shared" si="42"/>
        <v>8.6709851104638922</v>
      </c>
      <c r="V158" s="9">
        <v>8.4836748434936049E-3</v>
      </c>
      <c r="W158" s="17">
        <v>10.669122870460136</v>
      </c>
      <c r="X158" s="17">
        <f t="shared" si="40"/>
        <v>11.078083635948088</v>
      </c>
      <c r="Y158" s="17">
        <f t="shared" si="49"/>
        <v>8.1706604688212217</v>
      </c>
    </row>
    <row r="159" spans="1:25" x14ac:dyDescent="0.25">
      <c r="A159" s="7">
        <v>29252</v>
      </c>
      <c r="B159" s="28">
        <v>1.4129019300573413E-2</v>
      </c>
      <c r="C159" s="17">
        <f t="shared" si="34"/>
        <v>18.336446216390279</v>
      </c>
      <c r="D159" s="17">
        <f t="shared" si="36"/>
        <v>19.621896506464065</v>
      </c>
      <c r="E159" s="17">
        <f t="shared" si="43"/>
        <v>15.753685369772175</v>
      </c>
      <c r="F159" s="29">
        <v>8.7676873925174106E-3</v>
      </c>
      <c r="G159" s="17">
        <f t="shared" si="35"/>
        <v>11.043706827195511</v>
      </c>
      <c r="H159" s="17">
        <f t="shared" si="37"/>
        <v>10.81733361709496</v>
      </c>
      <c r="I159" s="17">
        <f t="shared" si="44"/>
        <v>5.9192937953756797</v>
      </c>
      <c r="J159" s="8">
        <v>1.0260586519898314E-2</v>
      </c>
      <c r="K159" s="17">
        <f t="shared" si="45"/>
        <v>13.031872261641553</v>
      </c>
      <c r="L159" s="17">
        <f t="shared" si="38"/>
        <v>14.682657208708182</v>
      </c>
      <c r="M159" s="17">
        <f t="shared" si="46"/>
        <v>13.268293706646972</v>
      </c>
      <c r="N159" s="9">
        <v>1.0749722482926882E-2</v>
      </c>
      <c r="O159" s="17">
        <f t="shared" si="47"/>
        <v>13.690341016578467</v>
      </c>
      <c r="P159" s="17">
        <f t="shared" si="39"/>
        <v>15.286734505278243</v>
      </c>
      <c r="Q159" s="17">
        <f t="shared" si="48"/>
        <v>13.601737170213401</v>
      </c>
      <c r="R159" s="8">
        <v>8.7843573485355386E-3</v>
      </c>
      <c r="S159" s="17">
        <v>11.065728888171167</v>
      </c>
      <c r="T159" s="17">
        <f t="shared" si="41"/>
        <v>10.679689735924924</v>
      </c>
      <c r="U159" s="17">
        <f t="shared" si="42"/>
        <v>8.9715400266251457</v>
      </c>
      <c r="V159" s="9">
        <v>9.484031003330444E-3</v>
      </c>
      <c r="W159" s="17">
        <v>11.993660286666309</v>
      </c>
      <c r="X159" s="17">
        <f t="shared" si="40"/>
        <v>10.99555620910435</v>
      </c>
      <c r="Y159" s="17">
        <f t="shared" si="49"/>
        <v>8.6586647594654842</v>
      </c>
    </row>
    <row r="160" spans="1:25" x14ac:dyDescent="0.25">
      <c r="A160" s="7">
        <v>29281</v>
      </c>
      <c r="B160" s="28">
        <v>1.7804124895284455E-2</v>
      </c>
      <c r="C160" s="17">
        <f t="shared" si="34"/>
        <v>23.586342461676079</v>
      </c>
      <c r="D160" s="17">
        <f t="shared" si="36"/>
        <v>22.737038646545351</v>
      </c>
      <c r="E160" s="17">
        <f t="shared" si="43"/>
        <v>16.252430770719116</v>
      </c>
      <c r="F160" s="29">
        <v>5.9862649275342116E-3</v>
      </c>
      <c r="G160" s="17">
        <f t="shared" si="35"/>
        <v>7.4248149602323066</v>
      </c>
      <c r="H160" s="17">
        <f t="shared" si="37"/>
        <v>10.818186429245081</v>
      </c>
      <c r="I160" s="17">
        <f t="shared" si="44"/>
        <v>5.6922112496524679</v>
      </c>
      <c r="J160" s="8">
        <v>1.3448079028934728E-2</v>
      </c>
      <c r="K160" s="17">
        <f t="shared" si="45"/>
        <v>17.386470813717114</v>
      </c>
      <c r="L160" s="17">
        <f t="shared" si="38"/>
        <v>15.587694929714502</v>
      </c>
      <c r="M160" s="17">
        <f t="shared" si="46"/>
        <v>13.904801779993026</v>
      </c>
      <c r="N160" s="9">
        <v>1.4038367123476432E-2</v>
      </c>
      <c r="O160" s="17">
        <f t="shared" si="47"/>
        <v>18.209572608078297</v>
      </c>
      <c r="P160" s="17">
        <f t="shared" si="39"/>
        <v>16.313019695397912</v>
      </c>
      <c r="Q160" s="17">
        <f t="shared" si="48"/>
        <v>14.335672572043823</v>
      </c>
      <c r="R160" s="8">
        <v>1.0222616235011219E-2</v>
      </c>
      <c r="S160" s="17">
        <v>12.980903645818277</v>
      </c>
      <c r="T160" s="17">
        <f t="shared" si="41"/>
        <v>11.541201199078866</v>
      </c>
      <c r="U160" s="17">
        <f t="shared" si="42"/>
        <v>9.3692204953581779</v>
      </c>
      <c r="V160" s="9">
        <v>1.0730722560827259E-2</v>
      </c>
      <c r="W160" s="17">
        <v>13.664698059563673</v>
      </c>
      <c r="X160" s="17">
        <f t="shared" si="40"/>
        <v>12.102466930808564</v>
      </c>
      <c r="Y160" s="17">
        <f t="shared" si="49"/>
        <v>9.1977671939605052</v>
      </c>
    </row>
    <row r="161" spans="1:25" x14ac:dyDescent="0.25">
      <c r="A161" s="7">
        <v>29312</v>
      </c>
      <c r="B161" s="28">
        <v>4.4856846515496434E-3</v>
      </c>
      <c r="C161" s="17">
        <f t="shared" si="34"/>
        <v>5.5176284666582198</v>
      </c>
      <c r="D161" s="17">
        <f t="shared" si="36"/>
        <v>15.559239393696412</v>
      </c>
      <c r="E161" s="17">
        <f t="shared" si="43"/>
        <v>15.089417140141247</v>
      </c>
      <c r="F161" s="29">
        <v>5.2201849205290784E-3</v>
      </c>
      <c r="G161" s="17">
        <f t="shared" si="35"/>
        <v>6.4472406920778491</v>
      </c>
      <c r="H161" s="17">
        <f t="shared" si="37"/>
        <v>8.2873330337745124</v>
      </c>
      <c r="I161" s="17">
        <f t="shared" si="44"/>
        <v>5.1902002500694877</v>
      </c>
      <c r="J161" s="8">
        <v>1.2312830916405214E-2</v>
      </c>
      <c r="K161" s="17">
        <f t="shared" si="45"/>
        <v>15.818223203046955</v>
      </c>
      <c r="L161" s="17">
        <f t="shared" si="38"/>
        <v>15.39809027884016</v>
      </c>
      <c r="M161" s="17">
        <f t="shared" si="46"/>
        <v>14.266153919983914</v>
      </c>
      <c r="N161" s="9">
        <v>1.2906978104710323E-2</v>
      </c>
      <c r="O161" s="17">
        <f t="shared" si="47"/>
        <v>16.636574656999237</v>
      </c>
      <c r="P161" s="17">
        <f t="shared" si="39"/>
        <v>16.163670005234486</v>
      </c>
      <c r="Q161" s="17">
        <f t="shared" si="48"/>
        <v>14.761685907518496</v>
      </c>
      <c r="R161" s="8">
        <v>9.4643944059121833E-3</v>
      </c>
      <c r="S161" s="17">
        <v>11.967520923357068</v>
      </c>
      <c r="T161" s="17">
        <f t="shared" si="41"/>
        <v>12.00198659707965</v>
      </c>
      <c r="U161" s="17">
        <f t="shared" si="42"/>
        <v>9.6935810190924343</v>
      </c>
      <c r="V161" s="9">
        <v>1.0075329587301427E-2</v>
      </c>
      <c r="W161" s="17">
        <v>12.783395797144582</v>
      </c>
      <c r="X161" s="17">
        <f t="shared" si="40"/>
        <v>12.811853838865694</v>
      </c>
      <c r="Y161" s="17">
        <f t="shared" si="49"/>
        <v>9.6467290279125493</v>
      </c>
    </row>
    <row r="162" spans="1:25" x14ac:dyDescent="0.25">
      <c r="A162" s="7">
        <v>29342</v>
      </c>
      <c r="B162" s="28">
        <v>5.3798704090573099E-3</v>
      </c>
      <c r="C162" s="17">
        <f t="shared" si="34"/>
        <v>6.6503357647891725</v>
      </c>
      <c r="D162" s="17">
        <f t="shared" si="36"/>
        <v>11.622713574038301</v>
      </c>
      <c r="E162" s="17">
        <f t="shared" si="43"/>
        <v>14.020522202653773</v>
      </c>
      <c r="F162" s="29">
        <v>4.377978263685159E-3</v>
      </c>
      <c r="G162" s="17">
        <f t="shared" si="35"/>
        <v>5.3819384572521223</v>
      </c>
      <c r="H162" s="17">
        <f t="shared" si="37"/>
        <v>6.4147269852271593</v>
      </c>
      <c r="I162" s="17">
        <f t="shared" si="44"/>
        <v>4.7909036098317204</v>
      </c>
      <c r="J162" s="8">
        <v>1.1847953517713034E-2</v>
      </c>
      <c r="K162" s="17">
        <f t="shared" si="45"/>
        <v>15.181595959609663</v>
      </c>
      <c r="L162" s="17">
        <f t="shared" si="38"/>
        <v>16.125076182970233</v>
      </c>
      <c r="M162" s="17">
        <f t="shared" si="46"/>
        <v>14.544640906580808</v>
      </c>
      <c r="N162" s="9">
        <v>1.2342115148281518E-2</v>
      </c>
      <c r="O162" s="17">
        <f t="shared" si="47"/>
        <v>15.858434338709127</v>
      </c>
      <c r="P162" s="17">
        <f t="shared" si="39"/>
        <v>16.897445217864448</v>
      </c>
      <c r="Q162" s="17">
        <f t="shared" si="48"/>
        <v>15.123544713043625</v>
      </c>
      <c r="R162" s="8">
        <v>8.7647352588850185E-3</v>
      </c>
      <c r="S162" s="17">
        <v>11.039807290095126</v>
      </c>
      <c r="T162" s="17">
        <f t="shared" si="41"/>
        <v>11.993272548791435</v>
      </c>
      <c r="U162" s="17">
        <f t="shared" si="42"/>
        <v>9.8746428211914594</v>
      </c>
      <c r="V162" s="9">
        <v>9.1107460427984621E-3</v>
      </c>
      <c r="W162" s="17">
        <v>11.49771626874918</v>
      </c>
      <c r="X162" s="17">
        <f t="shared" si="40"/>
        <v>12.645085013169366</v>
      </c>
      <c r="Y162" s="17">
        <f t="shared" si="49"/>
        <v>9.974669475483843</v>
      </c>
    </row>
    <row r="163" spans="1:25" x14ac:dyDescent="0.25">
      <c r="A163" s="7">
        <v>29373</v>
      </c>
      <c r="B163" s="28">
        <v>3.1249068230729507E-3</v>
      </c>
      <c r="C163" s="17">
        <f t="shared" si="34"/>
        <v>3.8150135396728624</v>
      </c>
      <c r="D163" s="17">
        <f t="shared" si="36"/>
        <v>5.3212014316252665</v>
      </c>
      <c r="E163" s="17">
        <f t="shared" si="43"/>
        <v>12.821714194373101</v>
      </c>
      <c r="F163" s="29">
        <v>2.3310498496288789E-3</v>
      </c>
      <c r="G163" s="17">
        <f t="shared" si="35"/>
        <v>2.8334029847651765</v>
      </c>
      <c r="H163" s="17">
        <f t="shared" si="37"/>
        <v>4.8765195454202104</v>
      </c>
      <c r="I163" s="17">
        <f t="shared" si="44"/>
        <v>4.6334708357737453</v>
      </c>
      <c r="J163" s="8">
        <v>1.448688017345399E-2</v>
      </c>
      <c r="K163" s="17">
        <f t="shared" si="45"/>
        <v>18.838515709321491</v>
      </c>
      <c r="L163" s="17">
        <f t="shared" si="38"/>
        <v>16.601929272070535</v>
      </c>
      <c r="M163" s="17">
        <f t="shared" si="46"/>
        <v>15.148646770357432</v>
      </c>
      <c r="N163" s="9">
        <v>1.5158529639466581E-2</v>
      </c>
      <c r="O163" s="17">
        <f t="shared" si="47"/>
        <v>19.786097528426929</v>
      </c>
      <c r="P163" s="17">
        <f t="shared" si="39"/>
        <v>17.414827094393726</v>
      </c>
      <c r="Q163" s="17">
        <f t="shared" si="48"/>
        <v>15.785568604106249</v>
      </c>
      <c r="R163" s="8">
        <v>7.0492545709586298E-3</v>
      </c>
      <c r="S163" s="17">
        <v>8.7949026519827278</v>
      </c>
      <c r="T163" s="17">
        <f t="shared" si="41"/>
        <v>10.592693790592689</v>
      </c>
      <c r="U163" s="17">
        <f t="shared" si="42"/>
        <v>10.041378572294546</v>
      </c>
      <c r="V163" s="9">
        <v>6.7686309860439031E-3</v>
      </c>
      <c r="W163" s="17">
        <v>8.4316592392567493</v>
      </c>
      <c r="X163" s="17">
        <f t="shared" si="40"/>
        <v>10.889156703853665</v>
      </c>
      <c r="Y163" s="17">
        <f t="shared" si="49"/>
        <v>10.161886349299687</v>
      </c>
    </row>
    <row r="164" spans="1:25" x14ac:dyDescent="0.25">
      <c r="A164" s="7">
        <v>29403</v>
      </c>
      <c r="B164" s="28">
        <v>7.8148643526840134E-3</v>
      </c>
      <c r="C164" s="17">
        <f t="shared" si="34"/>
        <v>9.7916000148707827</v>
      </c>
      <c r="D164" s="17">
        <f t="shared" si="36"/>
        <v>6.7244278915832956</v>
      </c>
      <c r="E164" s="17">
        <f t="shared" si="43"/>
        <v>12.327239073149144</v>
      </c>
      <c r="F164" s="29">
        <v>6.0571259515888815E-3</v>
      </c>
      <c r="G164" s="17">
        <f t="shared" si="35"/>
        <v>7.5156533638061962</v>
      </c>
      <c r="H164" s="17">
        <f t="shared" si="37"/>
        <v>5.2262345498023555</v>
      </c>
      <c r="I164" s="17">
        <f t="shared" si="44"/>
        <v>5.1688825732404409</v>
      </c>
      <c r="J164" s="8">
        <v>-2.8346717168095895E-3</v>
      </c>
      <c r="K164" s="17">
        <f t="shared" si="45"/>
        <v>-3.3490705854550606</v>
      </c>
      <c r="L164" s="17">
        <f t="shared" si="38"/>
        <v>9.7780339101605449</v>
      </c>
      <c r="M164" s="17">
        <f t="shared" si="46"/>
        <v>13.646965813122724</v>
      </c>
      <c r="N164" s="9">
        <v>-3.6691086222543352E-3</v>
      </c>
      <c r="O164" s="17">
        <f t="shared" si="47"/>
        <v>-4.3151565514594648</v>
      </c>
      <c r="P164" s="17">
        <f t="shared" si="39"/>
        <v>9.9155339905231621</v>
      </c>
      <c r="Q164" s="17">
        <f t="shared" si="48"/>
        <v>14.142842130751788</v>
      </c>
      <c r="R164" s="8">
        <v>6.099541432978672E-3</v>
      </c>
      <c r="S164" s="17">
        <v>7.5700604428125207</v>
      </c>
      <c r="T164" s="17">
        <f t="shared" si="41"/>
        <v>9.1254933120838988</v>
      </c>
      <c r="U164" s="17">
        <f t="shared" si="42"/>
        <v>9.9899911345869175</v>
      </c>
      <c r="V164" s="9">
        <v>6.3648095635416837E-3</v>
      </c>
      <c r="W164" s="17">
        <v>7.9108973882506373</v>
      </c>
      <c r="X164" s="17">
        <f t="shared" si="40"/>
        <v>9.2687042926424148</v>
      </c>
      <c r="Y164" s="17">
        <f t="shared" si="49"/>
        <v>10.162204866055724</v>
      </c>
    </row>
    <row r="165" spans="1:25" x14ac:dyDescent="0.25">
      <c r="A165" s="7">
        <v>29434</v>
      </c>
      <c r="B165" s="28">
        <v>1.1122740735119121E-2</v>
      </c>
      <c r="C165" s="17">
        <f t="shared" si="34"/>
        <v>14.194854734732099</v>
      </c>
      <c r="D165" s="17">
        <f t="shared" si="36"/>
        <v>9.1839005331458381</v>
      </c>
      <c r="E165" s="17">
        <f t="shared" si="43"/>
        <v>12.676206570720749</v>
      </c>
      <c r="F165" s="29">
        <v>8.7703515855205218E-3</v>
      </c>
      <c r="G165" s="17">
        <f t="shared" si="35"/>
        <v>11.047226125061416</v>
      </c>
      <c r="H165" s="17">
        <f t="shared" si="37"/>
        <v>7.0790575971255043</v>
      </c>
      <c r="I165" s="17">
        <f t="shared" si="44"/>
        <v>6.1704655237868167</v>
      </c>
      <c r="J165" s="8">
        <v>4.2852346489090304E-3</v>
      </c>
      <c r="K165" s="17">
        <f t="shared" si="45"/>
        <v>5.2652269401565865</v>
      </c>
      <c r="L165" s="17">
        <f t="shared" si="38"/>
        <v>6.5326494992576922</v>
      </c>
      <c r="M165" s="17">
        <f t="shared" si="46"/>
        <v>12.873937720357453</v>
      </c>
      <c r="N165" s="9">
        <v>3.9578942232469461E-3</v>
      </c>
      <c r="O165" s="17">
        <f t="shared" si="47"/>
        <v>4.8542378107815143</v>
      </c>
      <c r="P165" s="17">
        <f t="shared" si="39"/>
        <v>6.3192370862749314</v>
      </c>
      <c r="Q165" s="17">
        <f t="shared" si="48"/>
        <v>13.27913405951826</v>
      </c>
      <c r="R165" s="8">
        <v>7.1621002350337583E-3</v>
      </c>
      <c r="S165" s="17">
        <v>8.9412859859777214</v>
      </c>
      <c r="T165" s="17">
        <f t="shared" si="41"/>
        <v>8.4336689358296866</v>
      </c>
      <c r="U165" s="17">
        <f t="shared" si="42"/>
        <v>10.007715721059029</v>
      </c>
      <c r="V165" s="9">
        <v>7.1256790209860777E-3</v>
      </c>
      <c r="W165" s="17">
        <v>8.8940206868113769</v>
      </c>
      <c r="X165" s="17">
        <f t="shared" si="40"/>
        <v>8.4114484808737178</v>
      </c>
      <c r="Y165" s="17">
        <f t="shared" si="49"/>
        <v>10.181081876076426</v>
      </c>
    </row>
    <row r="166" spans="1:25" x14ac:dyDescent="0.25">
      <c r="A166" s="7">
        <v>29465</v>
      </c>
      <c r="B166" s="28">
        <v>9.6062781150379941E-3</v>
      </c>
      <c r="C166" s="17">
        <f t="shared" si="34"/>
        <v>12.156516044430532</v>
      </c>
      <c r="D166" s="17">
        <f t="shared" si="36"/>
        <v>12.033194678742532</v>
      </c>
      <c r="E166" s="17">
        <f t="shared" si="43"/>
        <v>12.546278982530602</v>
      </c>
      <c r="F166" s="29">
        <v>1.2875525446162155E-2</v>
      </c>
      <c r="G166" s="17">
        <f t="shared" si="35"/>
        <v>16.593120669969675</v>
      </c>
      <c r="H166" s="17">
        <f t="shared" si="37"/>
        <v>11.656526467710604</v>
      </c>
      <c r="I166" s="17">
        <f t="shared" si="44"/>
        <v>7.6161044826008828</v>
      </c>
      <c r="J166" s="8">
        <v>8.4208623093318426E-3</v>
      </c>
      <c r="K166" s="17">
        <f t="shared" si="45"/>
        <v>10.586436031573143</v>
      </c>
      <c r="L166" s="17">
        <f t="shared" si="38"/>
        <v>4.0074086101761885</v>
      </c>
      <c r="M166" s="17">
        <f t="shared" si="46"/>
        <v>12.744792359058522</v>
      </c>
      <c r="N166" s="9">
        <v>8.4767258284644039E-3</v>
      </c>
      <c r="O166" s="17">
        <f t="shared" si="47"/>
        <v>10.659972353428415</v>
      </c>
      <c r="P166" s="17">
        <f t="shared" si="39"/>
        <v>3.5475669050235581</v>
      </c>
      <c r="Q166" s="17">
        <f t="shared" si="48"/>
        <v>13.102469997993737</v>
      </c>
      <c r="R166" s="8">
        <v>9.4036065985938916E-3</v>
      </c>
      <c r="S166" s="17">
        <v>11.886638352094492</v>
      </c>
      <c r="T166" s="17">
        <f t="shared" si="41"/>
        <v>9.4512464965685883</v>
      </c>
      <c r="U166" s="17">
        <f t="shared" si="42"/>
        <v>10.439812615235455</v>
      </c>
      <c r="V166" s="9">
        <v>9.7532376805187487E-3</v>
      </c>
      <c r="W166" s="17">
        <v>12.352580691950976</v>
      </c>
      <c r="X166" s="17">
        <f t="shared" si="40"/>
        <v>9.7027370868348441</v>
      </c>
      <c r="Y166" s="17">
        <f t="shared" si="49"/>
        <v>10.649704144249682</v>
      </c>
    </row>
    <row r="167" spans="1:25" x14ac:dyDescent="0.25">
      <c r="A167" s="7">
        <v>29495</v>
      </c>
      <c r="B167" s="28">
        <v>7.466543838179439E-3</v>
      </c>
      <c r="C167" s="17">
        <f t="shared" si="34"/>
        <v>9.3371111296302054</v>
      </c>
      <c r="D167" s="17">
        <f t="shared" si="36"/>
        <v>11.878391509442142</v>
      </c>
      <c r="E167" s="17">
        <f t="shared" si="43"/>
        <v>12.512021198359569</v>
      </c>
      <c r="F167" s="29">
        <v>8.2751923127685426E-3</v>
      </c>
      <c r="G167" s="17">
        <f t="shared" si="35"/>
        <v>10.394892989519589</v>
      </c>
      <c r="H167" s="17">
        <f t="shared" si="37"/>
        <v>12.644469665753967</v>
      </c>
      <c r="I167" s="17">
        <f t="shared" si="44"/>
        <v>8.4612428606632761</v>
      </c>
      <c r="J167" s="8">
        <v>1.1145923163523981E-2</v>
      </c>
      <c r="K167" s="17">
        <f t="shared" si="45"/>
        <v>14.226277007711907</v>
      </c>
      <c r="L167" s="17">
        <f t="shared" si="38"/>
        <v>9.9641036032350527</v>
      </c>
      <c r="M167" s="17">
        <f t="shared" si="46"/>
        <v>12.705670179673834</v>
      </c>
      <c r="N167" s="9">
        <v>1.1610817499288224E-2</v>
      </c>
      <c r="O167" s="17">
        <f t="shared" si="47"/>
        <v>14.858086573812624</v>
      </c>
      <c r="P167" s="17">
        <f t="shared" si="39"/>
        <v>10.04729554058661</v>
      </c>
      <c r="Q167" s="17">
        <f t="shared" si="48"/>
        <v>13.102228062627553</v>
      </c>
      <c r="R167" s="8">
        <v>5.6087399209206572E-3</v>
      </c>
      <c r="S167" s="17">
        <v>6.9420415618498987</v>
      </c>
      <c r="T167" s="17">
        <f t="shared" si="41"/>
        <v>9.2378300713317874</v>
      </c>
      <c r="U167" s="17">
        <f t="shared" si="42"/>
        <v>10.317233145424765</v>
      </c>
      <c r="V167" s="9">
        <v>5.3196062774548154E-3</v>
      </c>
      <c r="W167" s="17">
        <v>6.5736474812186918</v>
      </c>
      <c r="X167" s="17">
        <f t="shared" si="40"/>
        <v>9.2477006877566872</v>
      </c>
      <c r="Y167" s="17">
        <f t="shared" si="49"/>
        <v>10.591768560567449</v>
      </c>
    </row>
    <row r="168" spans="1:25" x14ac:dyDescent="0.25">
      <c r="A168" s="7">
        <v>29526</v>
      </c>
      <c r="B168" s="28">
        <v>9.7405920463411698E-3</v>
      </c>
      <c r="C168" s="17">
        <f t="shared" si="34"/>
        <v>12.335697298377891</v>
      </c>
      <c r="D168" s="17">
        <f t="shared" si="36"/>
        <v>11.267918444094271</v>
      </c>
      <c r="E168" s="17">
        <f t="shared" si="43"/>
        <v>12.855559210299372</v>
      </c>
      <c r="F168" s="29">
        <v>1.2055198095753011E-2</v>
      </c>
      <c r="G168" s="17">
        <f t="shared" si="35"/>
        <v>15.465010121743417</v>
      </c>
      <c r="H168" s="17">
        <f t="shared" si="37"/>
        <v>14.118862942769894</v>
      </c>
      <c r="I168" s="17">
        <f t="shared" si="44"/>
        <v>9.5639931024986033</v>
      </c>
      <c r="J168" s="8">
        <v>1.1130688331226444E-2</v>
      </c>
      <c r="K168" s="17">
        <f t="shared" si="45"/>
        <v>14.205626291332397</v>
      </c>
      <c r="L168" s="17">
        <f t="shared" si="38"/>
        <v>12.993066371609485</v>
      </c>
      <c r="M168" s="17">
        <f t="shared" si="46"/>
        <v>12.522551239775904</v>
      </c>
      <c r="N168" s="9">
        <v>1.1422654339491804E-2</v>
      </c>
      <c r="O168" s="17">
        <f t="shared" si="47"/>
        <v>14.60198059781337</v>
      </c>
      <c r="P168" s="17">
        <f t="shared" si="39"/>
        <v>13.356932703257396</v>
      </c>
      <c r="Q168" s="17">
        <f t="shared" si="48"/>
        <v>12.891455870647395</v>
      </c>
      <c r="R168" s="8">
        <v>6.9196791209169958E-3</v>
      </c>
      <c r="S168" s="17">
        <v>8.6270398412865426</v>
      </c>
      <c r="T168" s="17">
        <f t="shared" si="41"/>
        <v>9.1326950709494028</v>
      </c>
      <c r="U168" s="17">
        <f t="shared" si="42"/>
        <v>10.051185529375095</v>
      </c>
      <c r="V168" s="9">
        <v>6.5697182825261904E-3</v>
      </c>
      <c r="W168" s="17">
        <v>8.1748572897696761</v>
      </c>
      <c r="X168" s="17">
        <f t="shared" si="40"/>
        <v>9.0066695670120378</v>
      </c>
      <c r="Y168" s="17">
        <f t="shared" si="49"/>
        <v>10.252009604215505</v>
      </c>
    </row>
    <row r="169" spans="1:25" x14ac:dyDescent="0.25">
      <c r="A169" s="7">
        <v>29556</v>
      </c>
      <c r="B169" s="28">
        <v>7.6145539774527459E-3</v>
      </c>
      <c r="C169" s="17">
        <f t="shared" si="34"/>
        <v>9.5300237433366686</v>
      </c>
      <c r="D169" s="17">
        <f t="shared" si="36"/>
        <v>10.392487807084926</v>
      </c>
      <c r="E169" s="17">
        <f t="shared" si="43"/>
        <v>12.446106282424019</v>
      </c>
      <c r="F169" s="29">
        <v>6.4946669351324017E-3</v>
      </c>
      <c r="G169" s="17">
        <f t="shared" si="35"/>
        <v>8.0781088169752824</v>
      </c>
      <c r="H169" s="17">
        <f t="shared" si="37"/>
        <v>11.270243682094726</v>
      </c>
      <c r="I169" s="17">
        <f t="shared" si="44"/>
        <v>9.619575088188558</v>
      </c>
      <c r="J169" s="8">
        <v>1.0002275102454761E-2</v>
      </c>
      <c r="K169" s="17">
        <f t="shared" si="45"/>
        <v>12.685548962686411</v>
      </c>
      <c r="L169" s="17">
        <f t="shared" si="38"/>
        <v>13.703521532948336</v>
      </c>
      <c r="M169" s="17">
        <f t="shared" si="46"/>
        <v>12.360556798515798</v>
      </c>
      <c r="N169" s="9">
        <v>1.0123357732835851E-2</v>
      </c>
      <c r="O169" s="17">
        <f t="shared" si="47"/>
        <v>12.847765580365223</v>
      </c>
      <c r="P169" s="17">
        <f t="shared" si="39"/>
        <v>14.099100740313531</v>
      </c>
      <c r="Q169" s="17">
        <f t="shared" si="48"/>
        <v>12.705042860456128</v>
      </c>
      <c r="R169" s="8">
        <v>7.1584267658220749E-3</v>
      </c>
      <c r="S169" s="17">
        <v>8.9365179221444269</v>
      </c>
      <c r="T169" s="17">
        <f t="shared" si="41"/>
        <v>8.1649701928786058</v>
      </c>
      <c r="U169" s="17">
        <f t="shared" si="42"/>
        <v>9.9302650693089625</v>
      </c>
      <c r="V169" s="9">
        <v>6.7555408186450484E-3</v>
      </c>
      <c r="W169" s="17">
        <v>8.4147422989189415</v>
      </c>
      <c r="X169" s="17">
        <f t="shared" si="40"/>
        <v>7.7179717826834748</v>
      </c>
      <c r="Y169" s="17">
        <f t="shared" si="49"/>
        <v>10.091165720265071</v>
      </c>
    </row>
    <row r="170" spans="1:25" x14ac:dyDescent="0.25">
      <c r="A170" s="7">
        <v>29587</v>
      </c>
      <c r="B170" s="28">
        <v>1.2370581002166186E-2</v>
      </c>
      <c r="C170" s="17">
        <f t="shared" si="34"/>
        <v>15.897533998519698</v>
      </c>
      <c r="D170" s="17">
        <f t="shared" si="36"/>
        <v>12.557659582924963</v>
      </c>
      <c r="E170" s="17">
        <f t="shared" si="43"/>
        <v>11.634246287079964</v>
      </c>
      <c r="F170" s="29">
        <v>6.0526905395869926E-3</v>
      </c>
      <c r="G170" s="17">
        <f t="shared" si="35"/>
        <v>7.5099654403997684</v>
      </c>
      <c r="H170" s="17">
        <f t="shared" si="37"/>
        <v>10.292408061058644</v>
      </c>
      <c r="I170" s="17">
        <f t="shared" si="44"/>
        <v>9.0785347130083025</v>
      </c>
      <c r="J170" s="8">
        <v>7.3034478207697059E-3</v>
      </c>
      <c r="K170" s="17">
        <f t="shared" si="45"/>
        <v>9.1248966985024502</v>
      </c>
      <c r="L170" s="17">
        <f t="shared" si="38"/>
        <v>11.98500061162855</v>
      </c>
      <c r="M170" s="17">
        <f t="shared" si="46"/>
        <v>11.758667826002455</v>
      </c>
      <c r="N170" s="9">
        <v>7.2090990500281883E-3</v>
      </c>
      <c r="O170" s="17">
        <f t="shared" si="47"/>
        <v>9.0023060619184534</v>
      </c>
      <c r="P170" s="17">
        <f t="shared" si="39"/>
        <v>12.126153674783247</v>
      </c>
      <c r="Q170" s="17">
        <f t="shared" si="48"/>
        <v>12.035053088823888</v>
      </c>
      <c r="R170" s="8">
        <v>8.7178587703158599E-3</v>
      </c>
      <c r="S170" s="17">
        <v>10.977903943028267</v>
      </c>
      <c r="T170" s="17">
        <f t="shared" si="41"/>
        <v>9.5088749874394409</v>
      </c>
      <c r="U170" s="17">
        <f t="shared" si="42"/>
        <v>9.9622409750953054</v>
      </c>
      <c r="V170" s="9">
        <v>8.8439862114431667E-3</v>
      </c>
      <c r="W170" s="17">
        <v>11.144535145198642</v>
      </c>
      <c r="X170" s="17">
        <f t="shared" si="40"/>
        <v>9.2364544396682078</v>
      </c>
      <c r="Y170" s="17">
        <f t="shared" si="49"/>
        <v>10.130499126952097</v>
      </c>
    </row>
    <row r="171" spans="1:25" x14ac:dyDescent="0.25">
      <c r="A171" s="7">
        <v>29618</v>
      </c>
      <c r="B171" s="28">
        <v>1.7503279289235524E-2</v>
      </c>
      <c r="C171" s="17">
        <f t="shared" si="34"/>
        <v>23.148694129099677</v>
      </c>
      <c r="D171" s="17">
        <f t="shared" si="36"/>
        <v>16.05906373119803</v>
      </c>
      <c r="E171" s="17">
        <f t="shared" si="43"/>
        <v>12.005681245987599</v>
      </c>
      <c r="F171" s="29">
        <v>5.2521560696715307E-3</v>
      </c>
      <c r="G171" s="17">
        <f t="shared" si="35"/>
        <v>6.4878746074500171</v>
      </c>
      <c r="H171" s="17">
        <f t="shared" si="37"/>
        <v>7.356630598464875</v>
      </c>
      <c r="I171" s="17">
        <f t="shared" si="44"/>
        <v>8.6983986219873355</v>
      </c>
      <c r="J171" s="8">
        <v>4.4071365864198839E-3</v>
      </c>
      <c r="K171" s="17">
        <f t="shared" si="45"/>
        <v>5.4186567205227076</v>
      </c>
      <c r="L171" s="17">
        <f t="shared" si="38"/>
        <v>9.0359845542669746</v>
      </c>
      <c r="M171" s="17">
        <f t="shared" si="46"/>
        <v>11.111138094089213</v>
      </c>
      <c r="N171" s="9">
        <v>3.6129461964973272E-3</v>
      </c>
      <c r="O171" s="17">
        <f t="shared" si="47"/>
        <v>4.4227337740738504</v>
      </c>
      <c r="P171" s="17">
        <f t="shared" si="39"/>
        <v>8.7029265156617583</v>
      </c>
      <c r="Q171" s="17">
        <f t="shared" si="48"/>
        <v>11.243987711957825</v>
      </c>
      <c r="R171" s="8">
        <v>8.6184409352100082E-3</v>
      </c>
      <c r="S171" s="17">
        <v>10.846721126671245</v>
      </c>
      <c r="T171" s="17">
        <f t="shared" si="41"/>
        <v>10.249751547295016</v>
      </c>
      <c r="U171" s="17">
        <f t="shared" si="42"/>
        <v>9.9441553054565368</v>
      </c>
      <c r="V171" s="9">
        <v>7.875487318752851E-3</v>
      </c>
      <c r="W171" s="17">
        <v>9.8708776103155103</v>
      </c>
      <c r="X171" s="17">
        <f t="shared" si="40"/>
        <v>9.8043847936381656</v>
      </c>
      <c r="Y171" s="17">
        <f t="shared" si="49"/>
        <v>9.9550137171690256</v>
      </c>
    </row>
    <row r="172" spans="1:25" x14ac:dyDescent="0.25">
      <c r="A172" s="7">
        <v>29646</v>
      </c>
      <c r="B172" s="28">
        <v>1.0203700998810749E-2</v>
      </c>
      <c r="C172" s="17">
        <f t="shared" si="34"/>
        <v>12.955521037495199</v>
      </c>
      <c r="D172" s="17">
        <f t="shared" si="36"/>
        <v>17.256562035182156</v>
      </c>
      <c r="E172" s="17">
        <f t="shared" si="43"/>
        <v>11.169281947281263</v>
      </c>
      <c r="F172" s="29">
        <v>1.9866720414659696E-3</v>
      </c>
      <c r="G172" s="17">
        <f t="shared" si="35"/>
        <v>2.4102290424115713</v>
      </c>
      <c r="H172" s="17">
        <f t="shared" si="37"/>
        <v>5.4461529059547376</v>
      </c>
      <c r="I172" s="17">
        <f t="shared" si="44"/>
        <v>8.2662363181741583</v>
      </c>
      <c r="J172" s="8">
        <v>5.5097876179073307E-3</v>
      </c>
      <c r="K172" s="17">
        <f t="shared" si="45"/>
        <v>6.8158322042258357</v>
      </c>
      <c r="L172" s="17">
        <f t="shared" si="38"/>
        <v>7.1089225689272562</v>
      </c>
      <c r="M172" s="17">
        <f t="shared" si="46"/>
        <v>10.24080974530297</v>
      </c>
      <c r="N172" s="9">
        <v>5.7241025209362247E-3</v>
      </c>
      <c r="O172" s="17">
        <f t="shared" si="47"/>
        <v>7.0893541133909777</v>
      </c>
      <c r="P172" s="17">
        <f t="shared" si="39"/>
        <v>6.8215842643555291</v>
      </c>
      <c r="Q172" s="17">
        <f t="shared" si="48"/>
        <v>10.331880261918602</v>
      </c>
      <c r="R172" s="8">
        <v>6.3385665787964703E-3</v>
      </c>
      <c r="S172" s="17">
        <v>7.8771343089302892</v>
      </c>
      <c r="T172" s="17">
        <f t="shared" si="41"/>
        <v>9.8912019110123595</v>
      </c>
      <c r="U172" s="17">
        <f t="shared" si="42"/>
        <v>9.5214479221982664</v>
      </c>
      <c r="V172" s="9">
        <v>6.9989883051465316E-3</v>
      </c>
      <c r="W172" s="17">
        <v>8.7297553428644648</v>
      </c>
      <c r="X172" s="17">
        <f t="shared" si="40"/>
        <v>9.9106322313651454</v>
      </c>
      <c r="Y172" s="17">
        <f t="shared" si="49"/>
        <v>9.5490471405989652</v>
      </c>
    </row>
    <row r="173" spans="1:25" x14ac:dyDescent="0.25">
      <c r="A173" s="7">
        <v>29677</v>
      </c>
      <c r="B173" s="28">
        <v>1.0547685230477288E-3</v>
      </c>
      <c r="C173" s="17">
        <f t="shared" si="34"/>
        <v>1.2730908471442426</v>
      </c>
      <c r="D173" s="17">
        <f t="shared" si="36"/>
        <v>12.10124768714682</v>
      </c>
      <c r="E173" s="17">
        <f t="shared" si="43"/>
        <v>10.789572720704044</v>
      </c>
      <c r="F173" s="29">
        <v>8.4246677307363363E-3</v>
      </c>
      <c r="G173" s="17">
        <f t="shared" si="35"/>
        <v>10.591443901689889</v>
      </c>
      <c r="H173" s="17">
        <f t="shared" si="37"/>
        <v>6.4441197635835668</v>
      </c>
      <c r="I173" s="17">
        <f t="shared" si="44"/>
        <v>8.6113719396149655</v>
      </c>
      <c r="J173" s="8">
        <v>7.1916784887264048E-3</v>
      </c>
      <c r="K173" s="17">
        <f t="shared" si="45"/>
        <v>8.979684732565584</v>
      </c>
      <c r="L173" s="17">
        <f t="shared" si="38"/>
        <v>7.0613917066501664</v>
      </c>
      <c r="M173" s="17">
        <f t="shared" si="46"/>
        <v>9.6831165370233396</v>
      </c>
      <c r="N173" s="9">
        <v>7.3000559199028706E-3</v>
      </c>
      <c r="O173" s="17">
        <f t="shared" si="47"/>
        <v>9.1204872946330617</v>
      </c>
      <c r="P173" s="17">
        <f t="shared" si="39"/>
        <v>6.8601759457325384</v>
      </c>
      <c r="Q173" s="17">
        <f t="shared" si="48"/>
        <v>9.7211407957046312</v>
      </c>
      <c r="R173" s="8">
        <v>7.4482381549711785E-3</v>
      </c>
      <c r="S173" s="17">
        <v>9.3132736272401715</v>
      </c>
      <c r="T173" s="17">
        <f t="shared" si="41"/>
        <v>9.3389882467071352</v>
      </c>
      <c r="U173" s="17">
        <f t="shared" si="42"/>
        <v>9.3027058317747482</v>
      </c>
      <c r="V173" s="9">
        <v>7.7434115543756135E-3</v>
      </c>
      <c r="W173" s="17">
        <v>9.6982274047069836</v>
      </c>
      <c r="X173" s="17">
        <f t="shared" si="40"/>
        <v>9.4317988089693152</v>
      </c>
      <c r="Y173" s="17">
        <f t="shared" si="49"/>
        <v>9.2961359061255919</v>
      </c>
    </row>
    <row r="174" spans="1:25" x14ac:dyDescent="0.25">
      <c r="A174" s="7">
        <v>29707</v>
      </c>
      <c r="B174" s="28">
        <v>1.7280436559163473E-3</v>
      </c>
      <c r="C174" s="17">
        <f t="shared" si="34"/>
        <v>2.0934748436720829</v>
      </c>
      <c r="D174" s="17">
        <f t="shared" si="36"/>
        <v>5.3092463098413978</v>
      </c>
      <c r="E174" s="17">
        <f t="shared" si="43"/>
        <v>10.38715335908913</v>
      </c>
      <c r="F174" s="29">
        <v>1.3135748360135984E-2</v>
      </c>
      <c r="G174" s="17">
        <f t="shared" si="35"/>
        <v>16.953083282629212</v>
      </c>
      <c r="H174" s="17">
        <f t="shared" si="37"/>
        <v>9.822716145772393</v>
      </c>
      <c r="I174" s="17">
        <f t="shared" si="44"/>
        <v>9.5584192125466316</v>
      </c>
      <c r="J174" s="8">
        <v>1.0785494919580734E-2</v>
      </c>
      <c r="K174" s="17">
        <f t="shared" si="45"/>
        <v>13.738635135530242</v>
      </c>
      <c r="L174" s="17">
        <f t="shared" si="38"/>
        <v>9.8069248698108513</v>
      </c>
      <c r="M174" s="17">
        <f t="shared" si="46"/>
        <v>9.567947286713018</v>
      </c>
      <c r="N174" s="9">
        <v>1.1351632217567804E-2</v>
      </c>
      <c r="O174" s="17">
        <f t="shared" si="47"/>
        <v>14.505449640329759</v>
      </c>
      <c r="P174" s="17">
        <f t="shared" si="39"/>
        <v>10.194415121891808</v>
      </c>
      <c r="Q174" s="17">
        <f t="shared" si="48"/>
        <v>9.6137888289432141</v>
      </c>
      <c r="R174" s="8">
        <v>6.904389662150563E-3</v>
      </c>
      <c r="S174" s="17">
        <v>8.6072482731959212</v>
      </c>
      <c r="T174" s="17">
        <f t="shared" si="41"/>
        <v>8.5976357967983077</v>
      </c>
      <c r="U174" s="17">
        <f t="shared" si="42"/>
        <v>9.1011317675771863</v>
      </c>
      <c r="V174" s="9">
        <v>7.2214195825013715E-3</v>
      </c>
      <c r="W174" s="17">
        <v>9.0183073884562361</v>
      </c>
      <c r="X174" s="17">
        <f t="shared" si="40"/>
        <v>9.1480091324128487</v>
      </c>
      <c r="Y174" s="17">
        <f t="shared" si="49"/>
        <v>9.0915041723090404</v>
      </c>
    </row>
    <row r="175" spans="1:25" x14ac:dyDescent="0.25">
      <c r="A175" s="7">
        <v>29738</v>
      </c>
      <c r="B175" s="28">
        <v>3.4911266865175665E-3</v>
      </c>
      <c r="C175" s="17">
        <f t="shared" si="34"/>
        <v>4.2707360847848541</v>
      </c>
      <c r="D175" s="17">
        <f t="shared" si="36"/>
        <v>2.5379970893258497</v>
      </c>
      <c r="E175" s="17">
        <f t="shared" si="43"/>
        <v>10.427453393465914</v>
      </c>
      <c r="F175" s="29">
        <v>9.2508424934795164E-3</v>
      </c>
      <c r="G175" s="17">
        <f t="shared" si="35"/>
        <v>11.683611034943532</v>
      </c>
      <c r="H175" s="17">
        <f t="shared" si="37"/>
        <v>13.042273606634103</v>
      </c>
      <c r="I175" s="17">
        <f t="shared" si="44"/>
        <v>10.314777646671436</v>
      </c>
      <c r="J175" s="8">
        <v>1.0928902434308935E-2</v>
      </c>
      <c r="K175" s="17">
        <f t="shared" si="45"/>
        <v>13.932429474215891</v>
      </c>
      <c r="L175" s="17">
        <f t="shared" si="38"/>
        <v>12.193312992862282</v>
      </c>
      <c r="M175" s="17">
        <f t="shared" si="46"/>
        <v>9.183673891966615</v>
      </c>
      <c r="N175" s="9">
        <v>1.1528676315942635E-2</v>
      </c>
      <c r="O175" s="17">
        <f t="shared" si="47"/>
        <v>14.74622102166736</v>
      </c>
      <c r="P175" s="17">
        <f t="shared" si="39"/>
        <v>12.760488406832305</v>
      </c>
      <c r="Q175" s="17">
        <f t="shared" si="48"/>
        <v>9.2218480984386897</v>
      </c>
      <c r="R175" s="8">
        <v>7.3618309899174551E-3</v>
      </c>
      <c r="S175" s="17">
        <v>9.2008192658587173</v>
      </c>
      <c r="T175" s="17">
        <f t="shared" si="41"/>
        <v>9.0400066017690683</v>
      </c>
      <c r="U175" s="17">
        <f t="shared" si="42"/>
        <v>9.1349954946168044</v>
      </c>
      <c r="V175" s="9">
        <v>7.8320710038752919E-3</v>
      </c>
      <c r="W175" s="17">
        <v>9.8140960891567985</v>
      </c>
      <c r="X175" s="17">
        <f t="shared" si="40"/>
        <v>9.509646905737057</v>
      </c>
      <c r="Y175" s="17">
        <f t="shared" si="49"/>
        <v>9.2067364784930596</v>
      </c>
    </row>
    <row r="176" spans="1:25" x14ac:dyDescent="0.25">
      <c r="A176" s="7">
        <v>29768</v>
      </c>
      <c r="B176" s="28">
        <v>6.5814564340344701E-3</v>
      </c>
      <c r="C176" s="17">
        <f t="shared" si="34"/>
        <v>8.1899960838617716</v>
      </c>
      <c r="D176" s="17">
        <f t="shared" si="36"/>
        <v>4.8212119439503764</v>
      </c>
      <c r="E176" s="17">
        <f t="shared" si="43"/>
        <v>10.292307445267102</v>
      </c>
      <c r="F176" s="29">
        <v>8.8718208819493945E-3</v>
      </c>
      <c r="G176" s="17">
        <f t="shared" si="35"/>
        <v>11.181339341608121</v>
      </c>
      <c r="H176" s="17">
        <f t="shared" si="37"/>
        <v>13.242906695838208</v>
      </c>
      <c r="I176" s="17">
        <f t="shared" si="44"/>
        <v>10.623410663004563</v>
      </c>
      <c r="J176" s="8">
        <v>1.3952919325148843E-2</v>
      </c>
      <c r="K176" s="17">
        <f t="shared" si="45"/>
        <v>18.090097036700836</v>
      </c>
      <c r="L176" s="17">
        <f t="shared" si="38"/>
        <v>15.236382572500062</v>
      </c>
      <c r="M176" s="17">
        <f t="shared" si="46"/>
        <v>11.02181528514221</v>
      </c>
      <c r="N176" s="9">
        <v>1.48573759175763E-2</v>
      </c>
      <c r="O176" s="17">
        <f t="shared" si="47"/>
        <v>19.360368217710633</v>
      </c>
      <c r="P176" s="17">
        <f t="shared" si="39"/>
        <v>16.182727039577884</v>
      </c>
      <c r="Q176" s="17">
        <f t="shared" si="48"/>
        <v>11.252796749854422</v>
      </c>
      <c r="R176" s="8">
        <v>1.0263173303132631E-2</v>
      </c>
      <c r="S176" s="17">
        <v>13.035345342631132</v>
      </c>
      <c r="T176" s="17">
        <f t="shared" si="41"/>
        <v>10.263808990091384</v>
      </c>
      <c r="U176" s="17">
        <f t="shared" si="42"/>
        <v>9.5866386240265999</v>
      </c>
      <c r="V176" s="9">
        <v>1.1376965692268395E-2</v>
      </c>
      <c r="W176" s="17">
        <v>14.539873520204871</v>
      </c>
      <c r="X176" s="17">
        <f t="shared" si="40"/>
        <v>11.097616527766597</v>
      </c>
      <c r="Y176" s="17">
        <f t="shared" si="49"/>
        <v>9.7506358759454681</v>
      </c>
    </row>
    <row r="177" spans="1:25" x14ac:dyDescent="0.25">
      <c r="A177" s="7">
        <v>29799</v>
      </c>
      <c r="B177" s="28">
        <v>5.5066188786726516E-3</v>
      </c>
      <c r="C177" s="17">
        <f t="shared" si="34"/>
        <v>6.811792872264455</v>
      </c>
      <c r="D177" s="17">
        <f t="shared" si="36"/>
        <v>6.411749427122504</v>
      </c>
      <c r="E177" s="17">
        <f t="shared" si="43"/>
        <v>9.6797062115227419</v>
      </c>
      <c r="F177" s="29">
        <v>7.1123240104030965E-3</v>
      </c>
      <c r="G177" s="17">
        <f t="shared" si="35"/>
        <v>8.8766940539731785</v>
      </c>
      <c r="H177" s="17">
        <f t="shared" si="37"/>
        <v>10.573763473481579</v>
      </c>
      <c r="I177" s="17">
        <f t="shared" si="44"/>
        <v>10.441588640733102</v>
      </c>
      <c r="J177" s="8">
        <v>8.8240806873610134E-3</v>
      </c>
      <c r="K177" s="17">
        <f t="shared" si="45"/>
        <v>11.118222056035387</v>
      </c>
      <c r="L177" s="17">
        <f t="shared" si="38"/>
        <v>14.344524777917966</v>
      </c>
      <c r="M177" s="17">
        <f t="shared" si="46"/>
        <v>11.5235760490201</v>
      </c>
      <c r="N177" s="9">
        <v>9.1978685891119898E-3</v>
      </c>
      <c r="O177" s="17">
        <f t="shared" si="47"/>
        <v>11.613286286847879</v>
      </c>
      <c r="P177" s="17">
        <f t="shared" si="39"/>
        <v>15.196198014807361</v>
      </c>
      <c r="Q177" s="17">
        <f t="shared" si="48"/>
        <v>11.833460347854242</v>
      </c>
      <c r="R177" s="8">
        <v>6.7889328308044384E-3</v>
      </c>
      <c r="S177" s="17">
        <v>8.4579009017029314</v>
      </c>
      <c r="T177" s="17">
        <f t="shared" si="41"/>
        <v>10.213244028240931</v>
      </c>
      <c r="U177" s="17">
        <f t="shared" si="42"/>
        <v>9.5460352678598213</v>
      </c>
      <c r="V177" s="9">
        <v>7.1356924554724878E-3</v>
      </c>
      <c r="W177" s="17">
        <v>8.907013656343965</v>
      </c>
      <c r="X177" s="17">
        <f t="shared" si="40"/>
        <v>11.059798175450819</v>
      </c>
      <c r="Y177" s="17">
        <f t="shared" si="49"/>
        <v>9.7517270811695145</v>
      </c>
    </row>
    <row r="178" spans="1:25" x14ac:dyDescent="0.25">
      <c r="A178" s="7">
        <v>29830</v>
      </c>
      <c r="B178" s="28">
        <v>6.0629903349497293E-3</v>
      </c>
      <c r="C178" s="17">
        <f t="shared" si="34"/>
        <v>7.5231742077854546</v>
      </c>
      <c r="D178" s="17">
        <f t="shared" si="36"/>
        <v>7.506847994727206</v>
      </c>
      <c r="E178" s="17">
        <f t="shared" si="43"/>
        <v>9.2947771840720783</v>
      </c>
      <c r="F178" s="29">
        <v>8.3407418319449509E-3</v>
      </c>
      <c r="G178" s="17">
        <f t="shared" si="35"/>
        <v>10.481047089735828</v>
      </c>
      <c r="H178" s="17">
        <f t="shared" si="37"/>
        <v>10.1754592561065</v>
      </c>
      <c r="I178" s="17">
        <f t="shared" si="44"/>
        <v>9.9471263954582056</v>
      </c>
      <c r="J178" s="8">
        <v>1.1458254503324945E-2</v>
      </c>
      <c r="K178" s="17">
        <f t="shared" si="45"/>
        <v>14.650395244368219</v>
      </c>
      <c r="L178" s="17">
        <f t="shared" si="38"/>
        <v>14.584209562807192</v>
      </c>
      <c r="M178" s="17">
        <f t="shared" si="46"/>
        <v>11.859488218232617</v>
      </c>
      <c r="N178" s="9">
        <v>1.2173485730433947E-2</v>
      </c>
      <c r="O178" s="17">
        <f t="shared" si="47"/>
        <v>15.627058985197628</v>
      </c>
      <c r="P178" s="17">
        <f t="shared" si="39"/>
        <v>15.49021102843755</v>
      </c>
      <c r="Q178" s="17">
        <f t="shared" si="48"/>
        <v>12.243406796120372</v>
      </c>
      <c r="R178" s="8">
        <v>7.8885674592731915E-3</v>
      </c>
      <c r="S178" s="17">
        <v>9.887989594336144</v>
      </c>
      <c r="T178" s="17">
        <f t="shared" si="41"/>
        <v>10.4439412102451</v>
      </c>
      <c r="U178" s="17">
        <f t="shared" si="42"/>
        <v>9.3816148815016867</v>
      </c>
      <c r="V178" s="9">
        <v>8.6321132068227068E-3</v>
      </c>
      <c r="W178" s="17">
        <v>10.86475339035664</v>
      </c>
      <c r="X178" s="17">
        <f t="shared" si="40"/>
        <v>11.41286644614803</v>
      </c>
      <c r="Y178" s="17">
        <f t="shared" si="49"/>
        <v>9.6298702327143992</v>
      </c>
    </row>
    <row r="179" spans="1:25" x14ac:dyDescent="0.25">
      <c r="A179" s="7">
        <v>29860</v>
      </c>
      <c r="B179" s="28">
        <v>3.8073902787791941E-3</v>
      </c>
      <c r="C179" s="17">
        <f t="shared" si="34"/>
        <v>4.665768097923384</v>
      </c>
      <c r="D179" s="17">
        <f t="shared" si="36"/>
        <v>6.3266135889581854</v>
      </c>
      <c r="E179" s="17">
        <f t="shared" si="43"/>
        <v>8.8978147485421886</v>
      </c>
      <c r="F179" s="29">
        <v>8.5829321600849866E-3</v>
      </c>
      <c r="G179" s="17">
        <f t="shared" si="35"/>
        <v>10.799901408626877</v>
      </c>
      <c r="H179" s="17">
        <f t="shared" si="37"/>
        <v>10.049319231084342</v>
      </c>
      <c r="I179" s="17">
        <f t="shared" si="44"/>
        <v>9.9806838132622033</v>
      </c>
      <c r="J179" s="8">
        <v>2.9918740761153478E-3</v>
      </c>
      <c r="K179" s="17">
        <f t="shared" si="45"/>
        <v>3.6499207121061916</v>
      </c>
      <c r="L179" s="17">
        <f t="shared" si="38"/>
        <v>9.709256396746845</v>
      </c>
      <c r="M179" s="17">
        <f t="shared" si="46"/>
        <v>10.957434679837096</v>
      </c>
      <c r="N179" s="9">
        <v>2.8947731994537406E-3</v>
      </c>
      <c r="O179" s="17">
        <f t="shared" si="47"/>
        <v>3.5295710917879752</v>
      </c>
      <c r="P179" s="17">
        <f t="shared" si="39"/>
        <v>10.140386597610163</v>
      </c>
      <c r="Q179" s="17">
        <f t="shared" si="48"/>
        <v>11.276316993326718</v>
      </c>
      <c r="R179" s="8">
        <v>6.9587579753200273E-3</v>
      </c>
      <c r="S179" s="17">
        <v>8.6776408170021746</v>
      </c>
      <c r="T179" s="17">
        <f t="shared" si="41"/>
        <v>9.0060347038844135</v>
      </c>
      <c r="U179" s="17">
        <f t="shared" si="42"/>
        <v>9.5284584291432939</v>
      </c>
      <c r="V179" s="9">
        <v>7.6601281992423444E-3</v>
      </c>
      <c r="W179" s="17">
        <v>9.5894868091938044</v>
      </c>
      <c r="X179" s="17">
        <f t="shared" si="40"/>
        <v>9.784091583631449</v>
      </c>
      <c r="Y179" s="17">
        <f t="shared" si="49"/>
        <v>9.8851036062208344</v>
      </c>
    </row>
    <row r="180" spans="1:25" x14ac:dyDescent="0.25">
      <c r="A180" s="7">
        <v>29891</v>
      </c>
      <c r="B180" s="28">
        <v>4.4965376946086277E-3</v>
      </c>
      <c r="C180" s="17">
        <f t="shared" si="34"/>
        <v>5.5313101599442138</v>
      </c>
      <c r="D180" s="17">
        <f t="shared" si="36"/>
        <v>5.900015544132553</v>
      </c>
      <c r="E180" s="17">
        <f t="shared" si="43"/>
        <v>8.3322575511544983</v>
      </c>
      <c r="F180" s="29">
        <v>4.4844142779858738E-3</v>
      </c>
      <c r="G180" s="17">
        <f t="shared" si="35"/>
        <v>5.5160270994067062</v>
      </c>
      <c r="H180" s="17">
        <f t="shared" si="37"/>
        <v>8.9051778966958715</v>
      </c>
      <c r="I180" s="17">
        <f t="shared" si="44"/>
        <v>9.157961907533041</v>
      </c>
      <c r="J180" s="8">
        <v>4.6449811221056115E-3</v>
      </c>
      <c r="K180" s="17">
        <f t="shared" si="45"/>
        <v>5.7186059964554836</v>
      </c>
      <c r="L180" s="17">
        <f t="shared" si="38"/>
        <v>7.9026190406765062</v>
      </c>
      <c r="M180" s="17">
        <f t="shared" si="46"/>
        <v>10.245719129796527</v>
      </c>
      <c r="N180" s="9">
        <v>4.6456270660977543E-3</v>
      </c>
      <c r="O180" s="17">
        <f t="shared" si="47"/>
        <v>5.7194216701452083</v>
      </c>
      <c r="P180" s="17">
        <f t="shared" si="39"/>
        <v>8.1665283195713414</v>
      </c>
      <c r="Q180" s="17">
        <f t="shared" si="48"/>
        <v>10.530711155934158</v>
      </c>
      <c r="R180" s="8">
        <v>7.0824711026667821E-3</v>
      </c>
      <c r="S180" s="17">
        <v>8.8379723823788439</v>
      </c>
      <c r="T180" s="17">
        <f t="shared" si="41"/>
        <v>9.1332170295326698</v>
      </c>
      <c r="U180" s="17">
        <f t="shared" si="42"/>
        <v>9.5461662515003098</v>
      </c>
      <c r="V180" s="9">
        <v>7.6442313553065312E-3</v>
      </c>
      <c r="W180" s="17">
        <v>9.5687420072452678</v>
      </c>
      <c r="X180" s="17">
        <f t="shared" si="40"/>
        <v>10.005995270557545</v>
      </c>
      <c r="Y180" s="17">
        <f t="shared" si="49"/>
        <v>10.002405943241399</v>
      </c>
    </row>
    <row r="181" spans="1:25" x14ac:dyDescent="0.25">
      <c r="A181" s="7">
        <v>29921</v>
      </c>
      <c r="B181" s="28">
        <v>2.1243156965426602E-3</v>
      </c>
      <c r="C181" s="17">
        <f t="shared" si="34"/>
        <v>2.5791746823037531</v>
      </c>
      <c r="D181" s="17">
        <f t="shared" si="36"/>
        <v>4.2513606137293491</v>
      </c>
      <c r="E181" s="17">
        <f t="shared" si="43"/>
        <v>7.7419823262513621</v>
      </c>
      <c r="F181" s="29">
        <v>4.6535307865682562E-3</v>
      </c>
      <c r="G181" s="17">
        <f t="shared" si="35"/>
        <v>5.7294026571587109</v>
      </c>
      <c r="H181" s="17">
        <f t="shared" si="37"/>
        <v>7.3209547897518767</v>
      </c>
      <c r="I181" s="17">
        <f t="shared" si="44"/>
        <v>8.9582840789524489</v>
      </c>
      <c r="J181" s="8">
        <v>3.8438756332599021E-3</v>
      </c>
      <c r="K181" s="17">
        <f t="shared" si="45"/>
        <v>4.7114286242431636</v>
      </c>
      <c r="L181" s="17">
        <f t="shared" si="38"/>
        <v>4.6899106159077109</v>
      </c>
      <c r="M181" s="17">
        <f t="shared" si="46"/>
        <v>9.573505616117961</v>
      </c>
      <c r="N181" s="9">
        <v>4.004810125762189E-3</v>
      </c>
      <c r="O181" s="17">
        <f t="shared" si="47"/>
        <v>4.9130521789006787</v>
      </c>
      <c r="P181" s="17">
        <f t="shared" si="39"/>
        <v>4.7167701387861083</v>
      </c>
      <c r="Q181" s="17">
        <f t="shared" si="48"/>
        <v>9.8612014242028145</v>
      </c>
      <c r="R181" s="8">
        <v>4.4688948038264543E-3</v>
      </c>
      <c r="S181" s="17">
        <v>5.496465850825083</v>
      </c>
      <c r="T181" s="17">
        <f t="shared" si="41"/>
        <v>7.6596222943750236</v>
      </c>
      <c r="U181" s="17">
        <f t="shared" si="42"/>
        <v>9.2536324180759308</v>
      </c>
      <c r="V181" s="9">
        <v>4.9618626210599414E-3</v>
      </c>
      <c r="W181" s="17">
        <v>6.1194454737048209</v>
      </c>
      <c r="X181" s="17">
        <f t="shared" si="40"/>
        <v>8.413536991174464</v>
      </c>
      <c r="Y181" s="17">
        <f t="shared" si="49"/>
        <v>9.8064210102338798</v>
      </c>
    </row>
    <row r="182" spans="1:25" x14ac:dyDescent="0.25">
      <c r="A182" s="7">
        <v>29952</v>
      </c>
      <c r="B182" s="28">
        <v>2.9058806898049449E-3</v>
      </c>
      <c r="C182" s="17">
        <f t="shared" si="34"/>
        <v>3.5433315435669854</v>
      </c>
      <c r="D182" s="17">
        <f t="shared" si="36"/>
        <v>3.877356320377312</v>
      </c>
      <c r="E182" s="17">
        <f t="shared" si="43"/>
        <v>6.7346974516076852</v>
      </c>
      <c r="F182" s="29">
        <v>1.9826871811992708E-3</v>
      </c>
      <c r="G182" s="17">
        <f t="shared" si="35"/>
        <v>2.4053417734943849</v>
      </c>
      <c r="H182" s="17">
        <f t="shared" si="37"/>
        <v>4.539144141056406</v>
      </c>
      <c r="I182" s="17">
        <f t="shared" si="44"/>
        <v>8.5174914780324471</v>
      </c>
      <c r="J182" s="8">
        <v>3.7340846814465142E-3</v>
      </c>
      <c r="K182" s="17">
        <f t="shared" si="45"/>
        <v>4.5740831101207302</v>
      </c>
      <c r="L182" s="17">
        <f t="shared" si="38"/>
        <v>5.0001354752817306</v>
      </c>
      <c r="M182" s="17">
        <f t="shared" si="46"/>
        <v>9.1852337077484414</v>
      </c>
      <c r="N182" s="9">
        <v>3.6769891611516292E-3</v>
      </c>
      <c r="O182" s="17">
        <f t="shared" si="47"/>
        <v>4.5027234444475539</v>
      </c>
      <c r="P182" s="17">
        <f t="shared" si="39"/>
        <v>5.0438513519734496</v>
      </c>
      <c r="Q182" s="17">
        <f t="shared" si="48"/>
        <v>9.4759369976598951</v>
      </c>
      <c r="R182" s="8">
        <v>6.2923093753713948E-3</v>
      </c>
      <c r="S182" s="17">
        <v>7.8176453852330852</v>
      </c>
      <c r="T182" s="17">
        <f t="shared" si="41"/>
        <v>7.374890055063732</v>
      </c>
      <c r="U182" s="17">
        <f t="shared" si="42"/>
        <v>8.9909226031330558</v>
      </c>
      <c r="V182" s="9">
        <v>6.7505100058683574E-3</v>
      </c>
      <c r="W182" s="17">
        <v>8.408241424470674</v>
      </c>
      <c r="X182" s="17">
        <f t="shared" si="40"/>
        <v>8.022605671372629</v>
      </c>
      <c r="Y182" s="17">
        <f t="shared" si="49"/>
        <v>9.5785590883251217</v>
      </c>
    </row>
    <row r="183" spans="1:25" x14ac:dyDescent="0.25">
      <c r="A183" s="7">
        <v>29983</v>
      </c>
      <c r="B183" s="28">
        <v>1.2462519460184052E-3</v>
      </c>
      <c r="C183" s="17">
        <f t="shared" si="34"/>
        <v>1.5057957880823869</v>
      </c>
      <c r="D183" s="17">
        <f t="shared" si="36"/>
        <v>2.5393889598485764</v>
      </c>
      <c r="E183" s="17">
        <f t="shared" si="43"/>
        <v>5.0293575964350135</v>
      </c>
      <c r="F183" s="29">
        <v>2.6664791359662667E-3</v>
      </c>
      <c r="G183" s="17">
        <f t="shared" si="35"/>
        <v>3.2471213059379167</v>
      </c>
      <c r="H183" s="17">
        <f t="shared" si="37"/>
        <v>3.7844083514635418</v>
      </c>
      <c r="I183" s="17">
        <f t="shared" si="44"/>
        <v>8.2383663123472886</v>
      </c>
      <c r="J183" s="8">
        <v>4.1825464554083765E-3</v>
      </c>
      <c r="K183" s="17">
        <f t="shared" si="45"/>
        <v>5.1361390830459319</v>
      </c>
      <c r="L183" s="17">
        <f t="shared" si="38"/>
        <v>4.8069440939965125</v>
      </c>
      <c r="M183" s="17">
        <f t="shared" si="46"/>
        <v>9.1608193790865933</v>
      </c>
      <c r="N183" s="9">
        <v>4.2687794558512659E-3</v>
      </c>
      <c r="O183" s="17">
        <f t="shared" si="47"/>
        <v>5.2445315821133098</v>
      </c>
      <c r="P183" s="17">
        <f t="shared" si="39"/>
        <v>4.8863301096025546</v>
      </c>
      <c r="Q183" s="17">
        <f t="shared" si="48"/>
        <v>9.5474764899055042</v>
      </c>
      <c r="R183" s="8">
        <v>5.1387639824494935E-3</v>
      </c>
      <c r="S183" s="17">
        <v>6.3438224644107644</v>
      </c>
      <c r="T183" s="17">
        <f t="shared" si="41"/>
        <v>6.5483364902312546</v>
      </c>
      <c r="U183" s="17">
        <f t="shared" si="42"/>
        <v>8.614910043724965</v>
      </c>
      <c r="V183" s="9">
        <v>5.5428604799711047E-3</v>
      </c>
      <c r="W183" s="17">
        <v>6.8580000018405585</v>
      </c>
      <c r="X183" s="17">
        <f t="shared" si="40"/>
        <v>7.1243264482778068</v>
      </c>
      <c r="Y183" s="17">
        <f t="shared" si="49"/>
        <v>9.3249504917271242</v>
      </c>
    </row>
    <row r="184" spans="1:25" x14ac:dyDescent="0.25">
      <c r="A184" s="7">
        <v>30011</v>
      </c>
      <c r="B184" s="28">
        <v>-1.7438336683856923E-3</v>
      </c>
      <c r="C184" s="17">
        <f t="shared" si="34"/>
        <v>-2.0726463011615071</v>
      </c>
      <c r="D184" s="17">
        <f t="shared" si="36"/>
        <v>0.96534443124300928</v>
      </c>
      <c r="E184" s="17">
        <f t="shared" si="43"/>
        <v>3.7871904080589713</v>
      </c>
      <c r="F184" s="29">
        <v>4.3787583732096576E-3</v>
      </c>
      <c r="G184" s="17">
        <f t="shared" si="35"/>
        <v>5.3829206747859626</v>
      </c>
      <c r="H184" s="17">
        <f t="shared" si="37"/>
        <v>3.6709149152170273</v>
      </c>
      <c r="I184" s="17">
        <f t="shared" si="44"/>
        <v>8.4967684686339631</v>
      </c>
      <c r="J184" s="8">
        <v>1.9330373321755655E-4</v>
      </c>
      <c r="K184" s="17">
        <f t="shared" si="45"/>
        <v>0.23221125663706044</v>
      </c>
      <c r="L184" s="17">
        <f t="shared" si="38"/>
        <v>3.2906793447038396</v>
      </c>
      <c r="M184" s="17">
        <f t="shared" si="46"/>
        <v>8.5836477351950879</v>
      </c>
      <c r="N184" s="9">
        <v>-2.3091059225685391E-4</v>
      </c>
      <c r="O184" s="17">
        <f t="shared" si="47"/>
        <v>-0.27674107140271964</v>
      </c>
      <c r="P184" s="17">
        <f t="shared" si="39"/>
        <v>3.1275112079197864</v>
      </c>
      <c r="Q184" s="17">
        <f t="shared" si="48"/>
        <v>8.8988327342478755</v>
      </c>
      <c r="R184" s="8">
        <v>5.3927862806049335E-3</v>
      </c>
      <c r="S184" s="17">
        <v>6.6667782587472413</v>
      </c>
      <c r="T184" s="17">
        <f t="shared" si="41"/>
        <v>6.9408822321167074</v>
      </c>
      <c r="U184" s="17">
        <f t="shared" si="42"/>
        <v>8.5128312350408741</v>
      </c>
      <c r="V184" s="9">
        <v>5.652410178061648E-3</v>
      </c>
      <c r="W184" s="17">
        <v>6.9977845388857762</v>
      </c>
      <c r="X184" s="17">
        <f t="shared" si="40"/>
        <v>7.419066878120617</v>
      </c>
      <c r="Y184" s="17">
        <f t="shared" si="49"/>
        <v>9.1787590965157317</v>
      </c>
    </row>
    <row r="185" spans="1:25" x14ac:dyDescent="0.25">
      <c r="A185" s="7">
        <v>30042</v>
      </c>
      <c r="B185" s="28">
        <v>-7.2247415606220469E-3</v>
      </c>
      <c r="C185" s="17">
        <f t="shared" si="34"/>
        <v>-8.3333534760540182</v>
      </c>
      <c r="D185" s="17">
        <f t="shared" si="36"/>
        <v>-3.0527708754732874</v>
      </c>
      <c r="E185" s="17">
        <f t="shared" si="43"/>
        <v>2.9287887335860852</v>
      </c>
      <c r="F185" s="29">
        <v>5.5248441546609317E-3</v>
      </c>
      <c r="G185" s="17">
        <f t="shared" si="35"/>
        <v>6.8350273506041948</v>
      </c>
      <c r="H185" s="17">
        <f t="shared" si="37"/>
        <v>5.1446749335998465</v>
      </c>
      <c r="I185" s="17">
        <f t="shared" si="44"/>
        <v>8.1847754192757591</v>
      </c>
      <c r="J185" s="8">
        <v>8.5072483733678837E-3</v>
      </c>
      <c r="K185" s="17">
        <f t="shared" si="45"/>
        <v>10.700169845680918</v>
      </c>
      <c r="L185" s="17">
        <f t="shared" si="38"/>
        <v>5.2694953673900313</v>
      </c>
      <c r="M185" s="17">
        <f t="shared" si="46"/>
        <v>8.7254771207786455</v>
      </c>
      <c r="N185" s="9">
        <v>9.0680977813160715E-3</v>
      </c>
      <c r="O185" s="17">
        <f t="shared" si="47"/>
        <v>11.441182391557714</v>
      </c>
      <c r="P185" s="17">
        <f t="shared" si="39"/>
        <v>5.3611667241175498</v>
      </c>
      <c r="Q185" s="17">
        <f t="shared" si="48"/>
        <v>9.0899750793729908</v>
      </c>
      <c r="R185" s="8">
        <v>5.5276820182934006E-3</v>
      </c>
      <c r="S185" s="17">
        <v>6.8386456155941078</v>
      </c>
      <c r="T185" s="17">
        <f t="shared" si="41"/>
        <v>6.616218029715526</v>
      </c>
      <c r="U185" s="17">
        <f t="shared" si="42"/>
        <v>8.3059670250062112</v>
      </c>
      <c r="V185" s="9">
        <v>6.0607626320937844E-3</v>
      </c>
      <c r="W185" s="17">
        <v>7.5203172085621883</v>
      </c>
      <c r="X185" s="17">
        <f t="shared" si="40"/>
        <v>7.124988414188449</v>
      </c>
      <c r="Y185" s="17">
        <f t="shared" si="49"/>
        <v>8.9964611829561179</v>
      </c>
    </row>
    <row r="186" spans="1:25" x14ac:dyDescent="0.25">
      <c r="A186" s="7">
        <v>30072</v>
      </c>
      <c r="B186" s="28">
        <v>7.5592251529524469E-3</v>
      </c>
      <c r="C186" s="17">
        <f t="shared" si="34"/>
        <v>9.4578730875376706</v>
      </c>
      <c r="D186" s="17">
        <f t="shared" si="36"/>
        <v>-0.58449511323910297</v>
      </c>
      <c r="E186" s="17">
        <f t="shared" si="43"/>
        <v>3.52794980547253</v>
      </c>
      <c r="F186" s="29">
        <v>5.9258615043753602E-3</v>
      </c>
      <c r="G186" s="17">
        <f t="shared" si="35"/>
        <v>7.3474379502873166</v>
      </c>
      <c r="H186" s="17">
        <f t="shared" si="37"/>
        <v>6.518537104358435</v>
      </c>
      <c r="I186" s="17">
        <f t="shared" si="44"/>
        <v>7.4148884702155193</v>
      </c>
      <c r="J186" s="8">
        <v>1.0409835770089373E-2</v>
      </c>
      <c r="K186" s="17">
        <f t="shared" si="45"/>
        <v>13.232418178713834</v>
      </c>
      <c r="L186" s="17">
        <f t="shared" si="38"/>
        <v>7.9051386177146021</v>
      </c>
      <c r="M186" s="17">
        <f t="shared" si="46"/>
        <v>8.6850692197268931</v>
      </c>
      <c r="N186" s="9">
        <v>1.1074028391130442E-2</v>
      </c>
      <c r="O186" s="17">
        <f t="shared" si="47"/>
        <v>14.128854138294123</v>
      </c>
      <c r="P186" s="17">
        <f t="shared" si="39"/>
        <v>8.2461711694065585</v>
      </c>
      <c r="Q186" s="17">
        <f t="shared" si="48"/>
        <v>9.0600311968070066</v>
      </c>
      <c r="R186" s="8">
        <v>5.3695067368023965E-3</v>
      </c>
      <c r="S186" s="17">
        <v>6.6371440171222984</v>
      </c>
      <c r="T186" s="17">
        <f t="shared" si="41"/>
        <v>6.7141523376133438</v>
      </c>
      <c r="U186" s="17">
        <f t="shared" si="42"/>
        <v>8.1408699401124274</v>
      </c>
      <c r="V186" s="9">
        <v>5.6662932175318339E-3</v>
      </c>
      <c r="W186" s="17">
        <v>7.0155111479172305</v>
      </c>
      <c r="X186" s="17">
        <f t="shared" si="40"/>
        <v>7.1775974713724766</v>
      </c>
      <c r="Y186" s="17">
        <f t="shared" si="49"/>
        <v>8.8281731906850069</v>
      </c>
    </row>
    <row r="187" spans="1:25" x14ac:dyDescent="0.25">
      <c r="A187" s="7">
        <v>30103</v>
      </c>
      <c r="B187" s="28">
        <v>1.5533926105081534E-2</v>
      </c>
      <c r="C187" s="17">
        <f t="shared" si="34"/>
        <v>20.318729772962495</v>
      </c>
      <c r="D187" s="17">
        <f t="shared" si="36"/>
        <v>6.4789751222470437</v>
      </c>
      <c r="E187" s="17">
        <f t="shared" si="43"/>
        <v>4.7703786626555944</v>
      </c>
      <c r="F187" s="29">
        <v>7.2463392648233135E-3</v>
      </c>
      <c r="G187" s="17">
        <f t="shared" si="35"/>
        <v>9.0506784787666383</v>
      </c>
      <c r="H187" s="17">
        <f t="shared" si="37"/>
        <v>7.7402321624725046</v>
      </c>
      <c r="I187" s="17">
        <f t="shared" si="44"/>
        <v>7.2015485534388857</v>
      </c>
      <c r="J187" s="8">
        <v>9.4123437883648822E-3</v>
      </c>
      <c r="K187" s="17">
        <f t="shared" si="45"/>
        <v>11.898260517813174</v>
      </c>
      <c r="L187" s="17">
        <f t="shared" si="38"/>
        <v>11.938839870273355</v>
      </c>
      <c r="M187" s="17">
        <f t="shared" si="46"/>
        <v>8.5220238453061157</v>
      </c>
      <c r="N187" s="9">
        <v>9.8945731747176E-3</v>
      </c>
      <c r="O187" s="17">
        <f t="shared" si="47"/>
        <v>12.541438371409752</v>
      </c>
      <c r="P187" s="17">
        <f t="shared" si="39"/>
        <v>12.698432761293299</v>
      </c>
      <c r="Q187" s="17">
        <f t="shared" si="48"/>
        <v>8.8838470275060857</v>
      </c>
      <c r="R187" s="8">
        <v>6.5610388083733135E-3</v>
      </c>
      <c r="S187" s="17">
        <v>8.1636645467233251</v>
      </c>
      <c r="T187" s="17">
        <f t="shared" si="41"/>
        <v>7.2110190106971839</v>
      </c>
      <c r="U187" s="17">
        <f t="shared" si="42"/>
        <v>8.0549044404385484</v>
      </c>
      <c r="V187" s="9">
        <v>6.9654901084103679E-3</v>
      </c>
      <c r="W187" s="17">
        <v>8.6863600528930505</v>
      </c>
      <c r="X187" s="17">
        <f t="shared" si="40"/>
        <v>7.7384617335991557</v>
      </c>
      <c r="Y187" s="17">
        <f t="shared" si="49"/>
        <v>8.7345976650704991</v>
      </c>
    </row>
    <row r="188" spans="1:25" x14ac:dyDescent="0.25">
      <c r="A188" s="7">
        <v>30133</v>
      </c>
      <c r="B188" s="28">
        <v>4.3218220008845619E-3</v>
      </c>
      <c r="C188" s="17">
        <f t="shared" si="34"/>
        <v>5.311255469623144</v>
      </c>
      <c r="D188" s="17">
        <f t="shared" si="36"/>
        <v>11.519721928371096</v>
      </c>
      <c r="E188" s="17">
        <f t="shared" si="43"/>
        <v>4.535183831986811</v>
      </c>
      <c r="F188" s="29">
        <v>4.3582910293854952E-3</v>
      </c>
      <c r="G188" s="17">
        <f t="shared" si="35"/>
        <v>5.3571535021103234</v>
      </c>
      <c r="H188" s="17">
        <f t="shared" si="37"/>
        <v>7.2411250307154562</v>
      </c>
      <c r="I188" s="17">
        <f t="shared" si="44"/>
        <v>6.7219461107678402</v>
      </c>
      <c r="J188" s="8">
        <v>5.5885697316366122E-3</v>
      </c>
      <c r="K188" s="17">
        <f t="shared" si="45"/>
        <v>6.9163042762591775</v>
      </c>
      <c r="L188" s="17">
        <f t="shared" si="38"/>
        <v>10.648624279849672</v>
      </c>
      <c r="M188" s="17">
        <f t="shared" si="46"/>
        <v>7.6267987034506879</v>
      </c>
      <c r="N188" s="9">
        <v>5.6262711085192903E-3</v>
      </c>
      <c r="O188" s="17">
        <f t="shared" si="47"/>
        <v>6.9644160782241338</v>
      </c>
      <c r="P188" s="17">
        <f t="shared" si="39"/>
        <v>11.168671150200836</v>
      </c>
      <c r="Q188" s="17">
        <f t="shared" si="48"/>
        <v>7.8934436193272228</v>
      </c>
      <c r="R188" s="8">
        <v>6.056103639991965E-3</v>
      </c>
      <c r="S188" s="17">
        <v>7.5143423382332486</v>
      </c>
      <c r="T188" s="17">
        <f t="shared" si="41"/>
        <v>7.4365614598656871</v>
      </c>
      <c r="U188" s="17">
        <f t="shared" si="42"/>
        <v>7.6049281150236681</v>
      </c>
      <c r="V188" s="9">
        <v>6.2432660696173136E-3</v>
      </c>
      <c r="W188" s="17">
        <v>7.7546062478663025</v>
      </c>
      <c r="X188" s="17">
        <f t="shared" si="40"/>
        <v>7.8166597563007922</v>
      </c>
      <c r="Y188" s="17">
        <f t="shared" si="49"/>
        <v>8.182666207327415</v>
      </c>
    </row>
    <row r="189" spans="1:25" x14ac:dyDescent="0.25">
      <c r="A189" s="7">
        <v>30164</v>
      </c>
      <c r="B189" s="28">
        <v>-1.0968696419237083E-3</v>
      </c>
      <c r="C189" s="17">
        <f t="shared" si="34"/>
        <v>-1.3083319196278254</v>
      </c>
      <c r="D189" s="17">
        <f t="shared" si="36"/>
        <v>7.7364942174487528</v>
      </c>
      <c r="E189" s="17">
        <f t="shared" si="43"/>
        <v>3.8486673302826846</v>
      </c>
      <c r="F189" s="29">
        <v>1.1020875873563216E-3</v>
      </c>
      <c r="G189" s="17">
        <f t="shared" si="35"/>
        <v>1.3305509675439975</v>
      </c>
      <c r="H189" s="17">
        <f t="shared" si="37"/>
        <v>5.1988360890311114</v>
      </c>
      <c r="I189" s="17">
        <f t="shared" si="44"/>
        <v>6.0850517819414307</v>
      </c>
      <c r="J189" s="8">
        <v>3.992169539030286E-3</v>
      </c>
      <c r="K189" s="17">
        <f t="shared" si="45"/>
        <v>4.8972028041424753</v>
      </c>
      <c r="L189" s="17">
        <f t="shared" si="38"/>
        <v>7.8641338333414801</v>
      </c>
      <c r="M189" s="17">
        <f t="shared" si="46"/>
        <v>7.1113043388038477</v>
      </c>
      <c r="N189" s="9">
        <v>3.9587119274196942E-3</v>
      </c>
      <c r="O189" s="17">
        <f t="shared" si="47"/>
        <v>4.8552626362131202</v>
      </c>
      <c r="P189" s="17">
        <f t="shared" si="39"/>
        <v>8.0722034339061324</v>
      </c>
      <c r="Q189" s="17">
        <f t="shared" si="48"/>
        <v>7.3333248641405779</v>
      </c>
      <c r="R189" s="8">
        <v>3.9261719207125834E-3</v>
      </c>
      <c r="S189" s="17">
        <v>4.8144874600433374</v>
      </c>
      <c r="T189" s="17">
        <f t="shared" si="41"/>
        <v>6.8209337890532629</v>
      </c>
      <c r="U189" s="17">
        <f t="shared" si="42"/>
        <v>7.298958142673273</v>
      </c>
      <c r="V189" s="9">
        <v>3.83856155416253E-3</v>
      </c>
      <c r="W189" s="17">
        <v>4.7047770487135709</v>
      </c>
      <c r="X189" s="17">
        <f t="shared" si="40"/>
        <v>7.0349954613621035</v>
      </c>
      <c r="Y189" s="17">
        <f t="shared" si="49"/>
        <v>7.828501009519151</v>
      </c>
    </row>
    <row r="190" spans="1:25" x14ac:dyDescent="0.25">
      <c r="A190" s="7">
        <v>30195</v>
      </c>
      <c r="B190" s="28">
        <v>1.0386116477278744E-3</v>
      </c>
      <c r="C190" s="17">
        <f t="shared" si="34"/>
        <v>1.2534781964223196</v>
      </c>
      <c r="D190" s="17">
        <f t="shared" si="36"/>
        <v>1.7157978821629838</v>
      </c>
      <c r="E190" s="17">
        <f t="shared" si="43"/>
        <v>3.330036751637766</v>
      </c>
      <c r="F190" s="29">
        <v>2.4546876203607377E-3</v>
      </c>
      <c r="G190" s="17">
        <f t="shared" si="35"/>
        <v>2.9857205867316106</v>
      </c>
      <c r="H190" s="17">
        <f t="shared" si="37"/>
        <v>3.211276227226656</v>
      </c>
      <c r="I190" s="17">
        <f t="shared" si="44"/>
        <v>5.4657944813856663</v>
      </c>
      <c r="J190" s="8">
        <v>-1.5785731436007626E-4</v>
      </c>
      <c r="K190" s="17">
        <f t="shared" si="45"/>
        <v>-0.18926439879208834</v>
      </c>
      <c r="L190" s="17">
        <f t="shared" si="38"/>
        <v>3.831318122839189</v>
      </c>
      <c r="M190" s="17">
        <f t="shared" si="46"/>
        <v>5.8811824997680118</v>
      </c>
      <c r="N190" s="9">
        <v>-5.523720865293917E-4</v>
      </c>
      <c r="O190" s="17">
        <f t="shared" si="47"/>
        <v>-0.66083644855927659</v>
      </c>
      <c r="P190" s="17">
        <f t="shared" si="39"/>
        <v>3.6692648044037934</v>
      </c>
      <c r="Q190" s="17">
        <f t="shared" si="48"/>
        <v>5.9838441175102064</v>
      </c>
      <c r="R190" s="8">
        <v>4.5448473120877067E-3</v>
      </c>
      <c r="S190" s="17">
        <v>5.5922305409004336</v>
      </c>
      <c r="T190" s="17">
        <f t="shared" si="41"/>
        <v>5.9676314488081861</v>
      </c>
      <c r="U190" s="17">
        <f t="shared" si="42"/>
        <v>6.9429885447462647</v>
      </c>
      <c r="V190" s="9">
        <v>4.7428955767614273E-3</v>
      </c>
      <c r="W190" s="17">
        <v>5.8423145350962269</v>
      </c>
      <c r="X190" s="17">
        <f t="shared" si="40"/>
        <v>6.0931203921144927</v>
      </c>
      <c r="Y190" s="17">
        <f t="shared" si="49"/>
        <v>7.4127215576673011</v>
      </c>
    </row>
    <row r="191" spans="1:25" x14ac:dyDescent="0.25">
      <c r="A191" s="7">
        <v>30225</v>
      </c>
      <c r="B191" s="28">
        <v>4.4705481562630281E-3</v>
      </c>
      <c r="C191" s="17">
        <f t="shared" si="34"/>
        <v>5.4985496316427351</v>
      </c>
      <c r="D191" s="17">
        <f t="shared" si="36"/>
        <v>1.7760620719358355</v>
      </c>
      <c r="E191" s="17">
        <f t="shared" si="43"/>
        <v>3.3983009709652068</v>
      </c>
      <c r="F191" s="29">
        <v>4.360332717555847E-3</v>
      </c>
      <c r="G191" s="17">
        <f t="shared" si="35"/>
        <v>5.3597236071524224</v>
      </c>
      <c r="H191" s="17">
        <f t="shared" si="37"/>
        <v>3.2121154730860857</v>
      </c>
      <c r="I191" s="17">
        <f t="shared" si="44"/>
        <v>5.0242444701940725</v>
      </c>
      <c r="J191" s="8">
        <v>2.8899862474412591E-3</v>
      </c>
      <c r="K191" s="17">
        <f t="shared" si="45"/>
        <v>3.5236413201895411</v>
      </c>
      <c r="L191" s="17">
        <f t="shared" si="38"/>
        <v>2.7212355142265832</v>
      </c>
      <c r="M191" s="17">
        <f t="shared" si="46"/>
        <v>5.8704266760557289</v>
      </c>
      <c r="N191" s="9">
        <v>2.9017077634393225E-3</v>
      </c>
      <c r="O191" s="17">
        <f t="shared" si="47"/>
        <v>3.5381617406727184</v>
      </c>
      <c r="P191" s="17">
        <f t="shared" si="39"/>
        <v>2.5503295751974298</v>
      </c>
      <c r="Q191" s="17">
        <f t="shared" si="48"/>
        <v>5.9845769478809485</v>
      </c>
      <c r="R191" s="8">
        <v>5.6383609961087894E-3</v>
      </c>
      <c r="S191" s="17">
        <v>6.9798485304064961</v>
      </c>
      <c r="T191" s="17">
        <f t="shared" si="41"/>
        <v>5.7917381381677124</v>
      </c>
      <c r="U191" s="17">
        <f t="shared" si="42"/>
        <v>6.8027571818389809</v>
      </c>
      <c r="V191" s="9">
        <v>6.2804914855928325E-3</v>
      </c>
      <c r="W191" s="17">
        <v>7.8024518506414786</v>
      </c>
      <c r="X191" s="17">
        <f t="shared" si="40"/>
        <v>6.1088206897818464</v>
      </c>
      <c r="Y191" s="17">
        <f t="shared" si="49"/>
        <v>7.2656575526254041</v>
      </c>
    </row>
    <row r="192" spans="1:25" x14ac:dyDescent="0.25">
      <c r="A192" s="7">
        <v>30256</v>
      </c>
      <c r="B192" s="28">
        <v>2.1284783766494231E-3</v>
      </c>
      <c r="C192" s="17">
        <f t="shared" si="34"/>
        <v>2.5842879885713765</v>
      </c>
      <c r="D192" s="17">
        <f t="shared" si="36"/>
        <v>3.0969370350967473</v>
      </c>
      <c r="E192" s="17">
        <f t="shared" si="43"/>
        <v>3.1545437245366736</v>
      </c>
      <c r="F192" s="29">
        <v>4.9639868945189607E-3</v>
      </c>
      <c r="G192" s="17">
        <f t="shared" si="35"/>
        <v>6.1221372694916232</v>
      </c>
      <c r="H192" s="17">
        <f t="shared" si="37"/>
        <v>4.8139788479954371</v>
      </c>
      <c r="I192" s="17">
        <f t="shared" si="44"/>
        <v>5.0743863648855303</v>
      </c>
      <c r="J192" s="8">
        <v>-1.24810340573828E-3</v>
      </c>
      <c r="K192" s="17">
        <f t="shared" si="45"/>
        <v>-1.4874855105326934</v>
      </c>
      <c r="L192" s="17">
        <f t="shared" si="38"/>
        <v>0.59337978637219457</v>
      </c>
      <c r="M192" s="17">
        <f t="shared" si="46"/>
        <v>5.2494079230390955</v>
      </c>
      <c r="N192" s="9">
        <v>-1.7299343257923708E-3</v>
      </c>
      <c r="O192" s="17">
        <f t="shared" si="47"/>
        <v>-2.0562830053584946</v>
      </c>
      <c r="P192" s="17">
        <f t="shared" si="39"/>
        <v>0.24572093846311205</v>
      </c>
      <c r="Q192" s="17">
        <f t="shared" si="48"/>
        <v>5.3119903574251781</v>
      </c>
      <c r="R192" s="8">
        <v>2.3768257874574486E-3</v>
      </c>
      <c r="S192" s="17">
        <v>2.8897733190693886</v>
      </c>
      <c r="T192" s="17">
        <f t="shared" si="41"/>
        <v>5.1401803660268142</v>
      </c>
      <c r="U192" s="17">
        <f t="shared" si="42"/>
        <v>6.3037157344847827</v>
      </c>
      <c r="V192" s="9">
        <v>2.1480816232644622E-3</v>
      </c>
      <c r="W192" s="17">
        <v>2.608371145731736</v>
      </c>
      <c r="X192" s="17">
        <f t="shared" si="40"/>
        <v>5.3958684596606021</v>
      </c>
      <c r="Y192" s="17">
        <f t="shared" si="49"/>
        <v>6.6805818913255655</v>
      </c>
    </row>
    <row r="193" spans="1:25" x14ac:dyDescent="0.25">
      <c r="A193" s="7">
        <v>30286</v>
      </c>
      <c r="B193" s="28">
        <v>-1.6962137699594901E-3</v>
      </c>
      <c r="C193" s="17">
        <f t="shared" si="34"/>
        <v>-2.0165743491125099</v>
      </c>
      <c r="D193" s="17">
        <f t="shared" si="36"/>
        <v>1.9749072196524553</v>
      </c>
      <c r="E193" s="17">
        <f>(((1+B185)*(1+B184)*(1+B183)*(1+B182)*(1+B186)*(1+B187)*(1+B188)*(1+B189)*(1+B190)*(1+B191)*(1+B192)*(1+B193))-1)*100</f>
        <v>2.7612741793013873</v>
      </c>
      <c r="F193" s="30">
        <v>6.324319243052089E-3</v>
      </c>
      <c r="G193" s="17">
        <f t="shared" si="35"/>
        <v>7.858808364202563</v>
      </c>
      <c r="H193" s="17">
        <f t="shared" si="37"/>
        <v>6.4417671610916827</v>
      </c>
      <c r="I193" s="17">
        <f t="shared" si="44"/>
        <v>5.2491302605976564</v>
      </c>
      <c r="J193" s="10">
        <v>2.4801678501834125E-3</v>
      </c>
      <c r="K193" s="17">
        <f t="shared" si="45"/>
        <v>3.0171370695312616</v>
      </c>
      <c r="L193" s="17">
        <f t="shared" si="38"/>
        <v>1.6592278473308353</v>
      </c>
      <c r="M193" s="17">
        <f t="shared" si="46"/>
        <v>5.1064280830133146</v>
      </c>
      <c r="N193" s="11">
        <v>2.3030636181052039E-3</v>
      </c>
      <c r="O193" s="17">
        <f t="shared" si="47"/>
        <v>2.7989535579285407</v>
      </c>
      <c r="P193" s="17">
        <f t="shared" si="39"/>
        <v>1.3962534955362482</v>
      </c>
      <c r="Q193" s="17">
        <f t="shared" si="48"/>
        <v>5.1334909020463559</v>
      </c>
      <c r="R193" s="10">
        <v>3.436261078284234E-3</v>
      </c>
      <c r="S193" s="17">
        <v>4.2023449588040052</v>
      </c>
      <c r="T193" s="17">
        <f t="shared" si="41"/>
        <v>4.6768296035875956</v>
      </c>
      <c r="U193" s="17">
        <f t="shared" si="42"/>
        <v>6.1944313130499751</v>
      </c>
      <c r="V193" s="11">
        <v>3.3583033659680913E-3</v>
      </c>
      <c r="W193" s="17">
        <v>4.1052397629899984</v>
      </c>
      <c r="X193" s="17">
        <f t="shared" si="40"/>
        <v>4.8161025276769243</v>
      </c>
      <c r="Y193" s="17">
        <f t="shared" si="49"/>
        <v>6.5103578850292276</v>
      </c>
    </row>
    <row r="194" spans="1:25" x14ac:dyDescent="0.25">
      <c r="A194" s="7">
        <v>30317</v>
      </c>
      <c r="B194" s="28">
        <v>-3.116747078124024E-4</v>
      </c>
      <c r="C194" s="17">
        <f t="shared" si="34"/>
        <v>-0.3733691835744124</v>
      </c>
      <c r="D194" s="17">
        <f t="shared" si="36"/>
        <v>4.6746569965661067E-2</v>
      </c>
      <c r="E194" s="17">
        <f t="shared" si="43"/>
        <v>2.4315921036770716</v>
      </c>
      <c r="F194" s="30">
        <v>6.9568677460744612E-3</v>
      </c>
      <c r="G194" s="17">
        <f t="shared" si="35"/>
        <v>8.6751927699595157</v>
      </c>
      <c r="H194" s="17">
        <f t="shared" si="37"/>
        <v>7.5467626001662014</v>
      </c>
      <c r="I194" s="17">
        <f t="shared" si="44"/>
        <v>5.7716225001443133</v>
      </c>
      <c r="J194" s="10">
        <v>4.8509158726919169E-3</v>
      </c>
      <c r="K194" s="17">
        <f t="shared" si="45"/>
        <v>5.9789450832204327</v>
      </c>
      <c r="L194" s="17">
        <f t="shared" si="38"/>
        <v>2.4566513896154385</v>
      </c>
      <c r="M194" s="17">
        <f t="shared" si="46"/>
        <v>5.2233775211912192</v>
      </c>
      <c r="N194" s="11">
        <v>5.0823200164963837E-3</v>
      </c>
      <c r="O194" s="17">
        <f t="shared" si="47"/>
        <v>6.272183238865936</v>
      </c>
      <c r="P194" s="17">
        <f t="shared" si="39"/>
        <v>2.2809985660886323</v>
      </c>
      <c r="Q194" s="17">
        <f t="shared" si="48"/>
        <v>5.2806969656407743</v>
      </c>
      <c r="R194" s="10">
        <v>4.6085407028082391E-3</v>
      </c>
      <c r="S194" s="17">
        <v>5.6725997520340243</v>
      </c>
      <c r="T194" s="17">
        <f t="shared" si="41"/>
        <v>4.2487120820795976</v>
      </c>
      <c r="U194" s="17">
        <f t="shared" si="42"/>
        <v>6.0167425292049437</v>
      </c>
      <c r="V194" s="11">
        <v>4.9346198909958304E-3</v>
      </c>
      <c r="W194" s="17">
        <v>6.0849301052450455</v>
      </c>
      <c r="X194" s="17">
        <f t="shared" si="40"/>
        <v>4.2564722663390508</v>
      </c>
      <c r="Y194" s="17">
        <f t="shared" si="49"/>
        <v>6.3182436480929249</v>
      </c>
    </row>
    <row r="195" spans="1:25" x14ac:dyDescent="0.25">
      <c r="A195" s="7">
        <v>30348</v>
      </c>
      <c r="B195" s="28">
        <v>-3.3875285423598861E-3</v>
      </c>
      <c r="C195" s="17">
        <f t="shared" ref="C195:C258" si="50">((1+B195)^12 - 1)*100</f>
        <v>-3.9901456677913005</v>
      </c>
      <c r="D195" s="17">
        <f t="shared" si="36"/>
        <v>-2.137878933508186</v>
      </c>
      <c r="E195" s="17">
        <f t="shared" si="43"/>
        <v>1.957537382412422</v>
      </c>
      <c r="F195" s="30">
        <v>5.0768427884510525E-3</v>
      </c>
      <c r="G195" s="17">
        <f t="shared" ref="G195:G258" si="51">((1+F195)^12 - 1)*100</f>
        <v>6.2652338434786792</v>
      </c>
      <c r="H195" s="17">
        <f t="shared" si="37"/>
        <v>7.5950800755848702</v>
      </c>
      <c r="I195" s="17">
        <f t="shared" si="44"/>
        <v>6.0258925686504705</v>
      </c>
      <c r="J195" s="10">
        <v>3.8670636867333581E-3</v>
      </c>
      <c r="K195" s="17">
        <f t="shared" si="45"/>
        <v>4.7404573937163352</v>
      </c>
      <c r="L195" s="17">
        <f t="shared" si="38"/>
        <v>4.5717826462032374</v>
      </c>
      <c r="M195" s="17">
        <f t="shared" si="46"/>
        <v>5.1903196249084349</v>
      </c>
      <c r="N195" s="11">
        <v>3.9889936378775422E-3</v>
      </c>
      <c r="O195" s="17">
        <f t="shared" si="47"/>
        <v>4.8932210517570018</v>
      </c>
      <c r="P195" s="17">
        <f t="shared" si="39"/>
        <v>4.6450218024166823</v>
      </c>
      <c r="Q195" s="17">
        <f t="shared" si="48"/>
        <v>5.2513661266065048</v>
      </c>
      <c r="R195" s="10">
        <v>3.5111825729751828E-3</v>
      </c>
      <c r="S195" s="17">
        <v>4.2957464337200379</v>
      </c>
      <c r="T195" s="17">
        <f t="shared" si="41"/>
        <v>4.7214130491956885</v>
      </c>
      <c r="U195" s="17">
        <f t="shared" si="42"/>
        <v>5.8450738149769421</v>
      </c>
      <c r="V195" s="11">
        <v>3.6322391669463237E-3</v>
      </c>
      <c r="W195" s="17">
        <v>4.4468247873651112</v>
      </c>
      <c r="X195" s="17">
        <f t="shared" si="40"/>
        <v>4.8754510622165848</v>
      </c>
      <c r="Y195" s="17">
        <f t="shared" si="49"/>
        <v>6.1162294821522911</v>
      </c>
    </row>
    <row r="196" spans="1:25" x14ac:dyDescent="0.25">
      <c r="A196" s="7">
        <v>30376</v>
      </c>
      <c r="B196" s="28">
        <v>-2.5335426172322367E-4</v>
      </c>
      <c r="C196" s="17">
        <f t="shared" si="50"/>
        <v>-0.30360182831605798</v>
      </c>
      <c r="D196" s="17">
        <f t="shared" si="36"/>
        <v>-1.5708863664020911</v>
      </c>
      <c r="E196" s="17">
        <f t="shared" si="43"/>
        <v>2.1097684579097553</v>
      </c>
      <c r="F196" s="30">
        <v>1.1718684211138191E-3</v>
      </c>
      <c r="G196" s="17">
        <f t="shared" si="51"/>
        <v>1.4153412223619988</v>
      </c>
      <c r="H196" s="17">
        <f t="shared" si="37"/>
        <v>5.4083687784455492</v>
      </c>
      <c r="I196" s="17">
        <f t="shared" si="44"/>
        <v>5.6873615446659143</v>
      </c>
      <c r="J196" s="10">
        <v>3.228825928452415E-3</v>
      </c>
      <c r="K196" s="17">
        <f t="shared" si="45"/>
        <v>3.9441441671784983</v>
      </c>
      <c r="L196" s="17">
        <f t="shared" si="38"/>
        <v>4.8845120367700279</v>
      </c>
      <c r="M196" s="17">
        <f t="shared" si="46"/>
        <v>5.5095654634413016</v>
      </c>
      <c r="N196" s="11">
        <v>3.0324754579491744E-3</v>
      </c>
      <c r="O196" s="17">
        <f t="shared" si="47"/>
        <v>3.70028124473194</v>
      </c>
      <c r="P196" s="17">
        <f t="shared" si="39"/>
        <v>4.9499702055744166</v>
      </c>
      <c r="Q196" s="17">
        <f t="shared" si="48"/>
        <v>5.5949212971170947</v>
      </c>
      <c r="R196" s="10">
        <v>2.9254059113040889E-3</v>
      </c>
      <c r="S196" s="17">
        <v>3.5675243179703386</v>
      </c>
      <c r="T196" s="17">
        <f t="shared" si="41"/>
        <v>4.5083187567950267</v>
      </c>
      <c r="U196" s="17">
        <f t="shared" si="42"/>
        <v>5.5853145836774587</v>
      </c>
      <c r="V196" s="11">
        <v>2.5350941216631204E-3</v>
      </c>
      <c r="W196" s="17">
        <v>3.0848896638339784</v>
      </c>
      <c r="X196" s="17">
        <f t="shared" si="40"/>
        <v>4.5316925126137608</v>
      </c>
      <c r="Y196" s="17">
        <f t="shared" si="49"/>
        <v>5.7872909516409665</v>
      </c>
    </row>
    <row r="197" spans="1:25" x14ac:dyDescent="0.25">
      <c r="A197" s="7">
        <v>30407</v>
      </c>
      <c r="B197" s="28">
        <v>8.7663105463774062E-3</v>
      </c>
      <c r="C197" s="17">
        <f t="shared" si="50"/>
        <v>11.041888105759723</v>
      </c>
      <c r="D197" s="17">
        <f t="shared" ref="D197:D260" si="52">(((1+B197)*(1+B196)*(1+B195))^(12/3)-1)*100</f>
        <v>2.0533751155369373</v>
      </c>
      <c r="E197" s="17">
        <f t="shared" si="43"/>
        <v>3.7544938014995255</v>
      </c>
      <c r="F197" s="30">
        <v>3.0342456979119219E-3</v>
      </c>
      <c r="G197" s="17">
        <f t="shared" si="51"/>
        <v>3.7024774986134767</v>
      </c>
      <c r="H197" s="17">
        <f t="shared" ref="H197:H260" si="53">(((1+F197)*(1+F196)*(1+F195))^(12/3)-1)*100</f>
        <v>3.7754591309502761</v>
      </c>
      <c r="I197" s="17">
        <f t="shared" si="44"/>
        <v>5.4255830504882585</v>
      </c>
      <c r="J197" s="10">
        <v>3.9624538635760105E-3</v>
      </c>
      <c r="K197" s="17">
        <f t="shared" si="45"/>
        <v>4.8599525072659411</v>
      </c>
      <c r="L197" s="17">
        <f t="shared" ref="L197:L260" si="54">(((1+J197)*(1+J196)*(1+J195))^(12/3)-1)*100</f>
        <v>4.514059517029767</v>
      </c>
      <c r="M197" s="17">
        <f t="shared" si="46"/>
        <v>5.0340911476917327</v>
      </c>
      <c r="N197" s="11">
        <v>3.8149769629342309E-3</v>
      </c>
      <c r="O197" s="17">
        <f t="shared" si="47"/>
        <v>4.6752611437933966</v>
      </c>
      <c r="P197" s="17">
        <f t="shared" ref="P197:P260" si="55">(((1+N197)*(1+N196)*(1+N195))^(12/3)-1)*100</f>
        <v>4.4216303726110073</v>
      </c>
      <c r="Q197" s="17">
        <f t="shared" si="48"/>
        <v>5.0452033141574759</v>
      </c>
      <c r="R197" s="10">
        <v>3.8241709520319207E-3</v>
      </c>
      <c r="S197" s="17">
        <v>4.6867664316777358</v>
      </c>
      <c r="T197" s="17">
        <f t="shared" si="41"/>
        <v>4.1823123289694619</v>
      </c>
      <c r="U197" s="17">
        <f t="shared" si="42"/>
        <v>5.4064376068975406</v>
      </c>
      <c r="V197" s="11">
        <v>3.5507791086805307E-3</v>
      </c>
      <c r="W197" s="17">
        <v>4.3451407604155001</v>
      </c>
      <c r="X197" s="17">
        <f t="shared" ref="X197:X260" si="56">(((1+V197)*(1+V196)*(1+V195))^(12/3)-1)*100</f>
        <v>3.9571011103540776</v>
      </c>
      <c r="Y197" s="17">
        <f t="shared" si="49"/>
        <v>5.5233661797609024</v>
      </c>
    </row>
    <row r="198" spans="1:25" x14ac:dyDescent="0.25">
      <c r="A198" s="7">
        <v>30437</v>
      </c>
      <c r="B198" s="28">
        <v>7.354037839333148E-3</v>
      </c>
      <c r="C198" s="17">
        <f t="shared" si="50"/>
        <v>9.190682107274629</v>
      </c>
      <c r="D198" s="17">
        <f t="shared" si="52"/>
        <v>6.524775691413609</v>
      </c>
      <c r="E198" s="17">
        <f t="shared" si="43"/>
        <v>3.7333644174120995</v>
      </c>
      <c r="F198" s="30">
        <v>3.8254821651086414E-3</v>
      </c>
      <c r="G198" s="17">
        <f t="shared" si="51"/>
        <v>4.6884073681752847</v>
      </c>
      <c r="H198" s="17">
        <f t="shared" si="53"/>
        <v>3.259605231330287</v>
      </c>
      <c r="I198" s="17">
        <f t="shared" si="44"/>
        <v>5.205453789532366</v>
      </c>
      <c r="J198" s="10">
        <v>2.3706482642346059E-3</v>
      </c>
      <c r="K198" s="17">
        <f t="shared" si="45"/>
        <v>2.8821644150660797</v>
      </c>
      <c r="L198" s="17">
        <f t="shared" si="54"/>
        <v>3.8922755985000057</v>
      </c>
      <c r="M198" s="17">
        <f t="shared" si="46"/>
        <v>4.198401783484651</v>
      </c>
      <c r="N198" s="11">
        <v>2.419696528229666E-3</v>
      </c>
      <c r="O198" s="17">
        <f t="shared" si="47"/>
        <v>2.9425917612922792</v>
      </c>
      <c r="P198" s="17">
        <f t="shared" si="55"/>
        <v>3.7702895357511368</v>
      </c>
      <c r="Q198" s="17">
        <f t="shared" si="48"/>
        <v>4.1460643544384057</v>
      </c>
      <c r="R198" s="10">
        <v>2.0911727491082772E-3</v>
      </c>
      <c r="S198" s="17">
        <v>2.5384712551058009</v>
      </c>
      <c r="T198" s="17">
        <f t="shared" si="41"/>
        <v>3.5938736786154335</v>
      </c>
      <c r="U198" s="17">
        <f t="shared" si="42"/>
        <v>5.0627256635643159</v>
      </c>
      <c r="V198" s="11">
        <v>2.1094016806649462E-3</v>
      </c>
      <c r="W198" s="17">
        <v>2.5608566888454476</v>
      </c>
      <c r="X198" s="17">
        <f t="shared" si="56"/>
        <v>3.327588357118838</v>
      </c>
      <c r="Y198" s="17">
        <f t="shared" si="49"/>
        <v>5.1501457878298185</v>
      </c>
    </row>
    <row r="199" spans="1:25" x14ac:dyDescent="0.25">
      <c r="A199" s="7">
        <v>30468</v>
      </c>
      <c r="B199" s="28">
        <v>2.3112346707721909E-3</v>
      </c>
      <c r="C199" s="17">
        <f t="shared" si="50"/>
        <v>2.8090105559472001</v>
      </c>
      <c r="D199" s="17">
        <f t="shared" si="52"/>
        <v>7.6220347456939175</v>
      </c>
      <c r="E199" s="17">
        <f t="shared" si="43"/>
        <v>2.3827110971484489</v>
      </c>
      <c r="F199" s="30">
        <v>5.2438695955811954E-3</v>
      </c>
      <c r="G199" s="17">
        <f t="shared" si="51"/>
        <v>6.4773415008646973</v>
      </c>
      <c r="H199" s="17">
        <f t="shared" si="53"/>
        <v>4.9498063045026575</v>
      </c>
      <c r="I199" s="17">
        <f t="shared" si="44"/>
        <v>4.9962986682477784</v>
      </c>
      <c r="J199" s="10">
        <v>2.9665798571219286E-3</v>
      </c>
      <c r="K199" s="17">
        <f t="shared" si="45"/>
        <v>3.6185579832884951</v>
      </c>
      <c r="L199" s="17">
        <f t="shared" si="54"/>
        <v>3.7836875703533002</v>
      </c>
      <c r="M199" s="17">
        <f t="shared" si="46"/>
        <v>3.5330262270609092</v>
      </c>
      <c r="N199" s="11">
        <v>3.0970797293414223E-3</v>
      </c>
      <c r="O199" s="17">
        <f t="shared" si="47"/>
        <v>3.7804603624297384</v>
      </c>
      <c r="P199" s="17">
        <f t="shared" si="55"/>
        <v>3.7970270615493851</v>
      </c>
      <c r="Q199" s="17">
        <f t="shared" si="48"/>
        <v>3.4450682221534468</v>
      </c>
      <c r="R199" s="10">
        <v>2.7431360109488865E-3</v>
      </c>
      <c r="S199" s="17">
        <v>3.3418837902533305</v>
      </c>
      <c r="T199" s="17">
        <f t="shared" si="41"/>
        <v>3.5185863315777555</v>
      </c>
      <c r="U199" s="17">
        <f t="shared" si="42"/>
        <v>4.6642209939510071</v>
      </c>
      <c r="V199" s="11">
        <v>2.9079457124198552E-3</v>
      </c>
      <c r="W199" s="17">
        <v>3.5458899699976509</v>
      </c>
      <c r="X199" s="17">
        <f t="shared" si="56"/>
        <v>3.4813878735587611</v>
      </c>
      <c r="Y199" s="17">
        <f t="shared" si="49"/>
        <v>4.7264456819473111</v>
      </c>
    </row>
    <row r="200" spans="1:25" x14ac:dyDescent="0.25">
      <c r="A200" s="7">
        <v>30498</v>
      </c>
      <c r="B200" s="28">
        <v>4.4016909149261086E-3</v>
      </c>
      <c r="C200" s="17">
        <f t="shared" si="50"/>
        <v>5.4117982476853621</v>
      </c>
      <c r="D200" s="17">
        <f t="shared" si="52"/>
        <v>5.771499234837818</v>
      </c>
      <c r="E200" s="17">
        <f t="shared" si="43"/>
        <v>2.390853104792634</v>
      </c>
      <c r="F200" s="30">
        <v>9.8548017190651354E-3</v>
      </c>
      <c r="G200" s="17">
        <f t="shared" si="51"/>
        <v>12.488264890721968</v>
      </c>
      <c r="H200" s="17">
        <f t="shared" si="53"/>
        <v>7.8336577085371006</v>
      </c>
      <c r="I200" s="17">
        <f t="shared" si="44"/>
        <v>5.5709076331574403</v>
      </c>
      <c r="J200" s="10">
        <v>2.9411095533537317E-3</v>
      </c>
      <c r="K200" s="17">
        <f t="shared" si="45"/>
        <v>3.5869857142691197</v>
      </c>
      <c r="L200" s="17">
        <f t="shared" si="54"/>
        <v>3.3620095007668604</v>
      </c>
      <c r="M200" s="17">
        <f t="shared" si="46"/>
        <v>3.2604499743829285</v>
      </c>
      <c r="N200" s="11">
        <v>3.204309553237947E-3</v>
      </c>
      <c r="O200" s="17">
        <f t="shared" si="47"/>
        <v>3.9136666798069486</v>
      </c>
      <c r="P200" s="17">
        <f t="shared" si="55"/>
        <v>3.5446791844432335</v>
      </c>
      <c r="Q200" s="17">
        <f t="shared" si="48"/>
        <v>3.1959299632241756</v>
      </c>
      <c r="R200" s="10">
        <v>2.905505799802875E-3</v>
      </c>
      <c r="S200" s="17">
        <v>3.542867085865975</v>
      </c>
      <c r="T200" s="17">
        <f t="shared" ref="T200:T263" si="57">(((1+R200)*(1+R199)*(1+R198))^(12/3)-1)*100</f>
        <v>3.1401596971553536</v>
      </c>
      <c r="U200" s="17">
        <f t="shared" si="42"/>
        <v>4.3364511335868272</v>
      </c>
      <c r="V200" s="11">
        <v>3.3307364721521238E-3</v>
      </c>
      <c r="W200" s="17">
        <v>4.0709219191475743</v>
      </c>
      <c r="X200" s="17">
        <f t="shared" si="56"/>
        <v>3.3906587149796552</v>
      </c>
      <c r="Y200" s="17">
        <f t="shared" si="49"/>
        <v>4.4233193078674127</v>
      </c>
    </row>
    <row r="201" spans="1:25" x14ac:dyDescent="0.25">
      <c r="A201" s="7">
        <v>30529</v>
      </c>
      <c r="B201" s="28">
        <v>3.7977364984902412E-3</v>
      </c>
      <c r="C201" s="17">
        <f t="shared" si="50"/>
        <v>4.6536896825432716</v>
      </c>
      <c r="D201" s="17">
        <f t="shared" si="52"/>
        <v>4.2857531685200012</v>
      </c>
      <c r="E201" s="17">
        <f t="shared" si="43"/>
        <v>2.8925663171131211</v>
      </c>
      <c r="F201" s="30">
        <v>8.2215131875601963E-3</v>
      </c>
      <c r="G201" s="17">
        <f t="shared" si="51"/>
        <v>10.324386447727729</v>
      </c>
      <c r="H201" s="17">
        <f t="shared" si="53"/>
        <v>9.735036561270082</v>
      </c>
      <c r="I201" s="17">
        <f t="shared" si="44"/>
        <v>6.3216844338048528</v>
      </c>
      <c r="J201" s="10">
        <v>3.3626551694913519E-3</v>
      </c>
      <c r="K201" s="17">
        <f t="shared" si="45"/>
        <v>4.1106582423725779</v>
      </c>
      <c r="L201" s="17">
        <f t="shared" si="54"/>
        <v>3.7717906184534966</v>
      </c>
      <c r="M201" s="17">
        <f t="shared" si="46"/>
        <v>3.1957045121809857</v>
      </c>
      <c r="N201" s="11">
        <v>3.3591920264899027E-3</v>
      </c>
      <c r="O201" s="17">
        <f t="shared" si="47"/>
        <v>4.1063462231694325</v>
      </c>
      <c r="P201" s="17">
        <f t="shared" si="55"/>
        <v>3.9334050073592364</v>
      </c>
      <c r="Q201" s="17">
        <f t="shared" si="48"/>
        <v>3.1343059014247387</v>
      </c>
      <c r="R201" s="10">
        <v>3.5012274518760509E-3</v>
      </c>
      <c r="S201" s="17">
        <v>4.2833313835749509</v>
      </c>
      <c r="T201" s="17">
        <f t="shared" si="57"/>
        <v>3.7219052333972158</v>
      </c>
      <c r="U201" s="17">
        <f t="shared" si="42"/>
        <v>4.292287330463318</v>
      </c>
      <c r="V201" s="11">
        <v>3.52639291268818E-3</v>
      </c>
      <c r="W201" s="17">
        <v>4.3147178933087726</v>
      </c>
      <c r="X201" s="17">
        <f t="shared" si="56"/>
        <v>3.9766813020562619</v>
      </c>
      <c r="Y201" s="17">
        <f t="shared" si="49"/>
        <v>4.3908462718882824</v>
      </c>
    </row>
    <row r="202" spans="1:25" x14ac:dyDescent="0.25">
      <c r="A202" s="7">
        <v>30560</v>
      </c>
      <c r="B202" s="28">
        <v>2.1807746473180524E-3</v>
      </c>
      <c r="C202" s="17">
        <f t="shared" si="50"/>
        <v>2.6485470036374581</v>
      </c>
      <c r="D202" s="17">
        <f t="shared" si="52"/>
        <v>4.2314687693566277</v>
      </c>
      <c r="E202" s="17">
        <f t="shared" si="43"/>
        <v>3.0099644682062277</v>
      </c>
      <c r="F202" s="30">
        <v>5.2800472330869494E-3</v>
      </c>
      <c r="G202" s="17">
        <f t="shared" si="51"/>
        <v>6.5233346535963799</v>
      </c>
      <c r="H202" s="17">
        <f t="shared" si="53"/>
        <v>9.7508343942582787</v>
      </c>
      <c r="I202" s="17">
        <f t="shared" si="44"/>
        <v>6.621345851788063</v>
      </c>
      <c r="J202" s="10">
        <v>3.4103723613813103E-3</v>
      </c>
      <c r="K202" s="17">
        <f t="shared" si="45"/>
        <v>4.170088413802997</v>
      </c>
      <c r="L202" s="17">
        <f t="shared" si="54"/>
        <v>3.9555802647089244</v>
      </c>
      <c r="M202" s="17">
        <f t="shared" si="46"/>
        <v>3.563988623771186</v>
      </c>
      <c r="N202" s="11">
        <v>3.2913106018688191E-3</v>
      </c>
      <c r="O202" s="17">
        <f t="shared" si="47"/>
        <v>4.0218589348401057</v>
      </c>
      <c r="P202" s="17">
        <f t="shared" si="55"/>
        <v>4.0139273830110067</v>
      </c>
      <c r="Q202" s="17">
        <f t="shared" si="48"/>
        <v>3.5309405374995162</v>
      </c>
      <c r="R202" s="10">
        <v>2.9676355750246418E-3</v>
      </c>
      <c r="S202" s="17">
        <v>3.6198668117445321</v>
      </c>
      <c r="T202" s="17">
        <f t="shared" si="57"/>
        <v>3.8148237197934032</v>
      </c>
      <c r="U202" s="17">
        <f t="shared" si="42"/>
        <v>4.1285405150742527</v>
      </c>
      <c r="V202" s="11">
        <v>2.6731410044294177E-3</v>
      </c>
      <c r="W202" s="17">
        <v>3.2553534815342733</v>
      </c>
      <c r="X202" s="17">
        <f t="shared" si="56"/>
        <v>3.8793417932518004</v>
      </c>
      <c r="Y202" s="17">
        <f t="shared" si="49"/>
        <v>4.1758027693842514</v>
      </c>
    </row>
    <row r="203" spans="1:25" x14ac:dyDescent="0.25">
      <c r="A203" s="7">
        <v>30590</v>
      </c>
      <c r="B203" s="28">
        <v>1.9998388915683507E-3</v>
      </c>
      <c r="C203" s="17">
        <f t="shared" si="50"/>
        <v>2.4263791685456448</v>
      </c>
      <c r="D203" s="17">
        <f t="shared" si="52"/>
        <v>3.2380335747926203</v>
      </c>
      <c r="E203" s="17">
        <f t="shared" si="43"/>
        <v>2.7565895195483581</v>
      </c>
      <c r="F203" s="30">
        <v>4.5546133098666253E-3</v>
      </c>
      <c r="G203" s="17">
        <f t="shared" si="51"/>
        <v>5.6045497754166895</v>
      </c>
      <c r="H203" s="17">
        <f t="shared" si="53"/>
        <v>7.4648164342582479</v>
      </c>
      <c r="I203" s="17">
        <f t="shared" si="44"/>
        <v>6.6419703802070851</v>
      </c>
      <c r="J203" s="10">
        <v>4.7189381334033949E-3</v>
      </c>
      <c r="K203" s="17">
        <f t="shared" si="45"/>
        <v>5.812033609500844</v>
      </c>
      <c r="L203" s="17">
        <f t="shared" si="54"/>
        <v>4.6946353904578464</v>
      </c>
      <c r="M203" s="17">
        <f t="shared" si="46"/>
        <v>3.7528563509482415</v>
      </c>
      <c r="N203" s="11">
        <v>4.7477786995146444E-3</v>
      </c>
      <c r="O203" s="17">
        <f t="shared" si="47"/>
        <v>5.8484875152555293</v>
      </c>
      <c r="P203" s="17">
        <f t="shared" si="55"/>
        <v>4.6555241833226679</v>
      </c>
      <c r="Q203" s="17">
        <f t="shared" si="48"/>
        <v>3.7215130121811102</v>
      </c>
      <c r="R203" s="10">
        <v>5.1889328960841039E-3</v>
      </c>
      <c r="S203" s="17">
        <v>6.4075344899821252</v>
      </c>
      <c r="T203" s="17">
        <f t="shared" si="57"/>
        <v>4.7635248655995222</v>
      </c>
      <c r="U203" s="17">
        <f t="shared" si="42"/>
        <v>4.0820046091889273</v>
      </c>
      <c r="V203" s="11">
        <v>5.341251697727931E-3</v>
      </c>
      <c r="W203" s="17">
        <v>6.6011862408685174</v>
      </c>
      <c r="X203" s="17">
        <f t="shared" si="56"/>
        <v>4.7144785472511774</v>
      </c>
      <c r="Y203" s="17">
        <f t="shared" si="49"/>
        <v>4.0785673964224944</v>
      </c>
    </row>
    <row r="204" spans="1:25" x14ac:dyDescent="0.25">
      <c r="A204" s="7">
        <v>30621</v>
      </c>
      <c r="B204" s="28">
        <v>1.1842428852507387E-3</v>
      </c>
      <c r="C204" s="17">
        <f t="shared" si="50"/>
        <v>1.4303841438590981</v>
      </c>
      <c r="D204" s="17">
        <f t="shared" si="52"/>
        <v>2.1670606745176624</v>
      </c>
      <c r="E204" s="17">
        <f t="shared" si="43"/>
        <v>2.6597691807464852</v>
      </c>
      <c r="F204" s="30">
        <v>7.1025276529760751E-3</v>
      </c>
      <c r="G204" s="17">
        <f t="shared" si="51"/>
        <v>8.8639859824948921</v>
      </c>
      <c r="H204" s="17">
        <f t="shared" si="53"/>
        <v>6.9885261436178459</v>
      </c>
      <c r="I204" s="17">
        <f t="shared" si="44"/>
        <v>6.8689020943722756</v>
      </c>
      <c r="J204" s="10">
        <v>4.4324408304904023E-3</v>
      </c>
      <c r="K204" s="17">
        <f t="shared" si="45"/>
        <v>5.4505311543993074</v>
      </c>
      <c r="L204" s="17">
        <f t="shared" si="54"/>
        <v>5.1418518359912291</v>
      </c>
      <c r="M204" s="17">
        <f t="shared" si="46"/>
        <v>4.3429655583964388</v>
      </c>
      <c r="N204" s="11">
        <v>4.7336543088608279E-3</v>
      </c>
      <c r="O204" s="17">
        <f t="shared" si="47"/>
        <v>5.8306331263346056</v>
      </c>
      <c r="P204" s="17">
        <f t="shared" si="55"/>
        <v>5.2301575283980606</v>
      </c>
      <c r="Q204" s="17">
        <f t="shared" si="48"/>
        <v>4.3930879854543026</v>
      </c>
      <c r="R204" s="10">
        <v>4.6210698227702462E-3</v>
      </c>
      <c r="S204" s="17">
        <v>5.6884157692774551</v>
      </c>
      <c r="T204" s="17">
        <f t="shared" si="57"/>
        <v>5.2319454593683812</v>
      </c>
      <c r="U204" s="17">
        <f t="shared" si="42"/>
        <v>4.3150361518366154</v>
      </c>
      <c r="V204" s="11">
        <v>5.1587207104489856E-3</v>
      </c>
      <c r="W204" s="17">
        <v>6.3691623269446884</v>
      </c>
      <c r="X204" s="17">
        <f t="shared" si="56"/>
        <v>5.3974535194492024</v>
      </c>
      <c r="Y204" s="17">
        <f t="shared" si="49"/>
        <v>4.3912387559628119</v>
      </c>
    </row>
    <row r="205" spans="1:25" x14ac:dyDescent="0.25">
      <c r="A205" s="7">
        <v>30651</v>
      </c>
      <c r="B205" s="28">
        <v>1.0731765508436553E-3</v>
      </c>
      <c r="C205" s="17">
        <f t="shared" si="50"/>
        <v>1.2954403906750622</v>
      </c>
      <c r="D205" s="17">
        <f t="shared" si="52"/>
        <v>1.7161536593577997</v>
      </c>
      <c r="E205" s="17">
        <f t="shared" si="43"/>
        <v>2.9445572132337672</v>
      </c>
      <c r="F205" s="30">
        <v>4.0507297219962782E-3</v>
      </c>
      <c r="G205" s="17">
        <f t="shared" si="51"/>
        <v>4.9706468476770738</v>
      </c>
      <c r="H205" s="17">
        <f t="shared" si="53"/>
        <v>6.4661570210129415</v>
      </c>
      <c r="I205" s="17">
        <f t="shared" si="44"/>
        <v>6.6274530790973341</v>
      </c>
      <c r="J205" s="10">
        <v>2.8637034820608556E-3</v>
      </c>
      <c r="K205" s="17">
        <f t="shared" si="45"/>
        <v>3.4910894495442379</v>
      </c>
      <c r="L205" s="17">
        <f t="shared" si="54"/>
        <v>4.9129093208439834</v>
      </c>
      <c r="M205" s="17">
        <f t="shared" si="46"/>
        <v>4.3828857947371347</v>
      </c>
      <c r="N205" s="11">
        <v>3.0652060473815848E-3</v>
      </c>
      <c r="O205" s="17">
        <f t="shared" si="47"/>
        <v>3.7408954498856506</v>
      </c>
      <c r="P205" s="17">
        <f t="shared" si="55"/>
        <v>5.1353297321185432</v>
      </c>
      <c r="Q205" s="17">
        <f t="shared" si="48"/>
        <v>4.4724675708959216</v>
      </c>
      <c r="R205" s="10">
        <v>2.3331490544719613E-3</v>
      </c>
      <c r="S205" s="17">
        <v>2.8359874107091398</v>
      </c>
      <c r="T205" s="17">
        <f t="shared" si="57"/>
        <v>4.9659152587353539</v>
      </c>
      <c r="U205" s="17">
        <f t="shared" ref="U205:U268" si="58">(((1+R197)*(1+R196)*(1+R195)*(1+R194)*(1+R198)*(1+R199)*(1+R200)*(1+R201)*(1+R202)*(1+R203)*(1+R204)*(1+R205))-1)*100</f>
        <v>4.2003590416833436</v>
      </c>
      <c r="V205" s="11">
        <v>2.5469736708423002E-3</v>
      </c>
      <c r="W205" s="17">
        <v>3.0995486837948283</v>
      </c>
      <c r="X205" s="17">
        <f t="shared" si="56"/>
        <v>5.3444144763250989</v>
      </c>
      <c r="Y205" s="17">
        <f t="shared" si="49"/>
        <v>4.306826525925378</v>
      </c>
    </row>
    <row r="206" spans="1:25" x14ac:dyDescent="0.25">
      <c r="A206" s="7">
        <v>30682</v>
      </c>
      <c r="B206" s="28">
        <v>8.2028228626112743E-3</v>
      </c>
      <c r="C206" s="17">
        <f t="shared" si="50"/>
        <v>10.299846740369677</v>
      </c>
      <c r="D206" s="17">
        <f t="shared" si="52"/>
        <v>4.2583767091354474</v>
      </c>
      <c r="E206" s="17">
        <f t="shared" ref="E206:E269" si="59">(((1+B198)*(1+B197)*(1+B196)*(1+B195)*(1+B199)*(1+B200)*(1+B201)*(1+B202)*(1+B203)*(1+B204)*(1+B205)*(1+B206))-1)*100</f>
        <v>3.8213516701703476</v>
      </c>
      <c r="F206" s="30">
        <v>4.4385159984819825E-3</v>
      </c>
      <c r="G206" s="17">
        <f t="shared" si="51"/>
        <v>5.4581850410376331</v>
      </c>
      <c r="H206" s="17">
        <f t="shared" si="53"/>
        <v>6.4169479812074215</v>
      </c>
      <c r="I206" s="17">
        <f t="shared" ref="I206:I269" si="60">(((1+F198)*(1+F197)*(1+F196)*(1+F195)*(1+F199)*(1+F200)*(1+F201)*(1+F202)*(1+F203)*(1+F204)*(1+F205)*(1+F206))-1)*100</f>
        <v>6.3607828359078855</v>
      </c>
      <c r="J206" s="10">
        <v>5.6299154604137229E-3</v>
      </c>
      <c r="K206" s="17">
        <f t="shared" ref="K206:K269" si="61">((1+J206)^12 - 1)*100</f>
        <v>6.9690677913315513</v>
      </c>
      <c r="L206" s="17">
        <f t="shared" si="54"/>
        <v>5.2939247109591525</v>
      </c>
      <c r="M206" s="17">
        <f t="shared" ref="M206:M269" si="62">(((1+J198)*(1+J197)*(1+J196)*(1+J195)*(1+J199)*(1+J200)*(1+J201)*(1+J202)*(1+J203)*(1+J204)*(1+J205)*(1+J206))-1)*100</f>
        <v>4.4638074754709267</v>
      </c>
      <c r="N206" s="11">
        <v>5.6333697164979643E-3</v>
      </c>
      <c r="O206" s="17">
        <f t="shared" ref="O206:O269" si="63">((1+N206)^12 - 1)*100</f>
        <v>6.9734770340742935</v>
      </c>
      <c r="P206" s="17">
        <f t="shared" si="55"/>
        <v>5.506487849288666</v>
      </c>
      <c r="Q206" s="17">
        <f t="shared" ref="Q206:Q269" si="64">(((1+N198)*(1+N197)*(1+N196)*(1+N195)*(1+N199)*(1+N200)*(1+N201)*(1+N202)*(1+N203)*(1+N204)*(1+N205)*(1+N206))-1)*100</f>
        <v>4.529745985575806</v>
      </c>
      <c r="R206" s="10">
        <v>6.7342757932720744E-3</v>
      </c>
      <c r="S206" s="17">
        <v>8.3872658241469278</v>
      </c>
      <c r="T206" s="17">
        <f t="shared" si="57"/>
        <v>5.6128892556141396</v>
      </c>
      <c r="U206" s="17">
        <f t="shared" si="58"/>
        <v>4.4208452815264643</v>
      </c>
      <c r="V206" s="11">
        <v>6.9845019265344964E-3</v>
      </c>
      <c r="W206" s="17">
        <v>8.7109869929152595</v>
      </c>
      <c r="X206" s="17">
        <f t="shared" si="56"/>
        <v>6.03485512573807</v>
      </c>
      <c r="Y206" s="17">
        <f t="shared" ref="Y206:Y269" si="65">(((1+V198)*(1+V197)*(1+V196)*(1+V195)*(1+V199)*(1+V200)*(1+V201)*(1+V202)*(1+V203)*(1+V204)*(1+V205)*(1+V206))-1)*100</f>
        <v>4.5195932926855198</v>
      </c>
    </row>
    <row r="207" spans="1:25" x14ac:dyDescent="0.25">
      <c r="A207" s="7">
        <v>30713</v>
      </c>
      <c r="B207" s="28">
        <v>6.1024073850498477E-3</v>
      </c>
      <c r="C207" s="17">
        <f t="shared" si="50"/>
        <v>7.5737375596968581</v>
      </c>
      <c r="D207" s="17">
        <f t="shared" si="52"/>
        <v>6.3221347876450951</v>
      </c>
      <c r="E207" s="17">
        <f t="shared" si="59"/>
        <v>4.8099585795399857</v>
      </c>
      <c r="F207" s="30">
        <v>-3.8349283039634211E-4</v>
      </c>
      <c r="G207" s="17">
        <f t="shared" si="51"/>
        <v>-0.45922199562817845</v>
      </c>
      <c r="H207" s="17">
        <f t="shared" si="53"/>
        <v>3.2879677070114743</v>
      </c>
      <c r="I207" s="17">
        <f t="shared" si="60"/>
        <v>5.7829508272067898</v>
      </c>
      <c r="J207" s="10">
        <v>3.7386060221978089E-3</v>
      </c>
      <c r="K207" s="17">
        <f t="shared" si="61"/>
        <v>4.5797359233685553</v>
      </c>
      <c r="L207" s="17">
        <f t="shared" si="54"/>
        <v>5.0032892289730624</v>
      </c>
      <c r="M207" s="17">
        <f t="shared" si="62"/>
        <v>4.450439991645383</v>
      </c>
      <c r="N207" s="11">
        <v>3.7149068504134428E-3</v>
      </c>
      <c r="O207" s="17">
        <f t="shared" si="63"/>
        <v>4.5501091107446268</v>
      </c>
      <c r="P207" s="17">
        <f t="shared" si="55"/>
        <v>5.0792259539295559</v>
      </c>
      <c r="Q207" s="17">
        <f t="shared" si="64"/>
        <v>4.5012095947854824</v>
      </c>
      <c r="R207" s="10">
        <v>4.038274927329194E-3</v>
      </c>
      <c r="S207" s="17">
        <v>4.9550225535532011</v>
      </c>
      <c r="T207" s="17">
        <f t="shared" si="57"/>
        <v>5.3680323012764708</v>
      </c>
      <c r="U207" s="17">
        <f t="shared" si="58"/>
        <v>4.4756921333990451</v>
      </c>
      <c r="V207" s="11">
        <v>4.0655906407244587E-3</v>
      </c>
      <c r="W207" s="17">
        <v>4.9892923666825961</v>
      </c>
      <c r="X207" s="17">
        <f t="shared" si="56"/>
        <v>5.5743469819659053</v>
      </c>
      <c r="Y207" s="17">
        <f t="shared" si="65"/>
        <v>4.5647230902593261</v>
      </c>
    </row>
    <row r="208" spans="1:25" x14ac:dyDescent="0.25">
      <c r="A208" s="7">
        <v>30742</v>
      </c>
      <c r="B208" s="28">
        <v>2.3030419782370678E-3</v>
      </c>
      <c r="C208" s="17">
        <f t="shared" si="50"/>
        <v>2.7989269246003534</v>
      </c>
      <c r="D208" s="17">
        <f t="shared" si="52"/>
        <v>6.8455853763630836</v>
      </c>
      <c r="E208" s="17">
        <f t="shared" si="59"/>
        <v>5.0779622634385513</v>
      </c>
      <c r="F208" s="30">
        <v>5.0116570349331537E-3</v>
      </c>
      <c r="G208" s="17">
        <f t="shared" si="51"/>
        <v>6.1825594609522305</v>
      </c>
      <c r="H208" s="17">
        <f t="shared" si="53"/>
        <v>3.6839429355887576</v>
      </c>
      <c r="I208" s="17">
        <f t="shared" si="60"/>
        <v>6.1886595600771255</v>
      </c>
      <c r="J208" s="10">
        <v>3.5547618362338153E-3</v>
      </c>
      <c r="K208" s="17">
        <f t="shared" si="61"/>
        <v>4.3501101632233086</v>
      </c>
      <c r="L208" s="17">
        <f t="shared" si="54"/>
        <v>5.2930132980562483</v>
      </c>
      <c r="M208" s="17">
        <f t="shared" si="62"/>
        <v>4.4843745717701111</v>
      </c>
      <c r="N208" s="11">
        <v>3.5083716821364139E-3</v>
      </c>
      <c r="O208" s="17">
        <f t="shared" si="63"/>
        <v>4.2922408292358716</v>
      </c>
      <c r="P208" s="17">
        <f t="shared" si="55"/>
        <v>5.2650498535467882</v>
      </c>
      <c r="Q208" s="17">
        <f t="shared" si="64"/>
        <v>4.5507909715464478</v>
      </c>
      <c r="R208" s="10">
        <v>2.4280633500283551E-3</v>
      </c>
      <c r="S208" s="17">
        <v>2.9529029137667306</v>
      </c>
      <c r="T208" s="17">
        <f t="shared" si="57"/>
        <v>5.4079485833709917</v>
      </c>
      <c r="U208" s="17">
        <f t="shared" si="58"/>
        <v>4.4238834864045229</v>
      </c>
      <c r="V208" s="11">
        <v>2.1027389378760002E-3</v>
      </c>
      <c r="W208" s="17">
        <v>2.5526742095332455</v>
      </c>
      <c r="X208" s="17">
        <f t="shared" si="56"/>
        <v>5.3873487468771408</v>
      </c>
      <c r="Y208" s="17">
        <f t="shared" si="65"/>
        <v>4.5196283097030499</v>
      </c>
    </row>
    <row r="209" spans="1:25" x14ac:dyDescent="0.25">
      <c r="A209" s="7">
        <v>30773</v>
      </c>
      <c r="B209" s="28">
        <v>2.4860346159541954E-3</v>
      </c>
      <c r="C209" s="17">
        <f t="shared" si="50"/>
        <v>3.0243718883733228</v>
      </c>
      <c r="D209" s="17">
        <f t="shared" si="52"/>
        <v>4.4427435608104249</v>
      </c>
      <c r="E209" s="17">
        <f t="shared" si="59"/>
        <v>4.4237784447268114</v>
      </c>
      <c r="F209" s="30">
        <v>5.4789847002054163E-3</v>
      </c>
      <c r="G209" s="17">
        <f t="shared" si="51"/>
        <v>6.7765722982058518</v>
      </c>
      <c r="H209" s="17">
        <f t="shared" si="53"/>
        <v>4.114223678688167</v>
      </c>
      <c r="I209" s="17">
        <f t="shared" si="60"/>
        <v>6.4474777995751742</v>
      </c>
      <c r="J209" s="10">
        <v>4.4326189025165018E-3</v>
      </c>
      <c r="K209" s="17">
        <f t="shared" si="61"/>
        <v>5.4507554937252678</v>
      </c>
      <c r="L209" s="17">
        <f t="shared" si="54"/>
        <v>4.7924633548809714</v>
      </c>
      <c r="M209" s="17">
        <f t="shared" si="62"/>
        <v>4.5333055849271719</v>
      </c>
      <c r="N209" s="11">
        <v>4.6371656310287713E-3</v>
      </c>
      <c r="O209" s="17">
        <f t="shared" si="63"/>
        <v>5.7087373464992597</v>
      </c>
      <c r="P209" s="17">
        <f t="shared" si="55"/>
        <v>4.8485571020177254</v>
      </c>
      <c r="Q209" s="17">
        <f t="shared" si="64"/>
        <v>4.6364247562078464</v>
      </c>
      <c r="R209" s="10">
        <v>3.6558325912943927E-3</v>
      </c>
      <c r="S209" s="17">
        <v>4.4762926757264232</v>
      </c>
      <c r="T209" s="17">
        <f t="shared" si="57"/>
        <v>4.1245630926245225</v>
      </c>
      <c r="U209" s="17">
        <f t="shared" si="58"/>
        <v>4.4063719083048403</v>
      </c>
      <c r="V209" s="11">
        <v>3.8203087757181934E-3</v>
      </c>
      <c r="W209" s="17">
        <v>4.6819331924830898</v>
      </c>
      <c r="X209" s="17">
        <f t="shared" si="56"/>
        <v>4.0689671098786961</v>
      </c>
      <c r="Y209" s="17">
        <f t="shared" si="65"/>
        <v>4.5476997747486037</v>
      </c>
    </row>
    <row r="210" spans="1:25" x14ac:dyDescent="0.25">
      <c r="A210" s="7">
        <v>30803</v>
      </c>
      <c r="B210" s="28">
        <v>2.067983726165209E-4</v>
      </c>
      <c r="C210" s="17">
        <f t="shared" si="50"/>
        <v>0.24844049453680572</v>
      </c>
      <c r="D210" s="17">
        <f t="shared" si="52"/>
        <v>2.0161024827151541</v>
      </c>
      <c r="E210" s="17">
        <f t="shared" si="59"/>
        <v>3.682885250746426</v>
      </c>
      <c r="F210" s="30">
        <v>5.906775506714282E-3</v>
      </c>
      <c r="G210" s="17">
        <f t="shared" si="51"/>
        <v>7.3229993402097682</v>
      </c>
      <c r="H210" s="17">
        <f t="shared" si="53"/>
        <v>6.7596944156898209</v>
      </c>
      <c r="I210" s="17">
        <f t="shared" si="60"/>
        <v>6.6681819266482201</v>
      </c>
      <c r="J210" s="10">
        <v>3.2775679898141533E-3</v>
      </c>
      <c r="K210" s="17">
        <f t="shared" si="61"/>
        <v>4.0047621134496003</v>
      </c>
      <c r="L210" s="17">
        <f t="shared" si="54"/>
        <v>4.6000625284033481</v>
      </c>
      <c r="M210" s="17">
        <f t="shared" si="62"/>
        <v>4.6278846879557411</v>
      </c>
      <c r="N210" s="11">
        <v>3.1469495305367062E-3</v>
      </c>
      <c r="O210" s="17">
        <f t="shared" si="63"/>
        <v>3.8423916722718721</v>
      </c>
      <c r="P210" s="17">
        <f t="shared" si="55"/>
        <v>4.6114420425708902</v>
      </c>
      <c r="Q210" s="17">
        <f t="shared" si="64"/>
        <v>4.7123382227111099</v>
      </c>
      <c r="R210" s="10">
        <v>3.5364130022392335E-3</v>
      </c>
      <c r="S210" s="17">
        <v>4.3272174176923084</v>
      </c>
      <c r="T210" s="17">
        <f t="shared" si="57"/>
        <v>3.9165352187909619</v>
      </c>
      <c r="U210" s="17">
        <f t="shared" si="58"/>
        <v>4.5569493162978869</v>
      </c>
      <c r="V210" s="11">
        <v>3.3786198415590059E-3</v>
      </c>
      <c r="W210" s="17">
        <v>4.1305382484958741</v>
      </c>
      <c r="X210" s="17">
        <f t="shared" si="56"/>
        <v>3.7844478346354737</v>
      </c>
      <c r="Y210" s="17">
        <f t="shared" si="65"/>
        <v>4.6801142985633648</v>
      </c>
    </row>
    <row r="211" spans="1:25" x14ac:dyDescent="0.25">
      <c r="A211" s="7">
        <v>30834</v>
      </c>
      <c r="B211" s="28">
        <v>6.5365362578027094E-4</v>
      </c>
      <c r="C211" s="17">
        <f t="shared" si="50"/>
        <v>0.78721044039962162</v>
      </c>
      <c r="D211" s="17">
        <f t="shared" si="52"/>
        <v>1.346248050492016</v>
      </c>
      <c r="E211" s="17">
        <f t="shared" si="59"/>
        <v>3.5114187647520057</v>
      </c>
      <c r="F211" s="30">
        <v>4.0648799696354513E-3</v>
      </c>
      <c r="G211" s="17">
        <f t="shared" si="51"/>
        <v>4.9884006413014825</v>
      </c>
      <c r="H211" s="17">
        <f t="shared" si="53"/>
        <v>6.3579681750268291</v>
      </c>
      <c r="I211" s="17">
        <f t="shared" si="60"/>
        <v>6.5430772791952529</v>
      </c>
      <c r="J211" s="10">
        <v>3.5864360087184133E-3</v>
      </c>
      <c r="K211" s="17">
        <f t="shared" si="61"/>
        <v>4.3896389741342468</v>
      </c>
      <c r="L211" s="17">
        <f t="shared" si="54"/>
        <v>4.6132686927490729</v>
      </c>
      <c r="M211" s="17">
        <f t="shared" si="62"/>
        <v>4.6925470996998841</v>
      </c>
      <c r="N211" s="11">
        <v>3.7698762501358254E-3</v>
      </c>
      <c r="O211" s="17">
        <f t="shared" si="63"/>
        <v>4.6188392424043379</v>
      </c>
      <c r="P211" s="17">
        <f t="shared" si="55"/>
        <v>4.7205275900243482</v>
      </c>
      <c r="Q211" s="17">
        <f t="shared" si="64"/>
        <v>4.7825708036488113</v>
      </c>
      <c r="R211" s="10">
        <v>3.5322835041137644E-3</v>
      </c>
      <c r="S211" s="17">
        <v>4.322065923919638</v>
      </c>
      <c r="T211" s="17">
        <f t="shared" si="57"/>
        <v>4.3751675102504439</v>
      </c>
      <c r="U211" s="17">
        <f t="shared" si="58"/>
        <v>4.6392344514264439</v>
      </c>
      <c r="V211" s="11">
        <v>3.8222685774662868E-3</v>
      </c>
      <c r="W211" s="17">
        <v>4.6843857195357552</v>
      </c>
      <c r="X211" s="17">
        <f t="shared" si="56"/>
        <v>4.4986272857238108</v>
      </c>
      <c r="Y211" s="17">
        <f t="shared" si="65"/>
        <v>4.7755482039661734</v>
      </c>
    </row>
    <row r="212" spans="1:25" x14ac:dyDescent="0.25">
      <c r="A212" s="7">
        <v>30864</v>
      </c>
      <c r="B212" s="28">
        <v>1.4707766684865066E-3</v>
      </c>
      <c r="C212" s="17">
        <f t="shared" si="50"/>
        <v>1.7792792431474691</v>
      </c>
      <c r="D212" s="17">
        <f t="shared" si="52"/>
        <v>0.93632160545005227</v>
      </c>
      <c r="E212" s="17">
        <f t="shared" si="59"/>
        <v>3.2093652191726774</v>
      </c>
      <c r="F212" s="30">
        <v>5.3336686639737689E-3</v>
      </c>
      <c r="G212" s="17">
        <f t="shared" si="51"/>
        <v>6.5915378530232882</v>
      </c>
      <c r="H212" s="17">
        <f t="shared" si="53"/>
        <v>6.2964963059160883</v>
      </c>
      <c r="I212" s="17">
        <f t="shared" si="60"/>
        <v>6.0660825392998552</v>
      </c>
      <c r="J212" s="10">
        <v>3.9323613011710262E-3</v>
      </c>
      <c r="K212" s="17">
        <f t="shared" si="61"/>
        <v>4.8222421187827047</v>
      </c>
      <c r="L212" s="17">
        <f t="shared" si="54"/>
        <v>4.4050138123138183</v>
      </c>
      <c r="M212" s="17">
        <f t="shared" si="62"/>
        <v>4.796019446488331</v>
      </c>
      <c r="N212" s="11">
        <v>4.0029250824744162E-3</v>
      </c>
      <c r="O212" s="17">
        <f t="shared" si="63"/>
        <v>4.9106884818273189</v>
      </c>
      <c r="P212" s="17">
        <f t="shared" si="55"/>
        <v>4.4563321659593313</v>
      </c>
      <c r="Q212" s="17">
        <f t="shared" si="64"/>
        <v>4.8659845085544884</v>
      </c>
      <c r="R212" s="10">
        <v>3.414865239273401E-3</v>
      </c>
      <c r="S212" s="17">
        <v>4.1756857449795515</v>
      </c>
      <c r="T212" s="17">
        <f t="shared" si="57"/>
        <v>4.274966024358795</v>
      </c>
      <c r="U212" s="17">
        <f t="shared" si="58"/>
        <v>4.6923790213770467</v>
      </c>
      <c r="V212" s="11">
        <v>3.4165865381328929E-3</v>
      </c>
      <c r="W212" s="17">
        <v>4.1778302519482446</v>
      </c>
      <c r="X212" s="17">
        <f t="shared" si="56"/>
        <v>4.330617235659795</v>
      </c>
      <c r="Y212" s="17">
        <f t="shared" si="65"/>
        <v>4.7845133312163668</v>
      </c>
    </row>
    <row r="213" spans="1:25" x14ac:dyDescent="0.25">
      <c r="A213" s="7">
        <v>30895</v>
      </c>
      <c r="B213" s="28">
        <v>2.3469342035867115E-3</v>
      </c>
      <c r="C213" s="17">
        <f t="shared" si="50"/>
        <v>2.8529604100473893</v>
      </c>
      <c r="D213" s="17">
        <f t="shared" si="52"/>
        <v>1.8029893585563839</v>
      </c>
      <c r="E213" s="17">
        <f t="shared" si="59"/>
        <v>3.0601953431398154</v>
      </c>
      <c r="F213" s="30">
        <v>3.5229398216538822E-3</v>
      </c>
      <c r="G213" s="17">
        <f t="shared" si="51"/>
        <v>4.310410665484854</v>
      </c>
      <c r="H213" s="17">
        <f t="shared" si="53"/>
        <v>5.2924507710888191</v>
      </c>
      <c r="I213" s="17">
        <f t="shared" si="60"/>
        <v>5.5717871251209194</v>
      </c>
      <c r="J213" s="10">
        <v>4.854879940834441E-3</v>
      </c>
      <c r="K213" s="17">
        <f t="shared" si="61"/>
        <v>5.9839621483620542</v>
      </c>
      <c r="L213" s="17">
        <f t="shared" si="54"/>
        <v>5.0631289402750301</v>
      </c>
      <c r="M213" s="17">
        <f t="shared" si="62"/>
        <v>4.9518745755888993</v>
      </c>
      <c r="N213" s="11">
        <v>5.0508085021240831E-3</v>
      </c>
      <c r="O213" s="17">
        <f t="shared" si="63"/>
        <v>6.2322077666075115</v>
      </c>
      <c r="P213" s="17">
        <f t="shared" si="55"/>
        <v>5.2515775335725268</v>
      </c>
      <c r="Q213" s="17">
        <f t="shared" si="64"/>
        <v>5.0427836334720144</v>
      </c>
      <c r="R213" s="10">
        <v>4.6326401918505523E-3</v>
      </c>
      <c r="S213" s="17">
        <v>5.7030234434964466</v>
      </c>
      <c r="T213" s="17">
        <f t="shared" si="57"/>
        <v>4.7313380645603642</v>
      </c>
      <c r="U213" s="17">
        <f t="shared" si="58"/>
        <v>4.8104160383359851</v>
      </c>
      <c r="V213" s="11">
        <v>4.9062053558007086E-3</v>
      </c>
      <c r="W213" s="17">
        <v>6.048941074379055</v>
      </c>
      <c r="X213" s="17">
        <f t="shared" si="56"/>
        <v>4.9674187870446085</v>
      </c>
      <c r="Y213" s="17">
        <f t="shared" si="65"/>
        <v>4.9285882418125704</v>
      </c>
    </row>
    <row r="214" spans="1:25" x14ac:dyDescent="0.25">
      <c r="A214" s="7">
        <v>30926</v>
      </c>
      <c r="B214" s="28">
        <v>1.4549514118640415E-3</v>
      </c>
      <c r="C214" s="17">
        <f t="shared" si="50"/>
        <v>1.7599811075866612</v>
      </c>
      <c r="D214" s="17">
        <f t="shared" si="52"/>
        <v>2.1294661417140315</v>
      </c>
      <c r="E214" s="17">
        <f t="shared" si="59"/>
        <v>2.9855546332770544</v>
      </c>
      <c r="F214" s="30">
        <v>1.3229709208661812E-3</v>
      </c>
      <c r="G214" s="17">
        <f t="shared" si="51"/>
        <v>1.5991678622942596</v>
      </c>
      <c r="H214" s="17">
        <f t="shared" si="53"/>
        <v>4.1470192574573739</v>
      </c>
      <c r="I214" s="17">
        <f t="shared" si="60"/>
        <v>5.1562256910493875</v>
      </c>
      <c r="J214" s="10">
        <v>3.6639549326985656E-3</v>
      </c>
      <c r="K214" s="17">
        <f t="shared" si="61"/>
        <v>4.4864391406263859</v>
      </c>
      <c r="L214" s="17">
        <f t="shared" si="54"/>
        <v>5.0955938046571614</v>
      </c>
      <c r="M214" s="17">
        <f t="shared" si="62"/>
        <v>4.9783980867589284</v>
      </c>
      <c r="N214" s="11">
        <v>4.1354810493499034E-3</v>
      </c>
      <c r="O214" s="17">
        <f t="shared" si="63"/>
        <v>5.0770223451173546</v>
      </c>
      <c r="P214" s="17">
        <f t="shared" si="55"/>
        <v>5.4050051731302062</v>
      </c>
      <c r="Q214" s="17">
        <f t="shared" si="64"/>
        <v>5.1311667508453063</v>
      </c>
      <c r="R214" s="10">
        <v>3.5493714036889342E-3</v>
      </c>
      <c r="S214" s="17">
        <v>4.3433843644820946</v>
      </c>
      <c r="T214" s="17">
        <f t="shared" si="57"/>
        <v>4.7384716040684838</v>
      </c>
      <c r="U214" s="17">
        <f t="shared" si="58"/>
        <v>4.8712076053457398</v>
      </c>
      <c r="V214" s="11">
        <v>4.3008219767156622E-3</v>
      </c>
      <c r="W214" s="17">
        <v>5.2848342423366779</v>
      </c>
      <c r="X214" s="17">
        <f t="shared" si="56"/>
        <v>5.1677269458629826</v>
      </c>
      <c r="Y214" s="17">
        <f t="shared" si="65"/>
        <v>5.0989231790374623</v>
      </c>
    </row>
    <row r="215" spans="1:25" x14ac:dyDescent="0.25">
      <c r="A215" s="7">
        <v>30956</v>
      </c>
      <c r="B215" s="28">
        <v>2.3658937030421835E-3</v>
      </c>
      <c r="C215" s="17">
        <f t="shared" si="50"/>
        <v>2.8763085358735507</v>
      </c>
      <c r="D215" s="17">
        <f t="shared" si="52"/>
        <v>2.4950902388659602</v>
      </c>
      <c r="E215" s="17">
        <f t="shared" si="59"/>
        <v>3.0231777508890501</v>
      </c>
      <c r="F215" s="30">
        <v>1.2616647148888977E-3</v>
      </c>
      <c r="G215" s="17">
        <f t="shared" si="51"/>
        <v>1.524547832306844</v>
      </c>
      <c r="H215" s="17">
        <f t="shared" si="53"/>
        <v>2.4698947224112588</v>
      </c>
      <c r="I215" s="17">
        <f t="shared" si="60"/>
        <v>4.8115216390700155</v>
      </c>
      <c r="J215" s="10">
        <v>4.1033270727027045E-3</v>
      </c>
      <c r="K215" s="17">
        <f t="shared" si="61"/>
        <v>5.03665270327458</v>
      </c>
      <c r="L215" s="17">
        <f t="shared" si="54"/>
        <v>5.167201575259539</v>
      </c>
      <c r="M215" s="17">
        <f t="shared" si="62"/>
        <v>4.9140757568574722</v>
      </c>
      <c r="N215" s="11">
        <v>4.2295149807204139E-3</v>
      </c>
      <c r="O215" s="17">
        <f t="shared" si="63"/>
        <v>5.1951645256207879</v>
      </c>
      <c r="P215" s="17">
        <f t="shared" si="55"/>
        <v>5.5001913338967645</v>
      </c>
      <c r="Q215" s="17">
        <f t="shared" si="64"/>
        <v>5.0769385449247917</v>
      </c>
      <c r="R215" s="10">
        <v>4.2167116604515577E-3</v>
      </c>
      <c r="S215" s="17">
        <v>5.1790715557622713</v>
      </c>
      <c r="T215" s="17">
        <f t="shared" si="57"/>
        <v>5.0736665269422776</v>
      </c>
      <c r="U215" s="17">
        <f t="shared" si="58"/>
        <v>4.769775912552876</v>
      </c>
      <c r="V215" s="11">
        <v>4.4494795813448482E-3</v>
      </c>
      <c r="W215" s="17">
        <v>5.4719989553165593</v>
      </c>
      <c r="X215" s="17">
        <f t="shared" si="56"/>
        <v>5.6014246032493498</v>
      </c>
      <c r="Y215" s="17">
        <f t="shared" si="65"/>
        <v>5.0056968352515385</v>
      </c>
    </row>
    <row r="216" spans="1:25" x14ac:dyDescent="0.25">
      <c r="A216" s="7">
        <v>30987</v>
      </c>
      <c r="B216" s="28">
        <v>-3.8198317805541537E-4</v>
      </c>
      <c r="C216" s="17">
        <f t="shared" si="50"/>
        <v>-0.45741802521764852</v>
      </c>
      <c r="D216" s="17">
        <f t="shared" si="52"/>
        <v>1.3834573044607223</v>
      </c>
      <c r="E216" s="17">
        <f t="shared" si="59"/>
        <v>2.8620110253191111</v>
      </c>
      <c r="F216" s="30">
        <v>5.4842595550874467E-4</v>
      </c>
      <c r="G216" s="17">
        <f t="shared" si="51"/>
        <v>0.660099868795605</v>
      </c>
      <c r="H216" s="17">
        <f t="shared" si="53"/>
        <v>1.2603732601244033</v>
      </c>
      <c r="I216" s="17">
        <f t="shared" si="60"/>
        <v>4.1294209064964615</v>
      </c>
      <c r="J216" s="10">
        <v>3.5967128335066064E-3</v>
      </c>
      <c r="K216" s="17">
        <f t="shared" si="61"/>
        <v>4.4024672198739845</v>
      </c>
      <c r="L216" s="17">
        <f t="shared" si="54"/>
        <v>4.6414754700474958</v>
      </c>
      <c r="M216" s="17">
        <f t="shared" si="62"/>
        <v>4.8267830462445316</v>
      </c>
      <c r="N216" s="11">
        <v>3.77297954651638E-3</v>
      </c>
      <c r="O216" s="17">
        <f t="shared" si="63"/>
        <v>4.6227206354623629</v>
      </c>
      <c r="P216" s="17">
        <f t="shared" si="55"/>
        <v>4.964678836014369</v>
      </c>
      <c r="Q216" s="17">
        <f t="shared" si="64"/>
        <v>4.9764693683110428</v>
      </c>
      <c r="R216" s="10">
        <v>3.3650533656684961E-3</v>
      </c>
      <c r="S216" s="17">
        <v>4.1136443738203132</v>
      </c>
      <c r="T216" s="17">
        <f t="shared" si="57"/>
        <v>4.5443660639585381</v>
      </c>
      <c r="U216" s="17">
        <f t="shared" si="58"/>
        <v>4.6387886510809606</v>
      </c>
      <c r="V216" s="11">
        <v>3.6044355325927373E-3</v>
      </c>
      <c r="W216" s="17">
        <v>4.4121081796599793</v>
      </c>
      <c r="X216" s="17">
        <f t="shared" si="56"/>
        <v>5.0552965795471527</v>
      </c>
      <c r="Y216" s="17">
        <f t="shared" si="65"/>
        <v>4.8433256645908918</v>
      </c>
    </row>
    <row r="217" spans="1:25" x14ac:dyDescent="0.25">
      <c r="A217" s="7">
        <v>31017</v>
      </c>
      <c r="B217" s="28">
        <v>-1.0294675910634658E-3</v>
      </c>
      <c r="C217" s="17">
        <f t="shared" si="50"/>
        <v>-1.2283903532654294</v>
      </c>
      <c r="D217" s="17">
        <f t="shared" si="52"/>
        <v>0.38114265789062074</v>
      </c>
      <c r="E217" s="17">
        <f t="shared" si="59"/>
        <v>2.6459606805757652</v>
      </c>
      <c r="F217" s="30">
        <v>5.8999878287604849E-4</v>
      </c>
      <c r="G217" s="17">
        <f t="shared" si="51"/>
        <v>0.71030051428615515</v>
      </c>
      <c r="H217" s="17">
        <f t="shared" si="53"/>
        <v>0.96420677202675442</v>
      </c>
      <c r="I217" s="17">
        <f t="shared" si="60"/>
        <v>3.7705108455441172</v>
      </c>
      <c r="J217" s="10">
        <v>3.6971070410020115E-3</v>
      </c>
      <c r="K217" s="17">
        <f t="shared" si="61"/>
        <v>4.5278622695199999</v>
      </c>
      <c r="L217" s="17">
        <f t="shared" si="54"/>
        <v>4.6553018405014246</v>
      </c>
      <c r="M217" s="17">
        <f t="shared" si="62"/>
        <v>4.9138965929405698</v>
      </c>
      <c r="N217" s="11">
        <v>3.6532522578176462E-3</v>
      </c>
      <c r="O217" s="17">
        <f t="shared" si="63"/>
        <v>4.4730695007513921</v>
      </c>
      <c r="P217" s="17">
        <f t="shared" si="55"/>
        <v>4.7631899326088023</v>
      </c>
      <c r="Q217" s="17">
        <f t="shared" si="64"/>
        <v>5.038011743248294</v>
      </c>
      <c r="R217" s="10">
        <v>3.1922887932093105E-3</v>
      </c>
      <c r="S217" s="17">
        <v>3.898726086891946</v>
      </c>
      <c r="T217" s="17">
        <f t="shared" si="57"/>
        <v>4.3956496926824906</v>
      </c>
      <c r="U217" s="17">
        <f t="shared" si="58"/>
        <v>4.7284787322962485</v>
      </c>
      <c r="V217" s="11">
        <v>3.0086787734918763E-3</v>
      </c>
      <c r="W217" s="17">
        <v>3.6707619505521816</v>
      </c>
      <c r="X217" s="17">
        <f t="shared" si="56"/>
        <v>4.5156784492628832</v>
      </c>
      <c r="Y217" s="17">
        <f t="shared" si="65"/>
        <v>4.8916093856627096</v>
      </c>
    </row>
    <row r="218" spans="1:25" x14ac:dyDescent="0.25">
      <c r="A218" s="7">
        <v>31048</v>
      </c>
      <c r="B218" s="28">
        <v>2.6519491130390744E-3</v>
      </c>
      <c r="C218" s="17">
        <f t="shared" si="50"/>
        <v>3.2291684152219835</v>
      </c>
      <c r="D218" s="17">
        <f t="shared" si="52"/>
        <v>0.49577889319598611</v>
      </c>
      <c r="E218" s="17">
        <f t="shared" si="59"/>
        <v>2.0808216473168883</v>
      </c>
      <c r="F218" s="30">
        <v>4.0578499458587556E-3</v>
      </c>
      <c r="G218" s="17">
        <f t="shared" si="51"/>
        <v>4.9795799858306733</v>
      </c>
      <c r="H218" s="17">
        <f t="shared" si="53"/>
        <v>2.0967756140434002</v>
      </c>
      <c r="I218" s="17">
        <f t="shared" si="60"/>
        <v>3.7311834898990925</v>
      </c>
      <c r="J218" s="10">
        <v>2.7966370326929389E-3</v>
      </c>
      <c r="K218" s="17">
        <f t="shared" si="61"/>
        <v>3.4080684661078164</v>
      </c>
      <c r="L218" s="17">
        <f t="shared" si="54"/>
        <v>4.1115915471584996</v>
      </c>
      <c r="M218" s="17">
        <f t="shared" si="62"/>
        <v>4.6183104380191464</v>
      </c>
      <c r="N218" s="11">
        <v>2.9174521051124479E-3</v>
      </c>
      <c r="O218" s="17">
        <f t="shared" si="63"/>
        <v>3.5576685091764038</v>
      </c>
      <c r="P218" s="17">
        <f t="shared" si="55"/>
        <v>4.216754130928857</v>
      </c>
      <c r="Q218" s="17">
        <f t="shared" si="64"/>
        <v>4.7543352120699156</v>
      </c>
      <c r="R218" s="10">
        <v>2.0653401506292722E-3</v>
      </c>
      <c r="S218" s="17">
        <v>2.5067560614992823</v>
      </c>
      <c r="T218" s="17">
        <f t="shared" si="57"/>
        <v>3.5039173789339406</v>
      </c>
      <c r="U218" s="17">
        <f t="shared" si="58"/>
        <v>4.2427790408184007</v>
      </c>
      <c r="V218" s="11">
        <v>2.1034103168661822E-3</v>
      </c>
      <c r="W218" s="17">
        <v>2.5534986994209419</v>
      </c>
      <c r="X218" s="17">
        <f t="shared" si="56"/>
        <v>3.5426348179232736</v>
      </c>
      <c r="Y218" s="17">
        <f t="shared" si="65"/>
        <v>4.3831749921666052</v>
      </c>
    </row>
    <row r="219" spans="1:25" x14ac:dyDescent="0.25">
      <c r="A219" s="7">
        <v>31079</v>
      </c>
      <c r="B219" s="28">
        <v>4.5091358488371022E-3</v>
      </c>
      <c r="C219" s="17">
        <f t="shared" si="50"/>
        <v>5.5471938356013384</v>
      </c>
      <c r="D219" s="17">
        <f t="shared" si="52"/>
        <v>2.477160645183929</v>
      </c>
      <c r="E219" s="17">
        <f t="shared" si="59"/>
        <v>1.9191656704202531</v>
      </c>
      <c r="F219" s="30">
        <v>8.2131917345989805E-3</v>
      </c>
      <c r="G219" s="17">
        <f t="shared" si="51"/>
        <v>10.313460068875123</v>
      </c>
      <c r="H219" s="17">
        <f t="shared" si="53"/>
        <v>5.2613841436553122</v>
      </c>
      <c r="I219" s="17">
        <f t="shared" si="60"/>
        <v>4.6232698626433866</v>
      </c>
      <c r="J219" s="10">
        <v>4.6636255956930463E-3</v>
      </c>
      <c r="K219" s="17">
        <f t="shared" si="61"/>
        <v>5.7421518538821381</v>
      </c>
      <c r="L219" s="17">
        <f t="shared" si="54"/>
        <v>4.5550176308010171</v>
      </c>
      <c r="M219" s="17">
        <f t="shared" si="62"/>
        <v>4.7147239707064248</v>
      </c>
      <c r="N219" s="11">
        <v>4.6171575375060538E-3</v>
      </c>
      <c r="O219" s="17">
        <f t="shared" si="63"/>
        <v>5.683476899632911</v>
      </c>
      <c r="P219" s="17">
        <f t="shared" si="55"/>
        <v>4.5677838494540435</v>
      </c>
      <c r="Q219" s="17">
        <f t="shared" si="64"/>
        <v>4.8485000693176517</v>
      </c>
      <c r="R219" s="10">
        <v>4.507138273471975E-3</v>
      </c>
      <c r="S219" s="17">
        <v>5.5446751586388565</v>
      </c>
      <c r="T219" s="17">
        <f t="shared" si="57"/>
        <v>3.9759778510606969</v>
      </c>
      <c r="U219" s="17">
        <f t="shared" si="58"/>
        <v>4.2914580796686641</v>
      </c>
      <c r="V219" s="11">
        <v>4.3958548782337716E-3</v>
      </c>
      <c r="W219" s="17">
        <v>5.4044485890562211</v>
      </c>
      <c r="X219" s="17">
        <f t="shared" si="56"/>
        <v>3.8696267004975526</v>
      </c>
      <c r="Y219" s="17">
        <f t="shared" si="65"/>
        <v>4.4175094320866082</v>
      </c>
    </row>
    <row r="220" spans="1:25" x14ac:dyDescent="0.25">
      <c r="A220" s="7">
        <v>31107</v>
      </c>
      <c r="B220" s="28">
        <v>5.0621299477261765E-3</v>
      </c>
      <c r="C220" s="17">
        <f t="shared" si="50"/>
        <v>6.2465685531566173</v>
      </c>
      <c r="D220" s="17">
        <f t="shared" si="52"/>
        <v>4.9996885516039979</v>
      </c>
      <c r="E220" s="17">
        <f t="shared" si="59"/>
        <v>2.1997234778739827</v>
      </c>
      <c r="F220" s="30">
        <v>2.820665250384461E-3</v>
      </c>
      <c r="G220" s="17">
        <f t="shared" si="51"/>
        <v>3.4378057703586817</v>
      </c>
      <c r="H220" s="17">
        <f t="shared" si="53"/>
        <v>6.203186062459598</v>
      </c>
      <c r="I220" s="17">
        <f t="shared" si="60"/>
        <v>4.395184224892712</v>
      </c>
      <c r="J220" s="10">
        <v>4.1004573304873953E-3</v>
      </c>
      <c r="K220" s="17">
        <f t="shared" si="61"/>
        <v>5.0330504041467661</v>
      </c>
      <c r="L220" s="17">
        <f t="shared" si="54"/>
        <v>4.7231867904828695</v>
      </c>
      <c r="M220" s="17">
        <f t="shared" si="62"/>
        <v>4.7716639158154273</v>
      </c>
      <c r="N220" s="11">
        <v>4.1651697922434139E-3</v>
      </c>
      <c r="O220" s="17">
        <f t="shared" si="63"/>
        <v>5.1143094894000374</v>
      </c>
      <c r="P220" s="17">
        <f t="shared" si="55"/>
        <v>4.7812880682027492</v>
      </c>
      <c r="Q220" s="17">
        <f t="shared" si="64"/>
        <v>4.9171236091269055</v>
      </c>
      <c r="R220" s="10">
        <v>4.3603217017656824E-3</v>
      </c>
      <c r="S220" s="17">
        <v>5.3597097401705707</v>
      </c>
      <c r="T220" s="17">
        <f t="shared" si="57"/>
        <v>4.4610678365055056</v>
      </c>
      <c r="U220" s="17">
        <f t="shared" si="58"/>
        <v>4.492488007158757</v>
      </c>
      <c r="V220" s="11">
        <v>4.5246069552196165E-3</v>
      </c>
      <c r="W220" s="17">
        <v>5.5667027097836774</v>
      </c>
      <c r="X220" s="17">
        <f t="shared" si="56"/>
        <v>4.4989980231945559</v>
      </c>
      <c r="Y220" s="17">
        <f t="shared" si="65"/>
        <v>4.6698642223871101</v>
      </c>
    </row>
    <row r="221" spans="1:25" x14ac:dyDescent="0.25">
      <c r="A221" s="7">
        <v>31138</v>
      </c>
      <c r="B221" s="28">
        <v>1.725619405728565E-3</v>
      </c>
      <c r="C221" s="17">
        <f t="shared" si="50"/>
        <v>2.0905100050672809</v>
      </c>
      <c r="D221" s="17">
        <f t="shared" si="52"/>
        <v>4.6121976658562103</v>
      </c>
      <c r="E221" s="17">
        <f t="shared" si="59"/>
        <v>2.122201974800686</v>
      </c>
      <c r="F221" s="30">
        <v>-8.5605863409206557E-4</v>
      </c>
      <c r="G221" s="17">
        <f t="shared" si="51"/>
        <v>-1.0224474159420516</v>
      </c>
      <c r="H221" s="17">
        <f t="shared" si="53"/>
        <v>4.1393443214945203</v>
      </c>
      <c r="I221" s="17">
        <f t="shared" si="60"/>
        <v>3.7374399795927049</v>
      </c>
      <c r="J221" s="10">
        <v>3.5449230112636464E-3</v>
      </c>
      <c r="K221" s="17">
        <f t="shared" si="61"/>
        <v>4.3378342757512511</v>
      </c>
      <c r="L221" s="17">
        <f t="shared" si="54"/>
        <v>5.0361142357263855</v>
      </c>
      <c r="M221" s="17">
        <f t="shared" si="62"/>
        <v>4.6790689783078987</v>
      </c>
      <c r="N221" s="11">
        <v>3.5753674196585621E-3</v>
      </c>
      <c r="O221" s="17">
        <f t="shared" si="63"/>
        <v>4.3758240094670553</v>
      </c>
      <c r="P221" s="17">
        <f t="shared" si="55"/>
        <v>5.0565054472365922</v>
      </c>
      <c r="Q221" s="17">
        <f t="shared" si="64"/>
        <v>4.8062369945347738</v>
      </c>
      <c r="R221" s="10">
        <v>3.3798696127329267E-3</v>
      </c>
      <c r="S221" s="17">
        <v>4.132094672768627</v>
      </c>
      <c r="T221" s="17">
        <f t="shared" si="57"/>
        <v>5.0102838817435602</v>
      </c>
      <c r="U221" s="17">
        <f t="shared" si="58"/>
        <v>4.4637569847391534</v>
      </c>
      <c r="V221" s="11">
        <v>3.3937574407244581E-3</v>
      </c>
      <c r="W221" s="17">
        <v>4.149391556137938</v>
      </c>
      <c r="X221" s="17">
        <f t="shared" si="56"/>
        <v>5.0382662925526844</v>
      </c>
      <c r="Y221" s="17">
        <f t="shared" si="65"/>
        <v>4.6253870685306619</v>
      </c>
    </row>
    <row r="222" spans="1:25" x14ac:dyDescent="0.25">
      <c r="A222" s="7">
        <v>31168</v>
      </c>
      <c r="B222" s="28">
        <v>-3.5412036962780523E-3</v>
      </c>
      <c r="C222" s="17">
        <f t="shared" si="50"/>
        <v>-4.1676488363726616</v>
      </c>
      <c r="D222" s="17">
        <f t="shared" si="52"/>
        <v>1.2987632408611116</v>
      </c>
      <c r="E222" s="17">
        <f t="shared" si="59"/>
        <v>1.7395268871044367</v>
      </c>
      <c r="F222" s="30">
        <v>-4.2218679497168744E-3</v>
      </c>
      <c r="G222" s="17">
        <f t="shared" si="51"/>
        <v>-4.9502419322006048</v>
      </c>
      <c r="H222" s="17">
        <f t="shared" si="53"/>
        <v>-0.90410251921392293</v>
      </c>
      <c r="I222" s="17">
        <f t="shared" si="60"/>
        <v>2.6928903570822449</v>
      </c>
      <c r="J222" s="10">
        <v>4.2517624649305126E-3</v>
      </c>
      <c r="K222" s="17">
        <f t="shared" si="61"/>
        <v>5.2231335853671901</v>
      </c>
      <c r="L222" s="17">
        <f t="shared" si="54"/>
        <v>4.8639813666816911</v>
      </c>
      <c r="M222" s="17">
        <f t="shared" si="62"/>
        <v>4.7807136018025442</v>
      </c>
      <c r="N222" s="11">
        <v>4.3018857531345366E-3</v>
      </c>
      <c r="O222" s="17">
        <f t="shared" si="63"/>
        <v>5.2861724888933814</v>
      </c>
      <c r="P222" s="17">
        <f t="shared" si="55"/>
        <v>4.9246909999452582</v>
      </c>
      <c r="Q222" s="17">
        <f t="shared" si="64"/>
        <v>4.926901787978899</v>
      </c>
      <c r="R222" s="10">
        <v>2.6331709880648285E-3</v>
      </c>
      <c r="S222" s="17">
        <v>3.2059709270011005</v>
      </c>
      <c r="T222" s="17">
        <f t="shared" si="57"/>
        <v>4.2288624648674666</v>
      </c>
      <c r="U222" s="17">
        <f t="shared" si="58"/>
        <v>4.3697334365703</v>
      </c>
      <c r="V222" s="11">
        <v>2.3590631581658235E-3</v>
      </c>
      <c r="W222" s="17">
        <v>2.8678963393642398</v>
      </c>
      <c r="X222" s="17">
        <f t="shared" si="56"/>
        <v>4.1888355428546964</v>
      </c>
      <c r="Y222" s="17">
        <f t="shared" si="65"/>
        <v>4.5190747448186075</v>
      </c>
    </row>
    <row r="223" spans="1:25" x14ac:dyDescent="0.25">
      <c r="A223" s="7">
        <v>31199</v>
      </c>
      <c r="B223" s="28">
        <v>9.5296213232876775E-4</v>
      </c>
      <c r="C223" s="17">
        <f t="shared" si="50"/>
        <v>1.1495673419695374</v>
      </c>
      <c r="D223" s="17">
        <f t="shared" si="52"/>
        <v>-0.34773320784963202</v>
      </c>
      <c r="E223" s="17">
        <f t="shared" si="59"/>
        <v>1.7699585012190822</v>
      </c>
      <c r="F223" s="30">
        <v>5.2107568414121175E-4</v>
      </c>
      <c r="G223" s="17">
        <f t="shared" si="51"/>
        <v>0.62708596836735797</v>
      </c>
      <c r="H223" s="17">
        <f t="shared" si="53"/>
        <v>-1.809936485239827</v>
      </c>
      <c r="I223" s="17">
        <f t="shared" si="60"/>
        <v>2.3304401686559117</v>
      </c>
      <c r="J223" s="10">
        <v>4.8482378543129928E-3</v>
      </c>
      <c r="K223" s="17">
        <f t="shared" si="61"/>
        <v>5.975555811461275</v>
      </c>
      <c r="L223" s="17">
        <f t="shared" si="54"/>
        <v>5.1767105671998825</v>
      </c>
      <c r="M223" s="17">
        <f t="shared" si="62"/>
        <v>4.9124536224542714</v>
      </c>
      <c r="N223" s="11">
        <v>4.9695590709638677E-3</v>
      </c>
      <c r="O223" s="17">
        <f t="shared" si="63"/>
        <v>6.1291984097668006</v>
      </c>
      <c r="P223" s="17">
        <f t="shared" si="55"/>
        <v>5.2612960400728825</v>
      </c>
      <c r="Q223" s="17">
        <f t="shared" si="64"/>
        <v>5.0523080235076456</v>
      </c>
      <c r="R223" s="10">
        <v>3.836349080515427E-3</v>
      </c>
      <c r="S223" s="17">
        <v>4.7020078334947923</v>
      </c>
      <c r="T223" s="17">
        <f t="shared" si="57"/>
        <v>4.0115287184958826</v>
      </c>
      <c r="U223" s="17">
        <f t="shared" si="58"/>
        <v>4.4013569764183691</v>
      </c>
      <c r="V223" s="11">
        <v>3.8136972210941564E-3</v>
      </c>
      <c r="W223" s="17">
        <v>4.6736597765084431</v>
      </c>
      <c r="X223" s="17">
        <f t="shared" si="56"/>
        <v>3.8942075554094346</v>
      </c>
      <c r="Y223" s="17">
        <f t="shared" si="65"/>
        <v>4.5181822857993437</v>
      </c>
    </row>
    <row r="224" spans="1:25" x14ac:dyDescent="0.25">
      <c r="A224" s="7">
        <v>31229</v>
      </c>
      <c r="B224" s="28">
        <v>-4.7621340240188196E-4</v>
      </c>
      <c r="C224" s="17">
        <f t="shared" si="50"/>
        <v>-0.56996171348447922</v>
      </c>
      <c r="D224" s="17">
        <f t="shared" si="52"/>
        <v>-1.2210072967304586</v>
      </c>
      <c r="E224" s="17">
        <f t="shared" si="59"/>
        <v>1.5721044016958174</v>
      </c>
      <c r="F224" s="30">
        <v>-8.6489307394814463E-4</v>
      </c>
      <c r="G224" s="17">
        <f t="shared" si="51"/>
        <v>-1.0329488303258971</v>
      </c>
      <c r="H224" s="17">
        <f t="shared" si="53"/>
        <v>-1.8134092289344039</v>
      </c>
      <c r="I224" s="17">
        <f t="shared" si="60"/>
        <v>1.6995038230175119</v>
      </c>
      <c r="J224" s="10">
        <v>3.5077831896449191E-3</v>
      </c>
      <c r="K224" s="17">
        <f t="shared" si="61"/>
        <v>4.291506904085618</v>
      </c>
      <c r="L224" s="17">
        <f t="shared" si="54"/>
        <v>5.1611416481107453</v>
      </c>
      <c r="M224" s="17">
        <f t="shared" si="62"/>
        <v>4.8680845661795313</v>
      </c>
      <c r="N224" s="11">
        <v>3.870725079797578E-3</v>
      </c>
      <c r="O224" s="17">
        <f t="shared" si="63"/>
        <v>4.7450417100009856</v>
      </c>
      <c r="P224" s="17">
        <f t="shared" si="55"/>
        <v>5.3852666300975294</v>
      </c>
      <c r="Q224" s="17">
        <f t="shared" si="64"/>
        <v>5.0384754787460961</v>
      </c>
      <c r="R224" s="10">
        <v>2.8004987517187079E-3</v>
      </c>
      <c r="S224" s="17">
        <v>3.4128471980908959</v>
      </c>
      <c r="T224" s="17">
        <f t="shared" si="57"/>
        <v>3.7715036717400174</v>
      </c>
      <c r="U224" s="17">
        <f t="shared" si="58"/>
        <v>4.3374345678478532</v>
      </c>
      <c r="V224" s="11">
        <v>3.2457299161628675E-3</v>
      </c>
      <c r="W224" s="17">
        <v>3.9651631012257438</v>
      </c>
      <c r="X224" s="17">
        <f t="shared" si="56"/>
        <v>3.8329123786619679</v>
      </c>
      <c r="Y224" s="17">
        <f t="shared" si="65"/>
        <v>4.5003854666124443</v>
      </c>
    </row>
    <row r="225" spans="1:25" x14ac:dyDescent="0.25">
      <c r="A225" s="7">
        <v>31260</v>
      </c>
      <c r="B225" s="28">
        <v>-3.4447091805512001E-3</v>
      </c>
      <c r="C225" s="17">
        <f t="shared" si="50"/>
        <v>-4.0562275942029657</v>
      </c>
      <c r="D225" s="17">
        <f t="shared" si="52"/>
        <v>-1.1827397207194279</v>
      </c>
      <c r="E225" s="17">
        <f t="shared" si="59"/>
        <v>0.98521239215576539</v>
      </c>
      <c r="F225" s="30">
        <v>-2.1329132848753836E-4</v>
      </c>
      <c r="G225" s="17">
        <f t="shared" si="51"/>
        <v>-0.25564955249601784</v>
      </c>
      <c r="H225" s="17">
        <f t="shared" si="53"/>
        <v>-0.22280798039585603</v>
      </c>
      <c r="I225" s="17">
        <f t="shared" si="60"/>
        <v>1.3208648910514764</v>
      </c>
      <c r="J225" s="10">
        <v>3.9157928945204885E-3</v>
      </c>
      <c r="K225" s="17">
        <f t="shared" si="61"/>
        <v>4.8014847853215192</v>
      </c>
      <c r="L225" s="17">
        <f t="shared" si="54"/>
        <v>5.0204868081307419</v>
      </c>
      <c r="M225" s="17">
        <f t="shared" si="62"/>
        <v>4.7700801062781295</v>
      </c>
      <c r="N225" s="11">
        <v>3.9254507090263849E-3</v>
      </c>
      <c r="O225" s="17">
        <f t="shared" si="63"/>
        <v>4.8135838899996841</v>
      </c>
      <c r="P225" s="17">
        <f t="shared" si="55"/>
        <v>5.2273523240069286</v>
      </c>
      <c r="Q225" s="17">
        <f t="shared" si="64"/>
        <v>4.9208636466326006</v>
      </c>
      <c r="R225" s="10">
        <v>3.3453066676506142E-3</v>
      </c>
      <c r="S225" s="17">
        <v>4.089058966943715</v>
      </c>
      <c r="T225" s="17">
        <f t="shared" si="57"/>
        <v>4.0666391689085701</v>
      </c>
      <c r="U225" s="17">
        <f t="shared" si="58"/>
        <v>4.2037368638567774</v>
      </c>
      <c r="V225" s="11">
        <v>3.2356268447869315E-3</v>
      </c>
      <c r="W225" s="17">
        <v>3.9526001656590815</v>
      </c>
      <c r="X225" s="17">
        <f t="shared" si="56"/>
        <v>4.1965969064078124</v>
      </c>
      <c r="Y225" s="17">
        <f t="shared" si="65"/>
        <v>4.3266616927688739</v>
      </c>
    </row>
    <row r="226" spans="1:25" x14ac:dyDescent="0.25">
      <c r="A226" s="7">
        <v>31291</v>
      </c>
      <c r="B226" s="28">
        <v>1.1406200279242601E-3</v>
      </c>
      <c r="C226" s="17">
        <f t="shared" si="50"/>
        <v>1.3773634573441607</v>
      </c>
      <c r="D226" s="17">
        <f t="shared" si="52"/>
        <v>-1.1086141410239114</v>
      </c>
      <c r="E226" s="17">
        <f t="shared" si="59"/>
        <v>0.95351568775192685</v>
      </c>
      <c r="F226" s="30">
        <v>1.6217303112742534E-3</v>
      </c>
      <c r="G226" s="17">
        <f t="shared" si="51"/>
        <v>1.963528611188714</v>
      </c>
      <c r="H226" s="17">
        <f t="shared" si="53"/>
        <v>0.21696917363487334</v>
      </c>
      <c r="I226" s="17">
        <f t="shared" si="60"/>
        <v>1.3510954567226063</v>
      </c>
      <c r="J226" s="10">
        <v>3.1890977616332353E-3</v>
      </c>
      <c r="K226" s="17">
        <f t="shared" si="61"/>
        <v>3.8947602870855524</v>
      </c>
      <c r="L226" s="17">
        <f t="shared" si="54"/>
        <v>4.3285907836515536</v>
      </c>
      <c r="M226" s="17">
        <f t="shared" si="62"/>
        <v>4.7205109017580238</v>
      </c>
      <c r="N226" s="11">
        <v>3.0565118004888172E-3</v>
      </c>
      <c r="O226" s="17">
        <f t="shared" si="63"/>
        <v>3.730105651306781</v>
      </c>
      <c r="P226" s="17">
        <f t="shared" si="55"/>
        <v>4.4283994631057366</v>
      </c>
      <c r="Q226" s="17">
        <f t="shared" si="64"/>
        <v>4.8081234959505892</v>
      </c>
      <c r="R226" s="10">
        <v>3.2363892371292456E-3</v>
      </c>
      <c r="S226" s="17">
        <v>3.9535481343571099</v>
      </c>
      <c r="T226" s="17">
        <f t="shared" si="57"/>
        <v>3.8180733417585655</v>
      </c>
      <c r="U226" s="17">
        <f t="shared" si="58"/>
        <v>4.1712383019955945</v>
      </c>
      <c r="V226" s="11">
        <v>3.0268123314966589E-3</v>
      </c>
      <c r="W226" s="17">
        <v>3.6932555551262736</v>
      </c>
      <c r="X226" s="17">
        <f t="shared" si="56"/>
        <v>3.8702639622474555</v>
      </c>
      <c r="Y226" s="17">
        <f t="shared" si="65"/>
        <v>4.1943177074394322</v>
      </c>
    </row>
    <row r="227" spans="1:25" x14ac:dyDescent="0.25">
      <c r="A227" s="7">
        <v>31321</v>
      </c>
      <c r="B227" s="28">
        <v>1.2702620019574597E-4</v>
      </c>
      <c r="C227" s="17">
        <f t="shared" si="50"/>
        <v>0.15253798066663382</v>
      </c>
      <c r="D227" s="17">
        <f t="shared" si="52"/>
        <v>-0.86966344019646646</v>
      </c>
      <c r="E227" s="17">
        <f t="shared" si="59"/>
        <v>0.72802762297308199</v>
      </c>
      <c r="F227" s="30">
        <v>8.0450672800223692E-4</v>
      </c>
      <c r="G227" s="17">
        <f t="shared" si="51"/>
        <v>0.96969127490165175</v>
      </c>
      <c r="H227" s="17">
        <f t="shared" si="53"/>
        <v>0.88843776120788309</v>
      </c>
      <c r="I227" s="17">
        <f t="shared" si="60"/>
        <v>1.3048203775893885</v>
      </c>
      <c r="J227" s="10">
        <v>5.1124768372635358E-3</v>
      </c>
      <c r="K227" s="17">
        <f t="shared" si="61"/>
        <v>6.3104530606900244</v>
      </c>
      <c r="L227" s="17">
        <f t="shared" si="54"/>
        <v>4.9975140349456604</v>
      </c>
      <c r="M227" s="17">
        <f t="shared" si="62"/>
        <v>4.8257577185665035</v>
      </c>
      <c r="N227" s="11">
        <v>5.0735080814536364E-3</v>
      </c>
      <c r="O227" s="17">
        <f t="shared" si="63"/>
        <v>6.2610030391777372</v>
      </c>
      <c r="P227" s="17">
        <f t="shared" si="55"/>
        <v>4.9297812447119282</v>
      </c>
      <c r="Q227" s="17">
        <f t="shared" si="64"/>
        <v>4.8962082731970558</v>
      </c>
      <c r="R227" s="10">
        <v>5.239611040149179E-3</v>
      </c>
      <c r="S227" s="17">
        <v>6.4719287355469168</v>
      </c>
      <c r="T227" s="17">
        <f t="shared" si="57"/>
        <v>4.8318315634185982</v>
      </c>
      <c r="U227" s="17">
        <f t="shared" si="58"/>
        <v>4.277347564870948</v>
      </c>
      <c r="V227" s="11">
        <v>5.2030080336150719E-3</v>
      </c>
      <c r="W227" s="17">
        <v>6.4254154989987544</v>
      </c>
      <c r="X227" s="17">
        <f t="shared" si="56"/>
        <v>4.6832202002754286</v>
      </c>
      <c r="Y227" s="17">
        <f t="shared" si="65"/>
        <v>4.2724832942145463</v>
      </c>
    </row>
    <row r="228" spans="1:25" x14ac:dyDescent="0.25">
      <c r="A228" s="7">
        <v>31352</v>
      </c>
      <c r="B228" s="28">
        <v>5.5216201277461779E-3</v>
      </c>
      <c r="C228" s="17">
        <f t="shared" si="50"/>
        <v>6.8309168652400887</v>
      </c>
      <c r="D228" s="17">
        <f t="shared" si="52"/>
        <v>2.7464051149371116</v>
      </c>
      <c r="E228" s="17">
        <f t="shared" si="59"/>
        <v>1.3229131761090862</v>
      </c>
      <c r="F228" s="30">
        <v>2.6743177685223164E-3</v>
      </c>
      <c r="G228" s="17">
        <f t="shared" si="51"/>
        <v>3.2568076899504916</v>
      </c>
      <c r="H228" s="17">
        <f t="shared" si="53"/>
        <v>2.0590511502276199</v>
      </c>
      <c r="I228" s="17">
        <f t="shared" si="60"/>
        <v>1.5200654198809227</v>
      </c>
      <c r="J228" s="10">
        <v>5.0076572165900085E-3</v>
      </c>
      <c r="K228" s="17">
        <f t="shared" si="61"/>
        <v>6.1774884552628695</v>
      </c>
      <c r="L228" s="17">
        <f t="shared" si="54"/>
        <v>5.4550432641406132</v>
      </c>
      <c r="M228" s="17">
        <f t="shared" si="62"/>
        <v>4.9731309733451745</v>
      </c>
      <c r="N228" s="11">
        <v>5.3837034470391463E-3</v>
      </c>
      <c r="O228" s="17">
        <f t="shared" si="63"/>
        <v>6.6552151546224847</v>
      </c>
      <c r="P228" s="17">
        <f t="shared" si="55"/>
        <v>5.5407742417600492</v>
      </c>
      <c r="Q228" s="17">
        <f t="shared" si="64"/>
        <v>5.0645320208796862</v>
      </c>
      <c r="R228" s="10">
        <v>4.3657071783404526E-3</v>
      </c>
      <c r="S228" s="17">
        <v>5.3664893267866054</v>
      </c>
      <c r="T228" s="17">
        <f t="shared" si="57"/>
        <v>5.2589377553940997</v>
      </c>
      <c r="U228" s="17">
        <f t="shared" si="58"/>
        <v>4.3813431396282798</v>
      </c>
      <c r="V228" s="11">
        <v>4.8479096017587531E-3</v>
      </c>
      <c r="W228" s="17">
        <v>5.9751403853333551</v>
      </c>
      <c r="X228" s="17">
        <f t="shared" si="56"/>
        <v>5.3577825665306555</v>
      </c>
      <c r="Y228" s="17">
        <f t="shared" si="65"/>
        <v>4.4016777502305926</v>
      </c>
    </row>
    <row r="229" spans="1:25" x14ac:dyDescent="0.25">
      <c r="A229" s="7">
        <v>31382</v>
      </c>
      <c r="B229" s="28">
        <v>6.3208787916260219E-3</v>
      </c>
      <c r="C229" s="17">
        <f t="shared" si="50"/>
        <v>7.8543834366954446</v>
      </c>
      <c r="D229" s="17">
        <f t="shared" si="52"/>
        <v>4.8895539349185446</v>
      </c>
      <c r="E229" s="17">
        <f t="shared" si="59"/>
        <v>2.0684391793152512</v>
      </c>
      <c r="F229" s="30">
        <v>2.8246400515434711E-3</v>
      </c>
      <c r="G229" s="17">
        <f t="shared" si="51"/>
        <v>3.4427257368599529</v>
      </c>
      <c r="H229" s="17">
        <f t="shared" si="53"/>
        <v>2.5502112733475135</v>
      </c>
      <c r="I229" s="17">
        <f t="shared" si="60"/>
        <v>1.7467925789181438</v>
      </c>
      <c r="J229" s="10">
        <v>3.2275412977226846E-3</v>
      </c>
      <c r="K229" s="17">
        <f t="shared" si="61"/>
        <v>3.942546977410144</v>
      </c>
      <c r="L229" s="17">
        <f t="shared" si="54"/>
        <v>5.4712089015552801</v>
      </c>
      <c r="M229" s="17">
        <f t="shared" si="62"/>
        <v>4.9240207528174373</v>
      </c>
      <c r="N229" s="11">
        <v>3.450569486006686E-3</v>
      </c>
      <c r="O229" s="17">
        <f t="shared" si="63"/>
        <v>4.2201767231035303</v>
      </c>
      <c r="P229" s="17">
        <f t="shared" si="55"/>
        <v>5.7067216915192009</v>
      </c>
      <c r="Q229" s="17">
        <f t="shared" si="64"/>
        <v>5.0433147623084817</v>
      </c>
      <c r="R229" s="10">
        <v>2.0914497712753144E-3</v>
      </c>
      <c r="S229" s="17">
        <v>2.5388114094569536</v>
      </c>
      <c r="T229" s="17">
        <f t="shared" si="57"/>
        <v>4.7792543463600179</v>
      </c>
      <c r="U229" s="17">
        <f t="shared" si="58"/>
        <v>4.2668017331864538</v>
      </c>
      <c r="V229" s="11">
        <v>2.2119606416343418E-3</v>
      </c>
      <c r="W229" s="17">
        <v>2.6868843378820229</v>
      </c>
      <c r="X229" s="17">
        <f t="shared" si="56"/>
        <v>5.015831959800976</v>
      </c>
      <c r="Y229" s="17">
        <f t="shared" si="65"/>
        <v>4.3187485479014187</v>
      </c>
    </row>
    <row r="230" spans="1:25" x14ac:dyDescent="0.25">
      <c r="A230" s="7">
        <v>31413</v>
      </c>
      <c r="B230" s="28">
        <v>1.5283389536995709E-3</v>
      </c>
      <c r="C230" s="17">
        <f t="shared" si="50"/>
        <v>1.8495019652364775</v>
      </c>
      <c r="D230" s="17">
        <f t="shared" si="52"/>
        <v>5.4786481962259437</v>
      </c>
      <c r="E230" s="17">
        <f t="shared" si="59"/>
        <v>1.9540573788198179</v>
      </c>
      <c r="F230" s="30">
        <v>2.337758330577745E-3</v>
      </c>
      <c r="G230" s="17">
        <f t="shared" si="51"/>
        <v>2.8416623077063941</v>
      </c>
      <c r="H230" s="17">
        <f t="shared" si="53"/>
        <v>3.180092434233095</v>
      </c>
      <c r="I230" s="17">
        <f t="shared" si="60"/>
        <v>1.5724860837234678</v>
      </c>
      <c r="J230" s="10">
        <v>4.4028652108207287E-3</v>
      </c>
      <c r="K230" s="17">
        <f t="shared" si="61"/>
        <v>5.4132771632114274</v>
      </c>
      <c r="L230" s="17">
        <f t="shared" si="54"/>
        <v>5.1736725541439821</v>
      </c>
      <c r="M230" s="17">
        <f t="shared" si="62"/>
        <v>5.0920826633502836</v>
      </c>
      <c r="N230" s="11">
        <v>4.4670084651156862E-3</v>
      </c>
      <c r="O230" s="17">
        <f t="shared" si="63"/>
        <v>5.4940884749244079</v>
      </c>
      <c r="P230" s="17">
        <f t="shared" si="55"/>
        <v>5.4518027094866639</v>
      </c>
      <c r="Q230" s="17">
        <f t="shared" si="64"/>
        <v>5.2056118049255806</v>
      </c>
      <c r="R230" s="10">
        <v>5.3203075662925543E-3</v>
      </c>
      <c r="S230" s="17">
        <v>6.574539605820795</v>
      </c>
      <c r="T230" s="17">
        <f t="shared" si="57"/>
        <v>4.8129033985353953</v>
      </c>
      <c r="U230" s="17">
        <f t="shared" si="58"/>
        <v>4.6054872745164621</v>
      </c>
      <c r="V230" s="11">
        <v>5.6284477022170414E-3</v>
      </c>
      <c r="W230" s="17">
        <v>6.9671942973557499</v>
      </c>
      <c r="X230" s="17">
        <f t="shared" si="56"/>
        <v>5.1937314385816835</v>
      </c>
      <c r="Y230" s="17">
        <f t="shared" si="65"/>
        <v>4.6857041782670361</v>
      </c>
    </row>
    <row r="231" spans="1:25" x14ac:dyDescent="0.25">
      <c r="A231" s="7">
        <v>31444</v>
      </c>
      <c r="B231" s="28">
        <v>-1.136160980351795E-2</v>
      </c>
      <c r="C231" s="17">
        <f t="shared" si="50"/>
        <v>-12.813418749947104</v>
      </c>
      <c r="D231" s="17">
        <f t="shared" si="52"/>
        <v>-1.4290854006652753</v>
      </c>
      <c r="E231" s="17">
        <f t="shared" si="59"/>
        <v>0.34323388788410902</v>
      </c>
      <c r="F231" s="30">
        <v>-3.340895143917473E-3</v>
      </c>
      <c r="G231" s="17">
        <f t="shared" si="51"/>
        <v>-3.9362219811218124</v>
      </c>
      <c r="H231" s="17">
        <f t="shared" si="53"/>
        <v>0.72630484419811125</v>
      </c>
      <c r="I231" s="17">
        <f t="shared" si="60"/>
        <v>0.40846905012454915</v>
      </c>
      <c r="J231" s="10">
        <v>3.7674360341792986E-3</v>
      </c>
      <c r="K231" s="17">
        <f t="shared" si="61"/>
        <v>4.6157872781624754</v>
      </c>
      <c r="L231" s="17">
        <f t="shared" si="54"/>
        <v>4.6554780342398239</v>
      </c>
      <c r="M231" s="17">
        <f t="shared" si="62"/>
        <v>4.9983374285462068</v>
      </c>
      <c r="N231" s="11">
        <v>3.8876557086018108E-3</v>
      </c>
      <c r="O231" s="17">
        <f t="shared" si="63"/>
        <v>4.7662424150484606</v>
      </c>
      <c r="P231" s="17">
        <f t="shared" si="55"/>
        <v>4.8255377379982978</v>
      </c>
      <c r="Q231" s="17">
        <f t="shared" si="64"/>
        <v>5.1292168462621301</v>
      </c>
      <c r="R231" s="10">
        <v>4.0968705606992282E-3</v>
      </c>
      <c r="S231" s="17">
        <v>5.0285482015894223</v>
      </c>
      <c r="T231" s="17">
        <f t="shared" si="57"/>
        <v>4.7007281822429858</v>
      </c>
      <c r="U231" s="17">
        <f t="shared" si="58"/>
        <v>4.5627635820981283</v>
      </c>
      <c r="V231" s="11">
        <v>4.3686970796798759E-3</v>
      </c>
      <c r="W231" s="17">
        <v>5.370253380817136</v>
      </c>
      <c r="X231" s="17">
        <f t="shared" si="56"/>
        <v>4.9932071467480688</v>
      </c>
      <c r="Y231" s="17">
        <f t="shared" si="65"/>
        <v>4.6828735878660988</v>
      </c>
    </row>
    <row r="232" spans="1:25" x14ac:dyDescent="0.25">
      <c r="A232" s="7">
        <v>31472</v>
      </c>
      <c r="B232" s="28">
        <v>-2.1435194183310042E-2</v>
      </c>
      <c r="C232" s="17">
        <f t="shared" si="50"/>
        <v>-22.896319896248219</v>
      </c>
      <c r="D232" s="17">
        <f t="shared" si="52"/>
        <v>-11.862399729924867</v>
      </c>
      <c r="E232" s="17">
        <f t="shared" si="59"/>
        <v>-2.3022017657524874</v>
      </c>
      <c r="F232" s="30">
        <v>-3.19820533734501E-3</v>
      </c>
      <c r="G232" s="17">
        <f t="shared" si="51"/>
        <v>-3.7710527214674827</v>
      </c>
      <c r="H232" s="17">
        <f t="shared" si="53"/>
        <v>-1.671783531888138</v>
      </c>
      <c r="I232" s="17">
        <f t="shared" si="60"/>
        <v>-0.19417666916150544</v>
      </c>
      <c r="J232" s="10">
        <v>4.68264835943797E-3</v>
      </c>
      <c r="K232" s="17">
        <f t="shared" si="61"/>
        <v>5.7661804032838937</v>
      </c>
      <c r="L232" s="17">
        <f t="shared" si="54"/>
        <v>5.2639803183234468</v>
      </c>
      <c r="M232" s="17">
        <f t="shared" si="62"/>
        <v>5.0592168850381203</v>
      </c>
      <c r="N232" s="11">
        <v>4.8601289140040322E-3</v>
      </c>
      <c r="O232" s="17">
        <f t="shared" si="63"/>
        <v>5.9906057698570603</v>
      </c>
      <c r="P232" s="17">
        <f t="shared" si="55"/>
        <v>5.4157788800881512</v>
      </c>
      <c r="Q232" s="17">
        <f t="shared" si="64"/>
        <v>5.2019743072940994</v>
      </c>
      <c r="R232" s="10">
        <v>3.5538271769177312E-3</v>
      </c>
      <c r="S232" s="17">
        <v>4.3489439332571322</v>
      </c>
      <c r="T232" s="17">
        <f t="shared" si="57"/>
        <v>5.3132370136536489</v>
      </c>
      <c r="U232" s="17">
        <f t="shared" si="58"/>
        <v>4.4788003922848985</v>
      </c>
      <c r="V232" s="11">
        <v>3.6011676276317974E-3</v>
      </c>
      <c r="W232" s="17">
        <v>4.408028451947188</v>
      </c>
      <c r="X232" s="17">
        <f t="shared" si="56"/>
        <v>5.5765601741805337</v>
      </c>
      <c r="Y232" s="17">
        <f t="shared" si="65"/>
        <v>4.5866407213672522</v>
      </c>
    </row>
    <row r="233" spans="1:25" x14ac:dyDescent="0.25">
      <c r="A233" s="7">
        <v>31503</v>
      </c>
      <c r="B233" s="28">
        <v>-1.6865892853432981E-2</v>
      </c>
      <c r="C233" s="17">
        <f t="shared" si="50"/>
        <v>-18.463295155786298</v>
      </c>
      <c r="D233" s="17">
        <f t="shared" si="52"/>
        <v>-18.161190342094681</v>
      </c>
      <c r="E233" s="17">
        <f t="shared" si="59"/>
        <v>-4.1154226501725617</v>
      </c>
      <c r="F233" s="30">
        <v>-2.2891891160373838E-3</v>
      </c>
      <c r="G233" s="17">
        <f t="shared" si="51"/>
        <v>-2.7127029491211818</v>
      </c>
      <c r="H233" s="17">
        <f t="shared" si="53"/>
        <v>-3.4748441225752491</v>
      </c>
      <c r="I233" s="17">
        <f t="shared" si="60"/>
        <v>-0.33733398791131464</v>
      </c>
      <c r="J233" s="10">
        <v>5.1952965391830587E-3</v>
      </c>
      <c r="K233" s="17">
        <f t="shared" si="61"/>
        <v>6.4156185004017541</v>
      </c>
      <c r="L233" s="17">
        <f t="shared" si="54"/>
        <v>5.5965689490832693</v>
      </c>
      <c r="M233" s="17">
        <f t="shared" si="62"/>
        <v>5.2319913632256521</v>
      </c>
      <c r="N233" s="11">
        <v>5.3228588858366009E-3</v>
      </c>
      <c r="O233" s="17">
        <f t="shared" si="63"/>
        <v>6.5777852519975921</v>
      </c>
      <c r="P233" s="17">
        <f t="shared" si="55"/>
        <v>5.7755139865371508</v>
      </c>
      <c r="Q233" s="17">
        <f t="shared" si="64"/>
        <v>5.3851589073703021</v>
      </c>
      <c r="R233" s="10">
        <v>3.4249177457905816E-3</v>
      </c>
      <c r="S233" s="17">
        <v>4.1882103885853672</v>
      </c>
      <c r="T233" s="17">
        <f t="shared" si="57"/>
        <v>4.5212671655681325</v>
      </c>
      <c r="U233" s="17">
        <f t="shared" si="58"/>
        <v>4.483491113161775</v>
      </c>
      <c r="V233" s="11">
        <v>3.2493174040397039E-3</v>
      </c>
      <c r="W233" s="17">
        <v>3.9696243942465737</v>
      </c>
      <c r="X233" s="17">
        <f t="shared" si="56"/>
        <v>4.5810019064940422</v>
      </c>
      <c r="Y233" s="17">
        <f t="shared" si="65"/>
        <v>4.5715853175334553</v>
      </c>
    </row>
    <row r="234" spans="1:25" x14ac:dyDescent="0.25">
      <c r="A234" s="7">
        <v>31533</v>
      </c>
      <c r="B234" s="28">
        <v>1.2297548527052309E-3</v>
      </c>
      <c r="C234" s="17">
        <f t="shared" si="50"/>
        <v>1.4857280114636495</v>
      </c>
      <c r="D234" s="17">
        <f t="shared" si="52"/>
        <v>-13.911644535547262</v>
      </c>
      <c r="E234" s="17">
        <f t="shared" si="59"/>
        <v>-3.6563355853388435</v>
      </c>
      <c r="F234" s="30">
        <v>-4.8979997338683638E-4</v>
      </c>
      <c r="G234" s="17">
        <f t="shared" si="51"/>
        <v>-0.58617918383515599</v>
      </c>
      <c r="H234" s="17">
        <f t="shared" si="53"/>
        <v>-2.3655960529396336</v>
      </c>
      <c r="I234" s="17">
        <f t="shared" si="60"/>
        <v>3.6190828800175545E-2</v>
      </c>
      <c r="J234" s="10">
        <v>2.2499623900863949E-3</v>
      </c>
      <c r="K234" s="17">
        <f t="shared" si="61"/>
        <v>2.7336181054071984</v>
      </c>
      <c r="L234" s="17">
        <f t="shared" si="54"/>
        <v>4.9594611903663655</v>
      </c>
      <c r="M234" s="17">
        <f t="shared" si="62"/>
        <v>5.022229811331691</v>
      </c>
      <c r="N234" s="11">
        <v>2.0463165247342464E-3</v>
      </c>
      <c r="O234" s="17">
        <f t="shared" si="63"/>
        <v>2.4834061281087116</v>
      </c>
      <c r="P234" s="17">
        <f t="shared" si="55"/>
        <v>5.0015892026116893</v>
      </c>
      <c r="Q234" s="17">
        <f t="shared" si="64"/>
        <v>5.1484735790506164</v>
      </c>
      <c r="R234" s="10">
        <v>2.9635538844478377E-3</v>
      </c>
      <c r="S234" s="17">
        <v>3.6148066113671273</v>
      </c>
      <c r="T234" s="17">
        <f t="shared" si="57"/>
        <v>4.0501759816862437</v>
      </c>
      <c r="U234" s="17">
        <f t="shared" si="58"/>
        <v>4.5179200143960152</v>
      </c>
      <c r="V234" s="11">
        <v>2.7808649016062351E-3</v>
      </c>
      <c r="W234" s="17">
        <v>3.3885531489787901</v>
      </c>
      <c r="X234" s="17">
        <f t="shared" si="56"/>
        <v>3.9212294163355033</v>
      </c>
      <c r="Y234" s="17">
        <f t="shared" si="65"/>
        <v>4.6155899847455162</v>
      </c>
    </row>
    <row r="235" spans="1:25" x14ac:dyDescent="0.25">
      <c r="A235" s="7">
        <v>31564</v>
      </c>
      <c r="B235" s="28">
        <v>4.7615151887531295E-3</v>
      </c>
      <c r="C235" s="17">
        <f t="shared" si="50"/>
        <v>5.865854213359345</v>
      </c>
      <c r="D235" s="17">
        <f t="shared" si="52"/>
        <v>-4.3162888618240469</v>
      </c>
      <c r="E235" s="17">
        <f t="shared" si="59"/>
        <v>-3.2897549652147196</v>
      </c>
      <c r="F235" s="30">
        <v>3.7837771949516858E-4</v>
      </c>
      <c r="G235" s="17">
        <f t="shared" si="51"/>
        <v>0.45499937620927522</v>
      </c>
      <c r="H235" s="17">
        <f t="shared" si="53"/>
        <v>-0.95676445454921932</v>
      </c>
      <c r="I235" s="17">
        <f t="shared" si="60"/>
        <v>2.1923302438997538E-2</v>
      </c>
      <c r="J235" s="10">
        <v>3.7044087333087728E-3</v>
      </c>
      <c r="K235" s="17">
        <f t="shared" si="61"/>
        <v>4.5369876618847282</v>
      </c>
      <c r="L235" s="17">
        <f t="shared" si="54"/>
        <v>4.5512700390711869</v>
      </c>
      <c r="M235" s="17">
        <f t="shared" si="62"/>
        <v>4.9026819231177132</v>
      </c>
      <c r="N235" s="11">
        <v>3.6399419483321279E-3</v>
      </c>
      <c r="O235" s="17">
        <f t="shared" si="63"/>
        <v>4.4564446260441981</v>
      </c>
      <c r="P235" s="17">
        <f t="shared" si="55"/>
        <v>4.4925098134663388</v>
      </c>
      <c r="Q235" s="17">
        <f t="shared" si="64"/>
        <v>5.0093577126769873</v>
      </c>
      <c r="R235" s="10">
        <v>4.3861627118290157E-3</v>
      </c>
      <c r="S235" s="17">
        <v>5.3922437210362606</v>
      </c>
      <c r="T235" s="17">
        <f t="shared" si="57"/>
        <v>4.3957975494508528</v>
      </c>
      <c r="U235" s="17">
        <f t="shared" si="58"/>
        <v>4.5751657768084986</v>
      </c>
      <c r="V235" s="11">
        <v>4.428445458189832E-3</v>
      </c>
      <c r="W235" s="17">
        <v>5.4454978054522041</v>
      </c>
      <c r="X235" s="17">
        <f t="shared" si="56"/>
        <v>4.264306293391984</v>
      </c>
      <c r="Y235" s="17">
        <f t="shared" si="65"/>
        <v>4.6796578986361803</v>
      </c>
    </row>
    <row r="236" spans="1:25" x14ac:dyDescent="0.25">
      <c r="A236" s="7">
        <v>31594</v>
      </c>
      <c r="B236" s="28">
        <v>-4.4879653260051664E-3</v>
      </c>
      <c r="C236" s="17">
        <f t="shared" si="50"/>
        <v>-5.2545910652022076</v>
      </c>
      <c r="D236" s="17">
        <f t="shared" si="52"/>
        <v>0.59421766198146653</v>
      </c>
      <c r="E236" s="17">
        <f t="shared" si="59"/>
        <v>-3.6779173248830954</v>
      </c>
      <c r="F236" s="30">
        <v>4.5079187970665634E-3</v>
      </c>
      <c r="G236" s="17">
        <f t="shared" si="51"/>
        <v>5.5456592885646305</v>
      </c>
      <c r="H236" s="17">
        <f t="shared" si="53"/>
        <v>1.769951129276337</v>
      </c>
      <c r="I236" s="17">
        <f t="shared" si="60"/>
        <v>0.55978747431704168</v>
      </c>
      <c r="J236" s="10">
        <v>3.136993243452802E-3</v>
      </c>
      <c r="K236" s="17">
        <f t="shared" si="61"/>
        <v>3.8300246519325176</v>
      </c>
      <c r="L236" s="17">
        <f t="shared" si="54"/>
        <v>3.6975527745583214</v>
      </c>
      <c r="M236" s="17">
        <f t="shared" si="62"/>
        <v>4.8639210281478551</v>
      </c>
      <c r="N236" s="11">
        <v>3.3160836862165606E-3</v>
      </c>
      <c r="O236" s="17">
        <f t="shared" si="63"/>
        <v>4.0526849840472723</v>
      </c>
      <c r="P236" s="17">
        <f t="shared" si="55"/>
        <v>3.6606737815938706</v>
      </c>
      <c r="Q236" s="17">
        <f t="shared" si="64"/>
        <v>4.9513397477680021</v>
      </c>
      <c r="R236" s="10">
        <v>3.0220093902988362E-3</v>
      </c>
      <c r="S236" s="17">
        <v>3.6872973555640565</v>
      </c>
      <c r="T236" s="17">
        <f t="shared" si="57"/>
        <v>4.2282250235754271</v>
      </c>
      <c r="U236" s="17">
        <f t="shared" si="58"/>
        <v>4.5982655975402409</v>
      </c>
      <c r="V236" s="11">
        <v>3.2945085026726902E-3</v>
      </c>
      <c r="W236" s="17">
        <v>4.0258377284107416</v>
      </c>
      <c r="X236" s="17">
        <f t="shared" si="56"/>
        <v>4.2830937945298686</v>
      </c>
      <c r="Y236" s="17">
        <f t="shared" si="65"/>
        <v>4.6847475048975573</v>
      </c>
    </row>
    <row r="237" spans="1:25" x14ac:dyDescent="0.25">
      <c r="A237" s="7">
        <v>31625</v>
      </c>
      <c r="B237" s="28">
        <v>-9.3272096771398821E-4</v>
      </c>
      <c r="C237" s="17">
        <f t="shared" si="50"/>
        <v>-1.1135411840159426</v>
      </c>
      <c r="D237" s="17">
        <f t="shared" si="52"/>
        <v>-0.27203238631277049</v>
      </c>
      <c r="E237" s="17">
        <f t="shared" si="59"/>
        <v>-3.4351210259273013</v>
      </c>
      <c r="F237" s="30">
        <v>2.6738261411115715E-3</v>
      </c>
      <c r="G237" s="17">
        <f t="shared" si="51"/>
        <v>3.256200149824684</v>
      </c>
      <c r="H237" s="17">
        <f t="shared" si="53"/>
        <v>3.0645608422527726</v>
      </c>
      <c r="I237" s="17">
        <f t="shared" si="60"/>
        <v>0.85017733111167892</v>
      </c>
      <c r="J237" s="10">
        <v>2.8166584390592175E-3</v>
      </c>
      <c r="K237" s="17">
        <f t="shared" si="61"/>
        <v>3.4328463991183833</v>
      </c>
      <c r="L237" s="17">
        <f t="shared" si="54"/>
        <v>3.9322840497383327</v>
      </c>
      <c r="M237" s="17">
        <f t="shared" si="62"/>
        <v>4.7491110515017532</v>
      </c>
      <c r="N237" s="11">
        <v>2.9262920606407633E-3</v>
      </c>
      <c r="O237" s="17">
        <f t="shared" si="63"/>
        <v>3.5686224264248834</v>
      </c>
      <c r="P237" s="17">
        <f t="shared" si="55"/>
        <v>4.0252840215775576</v>
      </c>
      <c r="Q237" s="17">
        <f t="shared" si="64"/>
        <v>4.8468867341557198</v>
      </c>
      <c r="R237" s="10">
        <v>2.7497749286209531E-3</v>
      </c>
      <c r="S237" s="17">
        <v>3.3500945060480847</v>
      </c>
      <c r="T237" s="17">
        <f t="shared" si="57"/>
        <v>4.1393895795308389</v>
      </c>
      <c r="U237" s="17">
        <f t="shared" si="58"/>
        <v>4.5361817002051552</v>
      </c>
      <c r="V237" s="11">
        <v>2.9173853394695672E-3</v>
      </c>
      <c r="W237" s="17">
        <v>3.5575857814291512</v>
      </c>
      <c r="X237" s="17">
        <f t="shared" si="56"/>
        <v>4.3398945641487607</v>
      </c>
      <c r="Y237" s="17">
        <f t="shared" si="65"/>
        <v>4.6515399206189523</v>
      </c>
    </row>
    <row r="238" spans="1:25" x14ac:dyDescent="0.25">
      <c r="A238" s="7">
        <v>31656</v>
      </c>
      <c r="B238" s="28">
        <v>3.3283983467753096E-3</v>
      </c>
      <c r="C238" s="17">
        <f t="shared" si="50"/>
        <v>4.0680116794516774</v>
      </c>
      <c r="D238" s="17">
        <f t="shared" si="52"/>
        <v>-0.83979434357743799</v>
      </c>
      <c r="E238" s="17">
        <f t="shared" si="59"/>
        <v>-3.2240991730970059</v>
      </c>
      <c r="F238" s="30">
        <v>2.6958461104498641E-3</v>
      </c>
      <c r="G238" s="17">
        <f t="shared" si="51"/>
        <v>3.2834150580630439</v>
      </c>
      <c r="H238" s="17">
        <f t="shared" si="53"/>
        <v>4.0229186910600623</v>
      </c>
      <c r="I238" s="17">
        <f t="shared" si="60"/>
        <v>0.95832671080549048</v>
      </c>
      <c r="J238" s="10">
        <v>3.7738600544252984E-3</v>
      </c>
      <c r="K238" s="17">
        <f t="shared" si="61"/>
        <v>4.623821939194861</v>
      </c>
      <c r="L238" s="17">
        <f t="shared" si="54"/>
        <v>3.9610534109335793</v>
      </c>
      <c r="M238" s="17">
        <f t="shared" si="62"/>
        <v>4.810169659976582</v>
      </c>
      <c r="N238" s="11">
        <v>3.8396518293903241E-3</v>
      </c>
      <c r="O238" s="17">
        <f t="shared" si="63"/>
        <v>4.706141702883615</v>
      </c>
      <c r="P238" s="17">
        <f t="shared" si="55"/>
        <v>4.1081068663236353</v>
      </c>
      <c r="Q238" s="17">
        <f t="shared" si="64"/>
        <v>4.9287463232628781</v>
      </c>
      <c r="R238" s="10">
        <v>3.1735939647704854E-3</v>
      </c>
      <c r="S238" s="17">
        <v>3.8754942122687375</v>
      </c>
      <c r="T238" s="17">
        <f t="shared" si="57"/>
        <v>3.6374006712198481</v>
      </c>
      <c r="U238" s="17">
        <f t="shared" si="58"/>
        <v>4.5296384985513249</v>
      </c>
      <c r="V238" s="11">
        <v>3.1516581903284781E-3</v>
      </c>
      <c r="W238" s="17">
        <v>3.8482409184018573</v>
      </c>
      <c r="X238" s="17">
        <f t="shared" si="56"/>
        <v>3.8103753157173736</v>
      </c>
      <c r="Y238" s="17">
        <f t="shared" si="65"/>
        <v>4.6645658050906924</v>
      </c>
    </row>
    <row r="239" spans="1:25" x14ac:dyDescent="0.25">
      <c r="A239" s="7">
        <v>31686</v>
      </c>
      <c r="B239" s="28">
        <v>-3.4189992033635576E-3</v>
      </c>
      <c r="C239" s="17">
        <f t="shared" si="50"/>
        <v>-4.0265205150655348</v>
      </c>
      <c r="D239" s="17">
        <f t="shared" si="52"/>
        <v>-0.41320079494970852</v>
      </c>
      <c r="E239" s="17">
        <f t="shared" si="59"/>
        <v>-3.5672253898620165</v>
      </c>
      <c r="F239" s="30">
        <v>2.6136626490057231E-4</v>
      </c>
      <c r="G239" s="17">
        <f t="shared" si="51"/>
        <v>0.31409077225272863</v>
      </c>
      <c r="H239" s="17">
        <f t="shared" si="53"/>
        <v>2.27501608582934</v>
      </c>
      <c r="I239" s="17">
        <f t="shared" si="60"/>
        <v>0.90353623778598458</v>
      </c>
      <c r="J239" s="10">
        <v>4.367076650932296E-3</v>
      </c>
      <c r="K239" s="17">
        <f t="shared" si="61"/>
        <v>5.3682133713293556</v>
      </c>
      <c r="L239" s="17">
        <f t="shared" si="54"/>
        <v>4.471915549093719</v>
      </c>
      <c r="M239" s="17">
        <f t="shared" si="62"/>
        <v>4.7324415232810946</v>
      </c>
      <c r="N239" s="11">
        <v>4.6462271167352458E-3</v>
      </c>
      <c r="O239" s="17">
        <f t="shared" si="63"/>
        <v>5.7201793966078274</v>
      </c>
      <c r="P239" s="17">
        <f t="shared" si="55"/>
        <v>4.6612898234377198</v>
      </c>
      <c r="Q239" s="17">
        <f t="shared" si="64"/>
        <v>4.8841385850276531</v>
      </c>
      <c r="R239" s="10">
        <v>3.8645659425385723E-3</v>
      </c>
      <c r="S239" s="17">
        <v>4.7373301514892052</v>
      </c>
      <c r="T239" s="17">
        <f t="shared" si="57"/>
        <v>3.9860688273692935</v>
      </c>
      <c r="U239" s="17">
        <f t="shared" si="58"/>
        <v>4.3866547110106957</v>
      </c>
      <c r="V239" s="11">
        <v>4.219009711045797E-3</v>
      </c>
      <c r="W239" s="17">
        <v>5.1819598949098156</v>
      </c>
      <c r="X239" s="17">
        <f t="shared" si="56"/>
        <v>4.1935352017381522</v>
      </c>
      <c r="Y239" s="17">
        <f t="shared" si="65"/>
        <v>4.562109130805414</v>
      </c>
    </row>
    <row r="240" spans="1:25" x14ac:dyDescent="0.25">
      <c r="A240" s="7">
        <v>31717</v>
      </c>
      <c r="B240" s="28">
        <v>1.2407502521920119E-3</v>
      </c>
      <c r="C240" s="17">
        <f t="shared" si="50"/>
        <v>1.499102885929493</v>
      </c>
      <c r="D240" s="17">
        <f t="shared" si="52"/>
        <v>0.45623572421631398</v>
      </c>
      <c r="E240" s="17">
        <f t="shared" si="59"/>
        <v>-3.9777746526339142</v>
      </c>
      <c r="F240" s="30">
        <v>3.44616317653314E-3</v>
      </c>
      <c r="G240" s="17">
        <f t="shared" si="51"/>
        <v>4.2146850892329724</v>
      </c>
      <c r="H240" s="17">
        <f t="shared" si="53"/>
        <v>2.5905009215308139</v>
      </c>
      <c r="I240" s="17">
        <f t="shared" si="60"/>
        <v>0.98121044337500241</v>
      </c>
      <c r="J240" s="10">
        <v>2.8332264322991373E-3</v>
      </c>
      <c r="K240" s="17">
        <f t="shared" si="61"/>
        <v>3.4533545996431103</v>
      </c>
      <c r="L240" s="17">
        <f t="shared" si="54"/>
        <v>4.4788198336276785</v>
      </c>
      <c r="M240" s="17">
        <f t="shared" si="62"/>
        <v>4.505842807015692</v>
      </c>
      <c r="N240" s="11">
        <v>2.7152584791061969E-3</v>
      </c>
      <c r="O240" s="17">
        <f t="shared" si="63"/>
        <v>3.3074126351050781</v>
      </c>
      <c r="P240" s="17">
        <f t="shared" si="55"/>
        <v>4.5732272141346009</v>
      </c>
      <c r="Q240" s="17">
        <f t="shared" si="64"/>
        <v>4.6057597423394103</v>
      </c>
      <c r="R240" s="10">
        <v>2.9705485280759119E-3</v>
      </c>
      <c r="S240" s="17">
        <v>3.6234782299171986</v>
      </c>
      <c r="T240" s="17">
        <f t="shared" si="57"/>
        <v>4.0776767723299523</v>
      </c>
      <c r="U240" s="17">
        <f t="shared" si="58"/>
        <v>4.2416518069376297</v>
      </c>
      <c r="V240" s="11">
        <v>2.8042028906909021E-3</v>
      </c>
      <c r="W240" s="17">
        <v>3.4174311208975405</v>
      </c>
      <c r="X240" s="17">
        <f t="shared" si="56"/>
        <v>4.1465088624321078</v>
      </c>
      <c r="Y240" s="17">
        <f t="shared" si="65"/>
        <v>4.349445819161879</v>
      </c>
    </row>
    <row r="241" spans="1:25" x14ac:dyDescent="0.25">
      <c r="A241" s="7">
        <v>31747</v>
      </c>
      <c r="B241" s="28">
        <v>2.570966755981475E-3</v>
      </c>
      <c r="C241" s="17">
        <f t="shared" si="50"/>
        <v>3.1291612838091565</v>
      </c>
      <c r="D241" s="17">
        <f t="shared" si="52"/>
        <v>0.15323380109235618</v>
      </c>
      <c r="E241" s="17">
        <f t="shared" si="59"/>
        <v>-4.3355878572568951</v>
      </c>
      <c r="F241" s="30">
        <v>1.9655647620253191E-3</v>
      </c>
      <c r="G241" s="17">
        <f t="shared" si="51"/>
        <v>2.3843442562315742</v>
      </c>
      <c r="H241" s="17">
        <f t="shared" si="53"/>
        <v>2.2919532768687079</v>
      </c>
      <c r="I241" s="17">
        <f t="shared" si="60"/>
        <v>0.89470432941167743</v>
      </c>
      <c r="J241" s="10">
        <v>3.3220493113635158E-3</v>
      </c>
      <c r="K241" s="17">
        <f t="shared" si="61"/>
        <v>4.0601094791715031</v>
      </c>
      <c r="L241" s="17">
        <f t="shared" si="54"/>
        <v>4.2908380836102378</v>
      </c>
      <c r="M241" s="17">
        <f t="shared" si="62"/>
        <v>4.5156876719251393</v>
      </c>
      <c r="N241" s="11">
        <v>3.3435414066739517E-3</v>
      </c>
      <c r="O241" s="17">
        <f t="shared" si="63"/>
        <v>4.0868614075434406</v>
      </c>
      <c r="P241" s="17">
        <f t="shared" si="55"/>
        <v>4.3666546963430752</v>
      </c>
      <c r="Q241" s="17">
        <f t="shared" si="64"/>
        <v>4.5946024876694525</v>
      </c>
      <c r="R241" s="10">
        <v>4.102679885743768E-3</v>
      </c>
      <c r="S241" s="17">
        <v>5.035840299502703</v>
      </c>
      <c r="T241" s="17">
        <f t="shared" si="57"/>
        <v>4.4637775280804037</v>
      </c>
      <c r="U241" s="17">
        <f t="shared" si="58"/>
        <v>4.4508681906757497</v>
      </c>
      <c r="V241" s="11">
        <v>4.3290151844724957E-3</v>
      </c>
      <c r="W241" s="17">
        <v>5.3203069870052966</v>
      </c>
      <c r="X241" s="17">
        <f t="shared" si="56"/>
        <v>4.6362998339396944</v>
      </c>
      <c r="Y241" s="17">
        <f t="shared" si="65"/>
        <v>4.5698717140719713</v>
      </c>
    </row>
    <row r="242" spans="1:25" x14ac:dyDescent="0.25">
      <c r="A242" s="7">
        <v>31778</v>
      </c>
      <c r="B242" s="28">
        <v>1.3201974059165875E-2</v>
      </c>
      <c r="C242" s="17">
        <f t="shared" si="50"/>
        <v>17.04485481347411</v>
      </c>
      <c r="D242" s="17">
        <f t="shared" si="52"/>
        <v>7.0036697342576337</v>
      </c>
      <c r="E242" s="17">
        <f t="shared" si="59"/>
        <v>-3.2205405875011639</v>
      </c>
      <c r="F242" s="30">
        <v>7.0841229702042589E-3</v>
      </c>
      <c r="G242" s="17">
        <f t="shared" si="51"/>
        <v>8.8401146601825964</v>
      </c>
      <c r="H242" s="17">
        <f t="shared" si="53"/>
        <v>5.1115615546734272</v>
      </c>
      <c r="I242" s="17">
        <f t="shared" si="60"/>
        <v>1.3724704845571534</v>
      </c>
      <c r="J242" s="10">
        <v>3.8270874515048121E-3</v>
      </c>
      <c r="K242" s="17">
        <f t="shared" si="61"/>
        <v>4.690416359067906</v>
      </c>
      <c r="L242" s="17">
        <f t="shared" si="54"/>
        <v>4.0667346572869523</v>
      </c>
      <c r="M242" s="17">
        <f t="shared" si="62"/>
        <v>4.455773656796902</v>
      </c>
      <c r="N242" s="11">
        <v>3.614805787685099E-3</v>
      </c>
      <c r="O242" s="17">
        <f t="shared" si="63"/>
        <v>4.4250556122906737</v>
      </c>
      <c r="P242" s="17">
        <f t="shared" si="55"/>
        <v>3.9387216314264784</v>
      </c>
      <c r="Q242" s="17">
        <f t="shared" si="64"/>
        <v>4.5058630870385086</v>
      </c>
      <c r="R242" s="10">
        <v>4.0930091362112444E-3</v>
      </c>
      <c r="S242" s="17">
        <v>5.0237014433704541</v>
      </c>
      <c r="T242" s="17">
        <f t="shared" si="57"/>
        <v>4.5588986704854229</v>
      </c>
      <c r="U242" s="17">
        <f t="shared" si="58"/>
        <v>4.3233542176800199</v>
      </c>
      <c r="V242" s="11">
        <v>3.7660973188020346E-3</v>
      </c>
      <c r="W242" s="17">
        <v>4.6141129891094534</v>
      </c>
      <c r="X242" s="17">
        <f t="shared" si="56"/>
        <v>4.4476596058234952</v>
      </c>
      <c r="Y242" s="17">
        <f t="shared" si="65"/>
        <v>4.3762159547055202</v>
      </c>
    </row>
    <row r="243" spans="1:25" x14ac:dyDescent="0.25">
      <c r="A243" s="7">
        <v>31809</v>
      </c>
      <c r="B243" s="28">
        <v>6.6958199265625051E-3</v>
      </c>
      <c r="C243" s="17">
        <f t="shared" si="50"/>
        <v>8.337593324452941</v>
      </c>
      <c r="D243" s="17">
        <f t="shared" si="52"/>
        <v>9.3547534020669509</v>
      </c>
      <c r="E243" s="17">
        <f t="shared" si="59"/>
        <v>-1.4528687016167385</v>
      </c>
      <c r="F243" s="30">
        <v>4.1096381252176941E-4</v>
      </c>
      <c r="G243" s="17">
        <f t="shared" si="51"/>
        <v>0.49427278570364219</v>
      </c>
      <c r="H243" s="17">
        <f t="shared" si="53"/>
        <v>3.8455645880148825</v>
      </c>
      <c r="I243" s="17">
        <f t="shared" si="60"/>
        <v>1.7540806153137467</v>
      </c>
      <c r="J243" s="10">
        <v>3.1276676698066461E-3</v>
      </c>
      <c r="K243" s="17">
        <f t="shared" si="61"/>
        <v>3.8184422853185351</v>
      </c>
      <c r="L243" s="17">
        <f t="shared" si="54"/>
        <v>4.1890083711363157</v>
      </c>
      <c r="M243" s="17">
        <f t="shared" si="62"/>
        <v>4.3891969807037912</v>
      </c>
      <c r="N243" s="11">
        <v>3.2641481391538609E-3</v>
      </c>
      <c r="O243" s="17">
        <f t="shared" si="63"/>
        <v>3.9880693168364845</v>
      </c>
      <c r="P243" s="17">
        <f t="shared" si="55"/>
        <v>4.1664941758905449</v>
      </c>
      <c r="Q243" s="17">
        <f t="shared" si="64"/>
        <v>4.4409552297539623</v>
      </c>
      <c r="R243" s="10">
        <v>2.4077074954155977E-3</v>
      </c>
      <c r="S243" s="17">
        <v>2.9278182974470601</v>
      </c>
      <c r="T243" s="17">
        <f t="shared" si="57"/>
        <v>4.3243932029124021</v>
      </c>
      <c r="U243" s="17">
        <f t="shared" si="58"/>
        <v>4.1478540623089755</v>
      </c>
      <c r="V243" s="11">
        <v>2.4863650038200618E-3</v>
      </c>
      <c r="W243" s="17">
        <v>3.0247793322226491</v>
      </c>
      <c r="X243" s="17">
        <f t="shared" si="56"/>
        <v>4.3153041816373916</v>
      </c>
      <c r="Y243" s="17">
        <f t="shared" si="65"/>
        <v>4.180599842993038</v>
      </c>
    </row>
    <row r="244" spans="1:25" x14ac:dyDescent="0.25">
      <c r="A244" s="7">
        <v>31837</v>
      </c>
      <c r="B244" s="28">
        <v>2.5345617965475443E-3</v>
      </c>
      <c r="C244" s="17">
        <f t="shared" si="50"/>
        <v>3.0842328347709058</v>
      </c>
      <c r="D244" s="17">
        <f t="shared" si="52"/>
        <v>9.3388708813836097</v>
      </c>
      <c r="E244" s="17">
        <f t="shared" si="59"/>
        <v>0.96102425232602595</v>
      </c>
      <c r="F244" s="30">
        <v>3.5617672615394845E-3</v>
      </c>
      <c r="G244" s="17">
        <f t="shared" si="51"/>
        <v>4.3588516290253621</v>
      </c>
      <c r="H244" s="17">
        <f t="shared" si="53"/>
        <v>4.5088810699614124</v>
      </c>
      <c r="I244" s="17">
        <f t="shared" si="60"/>
        <v>2.4441423712890264</v>
      </c>
      <c r="J244" s="10">
        <v>3.2749893024683809E-3</v>
      </c>
      <c r="K244" s="17">
        <f t="shared" si="61"/>
        <v>4.0015543235274897</v>
      </c>
      <c r="L244" s="17">
        <f t="shared" si="54"/>
        <v>4.1694621418535416</v>
      </c>
      <c r="M244" s="17">
        <f t="shared" si="62"/>
        <v>4.2429374640100104</v>
      </c>
      <c r="N244" s="11">
        <v>3.3411098626110231E-3</v>
      </c>
      <c r="O244" s="17">
        <f t="shared" si="63"/>
        <v>4.0838344672459392</v>
      </c>
      <c r="P244" s="17">
        <f t="shared" si="55"/>
        <v>4.1654844140719627</v>
      </c>
      <c r="Q244" s="17">
        <f t="shared" si="64"/>
        <v>4.2830747485061549</v>
      </c>
      <c r="R244" s="10">
        <v>3.5412729403122849E-3</v>
      </c>
      <c r="S244" s="17">
        <v>4.3332804242493639</v>
      </c>
      <c r="T244" s="17">
        <f t="shared" si="57"/>
        <v>4.0912722728323692</v>
      </c>
      <c r="U244" s="17">
        <f t="shared" si="58"/>
        <v>4.1465511956700007</v>
      </c>
      <c r="V244" s="11">
        <v>3.7266827159841507E-3</v>
      </c>
      <c r="W244" s="17">
        <v>4.564829395987835</v>
      </c>
      <c r="X244" s="17">
        <f t="shared" si="56"/>
        <v>4.0652825575136831</v>
      </c>
      <c r="Y244" s="17">
        <f t="shared" si="65"/>
        <v>4.1936291594343533</v>
      </c>
    </row>
    <row r="245" spans="1:25" x14ac:dyDescent="0.25">
      <c r="A245" s="7">
        <v>31868</v>
      </c>
      <c r="B245" s="28">
        <v>3.0753876352316487E-3</v>
      </c>
      <c r="C245" s="17">
        <f t="shared" si="50"/>
        <v>3.7535323871940918</v>
      </c>
      <c r="D245" s="17">
        <f t="shared" si="52"/>
        <v>5.0327587943451269</v>
      </c>
      <c r="E245" s="17">
        <f t="shared" si="59"/>
        <v>3.0088548467520626</v>
      </c>
      <c r="F245" s="30">
        <v>5.1109075591701594E-3</v>
      </c>
      <c r="G245" s="17">
        <f t="shared" si="51"/>
        <v>6.3084612927676309</v>
      </c>
      <c r="H245" s="17">
        <f t="shared" si="53"/>
        <v>3.6922134472738177</v>
      </c>
      <c r="I245" s="17">
        <f t="shared" si="60"/>
        <v>3.2039783368676078</v>
      </c>
      <c r="J245" s="10">
        <v>4.9606844593054191E-3</v>
      </c>
      <c r="K245" s="17">
        <f t="shared" si="61"/>
        <v>6.1179525804451185</v>
      </c>
      <c r="L245" s="17">
        <f t="shared" si="54"/>
        <v>4.6408037519981127</v>
      </c>
      <c r="M245" s="17">
        <f t="shared" si="62"/>
        <v>4.2186072145000919</v>
      </c>
      <c r="N245" s="11">
        <v>5.3566733419768385E-3</v>
      </c>
      <c r="O245" s="17">
        <f t="shared" si="63"/>
        <v>6.6208106731549643</v>
      </c>
      <c r="P245" s="17">
        <f t="shared" si="55"/>
        <v>4.890525092864384</v>
      </c>
      <c r="Q245" s="17">
        <f t="shared" si="64"/>
        <v>4.2865823534771197</v>
      </c>
      <c r="R245" s="10">
        <v>3.9176328166087909E-3</v>
      </c>
      <c r="S245" s="17">
        <v>4.8037897018712306</v>
      </c>
      <c r="T245" s="17">
        <f t="shared" si="57"/>
        <v>4.0185684020937584</v>
      </c>
      <c r="U245" s="17">
        <f t="shared" si="58"/>
        <v>4.1976906226867561</v>
      </c>
      <c r="V245" s="11">
        <v>4.396829481747062E-3</v>
      </c>
      <c r="W245" s="17">
        <v>5.4056759309693669</v>
      </c>
      <c r="X245" s="17">
        <f t="shared" si="56"/>
        <v>4.3270934045235743</v>
      </c>
      <c r="Y245" s="17">
        <f t="shared" si="65"/>
        <v>4.3128053659928334</v>
      </c>
    </row>
    <row r="246" spans="1:25" x14ac:dyDescent="0.25">
      <c r="A246" s="7">
        <v>31898</v>
      </c>
      <c r="B246" s="28">
        <v>3.0628348565565999E-3</v>
      </c>
      <c r="C246" s="17">
        <f t="shared" si="50"/>
        <v>3.7379526350850956</v>
      </c>
      <c r="D246" s="17">
        <f t="shared" si="52"/>
        <v>3.5247687620078683</v>
      </c>
      <c r="E246" s="17">
        <f t="shared" si="59"/>
        <v>3.1974463974166811</v>
      </c>
      <c r="F246" s="30">
        <v>5.2118290849495538E-3</v>
      </c>
      <c r="G246" s="17">
        <f t="shared" si="51"/>
        <v>6.4366231379412442</v>
      </c>
      <c r="H246" s="17">
        <f t="shared" si="53"/>
        <v>5.6970185328311107</v>
      </c>
      <c r="I246" s="17">
        <f t="shared" si="60"/>
        <v>3.7926974933162105</v>
      </c>
      <c r="J246" s="10">
        <v>2.5624943095185759E-3</v>
      </c>
      <c r="K246" s="17">
        <f t="shared" si="61"/>
        <v>3.1187035819618014</v>
      </c>
      <c r="L246" s="17">
        <f t="shared" si="54"/>
        <v>4.4051797731857967</v>
      </c>
      <c r="M246" s="17">
        <f t="shared" si="62"/>
        <v>4.2511057354036152</v>
      </c>
      <c r="N246" s="11">
        <v>2.5349410493508313E-3</v>
      </c>
      <c r="O246" s="17">
        <f t="shared" si="63"/>
        <v>3.0847007894982514</v>
      </c>
      <c r="P246" s="17">
        <f t="shared" si="55"/>
        <v>4.5859051576692789</v>
      </c>
      <c r="Q246" s="17">
        <f t="shared" si="64"/>
        <v>4.337435274031809</v>
      </c>
      <c r="R246" s="10">
        <v>2.2977967554170774E-3</v>
      </c>
      <c r="S246" s="17">
        <v>2.7924715385286181</v>
      </c>
      <c r="T246" s="17">
        <f t="shared" si="57"/>
        <v>3.9729547160390677</v>
      </c>
      <c r="U246" s="17">
        <f t="shared" si="58"/>
        <v>4.1285252426567887</v>
      </c>
      <c r="V246" s="11">
        <v>2.1839374775828651E-3</v>
      </c>
      <c r="W246" s="17">
        <v>2.652434512654489</v>
      </c>
      <c r="X246" s="17">
        <f t="shared" si="56"/>
        <v>4.2012578371253273</v>
      </c>
      <c r="Y246" s="17">
        <f t="shared" si="65"/>
        <v>4.2507108682025674</v>
      </c>
    </row>
    <row r="247" spans="1:25" x14ac:dyDescent="0.25">
      <c r="A247" s="7">
        <v>31929</v>
      </c>
      <c r="B247" s="28">
        <v>7.7016991177368561E-3</v>
      </c>
      <c r="C247" s="17">
        <f t="shared" si="50"/>
        <v>9.6437523617619814</v>
      </c>
      <c r="D247" s="17">
        <f t="shared" si="52"/>
        <v>5.6756232977293708</v>
      </c>
      <c r="E247" s="17">
        <f t="shared" si="59"/>
        <v>3.4994279809298812</v>
      </c>
      <c r="F247" s="30">
        <v>3.5430698477848699E-3</v>
      </c>
      <c r="G247" s="17">
        <f t="shared" si="51"/>
        <v>4.3355222345576649</v>
      </c>
      <c r="H247" s="17">
        <f t="shared" si="53"/>
        <v>5.689141765407002</v>
      </c>
      <c r="I247" s="17">
        <f t="shared" si="60"/>
        <v>4.1210451865958841</v>
      </c>
      <c r="J247" s="10">
        <v>1.9910705415785504E-3</v>
      </c>
      <c r="K247" s="17">
        <f t="shared" si="61"/>
        <v>2.4156238720112411</v>
      </c>
      <c r="L247" s="17">
        <f t="shared" si="54"/>
        <v>3.8717640178900892</v>
      </c>
      <c r="M247" s="17">
        <f t="shared" si="62"/>
        <v>4.0731475642205028</v>
      </c>
      <c r="N247" s="11">
        <v>1.8245168420427454E-3</v>
      </c>
      <c r="O247" s="17">
        <f t="shared" si="63"/>
        <v>2.211524866260417</v>
      </c>
      <c r="P247" s="17">
        <f t="shared" si="55"/>
        <v>3.9549931530976412</v>
      </c>
      <c r="Q247" s="17">
        <f t="shared" si="64"/>
        <v>4.1487054401487589</v>
      </c>
      <c r="R247" s="10">
        <v>1.9719314306559346E-3</v>
      </c>
      <c r="S247" s="17">
        <v>2.3921513505707814</v>
      </c>
      <c r="T247" s="17">
        <f t="shared" si="57"/>
        <v>3.324105563991675</v>
      </c>
      <c r="U247" s="17">
        <f t="shared" si="58"/>
        <v>3.8782327234682556</v>
      </c>
      <c r="V247" s="11">
        <v>1.6605413411061082E-3</v>
      </c>
      <c r="W247" s="17">
        <v>2.010949543487861</v>
      </c>
      <c r="X247" s="17">
        <f t="shared" si="56"/>
        <v>3.3459226962240018</v>
      </c>
      <c r="Y247" s="17">
        <f t="shared" si="65"/>
        <v>3.9634271168056623</v>
      </c>
    </row>
    <row r="248" spans="1:25" x14ac:dyDescent="0.25">
      <c r="A248" s="7">
        <v>31959</v>
      </c>
      <c r="B248" s="28">
        <v>2.5624531821068397E-3</v>
      </c>
      <c r="C248" s="17">
        <f t="shared" si="50"/>
        <v>3.1186528199860231</v>
      </c>
      <c r="D248" s="17">
        <f t="shared" si="52"/>
        <v>5.4596351254011077</v>
      </c>
      <c r="E248" s="17">
        <f t="shared" si="59"/>
        <v>4.2324319599874816</v>
      </c>
      <c r="F248" s="30">
        <v>4.4166077414916696E-3</v>
      </c>
      <c r="G248" s="17">
        <f t="shared" si="51"/>
        <v>5.4305860052786148</v>
      </c>
      <c r="H248" s="17">
        <f t="shared" si="53"/>
        <v>5.3974169283503626</v>
      </c>
      <c r="I248" s="17">
        <f t="shared" si="60"/>
        <v>4.1115804503149889</v>
      </c>
      <c r="J248" s="10">
        <v>3.1510693500039827E-3</v>
      </c>
      <c r="K248" s="17">
        <f t="shared" si="61"/>
        <v>3.8475094258029419</v>
      </c>
      <c r="L248" s="17">
        <f t="shared" si="54"/>
        <v>3.1256221243711302</v>
      </c>
      <c r="M248" s="17">
        <f t="shared" si="62"/>
        <v>4.0746079277841574</v>
      </c>
      <c r="N248" s="11">
        <v>3.136121000391717E-3</v>
      </c>
      <c r="O248" s="17">
        <f t="shared" si="63"/>
        <v>3.828941275452169</v>
      </c>
      <c r="P248" s="17">
        <f t="shared" si="55"/>
        <v>3.0396012265107686</v>
      </c>
      <c r="Q248" s="17">
        <f t="shared" si="64"/>
        <v>4.1300245069304742</v>
      </c>
      <c r="R248" s="10">
        <v>3.817290538025475E-3</v>
      </c>
      <c r="S248" s="17">
        <v>4.6781562248863873</v>
      </c>
      <c r="T248" s="17">
        <f t="shared" si="57"/>
        <v>3.2828024867282313</v>
      </c>
      <c r="U248" s="17">
        <f t="shared" si="58"/>
        <v>3.9605962203513645</v>
      </c>
      <c r="V248" s="11">
        <v>3.9489630060137336E-3</v>
      </c>
      <c r="W248" s="17">
        <v>4.8430449490585392</v>
      </c>
      <c r="X248" s="17">
        <f t="shared" si="56"/>
        <v>3.1617157223466252</v>
      </c>
      <c r="Y248" s="17">
        <f t="shared" si="65"/>
        <v>4.0312430297631652</v>
      </c>
    </row>
    <row r="249" spans="1:25" x14ac:dyDescent="0.25">
      <c r="A249" s="7">
        <v>31990</v>
      </c>
      <c r="B249" s="28">
        <v>5.773788548362347E-3</v>
      </c>
      <c r="C249" s="17">
        <f t="shared" si="50"/>
        <v>7.1528580971798483</v>
      </c>
      <c r="D249" s="17">
        <f t="shared" si="52"/>
        <v>6.6043582434726078</v>
      </c>
      <c r="E249" s="17">
        <f t="shared" si="59"/>
        <v>4.9321203708625916</v>
      </c>
      <c r="F249" s="30">
        <v>3.8825890371269474E-3</v>
      </c>
      <c r="G249" s="17">
        <f t="shared" si="51"/>
        <v>4.7598974652598214</v>
      </c>
      <c r="H249" s="17">
        <f t="shared" si="53"/>
        <v>4.8410334082404027</v>
      </c>
      <c r="I249" s="17">
        <f t="shared" si="60"/>
        <v>4.2370910722269395</v>
      </c>
      <c r="J249" s="10">
        <v>4.0154359601765255E-3</v>
      </c>
      <c r="K249" s="17">
        <f t="shared" si="61"/>
        <v>4.9263770586474687</v>
      </c>
      <c r="L249" s="17">
        <f t="shared" si="54"/>
        <v>3.7247330866329031</v>
      </c>
      <c r="M249" s="17">
        <f t="shared" si="62"/>
        <v>4.1990198025301684</v>
      </c>
      <c r="N249" s="11">
        <v>4.1796459597981213E-3</v>
      </c>
      <c r="O249" s="17">
        <f t="shared" si="63"/>
        <v>5.1324950197243036</v>
      </c>
      <c r="P249" s="17">
        <f t="shared" si="55"/>
        <v>3.7174318810094809</v>
      </c>
      <c r="Q249" s="17">
        <f t="shared" si="64"/>
        <v>4.2601554779382766</v>
      </c>
      <c r="R249" s="10">
        <v>2.8472881558381491E-3</v>
      </c>
      <c r="S249" s="17">
        <v>3.4707634125405562</v>
      </c>
      <c r="T249" s="17">
        <f t="shared" si="57"/>
        <v>3.5094804250404454</v>
      </c>
      <c r="U249" s="17">
        <f t="shared" si="58"/>
        <v>3.9707059540998735</v>
      </c>
      <c r="V249" s="11">
        <v>2.8706226019014685E-3</v>
      </c>
      <c r="W249" s="17">
        <v>3.4996580447068659</v>
      </c>
      <c r="X249" s="17">
        <f t="shared" si="56"/>
        <v>3.4447474252321753</v>
      </c>
      <c r="Y249" s="17">
        <f t="shared" si="65"/>
        <v>4.0263923952165825</v>
      </c>
    </row>
    <row r="250" spans="1:25" x14ac:dyDescent="0.25">
      <c r="A250" s="7">
        <v>32021</v>
      </c>
      <c r="B250" s="28">
        <v>2.2564158046031822E-3</v>
      </c>
      <c r="C250" s="17">
        <f t="shared" si="50"/>
        <v>2.7415563179501223</v>
      </c>
      <c r="D250" s="17">
        <f t="shared" si="52"/>
        <v>4.3187505396507841</v>
      </c>
      <c r="E250" s="17">
        <f t="shared" si="59"/>
        <v>4.8200081239292869</v>
      </c>
      <c r="F250" s="30">
        <v>3.4913569071302118E-3</v>
      </c>
      <c r="G250" s="17">
        <f t="shared" si="51"/>
        <v>4.2710231462532056</v>
      </c>
      <c r="H250" s="17">
        <f t="shared" si="53"/>
        <v>4.8194250916764103</v>
      </c>
      <c r="I250" s="17">
        <f t="shared" si="60"/>
        <v>4.3197898603831275</v>
      </c>
      <c r="J250" s="10">
        <v>4.0533589448205724E-3</v>
      </c>
      <c r="K250" s="17">
        <f t="shared" si="61"/>
        <v>4.9739454283647788</v>
      </c>
      <c r="L250" s="17">
        <f t="shared" si="54"/>
        <v>4.5813140655945217</v>
      </c>
      <c r="M250" s="17">
        <f t="shared" si="62"/>
        <v>4.2280338181108545</v>
      </c>
      <c r="N250" s="11">
        <v>4.0697421019250547E-3</v>
      </c>
      <c r="O250" s="17">
        <f t="shared" si="63"/>
        <v>4.9945016146396126</v>
      </c>
      <c r="P250" s="17">
        <f t="shared" si="55"/>
        <v>4.6503417910453981</v>
      </c>
      <c r="Q250" s="17">
        <f t="shared" si="64"/>
        <v>4.2840529674872618</v>
      </c>
      <c r="R250" s="10">
        <v>3.9035701438634037E-3</v>
      </c>
      <c r="S250" s="17">
        <v>4.7861742186075196</v>
      </c>
      <c r="T250" s="17">
        <f t="shared" si="57"/>
        <v>4.3099892729337341</v>
      </c>
      <c r="U250" s="17">
        <f t="shared" si="58"/>
        <v>4.0463619912269655</v>
      </c>
      <c r="V250" s="11">
        <v>3.8980027768235124E-3</v>
      </c>
      <c r="W250" s="17">
        <v>4.7792010552533348</v>
      </c>
      <c r="X250" s="17">
        <f t="shared" si="56"/>
        <v>4.3721286851159391</v>
      </c>
      <c r="Y250" s="17">
        <f t="shared" si="65"/>
        <v>4.1037880055242226</v>
      </c>
    </row>
    <row r="251" spans="1:25" x14ac:dyDescent="0.25">
      <c r="A251" s="7">
        <v>32051</v>
      </c>
      <c r="B251" s="28">
        <v>-1.6560834475607691E-4</v>
      </c>
      <c r="C251" s="17">
        <f t="shared" si="50"/>
        <v>-0.19854910117658164</v>
      </c>
      <c r="D251" s="17">
        <f t="shared" si="52"/>
        <v>3.1879342359171225</v>
      </c>
      <c r="E251" s="17">
        <f t="shared" si="59"/>
        <v>5.1621985288807792</v>
      </c>
      <c r="F251" s="30">
        <v>3.0380684691666635E-3</v>
      </c>
      <c r="G251" s="17">
        <f t="shared" si="51"/>
        <v>3.7072203774733081</v>
      </c>
      <c r="H251" s="17">
        <f t="shared" si="53"/>
        <v>4.2451594524637759</v>
      </c>
      <c r="I251" s="17">
        <f t="shared" si="60"/>
        <v>4.6093791619628677</v>
      </c>
      <c r="J251" s="10">
        <v>4.8464971904908461E-3</v>
      </c>
      <c r="K251" s="17">
        <f t="shared" si="61"/>
        <v>5.9733528990024043</v>
      </c>
      <c r="L251" s="17">
        <f t="shared" si="54"/>
        <v>5.2901209115384873</v>
      </c>
      <c r="M251" s="17">
        <f t="shared" si="62"/>
        <v>4.2777856084391441</v>
      </c>
      <c r="N251" s="11">
        <v>5.1204542241746085E-3</v>
      </c>
      <c r="O251" s="17">
        <f t="shared" si="63"/>
        <v>6.3205786932898578</v>
      </c>
      <c r="P251" s="17">
        <f t="shared" si="55"/>
        <v>5.4808497538533452</v>
      </c>
      <c r="Q251" s="17">
        <f t="shared" si="64"/>
        <v>4.3332785789074846</v>
      </c>
      <c r="R251" s="10">
        <v>3.3773075466061214E-3</v>
      </c>
      <c r="S251" s="17">
        <v>4.1289039820987972</v>
      </c>
      <c r="T251" s="17">
        <f t="shared" si="57"/>
        <v>4.1272290982768078</v>
      </c>
      <c r="U251" s="17">
        <f t="shared" si="58"/>
        <v>3.9958596972259564</v>
      </c>
      <c r="V251" s="11">
        <v>3.5315686604420371E-3</v>
      </c>
      <c r="W251" s="17">
        <v>4.3211741896600486</v>
      </c>
      <c r="X251" s="17">
        <f t="shared" si="56"/>
        <v>4.1986649832511436</v>
      </c>
      <c r="Y251" s="17">
        <f t="shared" si="65"/>
        <v>4.0325234539609678</v>
      </c>
    </row>
    <row r="252" spans="1:25" x14ac:dyDescent="0.25">
      <c r="A252" s="7">
        <v>32082</v>
      </c>
      <c r="B252" s="28">
        <v>2.6005217892119525E-3</v>
      </c>
      <c r="C252" s="17">
        <f t="shared" si="50"/>
        <v>3.165649234801049</v>
      </c>
      <c r="D252" s="17">
        <f t="shared" si="52"/>
        <v>1.8918318543057255</v>
      </c>
      <c r="E252" s="17">
        <f t="shared" si="59"/>
        <v>5.3050178900523992</v>
      </c>
      <c r="F252" s="30">
        <v>4.0715381799200827E-3</v>
      </c>
      <c r="G252" s="17">
        <f t="shared" si="51"/>
        <v>4.9967554043280238</v>
      </c>
      <c r="H252" s="17">
        <f t="shared" si="53"/>
        <v>4.3236650285025879</v>
      </c>
      <c r="I252" s="17">
        <f t="shared" si="60"/>
        <v>4.6745745787659221</v>
      </c>
      <c r="J252" s="10">
        <v>2.9165881961818645E-3</v>
      </c>
      <c r="K252" s="17">
        <f t="shared" si="61"/>
        <v>3.5565980644978401</v>
      </c>
      <c r="L252" s="17">
        <f t="shared" si="54"/>
        <v>4.829936696810222</v>
      </c>
      <c r="M252" s="17">
        <f t="shared" si="62"/>
        <v>4.286453829548087</v>
      </c>
      <c r="N252" s="11">
        <v>2.9189735433187659E-3</v>
      </c>
      <c r="O252" s="17">
        <f t="shared" si="63"/>
        <v>3.5595537041066994</v>
      </c>
      <c r="P252" s="17">
        <f t="shared" si="55"/>
        <v>4.9521531439498112</v>
      </c>
      <c r="Q252" s="17">
        <f t="shared" si="64"/>
        <v>4.3544752849169477</v>
      </c>
      <c r="R252" s="10">
        <v>3.0394355702525397E-3</v>
      </c>
      <c r="S252" s="17">
        <v>3.7089165761025722</v>
      </c>
      <c r="T252" s="17">
        <f t="shared" si="57"/>
        <v>4.2070559237715077</v>
      </c>
      <c r="U252" s="17">
        <f t="shared" si="58"/>
        <v>4.0030024465156799</v>
      </c>
      <c r="V252" s="11">
        <v>3.0731526636170463E-3</v>
      </c>
      <c r="W252" s="17">
        <v>3.7507583182337711</v>
      </c>
      <c r="X252" s="17">
        <f t="shared" si="56"/>
        <v>4.2828623071385907</v>
      </c>
      <c r="Y252" s="17">
        <f t="shared" si="65"/>
        <v>4.0604247366632817</v>
      </c>
    </row>
    <row r="253" spans="1:25" x14ac:dyDescent="0.25">
      <c r="A253" s="7">
        <v>32112</v>
      </c>
      <c r="B253" s="28">
        <v>1.9059529311856066E-5</v>
      </c>
      <c r="C253" s="17">
        <f t="shared" si="50"/>
        <v>2.2873832879954925E-2</v>
      </c>
      <c r="D253" s="17">
        <f t="shared" si="52"/>
        <v>0.98505345278552259</v>
      </c>
      <c r="E253" s="17">
        <f t="shared" si="59"/>
        <v>5.0369783745777719</v>
      </c>
      <c r="F253" s="30">
        <v>-1.9529461357702725E-3</v>
      </c>
      <c r="G253" s="17">
        <f t="shared" si="51"/>
        <v>-2.3185261220368902</v>
      </c>
      <c r="H253" s="17">
        <f t="shared" si="53"/>
        <v>2.0780485510605518</v>
      </c>
      <c r="I253" s="17">
        <f t="shared" si="60"/>
        <v>4.265210748676207</v>
      </c>
      <c r="J253" s="10">
        <v>2.9736093708738077E-3</v>
      </c>
      <c r="K253" s="17">
        <f t="shared" si="61"/>
        <v>3.6272731230126753</v>
      </c>
      <c r="L253" s="17">
        <f t="shared" si="54"/>
        <v>4.3797310418323798</v>
      </c>
      <c r="M253" s="17">
        <f t="shared" si="62"/>
        <v>4.2502365792731922</v>
      </c>
      <c r="N253" s="11">
        <v>3.0510839505886451E-3</v>
      </c>
      <c r="O253" s="17">
        <f t="shared" si="63"/>
        <v>3.7233700624713872</v>
      </c>
      <c r="P253" s="17">
        <f t="shared" si="55"/>
        <v>4.5268927211293164</v>
      </c>
      <c r="Q253" s="17">
        <f t="shared" si="64"/>
        <v>4.324057742855314</v>
      </c>
      <c r="R253" s="10">
        <v>1.543412756013132E-3</v>
      </c>
      <c r="S253" s="17">
        <v>1.8678984853490732</v>
      </c>
      <c r="T253" s="17">
        <f t="shared" si="57"/>
        <v>3.2305514034370431</v>
      </c>
      <c r="U253" s="17">
        <f t="shared" si="58"/>
        <v>3.7379185353912936</v>
      </c>
      <c r="V253" s="11">
        <v>1.3487192961497247E-3</v>
      </c>
      <c r="W253" s="17">
        <v>1.6305229825545275</v>
      </c>
      <c r="X253" s="17">
        <f t="shared" si="56"/>
        <v>3.2276329492499478</v>
      </c>
      <c r="Y253" s="17">
        <f t="shared" si="65"/>
        <v>3.7516306549520539</v>
      </c>
    </row>
    <row r="254" spans="1:25" x14ac:dyDescent="0.25">
      <c r="A254" s="7">
        <v>32143</v>
      </c>
      <c r="B254" s="28">
        <v>1.2984355200495611E-3</v>
      </c>
      <c r="C254" s="17">
        <f t="shared" si="50"/>
        <v>1.5692980944359336</v>
      </c>
      <c r="D254" s="17">
        <f t="shared" si="52"/>
        <v>1.5778380212146725</v>
      </c>
      <c r="E254" s="17">
        <f t="shared" si="59"/>
        <v>3.8029581573598481</v>
      </c>
      <c r="F254" s="30">
        <v>3.8822259556405979E-3</v>
      </c>
      <c r="G254" s="17">
        <f t="shared" si="51"/>
        <v>4.7594427949143592</v>
      </c>
      <c r="H254" s="17">
        <f t="shared" si="53"/>
        <v>2.4221184071289592</v>
      </c>
      <c r="I254" s="17">
        <f t="shared" si="60"/>
        <v>3.9337126549177315</v>
      </c>
      <c r="J254" s="10">
        <v>3.9874648815610043E-3</v>
      </c>
      <c r="K254" s="17">
        <f t="shared" si="61"/>
        <v>4.8913044391367455</v>
      </c>
      <c r="L254" s="17">
        <f t="shared" si="54"/>
        <v>4.0232561137152567</v>
      </c>
      <c r="M254" s="17">
        <f t="shared" si="62"/>
        <v>4.266892221698404</v>
      </c>
      <c r="N254" s="11">
        <v>4.0871745121354216E-3</v>
      </c>
      <c r="O254" s="17">
        <f t="shared" si="63"/>
        <v>5.0163783659930461</v>
      </c>
      <c r="P254" s="17">
        <f t="shared" si="55"/>
        <v>4.0977338707562261</v>
      </c>
      <c r="Q254" s="17">
        <f t="shared" si="64"/>
        <v>4.3731596710067544</v>
      </c>
      <c r="R254" s="10">
        <v>3.7704087829242188E-3</v>
      </c>
      <c r="S254" s="17">
        <v>4.6195052889880017</v>
      </c>
      <c r="T254" s="17">
        <f t="shared" si="57"/>
        <v>3.3924203668743269</v>
      </c>
      <c r="U254" s="17">
        <f t="shared" si="58"/>
        <v>3.7045890640532209</v>
      </c>
      <c r="V254" s="11">
        <v>3.9029838820609677E-3</v>
      </c>
      <c r="W254" s="17">
        <v>4.7854399018556926</v>
      </c>
      <c r="X254" s="17">
        <f t="shared" si="56"/>
        <v>3.3805393677984741</v>
      </c>
      <c r="Y254" s="17">
        <f t="shared" si="65"/>
        <v>3.7657795729029386</v>
      </c>
    </row>
    <row r="255" spans="1:25" x14ac:dyDescent="0.25">
      <c r="A255" s="7">
        <v>32174</v>
      </c>
      <c r="B255" s="28">
        <v>-2.2262896345457478E-3</v>
      </c>
      <c r="C255" s="17">
        <f t="shared" si="50"/>
        <v>-2.6390770919513251</v>
      </c>
      <c r="D255" s="17">
        <f t="shared" si="52"/>
        <v>-0.36418278893129985</v>
      </c>
      <c r="E255" s="17">
        <f t="shared" si="59"/>
        <v>2.8829768212749851</v>
      </c>
      <c r="F255" s="30">
        <v>-2.9513852534003644E-3</v>
      </c>
      <c r="G255" s="17">
        <f t="shared" si="51"/>
        <v>-3.4847336997328782</v>
      </c>
      <c r="H255" s="17">
        <f t="shared" si="53"/>
        <v>-0.41350081621176482</v>
      </c>
      <c r="I255" s="17">
        <f t="shared" si="60"/>
        <v>3.5843947902560513</v>
      </c>
      <c r="J255" s="10">
        <v>3.5453895257835993E-3</v>
      </c>
      <c r="K255" s="17">
        <f t="shared" si="61"/>
        <v>4.3384163153352473</v>
      </c>
      <c r="L255" s="17">
        <f t="shared" si="54"/>
        <v>4.2843805327626105</v>
      </c>
      <c r="M255" s="17">
        <f t="shared" si="62"/>
        <v>4.3103109819813801</v>
      </c>
      <c r="N255" s="11">
        <v>3.5236500688951024E-3</v>
      </c>
      <c r="O255" s="17">
        <f t="shared" si="63"/>
        <v>4.3112965820915949</v>
      </c>
      <c r="P255" s="17">
        <f t="shared" si="55"/>
        <v>4.3490100231757367</v>
      </c>
      <c r="Q255" s="17">
        <f t="shared" si="64"/>
        <v>4.4001565854266067</v>
      </c>
      <c r="R255" s="10">
        <v>3.4204674101627449E-3</v>
      </c>
      <c r="S255" s="17">
        <v>4.1826654452281398</v>
      </c>
      <c r="T255" s="17">
        <f t="shared" si="57"/>
        <v>3.5496156148624225</v>
      </c>
      <c r="U255" s="17">
        <f t="shared" si="58"/>
        <v>3.8093646458788877</v>
      </c>
      <c r="V255" s="11">
        <v>3.3509141399802839E-3</v>
      </c>
      <c r="W255" s="17">
        <v>4.0960399469391895</v>
      </c>
      <c r="X255" s="17">
        <f t="shared" si="56"/>
        <v>3.495095562027295</v>
      </c>
      <c r="Y255" s="17">
        <f t="shared" si="65"/>
        <v>3.8552676878783831</v>
      </c>
    </row>
    <row r="256" spans="1:25" x14ac:dyDescent="0.25">
      <c r="A256" s="7">
        <v>32203</v>
      </c>
      <c r="B256" s="28">
        <v>1.487951454142536E-3</v>
      </c>
      <c r="C256" s="17">
        <f t="shared" si="50"/>
        <v>1.8002268602099081</v>
      </c>
      <c r="D256" s="17">
        <f t="shared" si="52"/>
        <v>0.22251412858793618</v>
      </c>
      <c r="E256" s="17">
        <f t="shared" si="59"/>
        <v>2.7755706612264008</v>
      </c>
      <c r="F256" s="30">
        <v>5.6687856481025811E-3</v>
      </c>
      <c r="G256" s="17">
        <f t="shared" si="51"/>
        <v>7.0186939019084349</v>
      </c>
      <c r="H256" s="17">
        <f t="shared" si="53"/>
        <v>2.6635505149747551</v>
      </c>
      <c r="I256" s="17">
        <f t="shared" si="60"/>
        <v>3.8018744028758711</v>
      </c>
      <c r="J256" s="10">
        <v>3.6984192324481173E-3</v>
      </c>
      <c r="K256" s="17">
        <f t="shared" si="61"/>
        <v>4.5295021453596762</v>
      </c>
      <c r="L256" s="17">
        <f t="shared" si="54"/>
        <v>4.5861564564561919</v>
      </c>
      <c r="M256" s="17">
        <f t="shared" si="62"/>
        <v>4.3543349117575625</v>
      </c>
      <c r="N256" s="11">
        <v>3.6345033189329897E-3</v>
      </c>
      <c r="O256" s="17">
        <f t="shared" si="63"/>
        <v>4.449652354007827</v>
      </c>
      <c r="P256" s="17">
        <f t="shared" si="55"/>
        <v>4.5919981230495788</v>
      </c>
      <c r="Q256" s="17">
        <f t="shared" si="64"/>
        <v>4.4306849097223377</v>
      </c>
      <c r="R256" s="10">
        <v>4.1829762969526488E-3</v>
      </c>
      <c r="S256" s="17">
        <v>5.1366791281237223</v>
      </c>
      <c r="T256" s="17">
        <f t="shared" si="57"/>
        <v>4.6455569780808892</v>
      </c>
      <c r="U256" s="17">
        <f t="shared" si="58"/>
        <v>3.875744394814129</v>
      </c>
      <c r="V256" s="11">
        <v>4.179454821596618E-3</v>
      </c>
      <c r="W256" s="17">
        <v>5.1322548856201244</v>
      </c>
      <c r="X256" s="17">
        <f t="shared" si="56"/>
        <v>4.6703579840748022</v>
      </c>
      <c r="Y256" s="17">
        <f t="shared" si="65"/>
        <v>3.9021158678058887</v>
      </c>
    </row>
    <row r="257" spans="1:25" x14ac:dyDescent="0.25">
      <c r="A257" s="7">
        <v>32234</v>
      </c>
      <c r="B257" s="28">
        <v>6.4304722704918507E-3</v>
      </c>
      <c r="C257" s="17">
        <f t="shared" si="50"/>
        <v>7.9954186064666422</v>
      </c>
      <c r="D257" s="17">
        <f t="shared" si="52"/>
        <v>2.293079557717137</v>
      </c>
      <c r="E257" s="17">
        <f t="shared" si="59"/>
        <v>3.119334193116563</v>
      </c>
      <c r="F257" s="30">
        <v>7.2981638412743287E-3</v>
      </c>
      <c r="G257" s="17">
        <f t="shared" si="51"/>
        <v>9.1180277008974677</v>
      </c>
      <c r="H257" s="17">
        <f t="shared" si="53"/>
        <v>4.0680433218327927</v>
      </c>
      <c r="I257" s="17">
        <f t="shared" si="60"/>
        <v>4.0277612181261579</v>
      </c>
      <c r="J257" s="10">
        <v>4.7306590733636935E-3</v>
      </c>
      <c r="K257" s="17">
        <f t="shared" si="61"/>
        <v>5.8268472576681107</v>
      </c>
      <c r="L257" s="17">
        <f t="shared" si="54"/>
        <v>4.8961769517355425</v>
      </c>
      <c r="M257" s="17">
        <f t="shared" si="62"/>
        <v>4.3304492548020823</v>
      </c>
      <c r="N257" s="11">
        <v>4.8011189501831024E-3</v>
      </c>
      <c r="O257" s="17">
        <f t="shared" si="63"/>
        <v>5.9159388754299824</v>
      </c>
      <c r="P257" s="17">
        <f t="shared" si="55"/>
        <v>4.8897912146965261</v>
      </c>
      <c r="Q257" s="17">
        <f t="shared" si="64"/>
        <v>4.3729771059368927</v>
      </c>
      <c r="R257" s="10">
        <v>5.6956255590220268E-3</v>
      </c>
      <c r="S257" s="17">
        <v>7.052973106961935</v>
      </c>
      <c r="T257" s="17">
        <f t="shared" si="57"/>
        <v>5.45070418296838</v>
      </c>
      <c r="U257" s="17">
        <f t="shared" si="58"/>
        <v>4.0597139891409117</v>
      </c>
      <c r="V257" s="11">
        <v>6.0532175850569912E-3</v>
      </c>
      <c r="W257" s="17">
        <v>7.5106413032532737</v>
      </c>
      <c r="X257" s="17">
        <f t="shared" si="56"/>
        <v>5.5700061046435101</v>
      </c>
      <c r="Y257" s="17">
        <f t="shared" si="65"/>
        <v>4.0734647048198624</v>
      </c>
    </row>
    <row r="258" spans="1:25" x14ac:dyDescent="0.25">
      <c r="A258" s="7">
        <v>32264</v>
      </c>
      <c r="B258" s="28">
        <v>1.2717877632904848E-3</v>
      </c>
      <c r="C258" s="17">
        <f t="shared" si="50"/>
        <v>1.5368658318726025</v>
      </c>
      <c r="D258" s="17">
        <f t="shared" si="52"/>
        <v>3.7351511138275839</v>
      </c>
      <c r="E258" s="17">
        <f t="shared" si="59"/>
        <v>2.9352065618774681</v>
      </c>
      <c r="F258" s="30">
        <v>1.9594175813847539E-3</v>
      </c>
      <c r="G258" s="17">
        <f t="shared" si="51"/>
        <v>2.3768068256728947</v>
      </c>
      <c r="H258" s="17">
        <f t="shared" si="53"/>
        <v>6.133522360889665</v>
      </c>
      <c r="I258" s="17">
        <f t="shared" si="60"/>
        <v>3.6911743640061445</v>
      </c>
      <c r="J258" s="10">
        <v>3.3676590572985555E-3</v>
      </c>
      <c r="K258" s="17">
        <f t="shared" si="61"/>
        <v>4.1168889587385626</v>
      </c>
      <c r="L258" s="17">
        <f t="shared" si="54"/>
        <v>4.8218871595615775</v>
      </c>
      <c r="M258" s="17">
        <f t="shared" si="62"/>
        <v>4.4142377471273031</v>
      </c>
      <c r="N258" s="11">
        <v>3.5225224692122074E-3</v>
      </c>
      <c r="O258" s="17">
        <f t="shared" si="63"/>
        <v>4.3098900901802129</v>
      </c>
      <c r="P258" s="17">
        <f t="shared" si="55"/>
        <v>4.8893197818770107</v>
      </c>
      <c r="Q258" s="17">
        <f t="shared" si="64"/>
        <v>4.4757932859071481</v>
      </c>
      <c r="R258" s="10">
        <v>3.6872910561625083E-3</v>
      </c>
      <c r="S258" s="17">
        <v>4.5155957554571469</v>
      </c>
      <c r="T258" s="17">
        <f t="shared" si="57"/>
        <v>5.5629122441010148</v>
      </c>
      <c r="U258" s="17">
        <f t="shared" si="58"/>
        <v>4.2039728910293173</v>
      </c>
      <c r="V258" s="11">
        <v>4.0476625255163028E-3</v>
      </c>
      <c r="W258" s="17">
        <v>4.9667989123545198</v>
      </c>
      <c r="X258" s="17">
        <f t="shared" si="56"/>
        <v>5.8635519967863203</v>
      </c>
      <c r="Y258" s="17">
        <f t="shared" si="65"/>
        <v>4.2670063449740336</v>
      </c>
    </row>
    <row r="259" spans="1:25" x14ac:dyDescent="0.25">
      <c r="A259" s="7">
        <v>32295</v>
      </c>
      <c r="B259" s="28">
        <v>5.0478135667655806E-3</v>
      </c>
      <c r="C259" s="17">
        <f t="shared" ref="C259:C322" si="66">((1+B259)^12 - 1)*100</f>
        <v>6.2284091123119945</v>
      </c>
      <c r="D259" s="17">
        <f t="shared" si="52"/>
        <v>5.2179706242238</v>
      </c>
      <c r="E259" s="17">
        <f t="shared" si="59"/>
        <v>2.6641161611963948</v>
      </c>
      <c r="F259" s="30">
        <v>3.5834655516889637E-3</v>
      </c>
      <c r="G259" s="17">
        <f t="shared" ref="G259:G322" si="67">((1+F259)^12 - 1)*100</f>
        <v>4.3859313127560862</v>
      </c>
      <c r="H259" s="17">
        <f t="shared" si="53"/>
        <v>5.2559573744241694</v>
      </c>
      <c r="I259" s="17">
        <f t="shared" si="60"/>
        <v>3.6953482536008275</v>
      </c>
      <c r="J259" s="10">
        <v>3.8443480917431587E-3</v>
      </c>
      <c r="K259" s="17">
        <f t="shared" si="61"/>
        <v>4.7120200141833379</v>
      </c>
      <c r="L259" s="17">
        <f t="shared" si="54"/>
        <v>4.8828611510487452</v>
      </c>
      <c r="M259" s="17">
        <f t="shared" si="62"/>
        <v>4.6073617862763871</v>
      </c>
      <c r="N259" s="11">
        <v>3.7830808371000012E-3</v>
      </c>
      <c r="O259" s="17">
        <f t="shared" si="63"/>
        <v>4.6353555601278407</v>
      </c>
      <c r="P259" s="17">
        <f t="shared" si="55"/>
        <v>4.9514446120588307</v>
      </c>
      <c r="Q259" s="17">
        <f t="shared" si="64"/>
        <v>4.6800431556646149</v>
      </c>
      <c r="R259" s="10">
        <v>3.8988547294938319E-3</v>
      </c>
      <c r="S259" s="17">
        <v>4.7802681039359696</v>
      </c>
      <c r="T259" s="17">
        <f t="shared" si="57"/>
        <v>5.4434918831230972</v>
      </c>
      <c r="U259" s="17">
        <f t="shared" si="58"/>
        <v>4.404370783322098</v>
      </c>
      <c r="V259" s="11">
        <v>3.7989444087604095E-3</v>
      </c>
      <c r="W259" s="17">
        <v>4.6552009005741191</v>
      </c>
      <c r="X259" s="17">
        <f t="shared" si="56"/>
        <v>5.7031850684576169</v>
      </c>
      <c r="Y259" s="17">
        <f t="shared" si="65"/>
        <v>4.4896016025696817</v>
      </c>
    </row>
    <row r="260" spans="1:25" x14ac:dyDescent="0.25">
      <c r="A260" s="7">
        <v>32325</v>
      </c>
      <c r="B260" s="28">
        <v>7.7872197085979908E-3</v>
      </c>
      <c r="C260" s="17">
        <f t="shared" si="66"/>
        <v>9.7554660944130447</v>
      </c>
      <c r="D260" s="17">
        <f t="shared" si="52"/>
        <v>5.786487343082114</v>
      </c>
      <c r="E260" s="17">
        <f t="shared" si="59"/>
        <v>3.1991412221173299</v>
      </c>
      <c r="F260" s="30">
        <v>4.7463205480356048E-3</v>
      </c>
      <c r="G260" s="17">
        <f t="shared" si="67"/>
        <v>5.8466441643175493</v>
      </c>
      <c r="H260" s="17">
        <f t="shared" si="53"/>
        <v>4.1934010619800732</v>
      </c>
      <c r="I260" s="17">
        <f t="shared" si="60"/>
        <v>3.7293875994605985</v>
      </c>
      <c r="J260" s="10">
        <v>3.4271803022690268E-3</v>
      </c>
      <c r="K260" s="17">
        <f t="shared" si="61"/>
        <v>4.1910295487998406</v>
      </c>
      <c r="L260" s="17">
        <f t="shared" si="54"/>
        <v>4.3396438523778391</v>
      </c>
      <c r="M260" s="17">
        <f t="shared" si="62"/>
        <v>4.6361542973539116</v>
      </c>
      <c r="N260" s="11">
        <v>3.2740182727142462E-3</v>
      </c>
      <c r="O260" s="17">
        <f t="shared" si="63"/>
        <v>4.0003464225962793</v>
      </c>
      <c r="P260" s="17">
        <f t="shared" si="55"/>
        <v>4.3148751755625492</v>
      </c>
      <c r="Q260" s="17">
        <f t="shared" si="64"/>
        <v>4.6944331194148647</v>
      </c>
      <c r="R260" s="10">
        <v>3.7649987138411393E-3</v>
      </c>
      <c r="S260" s="17">
        <v>4.6127390169223181</v>
      </c>
      <c r="T260" s="17">
        <f t="shared" si="57"/>
        <v>4.6361438662814169</v>
      </c>
      <c r="U260" s="17">
        <f t="shared" si="58"/>
        <v>4.3989320495479989</v>
      </c>
      <c r="V260" s="11">
        <v>3.5626667009880457E-3</v>
      </c>
      <c r="W260" s="17">
        <v>4.3599740105312756</v>
      </c>
      <c r="X260" s="17">
        <f t="shared" si="56"/>
        <v>4.660364685756857</v>
      </c>
      <c r="Y260" s="17">
        <f t="shared" si="65"/>
        <v>4.4493964243185857</v>
      </c>
    </row>
    <row r="261" spans="1:25" x14ac:dyDescent="0.25">
      <c r="A261" s="7">
        <v>32356</v>
      </c>
      <c r="B261" s="28">
        <v>2.6890755493291681E-3</v>
      </c>
      <c r="C261" s="17">
        <f t="shared" si="66"/>
        <v>3.2750464899760079</v>
      </c>
      <c r="D261" s="17">
        <f t="shared" ref="D261:D324" si="68">(((1+B261)*(1+B260)*(1+B259))^(12/3)-1)*100</f>
        <v>6.3867181081669555</v>
      </c>
      <c r="E261" s="17">
        <f t="shared" si="59"/>
        <v>2.8826289645485836</v>
      </c>
      <c r="F261" s="30">
        <v>-2.5184268155388333E-3</v>
      </c>
      <c r="G261" s="17">
        <f t="shared" si="67"/>
        <v>-2.980601276709538</v>
      </c>
      <c r="H261" s="17">
        <f t="shared" ref="H261:H324" si="69">(((1+F261)*(1+F260)*(1+F259))^(12/3)-1)*100</f>
        <v>2.3432523292256535</v>
      </c>
      <c r="I261" s="17">
        <f t="shared" si="60"/>
        <v>3.0679821107487237</v>
      </c>
      <c r="J261" s="10">
        <v>3.9480208810035574E-3</v>
      </c>
      <c r="K261" s="17">
        <f t="shared" si="61"/>
        <v>4.8418643144015672</v>
      </c>
      <c r="L261" s="17">
        <f t="shared" ref="L261:L324" si="70">(((1+J261)*(1+J260)*(1+J259))^(12/3)-1)*100</f>
        <v>4.5812593928762135</v>
      </c>
      <c r="M261" s="17">
        <f t="shared" si="62"/>
        <v>4.6291284545495026</v>
      </c>
      <c r="N261" s="11">
        <v>4.053345098262026E-3</v>
      </c>
      <c r="O261" s="17">
        <f t="shared" si="63"/>
        <v>4.9739280564460753</v>
      </c>
      <c r="P261" s="17">
        <f t="shared" ref="P261:P324" si="71">(((1+N261)*(1+N260)*(1+N259))^(12/3)-1)*100</f>
        <v>4.535763677426341</v>
      </c>
      <c r="Q261" s="17">
        <f t="shared" si="64"/>
        <v>4.6812651597234467</v>
      </c>
      <c r="R261" s="10">
        <v>3.3443086556566369E-3</v>
      </c>
      <c r="S261" s="17">
        <v>4.0878165444961478</v>
      </c>
      <c r="T261" s="17">
        <f t="shared" si="57"/>
        <v>4.4931911178228034</v>
      </c>
      <c r="U261" s="17">
        <f t="shared" si="58"/>
        <v>4.4506731371498853</v>
      </c>
      <c r="V261" s="11">
        <v>3.3958728187848766E-3</v>
      </c>
      <c r="W261" s="17">
        <v>4.1520264287296493</v>
      </c>
      <c r="X261" s="17">
        <f t="shared" ref="X261:X324" si="72">(((1+V261)*(1+V260)*(1+V259))^(12/3)-1)*100</f>
        <v>4.3888630258553052</v>
      </c>
      <c r="Y261" s="17">
        <f t="shared" si="65"/>
        <v>4.5041014549464409</v>
      </c>
    </row>
    <row r="262" spans="1:25" x14ac:dyDescent="0.25">
      <c r="A262" s="7">
        <v>32387</v>
      </c>
      <c r="B262" s="28">
        <v>5.9416832515017965E-3</v>
      </c>
      <c r="C262" s="17">
        <f t="shared" si="66"/>
        <v>7.3677007272910489</v>
      </c>
      <c r="D262" s="17">
        <f t="shared" si="68"/>
        <v>6.7656963048304597</v>
      </c>
      <c r="E262" s="17">
        <f t="shared" si="59"/>
        <v>3.2609253739260158</v>
      </c>
      <c r="F262" s="30">
        <v>1.0148215955586605E-2</v>
      </c>
      <c r="G262" s="17">
        <f t="shared" si="67"/>
        <v>12.881095069322157</v>
      </c>
      <c r="H262" s="17">
        <f t="shared" si="69"/>
        <v>5.0474776235980956</v>
      </c>
      <c r="I262" s="17">
        <f t="shared" si="60"/>
        <v>3.7517040228484122</v>
      </c>
      <c r="J262" s="10">
        <v>4.3070338758829357E-3</v>
      </c>
      <c r="K262" s="17">
        <f t="shared" si="61"/>
        <v>5.2926491242061058</v>
      </c>
      <c r="L262" s="17">
        <f t="shared" si="70"/>
        <v>4.7742045506116604</v>
      </c>
      <c r="M262" s="17">
        <f t="shared" si="62"/>
        <v>4.6555630924214331</v>
      </c>
      <c r="N262" s="11">
        <v>4.3758960216744129E-3</v>
      </c>
      <c r="O262" s="17">
        <f t="shared" si="63"/>
        <v>5.3793167964571564</v>
      </c>
      <c r="P262" s="17">
        <f t="shared" si="71"/>
        <v>4.7829298576041568</v>
      </c>
      <c r="Q262" s="17">
        <f t="shared" si="64"/>
        <v>4.7131838385851887</v>
      </c>
      <c r="R262" s="10">
        <v>4.562688795216212E-3</v>
      </c>
      <c r="S262" s="17">
        <v>5.6147375225852336</v>
      </c>
      <c r="T262" s="17">
        <f t="shared" si="57"/>
        <v>4.76985234944165</v>
      </c>
      <c r="U262" s="17">
        <f t="shared" si="58"/>
        <v>4.5192508261416187</v>
      </c>
      <c r="V262" s="11">
        <v>4.7496179884394373E-3</v>
      </c>
      <c r="W262" s="17">
        <v>5.8508127305790358</v>
      </c>
      <c r="X262" s="17">
        <f t="shared" si="72"/>
        <v>4.7848817903261898</v>
      </c>
      <c r="Y262" s="17">
        <f t="shared" si="65"/>
        <v>4.5927531727794291</v>
      </c>
    </row>
    <row r="263" spans="1:25" x14ac:dyDescent="0.25">
      <c r="A263" s="7">
        <v>32417</v>
      </c>
      <c r="B263" s="28">
        <v>2.5569770537862998E-3</v>
      </c>
      <c r="C263" s="17">
        <f t="shared" si="66"/>
        <v>3.1118940508822357</v>
      </c>
      <c r="D263" s="17">
        <f t="shared" si="68"/>
        <v>4.5665081150738418</v>
      </c>
      <c r="E263" s="17">
        <f t="shared" si="59"/>
        <v>3.54210862788229</v>
      </c>
      <c r="F263" s="30">
        <v>4.4957471766280729E-3</v>
      </c>
      <c r="G263" s="17">
        <f t="shared" si="67"/>
        <v>5.5303135527805525</v>
      </c>
      <c r="H263" s="17">
        <f t="shared" si="69"/>
        <v>4.9427257871027086</v>
      </c>
      <c r="I263" s="17">
        <f t="shared" si="60"/>
        <v>3.9024825970333188</v>
      </c>
      <c r="J263" s="10">
        <v>4.1496409054374407E-3</v>
      </c>
      <c r="K263" s="17">
        <f t="shared" si="61"/>
        <v>5.0948046975431316</v>
      </c>
      <c r="L263" s="17">
        <f t="shared" si="70"/>
        <v>5.0762773898406</v>
      </c>
      <c r="M263" s="17">
        <f t="shared" si="62"/>
        <v>4.5829849552525337</v>
      </c>
      <c r="N263" s="11">
        <v>4.2833170519309309E-3</v>
      </c>
      <c r="O263" s="17">
        <f t="shared" si="63"/>
        <v>5.2628150258404061</v>
      </c>
      <c r="P263" s="17">
        <f t="shared" si="71"/>
        <v>5.2052152028499332</v>
      </c>
      <c r="Q263" s="17">
        <f t="shared" si="64"/>
        <v>4.6259711087607958</v>
      </c>
      <c r="R263" s="10">
        <v>4.476962993514441E-3</v>
      </c>
      <c r="S263" s="17">
        <v>5.5066348438812973</v>
      </c>
      <c r="T263" s="17">
        <f t="shared" si="57"/>
        <v>5.0674191782117184</v>
      </c>
      <c r="U263" s="17">
        <f t="shared" si="58"/>
        <v>4.63379912478592</v>
      </c>
      <c r="V263" s="11">
        <v>4.7998899889768864E-3</v>
      </c>
      <c r="W263" s="17">
        <v>5.9143843504370297</v>
      </c>
      <c r="X263" s="17">
        <f t="shared" si="72"/>
        <v>5.3025663873165652</v>
      </c>
      <c r="Y263" s="17">
        <f t="shared" si="65"/>
        <v>4.7249435530345441</v>
      </c>
    </row>
    <row r="264" spans="1:25" x14ac:dyDescent="0.25">
      <c r="A264" s="7">
        <v>32448</v>
      </c>
      <c r="B264" s="28">
        <v>7.5563882172485113E-4</v>
      </c>
      <c r="C264" s="17">
        <f t="shared" si="66"/>
        <v>0.91054462858766172</v>
      </c>
      <c r="D264" s="17">
        <f t="shared" si="68"/>
        <v>3.7623157737840973</v>
      </c>
      <c r="E264" s="17">
        <f t="shared" si="59"/>
        <v>3.3515810264360457</v>
      </c>
      <c r="F264" s="30">
        <v>1.2127020437761214E-3</v>
      </c>
      <c r="G264" s="17">
        <f t="shared" si="67"/>
        <v>1.4649880610537958</v>
      </c>
      <c r="H264" s="17">
        <f t="shared" si="69"/>
        <v>6.521731443505141</v>
      </c>
      <c r="I264" s="17">
        <f t="shared" si="60"/>
        <v>3.6066469313576599</v>
      </c>
      <c r="J264" s="10">
        <v>3.9034199926370407E-3</v>
      </c>
      <c r="K264" s="17">
        <f t="shared" si="61"/>
        <v>4.7859861476402532</v>
      </c>
      <c r="L264" s="17">
        <f t="shared" si="70"/>
        <v>5.0576063713025698</v>
      </c>
      <c r="M264" s="17">
        <f t="shared" si="62"/>
        <v>4.6858906366788133</v>
      </c>
      <c r="N264" s="11">
        <v>4.0682631582833742E-3</v>
      </c>
      <c r="O264" s="17">
        <f t="shared" si="63"/>
        <v>4.992645810970453</v>
      </c>
      <c r="P264" s="17">
        <f t="shared" si="71"/>
        <v>5.2114678295696271</v>
      </c>
      <c r="Q264" s="17">
        <f t="shared" si="64"/>
        <v>4.7458666788146919</v>
      </c>
      <c r="R264" s="10">
        <v>3.4995314194036721E-3</v>
      </c>
      <c r="S264" s="17">
        <v>4.2812163933697356</v>
      </c>
      <c r="T264" s="17">
        <f t="shared" ref="T264:T327" si="73">(((1+R264)*(1+R263)*(1+R262))^(12/3)-1)*100</f>
        <v>5.1324522482584678</v>
      </c>
      <c r="U264" s="17">
        <f t="shared" si="58"/>
        <v>4.6817948216159699</v>
      </c>
      <c r="V264" s="11">
        <v>3.7078342544473318E-3</v>
      </c>
      <c r="W264" s="17">
        <v>4.5412690066276129</v>
      </c>
      <c r="X264" s="17">
        <f t="shared" si="72"/>
        <v>5.4335841197547641</v>
      </c>
      <c r="Y264" s="17">
        <f t="shared" si="65"/>
        <v>4.7912069093983156</v>
      </c>
    </row>
    <row r="265" spans="1:25" x14ac:dyDescent="0.25">
      <c r="A265" s="7">
        <v>32478</v>
      </c>
      <c r="B265" s="28">
        <v>2.3245998997978084E-3</v>
      </c>
      <c r="C265" s="17">
        <f t="shared" si="66"/>
        <v>2.8254625325618177</v>
      </c>
      <c r="D265" s="17">
        <f t="shared" si="68"/>
        <v>2.2779454645891706</v>
      </c>
      <c r="E265" s="17">
        <f t="shared" si="59"/>
        <v>3.5898577274042776</v>
      </c>
      <c r="F265" s="30">
        <v>2.5550415247657188E-3</v>
      </c>
      <c r="G265" s="17">
        <f t="shared" si="67"/>
        <v>3.109505271605939</v>
      </c>
      <c r="H265" s="17">
        <f t="shared" si="69"/>
        <v>3.3548148693745228</v>
      </c>
      <c r="I265" s="17">
        <f t="shared" si="60"/>
        <v>4.0746183402283309</v>
      </c>
      <c r="J265" s="10">
        <v>3.4375467683749753E-3</v>
      </c>
      <c r="K265" s="17">
        <f t="shared" si="61"/>
        <v>4.2039471277306673</v>
      </c>
      <c r="L265" s="17">
        <f t="shared" si="70"/>
        <v>4.694260605412226</v>
      </c>
      <c r="M265" s="17">
        <f t="shared" si="62"/>
        <v>4.7343143431485268</v>
      </c>
      <c r="N265" s="11">
        <v>3.4823427121879478E-3</v>
      </c>
      <c r="O265" s="17">
        <f t="shared" si="63"/>
        <v>4.2597839117092029</v>
      </c>
      <c r="P265" s="17">
        <f t="shared" si="71"/>
        <v>4.8375573370628144</v>
      </c>
      <c r="Q265" s="17">
        <f t="shared" si="64"/>
        <v>4.7909018454870056</v>
      </c>
      <c r="R265" s="10">
        <v>3.8635962066605814E-3</v>
      </c>
      <c r="S265" s="17">
        <v>4.7361160394194357</v>
      </c>
      <c r="T265" s="17">
        <f t="shared" si="73"/>
        <v>4.840103617339353</v>
      </c>
      <c r="U265" s="17">
        <f t="shared" si="58"/>
        <v>4.9243015016417591</v>
      </c>
      <c r="V265" s="11">
        <v>4.0455774827635096E-3</v>
      </c>
      <c r="W265" s="17">
        <v>4.9641832066843028</v>
      </c>
      <c r="X265" s="17">
        <f t="shared" si="72"/>
        <v>5.1383801060127077</v>
      </c>
      <c r="Y265" s="17">
        <f t="shared" si="65"/>
        <v>5.07343328947234</v>
      </c>
    </row>
    <row r="266" spans="1:25" x14ac:dyDescent="0.25">
      <c r="A266" s="7">
        <v>32509</v>
      </c>
      <c r="B266" s="28">
        <v>6.2622553556673554E-3</v>
      </c>
      <c r="C266" s="17">
        <f t="shared" si="66"/>
        <v>7.7790106300258621</v>
      </c>
      <c r="D266" s="17">
        <f t="shared" si="68"/>
        <v>3.7983551541391325</v>
      </c>
      <c r="E266" s="17">
        <f t="shared" si="59"/>
        <v>4.1033923263962713</v>
      </c>
      <c r="F266" s="30">
        <v>7.0807145851545863E-3</v>
      </c>
      <c r="G266" s="17">
        <f t="shared" si="67"/>
        <v>8.8356944282763195</v>
      </c>
      <c r="H266" s="17">
        <f t="shared" si="69"/>
        <v>4.4228209679667563</v>
      </c>
      <c r="I266" s="17">
        <f t="shared" si="60"/>
        <v>4.4062125001561148</v>
      </c>
      <c r="J266" s="10">
        <v>3.8374811622380006E-3</v>
      </c>
      <c r="K266" s="17">
        <f t="shared" si="61"/>
        <v>4.7034247811641672</v>
      </c>
      <c r="L266" s="17">
        <f t="shared" si="70"/>
        <v>4.5641361861995522</v>
      </c>
      <c r="M266" s="17">
        <f t="shared" si="62"/>
        <v>4.71866828923313</v>
      </c>
      <c r="N266" s="11">
        <v>3.7088928910636245E-3</v>
      </c>
      <c r="O266" s="17">
        <f t="shared" si="63"/>
        <v>4.5425921628708288</v>
      </c>
      <c r="P266" s="17">
        <f t="shared" si="71"/>
        <v>4.5979055292695303</v>
      </c>
      <c r="Q266" s="17">
        <f t="shared" si="64"/>
        <v>4.7514227312926538</v>
      </c>
      <c r="R266" s="10">
        <v>5.355098914109669E-3</v>
      </c>
      <c r="S266" s="17">
        <v>6.6188070221029349</v>
      </c>
      <c r="T266" s="17">
        <f t="shared" si="73"/>
        <v>5.2071987765728966</v>
      </c>
      <c r="U266" s="17">
        <f t="shared" si="58"/>
        <v>5.0899494462875783</v>
      </c>
      <c r="V266" s="11">
        <v>5.474142406169457E-3</v>
      </c>
      <c r="W266" s="17">
        <v>6.7704017481840628</v>
      </c>
      <c r="X266" s="17">
        <f t="shared" si="72"/>
        <v>5.4208689617678774</v>
      </c>
      <c r="Y266" s="17">
        <f t="shared" si="65"/>
        <v>5.2378784829030023</v>
      </c>
    </row>
    <row r="267" spans="1:25" x14ac:dyDescent="0.25">
      <c r="A267" s="7">
        <v>32540</v>
      </c>
      <c r="B267" s="28">
        <v>2.9746590287627033E-3</v>
      </c>
      <c r="C267" s="17">
        <f t="shared" si="66"/>
        <v>3.6285745388404234</v>
      </c>
      <c r="D267" s="17">
        <f t="shared" si="68"/>
        <v>4.722048632603526</v>
      </c>
      <c r="E267" s="17">
        <f t="shared" si="59"/>
        <v>4.6460368093497406</v>
      </c>
      <c r="F267" s="30">
        <v>-2.5524303602247039E-3</v>
      </c>
      <c r="G267" s="17">
        <f t="shared" si="67"/>
        <v>-3.0202818292105471</v>
      </c>
      <c r="H267" s="17">
        <f t="shared" si="69"/>
        <v>2.8609010725853423</v>
      </c>
      <c r="I267" s="17">
        <f t="shared" si="60"/>
        <v>4.4479891685540451</v>
      </c>
      <c r="J267" s="10">
        <v>3.8664681462388965E-3</v>
      </c>
      <c r="K267" s="17">
        <f t="shared" si="61"/>
        <v>4.7397117533918065</v>
      </c>
      <c r="L267" s="17">
        <f t="shared" si="70"/>
        <v>4.5487417787446249</v>
      </c>
      <c r="M267" s="17">
        <f t="shared" si="62"/>
        <v>4.7521724295551682</v>
      </c>
      <c r="N267" s="11">
        <v>3.8451521307170107E-3</v>
      </c>
      <c r="O267" s="17">
        <f t="shared" si="63"/>
        <v>4.7130264600473204</v>
      </c>
      <c r="P267" s="17">
        <f t="shared" si="71"/>
        <v>4.5049669523147706</v>
      </c>
      <c r="Q267" s="17">
        <f t="shared" si="64"/>
        <v>4.7849822775819062</v>
      </c>
      <c r="R267" s="10">
        <v>3.5572786280472142E-3</v>
      </c>
      <c r="S267" s="17">
        <v>4.3532505733196114</v>
      </c>
      <c r="T267" s="17">
        <f t="shared" si="73"/>
        <v>5.2314178073195272</v>
      </c>
      <c r="U267" s="17">
        <f t="shared" si="58"/>
        <v>5.1042779201807553</v>
      </c>
      <c r="V267" s="11">
        <v>3.445964922982981E-3</v>
      </c>
      <c r="W267" s="17">
        <v>4.2144380098025902</v>
      </c>
      <c r="X267" s="17">
        <f t="shared" si="72"/>
        <v>5.3108939689139323</v>
      </c>
      <c r="Y267" s="17">
        <f t="shared" si="65"/>
        <v>5.2478480185961685</v>
      </c>
    </row>
    <row r="268" spans="1:25" x14ac:dyDescent="0.25">
      <c r="A268" s="7">
        <v>32568</v>
      </c>
      <c r="B268" s="28">
        <v>7.2032279914935743E-3</v>
      </c>
      <c r="C268" s="17">
        <f t="shared" si="66"/>
        <v>8.994681765393576</v>
      </c>
      <c r="D268" s="17">
        <f t="shared" si="68"/>
        <v>6.7758428300533913</v>
      </c>
      <c r="E268" s="17">
        <f t="shared" si="59"/>
        <v>5.2432292548852288</v>
      </c>
      <c r="F268" s="30">
        <v>4.5307476993129625E-3</v>
      </c>
      <c r="G268" s="17">
        <f t="shared" si="67"/>
        <v>5.5744470286122505</v>
      </c>
      <c r="H268" s="17">
        <f t="shared" si="69"/>
        <v>3.6741210029182181</v>
      </c>
      <c r="I268" s="17">
        <f t="shared" si="60"/>
        <v>4.3297934195710042</v>
      </c>
      <c r="J268" s="10">
        <v>3.353014248529405E-3</v>
      </c>
      <c r="K268" s="17">
        <f t="shared" si="61"/>
        <v>4.0986545715579581</v>
      </c>
      <c r="L268" s="17">
        <f t="shared" si="70"/>
        <v>4.513516260620043</v>
      </c>
      <c r="M268" s="17">
        <f t="shared" si="62"/>
        <v>4.7161238299557429</v>
      </c>
      <c r="N268" s="11">
        <v>3.3498268295498504E-3</v>
      </c>
      <c r="O268" s="17">
        <f t="shared" si="63"/>
        <v>4.0946862745542045</v>
      </c>
      <c r="P268" s="17">
        <f t="shared" si="71"/>
        <v>4.4497758466706339</v>
      </c>
      <c r="Q268" s="17">
        <f t="shared" si="64"/>
        <v>4.7552604806566201</v>
      </c>
      <c r="R268" s="10">
        <v>2.7851962374259576E-3</v>
      </c>
      <c r="S268" s="17">
        <v>3.3939121006429485</v>
      </c>
      <c r="T268" s="17">
        <f t="shared" si="73"/>
        <v>4.77996672246086</v>
      </c>
      <c r="U268" s="17">
        <f t="shared" si="58"/>
        <v>4.9579772286578061</v>
      </c>
      <c r="V268" s="11">
        <v>2.6465502348135897E-3</v>
      </c>
      <c r="W268" s="17">
        <v>3.2224984411981294</v>
      </c>
      <c r="X268" s="17">
        <f t="shared" si="72"/>
        <v>4.7251629571680942</v>
      </c>
      <c r="Y268" s="17">
        <f t="shared" si="65"/>
        <v>5.0871845951392825</v>
      </c>
    </row>
    <row r="269" spans="1:25" x14ac:dyDescent="0.25">
      <c r="A269" s="7">
        <v>32599</v>
      </c>
      <c r="B269" s="28">
        <v>1.5232064996461132E-2</v>
      </c>
      <c r="C269" s="17">
        <f t="shared" si="66"/>
        <v>19.890262819574357</v>
      </c>
      <c r="D269" s="17">
        <f t="shared" si="68"/>
        <v>10.634246261943026</v>
      </c>
      <c r="E269" s="17">
        <f t="shared" si="59"/>
        <v>6.1636187567825962</v>
      </c>
      <c r="F269" s="30">
        <v>2.8350395560923078E-3</v>
      </c>
      <c r="G269" s="17">
        <f t="shared" si="67"/>
        <v>3.4555991475779591</v>
      </c>
      <c r="H269" s="17">
        <f t="shared" si="69"/>
        <v>1.9368582880336271</v>
      </c>
      <c r="I269" s="17">
        <f t="shared" si="60"/>
        <v>3.8675302571889114</v>
      </c>
      <c r="J269" s="10">
        <v>3.6642289944344543E-3</v>
      </c>
      <c r="K269" s="17">
        <f t="shared" si="61"/>
        <v>4.4867815155148039</v>
      </c>
      <c r="L269" s="17">
        <f t="shared" si="70"/>
        <v>4.4413830459947068</v>
      </c>
      <c r="M269" s="17">
        <f t="shared" si="62"/>
        <v>4.6049772025559932</v>
      </c>
      <c r="N269" s="11">
        <v>3.6417716937017282E-3</v>
      </c>
      <c r="O269" s="17">
        <f t="shared" si="63"/>
        <v>4.4587298752183147</v>
      </c>
      <c r="P269" s="17">
        <f t="shared" si="71"/>
        <v>4.4218390978824074</v>
      </c>
      <c r="Q269" s="17">
        <f t="shared" si="64"/>
        <v>4.6343930557008139</v>
      </c>
      <c r="R269" s="10">
        <v>4.0886754881694059E-3</v>
      </c>
      <c r="S269" s="17">
        <v>5.0182622067642235</v>
      </c>
      <c r="T269" s="17">
        <f t="shared" si="73"/>
        <v>4.2530075052075178</v>
      </c>
      <c r="U269" s="17">
        <f t="shared" ref="U269:U332" si="74">(((1+R261)*(1+R260)*(1+R259)*(1+R258)*(1+R262)*(1+R263)*(1+R264)*(1+R265)*(1+R266)*(1+R267)*(1+R268)*(1+R269))-1)*100</f>
        <v>4.790270196174351</v>
      </c>
      <c r="V269" s="11">
        <v>4.146845202027705E-3</v>
      </c>
      <c r="W269" s="17">
        <v>5.0912935546682414</v>
      </c>
      <c r="X269" s="17">
        <f t="shared" si="72"/>
        <v>4.1732783698227971</v>
      </c>
      <c r="Y269" s="17">
        <f t="shared" si="65"/>
        <v>4.8880546654091805</v>
      </c>
    </row>
    <row r="270" spans="1:25" x14ac:dyDescent="0.25">
      <c r="A270" s="7">
        <v>32629</v>
      </c>
      <c r="B270" s="28">
        <v>5.5492036405899656E-3</v>
      </c>
      <c r="C270" s="17">
        <f t="shared" si="66"/>
        <v>6.8660892559316178</v>
      </c>
      <c r="D270" s="17">
        <f t="shared" si="68"/>
        <v>11.774579720202238</v>
      </c>
      <c r="E270" s="17">
        <f t="shared" ref="E270:E333" si="75">(((1+B262)*(1+B261)*(1+B260)*(1+B259)*(1+B263)*(1+B264)*(1+B265)*(1+B266)*(1+B267)*(1+B268)*(1+B269)*(1+B270))-1)*100</f>
        <v>6.617147912414012</v>
      </c>
      <c r="F270" s="30">
        <v>1.6128192507423335E-3</v>
      </c>
      <c r="G270" s="17">
        <f t="shared" si="67"/>
        <v>1.9526435591972202</v>
      </c>
      <c r="H270" s="17">
        <f t="shared" si="69"/>
        <v>3.6502694906827449</v>
      </c>
      <c r="I270" s="17">
        <f t="shared" ref="I270:I333" si="76">(((1+F262)*(1+F261)*(1+F260)*(1+F259)*(1+F263)*(1+F264)*(1+F265)*(1+F266)*(1+F267)*(1+F268)*(1+F269)*(1+F270))-1)*100</f>
        <v>3.8316003462929293</v>
      </c>
      <c r="J270" s="10">
        <v>4.7970992756842237E-3</v>
      </c>
      <c r="K270" s="17">
        <f t="shared" ref="K270:K333" si="77">((1+J270)^12 - 1)*100</f>
        <v>5.9108544276952335</v>
      </c>
      <c r="L270" s="17">
        <f t="shared" si="70"/>
        <v>4.8292101019452138</v>
      </c>
      <c r="M270" s="17">
        <f t="shared" ref="M270:M333" si="78">(((1+J262)*(1+J261)*(1+J260)*(1+J259)*(1+J263)*(1+J264)*(1+J265)*(1+J266)*(1+J267)*(1+J268)*(1+J269)*(1+J270))-1)*100</f>
        <v>4.75400189964168</v>
      </c>
      <c r="N270" s="11">
        <v>4.8379211779175837E-3</v>
      </c>
      <c r="O270" s="17">
        <f t="shared" ref="O270:O333" si="79">((1+N270)^12 - 1)*100</f>
        <v>5.9625000634731862</v>
      </c>
      <c r="P270" s="17">
        <f t="shared" si="71"/>
        <v>4.8355310117015549</v>
      </c>
      <c r="Q270" s="17">
        <f t="shared" ref="Q270:Q333" si="80">(((1+N262)*(1+N261)*(1+N260)*(1+N259)*(1+N263)*(1+N264)*(1+N265)*(1+N266)*(1+N267)*(1+N268)*(1+N269)*(1+N270))-1)*100</f>
        <v>4.7715458773165853</v>
      </c>
      <c r="R270" s="10">
        <v>4.598306576568882E-3</v>
      </c>
      <c r="S270" s="17">
        <v>5.6596824085300756</v>
      </c>
      <c r="T270" s="17">
        <f t="shared" si="73"/>
        <v>4.6862634340322673</v>
      </c>
      <c r="U270" s="17">
        <f t="shared" si="74"/>
        <v>4.8853850425881307</v>
      </c>
      <c r="V270" s="11">
        <v>4.6266014026690823E-3</v>
      </c>
      <c r="W270" s="17">
        <v>5.6953991978200946</v>
      </c>
      <c r="X270" s="17">
        <f t="shared" si="72"/>
        <v>4.6644179443213529</v>
      </c>
      <c r="Y270" s="17">
        <f t="shared" ref="Y270:Y333" si="81">(((1+V262)*(1+V261)*(1+V260)*(1+V259)*(1+V263)*(1+V264)*(1+V265)*(1+V266)*(1+V267)*(1+V268)*(1+V269)*(1+V270))-1)*100</f>
        <v>4.9485336395267643</v>
      </c>
    </row>
    <row r="271" spans="1:25" x14ac:dyDescent="0.25">
      <c r="A271" s="7">
        <v>32660</v>
      </c>
      <c r="B271" s="28">
        <v>1.6318386998990077E-4</v>
      </c>
      <c r="C271" s="17">
        <f t="shared" si="66"/>
        <v>0.19599649085997317</v>
      </c>
      <c r="D271" s="17">
        <f t="shared" si="68"/>
        <v>8.6821111398194475</v>
      </c>
      <c r="E271" s="17">
        <f t="shared" si="75"/>
        <v>6.0989782493904077</v>
      </c>
      <c r="F271" s="30">
        <v>9.2278068637432673E-4</v>
      </c>
      <c r="G271" s="17">
        <f t="shared" si="67"/>
        <v>1.1129742062241155</v>
      </c>
      <c r="H271" s="17">
        <f t="shared" si="69"/>
        <v>2.1691528088671141</v>
      </c>
      <c r="I271" s="17">
        <f t="shared" si="76"/>
        <v>3.5563236233639328</v>
      </c>
      <c r="J271" s="10">
        <v>3.8358469084916122E-3</v>
      </c>
      <c r="K271" s="17">
        <f t="shared" si="77"/>
        <v>4.7013793054538455</v>
      </c>
      <c r="L271" s="17">
        <f t="shared" si="70"/>
        <v>5.0311390848380766</v>
      </c>
      <c r="M271" s="17">
        <f t="shared" si="78"/>
        <v>4.7531147770831783</v>
      </c>
      <c r="N271" s="11">
        <v>3.919999190684911E-3</v>
      </c>
      <c r="O271" s="17">
        <f t="shared" si="79"/>
        <v>4.8067541863445751</v>
      </c>
      <c r="P271" s="17">
        <f t="shared" si="71"/>
        <v>5.0740332440181168</v>
      </c>
      <c r="Q271" s="17">
        <f t="shared" si="80"/>
        <v>4.7858369605575435</v>
      </c>
      <c r="R271" s="10">
        <v>4.3796890227946811E-3</v>
      </c>
      <c r="S271" s="17">
        <v>5.3840924447431604</v>
      </c>
      <c r="T271" s="17">
        <f t="shared" si="73"/>
        <v>5.3536846860220866</v>
      </c>
      <c r="U271" s="17">
        <f t="shared" si="74"/>
        <v>4.9356216672808539</v>
      </c>
      <c r="V271" s="11">
        <v>4.6611713296551846E-3</v>
      </c>
      <c r="W271" s="17">
        <v>5.7390521192608457</v>
      </c>
      <c r="X271" s="17">
        <f t="shared" si="72"/>
        <v>5.5081669840372216</v>
      </c>
      <c r="Y271" s="17">
        <f t="shared" si="81"/>
        <v>5.0386806271446094</v>
      </c>
    </row>
    <row r="272" spans="1:25" x14ac:dyDescent="0.25">
      <c r="A272" s="7">
        <v>32690</v>
      </c>
      <c r="B272" s="28">
        <v>8.052637171367279E-4</v>
      </c>
      <c r="C272" s="17">
        <f t="shared" si="66"/>
        <v>0.9706077369279198</v>
      </c>
      <c r="D272" s="17">
        <f t="shared" si="68"/>
        <v>2.6349051497449816</v>
      </c>
      <c r="E272" s="17">
        <f t="shared" si="75"/>
        <v>5.3639238823679047</v>
      </c>
      <c r="F272" s="30">
        <v>7.8568052264977803E-4</v>
      </c>
      <c r="G272" s="17">
        <f t="shared" si="67"/>
        <v>0.94690145560492045</v>
      </c>
      <c r="H272" s="17">
        <f t="shared" si="69"/>
        <v>1.3365519703802287</v>
      </c>
      <c r="I272" s="17">
        <f t="shared" si="76"/>
        <v>3.1481118072701042</v>
      </c>
      <c r="J272" s="10">
        <v>4.6017625700575243E-3</v>
      </c>
      <c r="K272" s="17">
        <f t="shared" si="77"/>
        <v>5.6640443440173716</v>
      </c>
      <c r="L272" s="17">
        <f t="shared" si="70"/>
        <v>5.4241321819755051</v>
      </c>
      <c r="M272" s="17">
        <f t="shared" si="78"/>
        <v>4.8757356842382915</v>
      </c>
      <c r="N272" s="11">
        <v>4.6241507324341147E-3</v>
      </c>
      <c r="O272" s="17">
        <f t="shared" si="79"/>
        <v>5.6923052591181911</v>
      </c>
      <c r="P272" s="17">
        <f t="shared" si="71"/>
        <v>5.4860295684314275</v>
      </c>
      <c r="Q272" s="17">
        <f t="shared" si="80"/>
        <v>4.9268500409549443</v>
      </c>
      <c r="R272" s="10">
        <v>3.3408150903769928E-3</v>
      </c>
      <c r="S272" s="17">
        <v>4.0834675215538185</v>
      </c>
      <c r="T272" s="17">
        <f t="shared" si="73"/>
        <v>5.0401591245544886</v>
      </c>
      <c r="U272" s="17">
        <f t="shared" si="74"/>
        <v>4.8912766539697117</v>
      </c>
      <c r="V272" s="11">
        <v>3.0872557973584628E-3</v>
      </c>
      <c r="W272" s="17">
        <v>3.7682644070519133</v>
      </c>
      <c r="X272" s="17">
        <f t="shared" si="72"/>
        <v>5.063536763321852</v>
      </c>
      <c r="Y272" s="17">
        <f t="shared" si="81"/>
        <v>4.9889213687246636</v>
      </c>
    </row>
    <row r="273" spans="1:25" x14ac:dyDescent="0.25">
      <c r="A273" s="7">
        <v>32721</v>
      </c>
      <c r="B273" s="28">
        <v>-5.5588791916559429E-3</v>
      </c>
      <c r="C273" s="17">
        <f t="shared" si="66"/>
        <v>-6.4704397364018229</v>
      </c>
      <c r="D273" s="17">
        <f t="shared" si="68"/>
        <v>-1.8256403560214185</v>
      </c>
      <c r="E273" s="17">
        <f t="shared" si="75"/>
        <v>4.4972176454038282</v>
      </c>
      <c r="F273" s="30">
        <v>-4.4797700278584179E-3</v>
      </c>
      <c r="G273" s="17">
        <f t="shared" si="67"/>
        <v>-5.2452310333247265</v>
      </c>
      <c r="H273" s="17">
        <f t="shared" si="69"/>
        <v>-1.1066736270087918</v>
      </c>
      <c r="I273" s="17">
        <f t="shared" si="76"/>
        <v>2.9452921719049119</v>
      </c>
      <c r="J273" s="10">
        <v>3.3643635454037369E-3</v>
      </c>
      <c r="K273" s="17">
        <f t="shared" si="77"/>
        <v>4.1127854310467393</v>
      </c>
      <c r="L273" s="17">
        <f t="shared" si="70"/>
        <v>4.8241218249143181</v>
      </c>
      <c r="M273" s="17">
        <f t="shared" si="78"/>
        <v>4.8147649056865971</v>
      </c>
      <c r="N273" s="11">
        <v>3.4302754926528968E-3</v>
      </c>
      <c r="O273" s="17">
        <f t="shared" si="79"/>
        <v>4.1948862895818895</v>
      </c>
      <c r="P273" s="17">
        <f t="shared" si="71"/>
        <v>4.8961822845013936</v>
      </c>
      <c r="Q273" s="17">
        <f t="shared" si="80"/>
        <v>4.8617372345567622</v>
      </c>
      <c r="R273" s="10">
        <v>3.8170742131307506E-3</v>
      </c>
      <c r="S273" s="17">
        <v>4.6778855246564666</v>
      </c>
      <c r="T273" s="17">
        <f t="shared" si="73"/>
        <v>4.7137994314719434</v>
      </c>
      <c r="U273" s="17">
        <f t="shared" si="74"/>
        <v>4.9407003487609069</v>
      </c>
      <c r="V273" s="11">
        <v>4.0438825004478866E-3</v>
      </c>
      <c r="W273" s="17">
        <v>4.9620568795164077</v>
      </c>
      <c r="X273" s="17">
        <f t="shared" si="72"/>
        <v>4.8199865229032968</v>
      </c>
      <c r="Y273" s="17">
        <f t="shared" si="81"/>
        <v>5.0567249538870707</v>
      </c>
    </row>
    <row r="274" spans="1:25" x14ac:dyDescent="0.25">
      <c r="A274" s="7">
        <v>32752</v>
      </c>
      <c r="B274" s="28">
        <v>-3.4674291028509755E-4</v>
      </c>
      <c r="C274" s="17">
        <f t="shared" si="66"/>
        <v>-0.41529888652522828</v>
      </c>
      <c r="D274" s="17">
        <f t="shared" si="68"/>
        <v>-2.0257015598547201</v>
      </c>
      <c r="E274" s="17">
        <f t="shared" si="75"/>
        <v>3.8439759632902915</v>
      </c>
      <c r="F274" s="30">
        <v>4.4098888204538817E-3</v>
      </c>
      <c r="G274" s="17">
        <f t="shared" si="67"/>
        <v>5.4221231377983736</v>
      </c>
      <c r="H274" s="17">
        <f t="shared" si="69"/>
        <v>0.27868020315533482</v>
      </c>
      <c r="I274" s="17">
        <f t="shared" si="76"/>
        <v>2.3604930759174358</v>
      </c>
      <c r="J274" s="10">
        <v>3.1879397508979843E-3</v>
      </c>
      <c r="K274" s="17">
        <f t="shared" si="77"/>
        <v>3.8933211508248133</v>
      </c>
      <c r="L274" s="17">
        <f t="shared" si="70"/>
        <v>4.5537566079317138</v>
      </c>
      <c r="M274" s="17">
        <f t="shared" si="78"/>
        <v>4.6979703561503605</v>
      </c>
      <c r="N274" s="11">
        <v>2.9545188869553691E-3</v>
      </c>
      <c r="O274" s="17">
        <f t="shared" si="79"/>
        <v>3.603606446020402</v>
      </c>
      <c r="P274" s="17">
        <f t="shared" si="71"/>
        <v>4.4932450164219206</v>
      </c>
      <c r="Q274" s="17">
        <f t="shared" si="80"/>
        <v>4.7133385362182922</v>
      </c>
      <c r="R274" s="10">
        <v>4.0508661849190516E-3</v>
      </c>
      <c r="S274" s="17">
        <v>4.9708180495284582</v>
      </c>
      <c r="T274" s="17">
        <f t="shared" si="73"/>
        <v>4.5767381840867705</v>
      </c>
      <c r="U274" s="17">
        <f t="shared" si="74"/>
        <v>4.88723327918128</v>
      </c>
      <c r="V274" s="11">
        <v>3.8245478797209105E-3</v>
      </c>
      <c r="W274" s="17">
        <v>4.687238140850436</v>
      </c>
      <c r="X274" s="17">
        <f t="shared" si="72"/>
        <v>4.471270433252883</v>
      </c>
      <c r="Y274" s="17">
        <f t="shared" si="81"/>
        <v>4.9599995267410879</v>
      </c>
    </row>
    <row r="275" spans="1:25" x14ac:dyDescent="0.25">
      <c r="A275" s="7">
        <v>32782</v>
      </c>
      <c r="B275" s="28">
        <v>5.5498651137635734E-3</v>
      </c>
      <c r="C275" s="17">
        <f t="shared" si="66"/>
        <v>6.866932846360152</v>
      </c>
      <c r="D275" s="17">
        <f t="shared" si="68"/>
        <v>-0.15454802803885892</v>
      </c>
      <c r="E275" s="17">
        <f t="shared" si="75"/>
        <v>4.1539766942955358</v>
      </c>
      <c r="F275" s="30">
        <v>5.2756743994933405E-3</v>
      </c>
      <c r="G275" s="17">
        <f t="shared" si="67"/>
        <v>6.5177744397206583</v>
      </c>
      <c r="H275" s="17">
        <f t="shared" si="69"/>
        <v>2.0904159036571723</v>
      </c>
      <c r="I275" s="17">
        <f t="shared" si="76"/>
        <v>2.4399695050812076</v>
      </c>
      <c r="J275" s="10">
        <v>4.5697769347384761E-3</v>
      </c>
      <c r="K275" s="17">
        <f t="shared" si="77"/>
        <v>5.6236804115390893</v>
      </c>
      <c r="L275" s="17">
        <f t="shared" si="70"/>
        <v>4.5404416457540675</v>
      </c>
      <c r="M275" s="17">
        <f t="shared" si="78"/>
        <v>4.7417759681323002</v>
      </c>
      <c r="N275" s="11">
        <v>4.7335118416384795E-3</v>
      </c>
      <c r="O275" s="17">
        <f t="shared" si="79"/>
        <v>5.8304530501382512</v>
      </c>
      <c r="P275" s="17">
        <f t="shared" si="71"/>
        <v>4.5387520381817481</v>
      </c>
      <c r="Q275" s="17">
        <f t="shared" si="80"/>
        <v>4.760278875285473</v>
      </c>
      <c r="R275" s="10">
        <v>3.5338273330513992E-3</v>
      </c>
      <c r="S275" s="17">
        <v>4.3239918026132473</v>
      </c>
      <c r="T275" s="17">
        <f t="shared" si="73"/>
        <v>4.6572309361542219</v>
      </c>
      <c r="U275" s="17">
        <f t="shared" si="74"/>
        <v>4.7887512893723283</v>
      </c>
      <c r="V275" s="11">
        <v>3.5914163808078775E-3</v>
      </c>
      <c r="W275" s="17">
        <v>4.3958556396790582</v>
      </c>
      <c r="X275" s="17">
        <f t="shared" si="72"/>
        <v>4.6814615945806271</v>
      </c>
      <c r="Y275" s="17">
        <f t="shared" si="81"/>
        <v>4.8337640537824855</v>
      </c>
    </row>
    <row r="276" spans="1:25" x14ac:dyDescent="0.25">
      <c r="A276" s="7">
        <v>32813</v>
      </c>
      <c r="B276" s="28">
        <v>2.0529683566109023E-3</v>
      </c>
      <c r="C276" s="17">
        <f t="shared" si="66"/>
        <v>2.4915701492667974</v>
      </c>
      <c r="D276" s="17">
        <f t="shared" si="68"/>
        <v>2.9377580550041138</v>
      </c>
      <c r="E276" s="17">
        <f t="shared" si="75"/>
        <v>4.2889966980803607</v>
      </c>
      <c r="F276" s="30">
        <v>4.2449318370020661E-3</v>
      </c>
      <c r="G276" s="17">
        <f t="shared" si="67"/>
        <v>5.2145455414346564</v>
      </c>
      <c r="H276" s="17">
        <f t="shared" si="69"/>
        <v>5.7166052280313462</v>
      </c>
      <c r="I276" s="17">
        <f t="shared" si="76"/>
        <v>2.7502147975314362</v>
      </c>
      <c r="J276" s="10">
        <v>4.3259906916102344E-3</v>
      </c>
      <c r="K276" s="17">
        <f t="shared" si="77"/>
        <v>5.3165010401174495</v>
      </c>
      <c r="L276" s="17">
        <f t="shared" si="70"/>
        <v>4.9417855378788955</v>
      </c>
      <c r="M276" s="17">
        <f t="shared" si="78"/>
        <v>4.785864676867746</v>
      </c>
      <c r="N276" s="11">
        <v>4.4394690864574104E-3</v>
      </c>
      <c r="O276" s="17">
        <f t="shared" si="79"/>
        <v>5.4593858486652769</v>
      </c>
      <c r="P276" s="17">
        <f t="shared" si="71"/>
        <v>4.9599436520607831</v>
      </c>
      <c r="Q276" s="17">
        <f t="shared" si="80"/>
        <v>4.7990089477143671</v>
      </c>
      <c r="R276" s="10">
        <v>3.3095027963681309E-3</v>
      </c>
      <c r="S276" s="17">
        <v>4.0444953269637596</v>
      </c>
      <c r="T276" s="17">
        <f t="shared" si="73"/>
        <v>4.4457153377494674</v>
      </c>
      <c r="U276" s="17">
        <f t="shared" si="74"/>
        <v>4.7689078699249654</v>
      </c>
      <c r="V276" s="11">
        <v>3.2798969884946204E-3</v>
      </c>
      <c r="W276" s="17">
        <v>4.0076593780252079</v>
      </c>
      <c r="X276" s="17">
        <f t="shared" si="72"/>
        <v>4.363213011646816</v>
      </c>
      <c r="Y276" s="17">
        <f t="shared" si="81"/>
        <v>4.7890675068017474</v>
      </c>
    </row>
    <row r="277" spans="1:25" x14ac:dyDescent="0.25">
      <c r="A277" s="7">
        <v>32843</v>
      </c>
      <c r="B277" s="28">
        <v>3.6744601714527488E-3</v>
      </c>
      <c r="C277" s="17">
        <f t="shared" si="66"/>
        <v>4.4995636711174791</v>
      </c>
      <c r="D277" s="17">
        <f t="shared" si="68"/>
        <v>4.6040877128164848</v>
      </c>
      <c r="E277" s="17">
        <f t="shared" si="75"/>
        <v>4.4294457835637679</v>
      </c>
      <c r="F277" s="30">
        <v>3.4879279679529153E-3</v>
      </c>
      <c r="G277" s="17">
        <f t="shared" si="67"/>
        <v>4.2667476860869691</v>
      </c>
      <c r="H277" s="17">
        <f t="shared" si="69"/>
        <v>5.3289847717916228</v>
      </c>
      <c r="I277" s="17">
        <f t="shared" si="76"/>
        <v>2.8458247924434854</v>
      </c>
      <c r="J277" s="10">
        <v>3.7781342313628853E-3</v>
      </c>
      <c r="K277" s="17">
        <f t="shared" si="77"/>
        <v>4.6291680580879957</v>
      </c>
      <c r="L277" s="17">
        <f t="shared" si="70"/>
        <v>5.1889605240130088</v>
      </c>
      <c r="M277" s="17">
        <f t="shared" si="78"/>
        <v>4.8214311672011068</v>
      </c>
      <c r="N277" s="11">
        <v>3.8635928676253482E-3</v>
      </c>
      <c r="O277" s="17">
        <f t="shared" si="79"/>
        <v>4.7361118589601015</v>
      </c>
      <c r="P277" s="17">
        <f t="shared" si="71"/>
        <v>5.341002445453058</v>
      </c>
      <c r="Q277" s="17">
        <f t="shared" si="80"/>
        <v>4.8388249332582678</v>
      </c>
      <c r="R277" s="10">
        <v>3.5496854687804822E-3</v>
      </c>
      <c r="S277" s="17">
        <v>4.3437762216868459</v>
      </c>
      <c r="T277" s="17">
        <f t="shared" si="73"/>
        <v>4.237331481360207</v>
      </c>
      <c r="U277" s="17">
        <f t="shared" si="74"/>
        <v>4.7361463619864264</v>
      </c>
      <c r="V277" s="11">
        <v>3.6532941918754058E-3</v>
      </c>
      <c r="W277" s="17">
        <v>4.4731218811614681</v>
      </c>
      <c r="X277" s="17">
        <f t="shared" si="72"/>
        <v>4.2920132704791447</v>
      </c>
      <c r="Y277" s="17">
        <f t="shared" si="81"/>
        <v>4.7481261380307282</v>
      </c>
    </row>
    <row r="278" spans="1:25" x14ac:dyDescent="0.25">
      <c r="A278" s="7">
        <v>32874</v>
      </c>
      <c r="B278" s="28">
        <v>1.9659041330890283E-2</v>
      </c>
      <c r="C278" s="17">
        <f t="shared" si="66"/>
        <v>26.316386611724084</v>
      </c>
      <c r="D278" s="17">
        <f t="shared" si="68"/>
        <v>10.599739942355013</v>
      </c>
      <c r="E278" s="17">
        <f t="shared" si="75"/>
        <v>5.8197582266942494</v>
      </c>
      <c r="F278" s="30">
        <v>2.6778002175243854E-3</v>
      </c>
      <c r="G278" s="17">
        <f t="shared" si="67"/>
        <v>3.2611113019556326</v>
      </c>
      <c r="H278" s="17">
        <f t="shared" si="69"/>
        <v>4.244416273565621</v>
      </c>
      <c r="I278" s="17">
        <f t="shared" si="76"/>
        <v>2.3961871883553254</v>
      </c>
      <c r="J278" s="10">
        <v>4.5066451298835311E-3</v>
      </c>
      <c r="K278" s="17">
        <f t="shared" si="77"/>
        <v>5.5440533786156321</v>
      </c>
      <c r="L278" s="17">
        <f t="shared" si="70"/>
        <v>5.1625207759636416</v>
      </c>
      <c r="M278" s="17">
        <f t="shared" si="78"/>
        <v>4.8913057495816314</v>
      </c>
      <c r="N278" s="11">
        <v>4.5874335630803975E-3</v>
      </c>
      <c r="O278" s="17">
        <f t="shared" si="79"/>
        <v>5.6459602579863599</v>
      </c>
      <c r="P278" s="17">
        <f t="shared" si="71"/>
        <v>5.2797536604087592</v>
      </c>
      <c r="Q278" s="17">
        <f t="shared" si="80"/>
        <v>4.9305897590585346</v>
      </c>
      <c r="R278" s="10">
        <v>5.6493663511303664E-3</v>
      </c>
      <c r="S278" s="17">
        <v>6.9938983772660057</v>
      </c>
      <c r="T278" s="17">
        <f t="shared" si="73"/>
        <v>5.1190812512488026</v>
      </c>
      <c r="U278" s="17">
        <f t="shared" si="74"/>
        <v>4.7668026319815926</v>
      </c>
      <c r="V278" s="11">
        <v>6.0651651557301935E-3</v>
      </c>
      <c r="W278" s="17">
        <v>7.5259634535823405</v>
      </c>
      <c r="X278" s="17">
        <f t="shared" si="72"/>
        <v>5.3240974053875512</v>
      </c>
      <c r="Y278" s="17">
        <f t="shared" si="81"/>
        <v>4.8096976125325597</v>
      </c>
    </row>
    <row r="279" spans="1:25" x14ac:dyDescent="0.25">
      <c r="A279" s="7">
        <v>32905</v>
      </c>
      <c r="B279" s="28">
        <v>4.1615684303691683E-3</v>
      </c>
      <c r="C279" s="17">
        <f t="shared" si="66"/>
        <v>5.1097857650846734</v>
      </c>
      <c r="D279" s="17">
        <f t="shared" si="68"/>
        <v>11.533613783637421</v>
      </c>
      <c r="E279" s="17">
        <f t="shared" si="75"/>
        <v>5.9449841880726106</v>
      </c>
      <c r="F279" s="30">
        <v>5.7312409893215269E-3</v>
      </c>
      <c r="G279" s="17">
        <f t="shared" si="67"/>
        <v>7.0984757062062087</v>
      </c>
      <c r="H279" s="17">
        <f t="shared" si="69"/>
        <v>4.8629257079979116</v>
      </c>
      <c r="I279" s="17">
        <f t="shared" si="76"/>
        <v>3.2465741038512963</v>
      </c>
      <c r="J279" s="10">
        <v>3.7591500168329818E-3</v>
      </c>
      <c r="K279" s="17">
        <f t="shared" si="77"/>
        <v>4.6054246123732323</v>
      </c>
      <c r="L279" s="17">
        <f t="shared" si="70"/>
        <v>4.9253071712274332</v>
      </c>
      <c r="M279" s="17">
        <f t="shared" si="78"/>
        <v>4.8800923670440755</v>
      </c>
      <c r="N279" s="11">
        <v>3.6308424671967804E-3</v>
      </c>
      <c r="O279" s="17">
        <f t="shared" si="79"/>
        <v>4.4450805659450143</v>
      </c>
      <c r="P279" s="17">
        <f t="shared" si="71"/>
        <v>4.9411398745610624</v>
      </c>
      <c r="Q279" s="17">
        <f t="shared" si="80"/>
        <v>4.9081882568582147</v>
      </c>
      <c r="R279" s="10">
        <v>5.2617928641088075E-3</v>
      </c>
      <c r="S279" s="17">
        <v>6.500125335112461</v>
      </c>
      <c r="T279" s="17">
        <f t="shared" si="73"/>
        <v>5.9396564168126664</v>
      </c>
      <c r="U279" s="17">
        <f t="shared" si="74"/>
        <v>4.9447461438825835</v>
      </c>
      <c r="V279" s="11">
        <v>5.3769614121992387E-3</v>
      </c>
      <c r="W279" s="17">
        <v>6.6466327996080432</v>
      </c>
      <c r="X279" s="17">
        <f t="shared" si="72"/>
        <v>6.207459605045651</v>
      </c>
      <c r="Y279" s="17">
        <f t="shared" si="81"/>
        <v>5.0113897466387725</v>
      </c>
    </row>
    <row r="280" spans="1:25" x14ac:dyDescent="0.25">
      <c r="A280" s="7">
        <v>32933</v>
      </c>
      <c r="B280" s="28">
        <v>5.849378808047784E-4</v>
      </c>
      <c r="C280" s="17">
        <f t="shared" si="66"/>
        <v>0.70418807113987736</v>
      </c>
      <c r="D280" s="17">
        <f t="shared" si="68"/>
        <v>10.166645504028837</v>
      </c>
      <c r="E280" s="17">
        <f t="shared" si="75"/>
        <v>5.2488241464420771</v>
      </c>
      <c r="F280" s="30">
        <v>5.0834509234791714E-3</v>
      </c>
      <c r="G280" s="17">
        <f t="shared" si="67"/>
        <v>6.273618162499095</v>
      </c>
      <c r="H280" s="17">
        <f t="shared" si="69"/>
        <v>5.5314366292422479</v>
      </c>
      <c r="I280" s="17">
        <f t="shared" si="76"/>
        <v>3.3033814385416971</v>
      </c>
      <c r="J280" s="10">
        <v>5.969091708775822E-3</v>
      </c>
      <c r="K280" s="17">
        <f t="shared" si="77"/>
        <v>7.4028108032059947</v>
      </c>
      <c r="L280" s="17">
        <f t="shared" si="70"/>
        <v>5.8443973135680505</v>
      </c>
      <c r="M280" s="17">
        <f t="shared" si="78"/>
        <v>5.1535499056906131</v>
      </c>
      <c r="N280" s="11">
        <v>6.064849001575323E-3</v>
      </c>
      <c r="O280" s="17">
        <f t="shared" si="79"/>
        <v>7.5255579762134373</v>
      </c>
      <c r="P280" s="17">
        <f t="shared" si="71"/>
        <v>5.8646248906033094</v>
      </c>
      <c r="Q280" s="17">
        <f t="shared" si="80"/>
        <v>5.192065374816579</v>
      </c>
      <c r="R280" s="10">
        <v>5.2387339634076728E-3</v>
      </c>
      <c r="S280" s="17">
        <v>6.470813973217715</v>
      </c>
      <c r="T280" s="17">
        <f t="shared" si="73"/>
        <v>6.6546762061938436</v>
      </c>
      <c r="U280" s="17">
        <f t="shared" si="74"/>
        <v>5.2015168807998391</v>
      </c>
      <c r="V280" s="11">
        <v>5.2438538078871753E-3</v>
      </c>
      <c r="W280" s="17">
        <v>6.4773214337157548</v>
      </c>
      <c r="X280" s="17">
        <f t="shared" si="72"/>
        <v>6.8823193108721314</v>
      </c>
      <c r="Y280" s="17">
        <f t="shared" si="81"/>
        <v>5.2834162725750256</v>
      </c>
    </row>
    <row r="281" spans="1:25" x14ac:dyDescent="0.25">
      <c r="A281" s="7">
        <v>32964</v>
      </c>
      <c r="B281" s="28">
        <v>-1.3583273349140796E-3</v>
      </c>
      <c r="C281" s="17">
        <f t="shared" si="66"/>
        <v>-1.6178704190663695</v>
      </c>
      <c r="D281" s="17">
        <f t="shared" si="68"/>
        <v>1.3605520978188235</v>
      </c>
      <c r="E281" s="17">
        <f t="shared" si="75"/>
        <v>3.5289028149467772</v>
      </c>
      <c r="F281" s="30">
        <v>8.1632669051857096E-4</v>
      </c>
      <c r="G281" s="17">
        <f t="shared" si="67"/>
        <v>0.98400218759553404</v>
      </c>
      <c r="H281" s="17">
        <f t="shared" si="69"/>
        <v>4.7499389068250686</v>
      </c>
      <c r="I281" s="17">
        <f t="shared" si="76"/>
        <v>3.0954311207510798</v>
      </c>
      <c r="J281" s="10">
        <v>4.3513864916788873E-3</v>
      </c>
      <c r="K281" s="17">
        <f t="shared" si="77"/>
        <v>5.3484624012381188</v>
      </c>
      <c r="L281" s="17">
        <f t="shared" si="70"/>
        <v>5.778974361821132</v>
      </c>
      <c r="M281" s="17">
        <f t="shared" si="78"/>
        <v>5.2255431561146093</v>
      </c>
      <c r="N281" s="11">
        <v>4.3816300302643146E-3</v>
      </c>
      <c r="O281" s="17">
        <f t="shared" si="79"/>
        <v>5.386536382871876</v>
      </c>
      <c r="P281" s="17">
        <f t="shared" si="71"/>
        <v>5.7779002558180803</v>
      </c>
      <c r="Q281" s="17">
        <f t="shared" si="80"/>
        <v>5.2696102007722123</v>
      </c>
      <c r="R281" s="10">
        <v>4.4975779804471028E-3</v>
      </c>
      <c r="S281" s="17">
        <v>5.5326216629548508</v>
      </c>
      <c r="T281" s="17">
        <f t="shared" si="73"/>
        <v>6.1669008904012612</v>
      </c>
      <c r="U281" s="17">
        <f t="shared" si="74"/>
        <v>5.2443588762272064</v>
      </c>
      <c r="V281" s="11">
        <v>4.5871416415340822E-3</v>
      </c>
      <c r="W281" s="17">
        <v>5.6455918645732073</v>
      </c>
      <c r="X281" s="17">
        <f t="shared" si="72"/>
        <v>6.2556131940413984</v>
      </c>
      <c r="Y281" s="17">
        <f t="shared" si="81"/>
        <v>5.3295807489615266</v>
      </c>
    </row>
    <row r="282" spans="1:25" x14ac:dyDescent="0.25">
      <c r="A282" s="7">
        <v>32994</v>
      </c>
      <c r="B282" s="28">
        <v>-1.7325719690350131E-3</v>
      </c>
      <c r="C282" s="17">
        <f t="shared" si="66"/>
        <v>-2.0593884194697987</v>
      </c>
      <c r="D282" s="17">
        <f t="shared" si="68"/>
        <v>-0.99840587758428523</v>
      </c>
      <c r="E282" s="17">
        <f t="shared" si="75"/>
        <v>2.7791888907750861</v>
      </c>
      <c r="F282" s="30">
        <v>-5.1837015437150688E-6</v>
      </c>
      <c r="G282" s="17">
        <f t="shared" si="67"/>
        <v>-6.2202645084719066E-3</v>
      </c>
      <c r="H282" s="17">
        <f t="shared" si="69"/>
        <v>2.3804443343854009</v>
      </c>
      <c r="I282" s="17">
        <f t="shared" si="76"/>
        <v>2.9288910079304786</v>
      </c>
      <c r="J282" s="10">
        <v>3.9413774322464247E-3</v>
      </c>
      <c r="K282" s="17">
        <f t="shared" si="77"/>
        <v>4.8335393470980259</v>
      </c>
      <c r="L282" s="17">
        <f t="shared" si="70"/>
        <v>5.855809841258508</v>
      </c>
      <c r="M282" s="17">
        <f t="shared" si="78"/>
        <v>5.135929247165949</v>
      </c>
      <c r="N282" s="11">
        <v>3.8425051773631333E-3</v>
      </c>
      <c r="O282" s="17">
        <f t="shared" si="79"/>
        <v>4.7097132023039334</v>
      </c>
      <c r="P282" s="17">
        <f t="shared" si="71"/>
        <v>5.8671614455929832</v>
      </c>
      <c r="Q282" s="17">
        <f t="shared" si="80"/>
        <v>5.1653276571326012</v>
      </c>
      <c r="R282" s="10">
        <v>4.4030831419033661E-3</v>
      </c>
      <c r="S282" s="17">
        <v>5.4135516290594543</v>
      </c>
      <c r="T282" s="17">
        <f t="shared" si="73"/>
        <v>5.8046079897005276</v>
      </c>
      <c r="U282" s="17">
        <f t="shared" si="74"/>
        <v>5.223906756126584</v>
      </c>
      <c r="V282" s="11">
        <v>4.3294284955501614E-3</v>
      </c>
      <c r="W282" s="17">
        <v>5.3208270972174621</v>
      </c>
      <c r="X282" s="17">
        <f t="shared" si="72"/>
        <v>5.8134609769074252</v>
      </c>
      <c r="Y282" s="17">
        <f t="shared" si="81"/>
        <v>5.2984238020192143</v>
      </c>
    </row>
    <row r="283" spans="1:25" x14ac:dyDescent="0.25">
      <c r="A283" s="7">
        <v>33025</v>
      </c>
      <c r="B283" s="28">
        <v>6.0058333128100204E-3</v>
      </c>
      <c r="C283" s="17">
        <f t="shared" si="66"/>
        <v>7.4498930968196264</v>
      </c>
      <c r="D283" s="17">
        <f t="shared" si="68"/>
        <v>1.1645466062721654</v>
      </c>
      <c r="E283" s="17">
        <f t="shared" si="75"/>
        <v>3.3795936851034103</v>
      </c>
      <c r="F283" s="30">
        <v>2.5348691348416616E-3</v>
      </c>
      <c r="G283" s="17">
        <f t="shared" si="67"/>
        <v>3.0846120550420686</v>
      </c>
      <c r="H283" s="17">
        <f t="shared" si="69"/>
        <v>1.3459663534083566</v>
      </c>
      <c r="I283" s="17">
        <f t="shared" si="76"/>
        <v>3.0946685078627523</v>
      </c>
      <c r="J283" s="10">
        <v>5.5406610320991615E-3</v>
      </c>
      <c r="K283" s="17">
        <f t="shared" si="77"/>
        <v>6.8551952389704018</v>
      </c>
      <c r="L283" s="17">
        <f t="shared" si="70"/>
        <v>5.6755939178285031</v>
      </c>
      <c r="M283" s="17">
        <f t="shared" si="78"/>
        <v>5.3144815648892063</v>
      </c>
      <c r="N283" s="11">
        <v>5.8407027838934941E-3</v>
      </c>
      <c r="O283" s="17">
        <f t="shared" si="79"/>
        <v>7.2384360975020989</v>
      </c>
      <c r="P283" s="17">
        <f t="shared" si="71"/>
        <v>5.7728462740794129</v>
      </c>
      <c r="Q283" s="17">
        <f t="shared" si="80"/>
        <v>5.3665303653910978</v>
      </c>
      <c r="R283" s="10">
        <v>4.4051379436096869E-3</v>
      </c>
      <c r="S283" s="17">
        <v>5.4161395109958432</v>
      </c>
      <c r="T283" s="17">
        <f t="shared" si="73"/>
        <v>5.4540896506805048</v>
      </c>
      <c r="U283" s="17">
        <f t="shared" si="74"/>
        <v>5.2265729140548611</v>
      </c>
      <c r="V283" s="11">
        <v>4.690200456530411E-3</v>
      </c>
      <c r="W283" s="17">
        <v>5.7757212009306613</v>
      </c>
      <c r="X283" s="17">
        <f t="shared" si="72"/>
        <v>5.5805399963524627</v>
      </c>
      <c r="Y283" s="17">
        <f t="shared" si="81"/>
        <v>5.3014663415255736</v>
      </c>
    </row>
    <row r="284" spans="1:25" x14ac:dyDescent="0.25">
      <c r="A284" s="7">
        <v>33055</v>
      </c>
      <c r="B284" s="28">
        <v>2.7410988740504362E-3</v>
      </c>
      <c r="C284" s="17">
        <f t="shared" si="66"/>
        <v>3.3393644705415726</v>
      </c>
      <c r="D284" s="17">
        <f t="shared" si="68"/>
        <v>2.8359257186695519</v>
      </c>
      <c r="E284" s="17">
        <f t="shared" si="75"/>
        <v>3.5795585126461305</v>
      </c>
      <c r="F284" s="30">
        <v>2.8442721702928498E-3</v>
      </c>
      <c r="G284" s="17">
        <f t="shared" si="67"/>
        <v>3.4670293106243699</v>
      </c>
      <c r="H284" s="17">
        <f t="shared" si="69"/>
        <v>2.1698922254717479</v>
      </c>
      <c r="I284" s="17">
        <f t="shared" si="76"/>
        <v>3.3067317174362509</v>
      </c>
      <c r="J284" s="10">
        <v>5.7589149768125514E-3</v>
      </c>
      <c r="K284" s="17">
        <f t="shared" si="77"/>
        <v>7.1338444847888427</v>
      </c>
      <c r="L284" s="17">
        <f t="shared" si="70"/>
        <v>6.2692282929639465</v>
      </c>
      <c r="M284" s="17">
        <f t="shared" si="78"/>
        <v>5.435788246152784</v>
      </c>
      <c r="N284" s="11">
        <v>6.0871459612272388E-3</v>
      </c>
      <c r="O284" s="17">
        <f t="shared" si="79"/>
        <v>7.5541579451925855</v>
      </c>
      <c r="P284" s="17">
        <f t="shared" si="71"/>
        <v>6.4931194518366597</v>
      </c>
      <c r="Q284" s="17">
        <f t="shared" si="80"/>
        <v>5.519971561371384</v>
      </c>
      <c r="R284" s="10">
        <v>4.0909511115166178E-3</v>
      </c>
      <c r="S284" s="17">
        <v>5.0211183487856026</v>
      </c>
      <c r="T284" s="17">
        <f t="shared" si="73"/>
        <v>5.2834394198120638</v>
      </c>
      <c r="U284" s="17">
        <f t="shared" si="74"/>
        <v>5.3052443301248031</v>
      </c>
      <c r="V284" s="11">
        <v>4.3047726155387529E-3</v>
      </c>
      <c r="W284" s="17">
        <v>5.2898042833096959</v>
      </c>
      <c r="X284" s="17">
        <f t="shared" si="72"/>
        <v>5.4618838608808007</v>
      </c>
      <c r="Y284" s="17">
        <f t="shared" si="81"/>
        <v>5.4292780603056645</v>
      </c>
    </row>
    <row r="285" spans="1:25" x14ac:dyDescent="0.25">
      <c r="A285" s="7">
        <v>33086</v>
      </c>
      <c r="B285" s="28">
        <v>1.2603048781934583E-2</v>
      </c>
      <c r="C285" s="17">
        <f t="shared" si="66"/>
        <v>16.217296297994245</v>
      </c>
      <c r="D285" s="17">
        <f t="shared" si="68"/>
        <v>8.8714934951022997</v>
      </c>
      <c r="E285" s="17">
        <f t="shared" si="75"/>
        <v>5.4712788386457989</v>
      </c>
      <c r="F285" s="30">
        <v>1.7996637078481581E-3</v>
      </c>
      <c r="G285" s="17">
        <f t="shared" si="67"/>
        <v>2.1811012127045837</v>
      </c>
      <c r="H285" s="17">
        <f t="shared" si="69"/>
        <v>2.909499629476886</v>
      </c>
      <c r="I285" s="17">
        <f t="shared" si="76"/>
        <v>3.9583586324314135</v>
      </c>
      <c r="J285" s="10">
        <v>6.0758576420369631E-3</v>
      </c>
      <c r="K285" s="17">
        <f t="shared" si="77"/>
        <v>7.5396777194959741</v>
      </c>
      <c r="L285" s="17">
        <f t="shared" si="70"/>
        <v>7.1758708095790213</v>
      </c>
      <c r="M285" s="17">
        <f t="shared" si="78"/>
        <v>5.7207181557553</v>
      </c>
      <c r="N285" s="11">
        <v>6.463988405475676E-3</v>
      </c>
      <c r="O285" s="17">
        <f t="shared" si="79"/>
        <v>8.0385840570561982</v>
      </c>
      <c r="P285" s="17">
        <f t="shared" si="71"/>
        <v>7.6098898102038071</v>
      </c>
      <c r="Q285" s="17">
        <f t="shared" si="80"/>
        <v>5.8389945250040487</v>
      </c>
      <c r="R285" s="10">
        <v>4.9601185633447505E-3</v>
      </c>
      <c r="S285" s="17">
        <v>6.1172355191432493</v>
      </c>
      <c r="T285" s="17">
        <f t="shared" si="73"/>
        <v>5.517191831021373</v>
      </c>
      <c r="U285" s="17">
        <f t="shared" si="74"/>
        <v>5.4251551860681424</v>
      </c>
      <c r="V285" s="11">
        <v>5.4139985887833222E-3</v>
      </c>
      <c r="W285" s="17">
        <v>6.6937875373203504</v>
      </c>
      <c r="X285" s="17">
        <f t="shared" si="72"/>
        <v>5.9181732584991043</v>
      </c>
      <c r="Y285" s="17">
        <f t="shared" si="81"/>
        <v>5.573146622795444</v>
      </c>
    </row>
    <row r="286" spans="1:25" x14ac:dyDescent="0.25">
      <c r="A286" s="7">
        <v>33117</v>
      </c>
      <c r="B286" s="28">
        <v>1.4217233084007557E-2</v>
      </c>
      <c r="C286" s="17">
        <f t="shared" si="66"/>
        <v>18.460026956481123</v>
      </c>
      <c r="D286" s="17">
        <f t="shared" si="68"/>
        <v>12.469852883024778</v>
      </c>
      <c r="E286" s="17">
        <f t="shared" si="75"/>
        <v>7.0078928217436554</v>
      </c>
      <c r="F286" s="30">
        <v>3.0556029460583828E-3</v>
      </c>
      <c r="G286" s="17">
        <f t="shared" si="67"/>
        <v>3.7289777974501837</v>
      </c>
      <c r="H286" s="17">
        <f t="shared" si="69"/>
        <v>3.1234781122547739</v>
      </c>
      <c r="I286" s="17">
        <f t="shared" si="76"/>
        <v>3.8181874352057665</v>
      </c>
      <c r="J286" s="10">
        <v>3.5332007884397326E-3</v>
      </c>
      <c r="K286" s="17">
        <f t="shared" si="77"/>
        <v>4.3232102037229048</v>
      </c>
      <c r="L286" s="17">
        <f t="shared" si="70"/>
        <v>6.3225672151857593</v>
      </c>
      <c r="M286" s="17">
        <f t="shared" si="78"/>
        <v>5.7571034066078219</v>
      </c>
      <c r="N286" s="11">
        <v>3.6176636285984998E-3</v>
      </c>
      <c r="O286" s="17">
        <f t="shared" si="79"/>
        <v>4.4286239319509368</v>
      </c>
      <c r="P286" s="17">
        <f t="shared" si="71"/>
        <v>6.6617114303054503</v>
      </c>
      <c r="Q286" s="17">
        <f t="shared" si="80"/>
        <v>5.9089743409959983</v>
      </c>
      <c r="R286" s="10">
        <v>4.8972623586566559E-3</v>
      </c>
      <c r="S286" s="17">
        <v>6.0376164478260108</v>
      </c>
      <c r="T286" s="17">
        <f t="shared" si="73"/>
        <v>5.7241432331718967</v>
      </c>
      <c r="U286" s="17">
        <f t="shared" si="74"/>
        <v>5.5140266277155847</v>
      </c>
      <c r="V286" s="11">
        <v>5.3692059156433061E-3</v>
      </c>
      <c r="W286" s="17">
        <v>6.6367611291640927</v>
      </c>
      <c r="X286" s="17">
        <f t="shared" si="72"/>
        <v>6.2047967722496988</v>
      </c>
      <c r="Y286" s="17">
        <f t="shared" si="81"/>
        <v>5.7355997224461275</v>
      </c>
    </row>
    <row r="287" spans="1:25" x14ac:dyDescent="0.25">
      <c r="A287" s="7">
        <v>33147</v>
      </c>
      <c r="B287" s="28">
        <v>1.241182298781242E-2</v>
      </c>
      <c r="C287" s="17">
        <f t="shared" si="66"/>
        <v>15.954203944922174</v>
      </c>
      <c r="D287" s="17">
        <f t="shared" si="68"/>
        <v>16.871790573884748</v>
      </c>
      <c r="E287" s="17">
        <f t="shared" si="75"/>
        <v>7.7381237910953971</v>
      </c>
      <c r="F287" s="30">
        <v>1.7731700765114509E-3</v>
      </c>
      <c r="G287" s="17">
        <f t="shared" si="67"/>
        <v>2.1486785063157043</v>
      </c>
      <c r="H287" s="17">
        <f t="shared" si="69"/>
        <v>2.6836134530492162</v>
      </c>
      <c r="I287" s="17">
        <f t="shared" si="76"/>
        <v>3.4564720773631041</v>
      </c>
      <c r="J287" s="10">
        <v>3.7647625614464189E-3</v>
      </c>
      <c r="K287" s="17">
        <f t="shared" si="77"/>
        <v>4.6124436746829645</v>
      </c>
      <c r="L287" s="17">
        <f t="shared" si="70"/>
        <v>5.4818342914273677</v>
      </c>
      <c r="M287" s="17">
        <f t="shared" si="78"/>
        <v>5.6723547009680741</v>
      </c>
      <c r="N287" s="11">
        <v>3.8065523744983828E-3</v>
      </c>
      <c r="O287" s="17">
        <f t="shared" si="79"/>
        <v>4.6647196956895787</v>
      </c>
      <c r="P287" s="17">
        <f t="shared" si="71"/>
        <v>5.697873808714915</v>
      </c>
      <c r="Q287" s="17">
        <f t="shared" si="80"/>
        <v>5.8112635298571469</v>
      </c>
      <c r="R287" s="10">
        <v>4.8833193743142208E-3</v>
      </c>
      <c r="S287" s="17">
        <v>6.0199624878491509</v>
      </c>
      <c r="T287" s="17">
        <f t="shared" si="73"/>
        <v>6.0582630460444653</v>
      </c>
      <c r="U287" s="17">
        <f t="shared" si="74"/>
        <v>5.6559155559185115</v>
      </c>
      <c r="V287" s="11">
        <v>5.2189944157759426E-3</v>
      </c>
      <c r="W287" s="17">
        <v>6.4457278877496416</v>
      </c>
      <c r="X287" s="17">
        <f t="shared" si="72"/>
        <v>6.5920393786718989</v>
      </c>
      <c r="Y287" s="17">
        <f t="shared" si="81"/>
        <v>5.9070768164243281</v>
      </c>
    </row>
    <row r="288" spans="1:25" x14ac:dyDescent="0.25">
      <c r="A288" s="7">
        <v>33178</v>
      </c>
      <c r="B288" s="28">
        <v>2.5419562194980319E-3</v>
      </c>
      <c r="C288" s="17">
        <f t="shared" si="66"/>
        <v>3.0933570609312788</v>
      </c>
      <c r="D288" s="17">
        <f t="shared" si="68"/>
        <v>12.295667912596574</v>
      </c>
      <c r="E288" s="17">
        <f t="shared" si="75"/>
        <v>7.7906984918025834</v>
      </c>
      <c r="F288" s="30">
        <v>2.0170563447690307E-3</v>
      </c>
      <c r="G288" s="17">
        <f t="shared" si="67"/>
        <v>2.4475011846903927</v>
      </c>
      <c r="H288" s="17">
        <f t="shared" si="69"/>
        <v>2.7727727109493561</v>
      </c>
      <c r="I288" s="17">
        <f t="shared" si="76"/>
        <v>3.2269582094340388</v>
      </c>
      <c r="J288" s="10">
        <v>3.2949934163025094E-3</v>
      </c>
      <c r="K288" s="17">
        <f t="shared" si="77"/>
        <v>4.026441064881392</v>
      </c>
      <c r="L288" s="17">
        <f t="shared" si="70"/>
        <v>4.3204239783636744</v>
      </c>
      <c r="M288" s="17">
        <f t="shared" si="78"/>
        <v>5.563876068749285</v>
      </c>
      <c r="N288" s="11">
        <v>3.3729519006625483E-3</v>
      </c>
      <c r="O288" s="17">
        <f t="shared" si="79"/>
        <v>4.1234798473531287</v>
      </c>
      <c r="P288" s="17">
        <f t="shared" si="71"/>
        <v>4.4053726884247357</v>
      </c>
      <c r="Q288" s="17">
        <f t="shared" si="80"/>
        <v>5.698912776547993</v>
      </c>
      <c r="R288" s="10">
        <v>3.6273511388212002E-3</v>
      </c>
      <c r="S288" s="17">
        <v>4.440720654934438</v>
      </c>
      <c r="T288" s="17">
        <f t="shared" si="73"/>
        <v>5.4967678912819729</v>
      </c>
      <c r="U288" s="17">
        <f t="shared" si="74"/>
        <v>5.6893873385899685</v>
      </c>
      <c r="V288" s="11">
        <v>3.8471379253209969E-3</v>
      </c>
      <c r="W288" s="17">
        <v>4.7155121919338905</v>
      </c>
      <c r="X288" s="17">
        <f t="shared" si="72"/>
        <v>5.9291289381099954</v>
      </c>
      <c r="Y288" s="17">
        <f t="shared" si="81"/>
        <v>5.9669552507976231</v>
      </c>
    </row>
    <row r="289" spans="1:25" x14ac:dyDescent="0.25">
      <c r="A289" s="7">
        <v>33208</v>
      </c>
      <c r="B289" s="28">
        <v>2.9167483705862325E-3</v>
      </c>
      <c r="C289" s="17">
        <f t="shared" si="66"/>
        <v>3.5567965312240268</v>
      </c>
      <c r="D289" s="17">
        <f t="shared" si="68"/>
        <v>7.3738674345124267</v>
      </c>
      <c r="E289" s="17">
        <f t="shared" si="75"/>
        <v>7.7093232177352311</v>
      </c>
      <c r="F289" s="30">
        <v>8.231908916212765E-3</v>
      </c>
      <c r="G289" s="17">
        <f t="shared" si="67"/>
        <v>10.338037821918601</v>
      </c>
      <c r="H289" s="17">
        <f t="shared" si="69"/>
        <v>4.910701977084253</v>
      </c>
      <c r="I289" s="17">
        <f t="shared" si="76"/>
        <v>3.7149628076398544</v>
      </c>
      <c r="J289" s="10">
        <v>3.1006910732907897E-3</v>
      </c>
      <c r="K289" s="17">
        <f t="shared" si="77"/>
        <v>3.7849440085264474</v>
      </c>
      <c r="L289" s="17">
        <f t="shared" si="70"/>
        <v>4.1406972437923795</v>
      </c>
      <c r="M289" s="17">
        <f t="shared" si="78"/>
        <v>5.4926317139026848</v>
      </c>
      <c r="N289" s="11">
        <v>3.135916640197558E-3</v>
      </c>
      <c r="O289" s="17">
        <f t="shared" si="79"/>
        <v>3.8286874497344581</v>
      </c>
      <c r="P289" s="17">
        <f t="shared" si="71"/>
        <v>4.2050542896429288</v>
      </c>
      <c r="Q289" s="17">
        <f t="shared" si="80"/>
        <v>5.6222942133897336</v>
      </c>
      <c r="R289" s="10">
        <v>3.0680246253235524E-3</v>
      </c>
      <c r="S289" s="17">
        <v>3.7443936031491543</v>
      </c>
      <c r="T289" s="17">
        <f t="shared" si="73"/>
        <v>4.7307099482986503</v>
      </c>
      <c r="U289" s="17">
        <f t="shared" si="74"/>
        <v>5.6386609618225281</v>
      </c>
      <c r="V289" s="11">
        <v>3.1250335612381525E-3</v>
      </c>
      <c r="W289" s="17">
        <v>3.8151709358261066</v>
      </c>
      <c r="X289" s="17">
        <f t="shared" si="72"/>
        <v>4.9864764637879144</v>
      </c>
      <c r="Y289" s="17">
        <f t="shared" si="81"/>
        <v>5.9111808405192479</v>
      </c>
    </row>
    <row r="290" spans="1:25" x14ac:dyDescent="0.25">
      <c r="A290" s="7">
        <v>33239</v>
      </c>
      <c r="B290" s="28">
        <v>-1.0081791366638268E-3</v>
      </c>
      <c r="C290" s="17">
        <f t="shared" si="66"/>
        <v>-1.2031290510573389</v>
      </c>
      <c r="D290" s="17">
        <f t="shared" si="68"/>
        <v>1.792901368465305</v>
      </c>
      <c r="E290" s="17">
        <f t="shared" si="75"/>
        <v>5.5261892100707533</v>
      </c>
      <c r="F290" s="30">
        <v>8.1143684532080339E-3</v>
      </c>
      <c r="G290" s="17">
        <f t="shared" si="67"/>
        <v>10.183777222920899</v>
      </c>
      <c r="H290" s="17">
        <f t="shared" si="69"/>
        <v>7.592358484877515</v>
      </c>
      <c r="I290" s="17">
        <f t="shared" si="76"/>
        <v>4.2773104254317795</v>
      </c>
      <c r="J290" s="10">
        <v>6.7007034681706703E-3</v>
      </c>
      <c r="K290" s="17">
        <f t="shared" si="77"/>
        <v>8.343900118428472</v>
      </c>
      <c r="L290" s="17">
        <f t="shared" si="70"/>
        <v>5.3644700319641414</v>
      </c>
      <c r="M290" s="17">
        <f t="shared" si="78"/>
        <v>5.7230502874003442</v>
      </c>
      <c r="N290" s="11">
        <v>6.1934962032790348E-3</v>
      </c>
      <c r="O290" s="17">
        <f t="shared" si="79"/>
        <v>7.6906677487586173</v>
      </c>
      <c r="P290" s="17">
        <f t="shared" si="71"/>
        <v>5.199748749008104</v>
      </c>
      <c r="Q290" s="17">
        <f t="shared" si="80"/>
        <v>5.7911555937342207</v>
      </c>
      <c r="R290" s="10">
        <v>6.6256983081359883E-3</v>
      </c>
      <c r="S290" s="17">
        <v>8.247072662216226</v>
      </c>
      <c r="T290" s="17">
        <f t="shared" si="73"/>
        <v>5.4589765475760776</v>
      </c>
      <c r="U290" s="17">
        <f t="shared" si="74"/>
        <v>5.7412199690106469</v>
      </c>
      <c r="V290" s="11">
        <v>5.6789344775922887E-3</v>
      </c>
      <c r="W290" s="17">
        <v>7.0316545280441733</v>
      </c>
      <c r="X290" s="17">
        <f t="shared" si="72"/>
        <v>5.1787555110985872</v>
      </c>
      <c r="Y290" s="17">
        <f t="shared" si="81"/>
        <v>5.8705213001483347</v>
      </c>
    </row>
    <row r="291" spans="1:25" x14ac:dyDescent="0.25">
      <c r="A291" s="7">
        <v>33270</v>
      </c>
      <c r="B291" s="28">
        <v>-7.5816972814956654E-3</v>
      </c>
      <c r="C291" s="17">
        <f t="shared" si="66"/>
        <v>-8.7280809315378409</v>
      </c>
      <c r="D291" s="17">
        <f t="shared" si="68"/>
        <v>-2.2568510367684813</v>
      </c>
      <c r="E291" s="17">
        <f t="shared" si="75"/>
        <v>4.292102865388725</v>
      </c>
      <c r="F291" s="30">
        <v>3.6086245862603826E-3</v>
      </c>
      <c r="G291" s="17">
        <f t="shared" si="67"/>
        <v>4.4173381043254301</v>
      </c>
      <c r="H291" s="17">
        <f t="shared" si="69"/>
        <v>8.277572376471154</v>
      </c>
      <c r="I291" s="17">
        <f t="shared" si="76"/>
        <v>4.0572310239423315</v>
      </c>
      <c r="J291" s="10">
        <v>4.5730964809115723E-3</v>
      </c>
      <c r="K291" s="17">
        <f t="shared" si="77"/>
        <v>5.6278688201248483</v>
      </c>
      <c r="L291" s="17">
        <f t="shared" si="70"/>
        <v>5.9023943730187822</v>
      </c>
      <c r="M291" s="17">
        <f t="shared" si="78"/>
        <v>5.8087809160591863</v>
      </c>
      <c r="N291" s="11">
        <v>4.1903616750476307E-3</v>
      </c>
      <c r="O291" s="17">
        <f t="shared" si="79"/>
        <v>5.1459583796717334</v>
      </c>
      <c r="P291" s="17">
        <f t="shared" si="71"/>
        <v>5.5429768201809893</v>
      </c>
      <c r="Q291" s="17">
        <f t="shared" si="80"/>
        <v>5.8501336373243396</v>
      </c>
      <c r="R291" s="10">
        <v>6.4277007121044177E-3</v>
      </c>
      <c r="S291" s="17">
        <v>7.991849822535535</v>
      </c>
      <c r="T291" s="17">
        <f t="shared" si="73"/>
        <v>6.6409304837511174</v>
      </c>
      <c r="U291" s="17">
        <f t="shared" si="74"/>
        <v>5.8638591850772137</v>
      </c>
      <c r="V291" s="11">
        <v>6.1561344889222462E-3</v>
      </c>
      <c r="W291" s="17">
        <v>7.642692645937621</v>
      </c>
      <c r="X291" s="17">
        <f t="shared" si="72"/>
        <v>6.1498060752358974</v>
      </c>
      <c r="Y291" s="17">
        <f t="shared" si="81"/>
        <v>5.9525715787819733</v>
      </c>
    </row>
    <row r="292" spans="1:25" x14ac:dyDescent="0.25">
      <c r="A292" s="7">
        <v>33298</v>
      </c>
      <c r="B292" s="28">
        <v>-5.5416106267629989E-3</v>
      </c>
      <c r="C292" s="17">
        <f t="shared" si="66"/>
        <v>-6.4509480780663093</v>
      </c>
      <c r="D292" s="17">
        <f t="shared" si="68"/>
        <v>-5.5127402296745736</v>
      </c>
      <c r="E292" s="17">
        <f t="shared" si="75"/>
        <v>3.6535257661628684</v>
      </c>
      <c r="F292" s="30">
        <v>4.7656730298172657E-4</v>
      </c>
      <c r="G292" s="17">
        <f t="shared" si="67"/>
        <v>0.57338211553290552</v>
      </c>
      <c r="H292" s="17">
        <f t="shared" si="69"/>
        <v>4.9843208239378933</v>
      </c>
      <c r="I292" s="17">
        <f t="shared" si="76"/>
        <v>3.5802760479569429</v>
      </c>
      <c r="J292" s="10">
        <v>2.4350693265045012E-3</v>
      </c>
      <c r="K292" s="17">
        <f t="shared" si="77"/>
        <v>2.9615377080490557</v>
      </c>
      <c r="L292" s="17">
        <f t="shared" si="70"/>
        <v>5.6215818663814865</v>
      </c>
      <c r="M292" s="17">
        <f t="shared" si="78"/>
        <v>5.4370690979922864</v>
      </c>
      <c r="N292" s="11">
        <v>2.5594023728639187E-3</v>
      </c>
      <c r="O292" s="17">
        <f t="shared" si="79"/>
        <v>3.1148873878421135</v>
      </c>
      <c r="P292" s="17">
        <f t="shared" si="71"/>
        <v>5.3005586323405574</v>
      </c>
      <c r="Q292" s="17">
        <f t="shared" si="80"/>
        <v>5.4813184516275149</v>
      </c>
      <c r="R292" s="10">
        <v>2.3535823447574222E-3</v>
      </c>
      <c r="S292" s="17">
        <v>2.8611468683076735</v>
      </c>
      <c r="T292" s="17">
        <f t="shared" si="73"/>
        <v>6.3374319079903429</v>
      </c>
      <c r="U292" s="17">
        <f t="shared" si="74"/>
        <v>5.560017645386317</v>
      </c>
      <c r="V292" s="11">
        <v>2.5621661442068577E-3</v>
      </c>
      <c r="W292" s="17">
        <v>3.1182985408302333</v>
      </c>
      <c r="X292" s="17">
        <f t="shared" si="72"/>
        <v>5.9117579930952457</v>
      </c>
      <c r="Y292" s="17">
        <f t="shared" si="81"/>
        <v>5.6699220474650147</v>
      </c>
    </row>
    <row r="293" spans="1:25" x14ac:dyDescent="0.25">
      <c r="A293" s="7">
        <v>33329</v>
      </c>
      <c r="B293" s="28">
        <v>2.1945699629788776E-3</v>
      </c>
      <c r="C293" s="17">
        <f t="shared" si="66"/>
        <v>2.6655041398125023</v>
      </c>
      <c r="D293" s="17">
        <f t="shared" si="68"/>
        <v>-4.2952031931119077</v>
      </c>
      <c r="E293" s="17">
        <f t="shared" si="75"/>
        <v>4.0222970098351407</v>
      </c>
      <c r="F293" s="30">
        <v>3.4976023463977298E-3</v>
      </c>
      <c r="G293" s="17">
        <f t="shared" si="67"/>
        <v>4.2788108442323169</v>
      </c>
      <c r="H293" s="17">
        <f t="shared" si="69"/>
        <v>3.0743443264578785</v>
      </c>
      <c r="I293" s="17">
        <f t="shared" si="76"/>
        <v>3.857776789291778</v>
      </c>
      <c r="J293" s="10">
        <v>2.741300020125148E-3</v>
      </c>
      <c r="K293" s="17">
        <f t="shared" si="77"/>
        <v>3.3396132246474641</v>
      </c>
      <c r="L293" s="17">
        <f t="shared" si="70"/>
        <v>3.9696997369106368</v>
      </c>
      <c r="M293" s="17">
        <f t="shared" si="78"/>
        <v>5.2680418025275788</v>
      </c>
      <c r="N293" s="11">
        <v>2.6658477075622968E-3</v>
      </c>
      <c r="O293" s="17">
        <f t="shared" si="79"/>
        <v>3.2463410711470297</v>
      </c>
      <c r="P293" s="17">
        <f t="shared" si="71"/>
        <v>3.8315989095092373</v>
      </c>
      <c r="Q293" s="17">
        <f t="shared" si="80"/>
        <v>5.3011250110433839</v>
      </c>
      <c r="R293" s="10">
        <v>2.5259124599795227E-3</v>
      </c>
      <c r="S293" s="17">
        <v>3.0735610680073799</v>
      </c>
      <c r="T293" s="17">
        <f t="shared" si="73"/>
        <v>4.6156218971312724</v>
      </c>
      <c r="U293" s="17">
        <f t="shared" si="74"/>
        <v>5.3528204836471804</v>
      </c>
      <c r="V293" s="11">
        <v>2.3378736631552485E-3</v>
      </c>
      <c r="W293" s="17">
        <v>2.8418043077625077</v>
      </c>
      <c r="X293" s="17">
        <f t="shared" si="72"/>
        <v>4.5113183937258938</v>
      </c>
      <c r="Y293" s="17">
        <f t="shared" si="81"/>
        <v>5.4333273688284001</v>
      </c>
    </row>
    <row r="294" spans="1:25" x14ac:dyDescent="0.25">
      <c r="A294" s="7">
        <v>33359</v>
      </c>
      <c r="B294" s="28">
        <v>4.6759323222963604E-3</v>
      </c>
      <c r="C294" s="17">
        <f t="shared" si="66"/>
        <v>5.7576964887068538</v>
      </c>
      <c r="D294" s="17">
        <f t="shared" si="68"/>
        <v>0.52142559917829345</v>
      </c>
      <c r="E294" s="17">
        <f t="shared" si="75"/>
        <v>4.6900813310130518</v>
      </c>
      <c r="F294" s="30">
        <v>2.9850362439921415E-3</v>
      </c>
      <c r="G294" s="17">
        <f t="shared" si="67"/>
        <v>3.6414415106112319</v>
      </c>
      <c r="H294" s="17">
        <f t="shared" si="69"/>
        <v>2.8184036088584996</v>
      </c>
      <c r="I294" s="17">
        <f t="shared" si="76"/>
        <v>4.1683359947923604</v>
      </c>
      <c r="J294" s="10">
        <v>3.151576408770603E-3</v>
      </c>
      <c r="K294" s="17">
        <f t="shared" si="77"/>
        <v>3.8481393241866391</v>
      </c>
      <c r="L294" s="17">
        <f t="shared" si="70"/>
        <v>3.3824588256906818</v>
      </c>
      <c r="M294" s="17">
        <f t="shared" si="78"/>
        <v>5.1852273981969565</v>
      </c>
      <c r="N294" s="11">
        <v>3.1483300550098035E-3</v>
      </c>
      <c r="O294" s="17">
        <f t="shared" si="79"/>
        <v>3.8441065721460221</v>
      </c>
      <c r="P294" s="17">
        <f t="shared" si="71"/>
        <v>3.4012919863027236</v>
      </c>
      <c r="Q294" s="17">
        <f t="shared" si="80"/>
        <v>5.228307391783904</v>
      </c>
      <c r="R294" s="10">
        <v>3.851372158981349E-3</v>
      </c>
      <c r="S294" s="17">
        <v>4.720812603314406</v>
      </c>
      <c r="T294" s="17">
        <f t="shared" si="73"/>
        <v>3.5485167034434939</v>
      </c>
      <c r="U294" s="17">
        <f t="shared" si="74"/>
        <v>5.2949509797416416</v>
      </c>
      <c r="V294" s="11">
        <v>4.0079536280146124E-3</v>
      </c>
      <c r="W294" s="17">
        <v>4.9169939938210838</v>
      </c>
      <c r="X294" s="17">
        <f t="shared" si="72"/>
        <v>3.6216304982195302</v>
      </c>
      <c r="Y294" s="17">
        <f t="shared" si="81"/>
        <v>5.3995793136703663</v>
      </c>
    </row>
    <row r="295" spans="1:25" x14ac:dyDescent="0.25">
      <c r="A295" s="7">
        <v>33390</v>
      </c>
      <c r="B295" s="28">
        <v>1.3402618103009823E-3</v>
      </c>
      <c r="C295" s="17">
        <f t="shared" si="66"/>
        <v>1.6202228890999093</v>
      </c>
      <c r="D295" s="17">
        <f t="shared" si="68"/>
        <v>3.332964755338863</v>
      </c>
      <c r="E295" s="17">
        <f t="shared" si="75"/>
        <v>4.2045582417036265</v>
      </c>
      <c r="F295" s="30">
        <v>2.7687179341323188E-3</v>
      </c>
      <c r="G295" s="17">
        <f t="shared" si="67"/>
        <v>3.3735256536935543</v>
      </c>
      <c r="H295" s="17">
        <f t="shared" si="69"/>
        <v>3.7638987181057404</v>
      </c>
      <c r="I295" s="17">
        <f t="shared" si="76"/>
        <v>4.1926340427171249</v>
      </c>
      <c r="J295" s="10">
        <v>3.1091594083207737E-3</v>
      </c>
      <c r="K295" s="17">
        <f t="shared" si="77"/>
        <v>3.7954585240985939</v>
      </c>
      <c r="L295" s="17">
        <f t="shared" si="70"/>
        <v>3.6608186624404571</v>
      </c>
      <c r="M295" s="17">
        <f t="shared" si="78"/>
        <v>4.9308786074143685</v>
      </c>
      <c r="N295" s="11">
        <v>3.2100912631056956E-3</v>
      </c>
      <c r="O295" s="17">
        <f t="shared" si="79"/>
        <v>3.9208534637236614</v>
      </c>
      <c r="P295" s="17">
        <f t="shared" si="71"/>
        <v>3.6699946767104974</v>
      </c>
      <c r="Q295" s="17">
        <f t="shared" si="80"/>
        <v>4.9530999986333812</v>
      </c>
      <c r="R295" s="10">
        <v>3.6446894429708883E-3</v>
      </c>
      <c r="S295" s="17">
        <v>4.4623740749481611</v>
      </c>
      <c r="T295" s="17">
        <f t="shared" si="73"/>
        <v>4.0830616292681476</v>
      </c>
      <c r="U295" s="17">
        <f t="shared" si="74"/>
        <v>5.215230770662127</v>
      </c>
      <c r="V295" s="11">
        <v>3.9535522934469533E-3</v>
      </c>
      <c r="W295" s="17">
        <v>4.8487962410104224</v>
      </c>
      <c r="X295" s="17">
        <f t="shared" si="72"/>
        <v>4.1980660565613226</v>
      </c>
      <c r="Y295" s="17">
        <f t="shared" si="81"/>
        <v>5.3222993656267814</v>
      </c>
    </row>
    <row r="296" spans="1:25" x14ac:dyDescent="0.25">
      <c r="A296" s="7">
        <v>33420</v>
      </c>
      <c r="B296" s="28">
        <v>-2.1717305908907198E-3</v>
      </c>
      <c r="C296" s="17">
        <f t="shared" si="66"/>
        <v>-2.5751726221283855</v>
      </c>
      <c r="D296" s="17">
        <f t="shared" si="68"/>
        <v>1.543919711022812</v>
      </c>
      <c r="E296" s="17">
        <f t="shared" si="75"/>
        <v>3.6940184576198964</v>
      </c>
      <c r="F296" s="30">
        <v>5.0239883352696905E-3</v>
      </c>
      <c r="G296" s="17">
        <f t="shared" si="67"/>
        <v>6.1981945917931158</v>
      </c>
      <c r="H296" s="17">
        <f t="shared" si="69"/>
        <v>4.3966675282113954</v>
      </c>
      <c r="I296" s="17">
        <f t="shared" si="76"/>
        <v>4.4191002797959289</v>
      </c>
      <c r="J296" s="10">
        <v>3.7518096664937695E-3</v>
      </c>
      <c r="K296" s="17">
        <f t="shared" si="77"/>
        <v>4.5962454034163658</v>
      </c>
      <c r="L296" s="17">
        <f t="shared" si="70"/>
        <v>4.0793062873800023</v>
      </c>
      <c r="M296" s="17">
        <f t="shared" si="78"/>
        <v>4.7214772085968137</v>
      </c>
      <c r="N296" s="11">
        <v>3.7895106493943398E-3</v>
      </c>
      <c r="O296" s="17">
        <f t="shared" si="79"/>
        <v>4.6433988445186092</v>
      </c>
      <c r="P296" s="17">
        <f t="shared" si="71"/>
        <v>4.1354981113496114</v>
      </c>
      <c r="Q296" s="17">
        <f t="shared" si="80"/>
        <v>4.7134150472737835</v>
      </c>
      <c r="R296" s="10">
        <v>4.1291713484065016E-3</v>
      </c>
      <c r="S296" s="17">
        <v>5.0690993305086751</v>
      </c>
      <c r="T296" s="17">
        <f t="shared" si="73"/>
        <v>4.7504670945780925</v>
      </c>
      <c r="U296" s="17">
        <f t="shared" si="74"/>
        <v>5.2192357375827614</v>
      </c>
      <c r="V296" s="11">
        <v>4.2854953431781103E-3</v>
      </c>
      <c r="W296" s="17">
        <v>5.2655548399957564</v>
      </c>
      <c r="X296" s="17">
        <f t="shared" si="72"/>
        <v>5.0102898483465941</v>
      </c>
      <c r="Y296" s="17">
        <f t="shared" si="81"/>
        <v>5.3202777416079483</v>
      </c>
    </row>
    <row r="297" spans="1:25" x14ac:dyDescent="0.25">
      <c r="A297" s="7">
        <v>33451</v>
      </c>
      <c r="B297" s="28">
        <v>6.39182640401868E-4</v>
      </c>
      <c r="C297" s="17">
        <f t="shared" si="66"/>
        <v>0.76972138120865452</v>
      </c>
      <c r="D297" s="17">
        <f t="shared" si="68"/>
        <v>-7.8269076277648342E-2</v>
      </c>
      <c r="E297" s="17">
        <f t="shared" si="75"/>
        <v>2.4688776109704103</v>
      </c>
      <c r="F297" s="30">
        <v>4.2697712807907356E-3</v>
      </c>
      <c r="G297" s="17">
        <f t="shared" si="67"/>
        <v>5.2457788743156986</v>
      </c>
      <c r="H297" s="17">
        <f t="shared" si="69"/>
        <v>4.9325876845144334</v>
      </c>
      <c r="I297" s="17">
        <f t="shared" si="76"/>
        <v>4.6765633432254816</v>
      </c>
      <c r="J297" s="10">
        <v>3.4661437312434843E-3</v>
      </c>
      <c r="K297" s="17">
        <f t="shared" si="77"/>
        <v>4.2395892088490372</v>
      </c>
      <c r="L297" s="17">
        <f t="shared" si="70"/>
        <v>4.2099160677435465</v>
      </c>
      <c r="M297" s="17">
        <f t="shared" si="78"/>
        <v>4.4498345747395529</v>
      </c>
      <c r="N297" s="11">
        <v>3.5952711267849317E-3</v>
      </c>
      <c r="O297" s="17">
        <f t="shared" si="79"/>
        <v>4.4006674943756652</v>
      </c>
      <c r="P297" s="17">
        <f t="shared" si="71"/>
        <v>4.3212076166685209</v>
      </c>
      <c r="Q297" s="17">
        <f t="shared" si="80"/>
        <v>4.4149511315079826</v>
      </c>
      <c r="R297" s="10">
        <v>4.4773876284400381E-3</v>
      </c>
      <c r="S297" s="17">
        <v>5.5071700705657589</v>
      </c>
      <c r="T297" s="17">
        <f t="shared" si="73"/>
        <v>5.0120069230797482</v>
      </c>
      <c r="U297" s="17">
        <f t="shared" si="74"/>
        <v>5.1686938512935932</v>
      </c>
      <c r="V297" s="11">
        <v>4.9473385477418145E-3</v>
      </c>
      <c r="W297" s="17">
        <v>6.1010428159806507</v>
      </c>
      <c r="X297" s="17">
        <f t="shared" si="72"/>
        <v>5.4038469407856171</v>
      </c>
      <c r="Y297" s="17">
        <f t="shared" si="81"/>
        <v>5.2713936349589874</v>
      </c>
    </row>
    <row r="298" spans="1:25" x14ac:dyDescent="0.25">
      <c r="A298" s="7">
        <v>33482</v>
      </c>
      <c r="B298" s="28">
        <v>1.3845487052594246E-3</v>
      </c>
      <c r="C298" s="17">
        <f t="shared" si="66"/>
        <v>1.6741690555903022</v>
      </c>
      <c r="D298" s="17">
        <f t="shared" si="68"/>
        <v>-6.0590702783358541E-2</v>
      </c>
      <c r="E298" s="17">
        <f t="shared" si="75"/>
        <v>1.1723597426754218</v>
      </c>
      <c r="F298" s="30">
        <v>5.9192243832713765E-4</v>
      </c>
      <c r="G298" s="17">
        <f t="shared" si="67"/>
        <v>0.71262395106601595</v>
      </c>
      <c r="H298" s="17">
        <f t="shared" si="69"/>
        <v>4.0244058065365795</v>
      </c>
      <c r="I298" s="17">
        <f t="shared" si="76"/>
        <v>4.4194593422433259</v>
      </c>
      <c r="J298" s="10">
        <v>4.1791038298815576E-3</v>
      </c>
      <c r="K298" s="17">
        <f t="shared" si="77"/>
        <v>5.1318139228500037</v>
      </c>
      <c r="L298" s="17">
        <f t="shared" si="70"/>
        <v>4.6552408297240166</v>
      </c>
      <c r="M298" s="17">
        <f t="shared" si="78"/>
        <v>4.5170615142936299</v>
      </c>
      <c r="N298" s="11">
        <v>4.3805502268918434E-3</v>
      </c>
      <c r="O298" s="17">
        <f t="shared" si="79"/>
        <v>5.3851767873421608</v>
      </c>
      <c r="P298" s="17">
        <f t="shared" si="71"/>
        <v>4.8089122359474823</v>
      </c>
      <c r="Q298" s="17">
        <f t="shared" si="80"/>
        <v>4.4943207657486495</v>
      </c>
      <c r="R298" s="10">
        <v>4.1410608784522183E-3</v>
      </c>
      <c r="S298" s="17">
        <v>5.0840293248475943</v>
      </c>
      <c r="T298" s="17">
        <f t="shared" si="73"/>
        <v>5.2199037734080189</v>
      </c>
      <c r="U298" s="17">
        <f t="shared" si="74"/>
        <v>5.089552704292255</v>
      </c>
      <c r="V298" s="11">
        <v>4.4997473122586566E-3</v>
      </c>
      <c r="W298" s="17">
        <v>5.5353566181917779</v>
      </c>
      <c r="X298" s="17">
        <f t="shared" si="72"/>
        <v>5.6334115650239935</v>
      </c>
      <c r="Y298" s="17">
        <f t="shared" si="81"/>
        <v>5.1803533302155369</v>
      </c>
    </row>
    <row r="299" spans="1:25" x14ac:dyDescent="0.25">
      <c r="A299" s="7">
        <v>33512</v>
      </c>
      <c r="B299" s="28">
        <v>1.9614363238227205E-5</v>
      </c>
      <c r="C299" s="17">
        <f t="shared" si="66"/>
        <v>2.3539775225334125E-2</v>
      </c>
      <c r="D299" s="17">
        <f t="shared" si="68"/>
        <v>0.8202190038464563</v>
      </c>
      <c r="E299" s="17">
        <f t="shared" si="75"/>
        <v>-6.6018712123416812E-2</v>
      </c>
      <c r="F299" s="30">
        <v>1.6309357110252565E-3</v>
      </c>
      <c r="G299" s="17">
        <f t="shared" si="67"/>
        <v>1.9747743235226878</v>
      </c>
      <c r="H299" s="17">
        <f t="shared" si="69"/>
        <v>2.6267203077734891</v>
      </c>
      <c r="I299" s="17">
        <f t="shared" si="76"/>
        <v>4.4046335952703242</v>
      </c>
      <c r="J299" s="10">
        <v>1.9813176000339663E-3</v>
      </c>
      <c r="K299" s="17">
        <f t="shared" si="77"/>
        <v>2.4036620873115755</v>
      </c>
      <c r="L299" s="17">
        <f t="shared" si="70"/>
        <v>3.9187974090675537</v>
      </c>
      <c r="M299" s="17">
        <f t="shared" si="78"/>
        <v>4.3313602088766112</v>
      </c>
      <c r="N299" s="11">
        <v>2.0511658742798575E-3</v>
      </c>
      <c r="O299" s="17">
        <f t="shared" si="79"/>
        <v>2.4893578420644547</v>
      </c>
      <c r="P299" s="17">
        <f t="shared" si="71"/>
        <v>4.0847712136576009</v>
      </c>
      <c r="Q299" s="17">
        <f t="shared" si="80"/>
        <v>4.3115884259489423</v>
      </c>
      <c r="R299" s="10">
        <v>1.46595283230613E-3</v>
      </c>
      <c r="S299" s="17">
        <v>1.7733964526615242</v>
      </c>
      <c r="T299" s="17">
        <f t="shared" si="73"/>
        <v>4.1080519031313045</v>
      </c>
      <c r="U299" s="17">
        <f t="shared" si="74"/>
        <v>4.732168404640591</v>
      </c>
      <c r="V299" s="11">
        <v>1.474578098486271E-3</v>
      </c>
      <c r="W299" s="17">
        <v>1.7839154029886339</v>
      </c>
      <c r="X299" s="17">
        <f t="shared" si="72"/>
        <v>4.455728559575034</v>
      </c>
      <c r="Y299" s="17">
        <f t="shared" si="81"/>
        <v>4.7885590709985548</v>
      </c>
    </row>
    <row r="300" spans="1:25" x14ac:dyDescent="0.25">
      <c r="A300" s="7">
        <v>33543</v>
      </c>
      <c r="B300" s="28">
        <v>6.0947565014406787E-3</v>
      </c>
      <c r="C300" s="17">
        <f t="shared" si="66"/>
        <v>7.5639214648277164</v>
      </c>
      <c r="D300" s="17">
        <f t="shared" si="68"/>
        <v>3.0369891226731838</v>
      </c>
      <c r="E300" s="17">
        <f t="shared" si="75"/>
        <v>0.28812654303784768</v>
      </c>
      <c r="F300" s="30">
        <v>5.7030058614245373E-3</v>
      </c>
      <c r="G300" s="17">
        <f t="shared" si="67"/>
        <v>7.0624007928480781</v>
      </c>
      <c r="H300" s="17">
        <f t="shared" si="69"/>
        <v>3.2138268469599662</v>
      </c>
      <c r="I300" s="17">
        <f t="shared" si="76"/>
        <v>4.7886891423294387</v>
      </c>
      <c r="J300" s="10">
        <v>3.2634511748422671E-3</v>
      </c>
      <c r="K300" s="17">
        <f t="shared" si="77"/>
        <v>3.987202438102444</v>
      </c>
      <c r="L300" s="17">
        <f t="shared" si="70"/>
        <v>3.8348596073802366</v>
      </c>
      <c r="M300" s="17">
        <f t="shared" si="78"/>
        <v>4.3280801716221617</v>
      </c>
      <c r="N300" s="11">
        <v>3.5506738358983742E-3</v>
      </c>
      <c r="O300" s="17">
        <f t="shared" si="79"/>
        <v>4.3450094104467762</v>
      </c>
      <c r="P300" s="17">
        <f t="shared" si="71"/>
        <v>4.0662713679542328</v>
      </c>
      <c r="Q300" s="17">
        <f t="shared" si="80"/>
        <v>4.3300645641859425</v>
      </c>
      <c r="R300" s="10">
        <v>2.7616373864124358E-3</v>
      </c>
      <c r="S300" s="17">
        <v>3.3647669509899281</v>
      </c>
      <c r="T300" s="17">
        <f t="shared" si="73"/>
        <v>3.3985634557141653</v>
      </c>
      <c r="U300" s="17">
        <f t="shared" si="74"/>
        <v>4.641828022421457</v>
      </c>
      <c r="V300" s="11">
        <v>3.1701715719614281E-3</v>
      </c>
      <c r="W300" s="17">
        <v>3.8712417549536804</v>
      </c>
      <c r="X300" s="17">
        <f t="shared" si="72"/>
        <v>3.7188006698433806</v>
      </c>
      <c r="Y300" s="17">
        <f t="shared" si="81"/>
        <v>4.7178926059282977</v>
      </c>
    </row>
    <row r="301" spans="1:25" x14ac:dyDescent="0.25">
      <c r="A301" s="7">
        <v>33573</v>
      </c>
      <c r="B301" s="28">
        <v>3.1523454033268897E-3</v>
      </c>
      <c r="C301" s="17">
        <f t="shared" si="66"/>
        <v>3.849094621380722</v>
      </c>
      <c r="D301" s="17">
        <f t="shared" si="68"/>
        <v>3.7665044786737933</v>
      </c>
      <c r="E301" s="17">
        <f t="shared" si="75"/>
        <v>0.31168541277553086</v>
      </c>
      <c r="F301" s="30">
        <v>2.1497640571943588E-3</v>
      </c>
      <c r="G301" s="17">
        <f t="shared" si="67"/>
        <v>2.6104383060920444</v>
      </c>
      <c r="H301" s="17">
        <f t="shared" si="69"/>
        <v>3.8581122504960819</v>
      </c>
      <c r="I301" s="17">
        <f t="shared" si="76"/>
        <v>4.1565528438111787</v>
      </c>
      <c r="J301" s="10">
        <v>3.1650327436453158E-3</v>
      </c>
      <c r="K301" s="17">
        <f t="shared" si="77"/>
        <v>3.8648568588910193</v>
      </c>
      <c r="L301" s="17">
        <f t="shared" si="70"/>
        <v>3.4160636533340005</v>
      </c>
      <c r="M301" s="17">
        <f t="shared" si="78"/>
        <v>4.3347720650710242</v>
      </c>
      <c r="N301" s="11">
        <v>3.3127801973073931E-3</v>
      </c>
      <c r="O301" s="17">
        <f t="shared" si="79"/>
        <v>4.0485738489222989</v>
      </c>
      <c r="P301" s="17">
        <f t="shared" si="71"/>
        <v>3.6244397400886585</v>
      </c>
      <c r="Q301" s="17">
        <f t="shared" si="80"/>
        <v>4.3484590668911194</v>
      </c>
      <c r="R301" s="10">
        <v>2.6705862201599154E-3</v>
      </c>
      <c r="S301" s="17">
        <v>3.2521964233232836</v>
      </c>
      <c r="T301" s="17">
        <f t="shared" si="73"/>
        <v>2.7942208398823443</v>
      </c>
      <c r="U301" s="17">
        <f t="shared" si="74"/>
        <v>4.6003665460094378</v>
      </c>
      <c r="V301" s="11">
        <v>2.8266976054216264E-3</v>
      </c>
      <c r="W301" s="17">
        <v>3.4452726393771949</v>
      </c>
      <c r="X301" s="17">
        <f t="shared" si="72"/>
        <v>3.0295275734899541</v>
      </c>
      <c r="Y301" s="17">
        <f t="shared" si="81"/>
        <v>4.686748818726838</v>
      </c>
    </row>
    <row r="302" spans="1:25" x14ac:dyDescent="0.25">
      <c r="A302" s="7">
        <v>33604</v>
      </c>
      <c r="B302" s="28">
        <v>-4.7266573379023185E-3</v>
      </c>
      <c r="C302" s="17">
        <f t="shared" si="66"/>
        <v>-5.5268349645679731</v>
      </c>
      <c r="D302" s="17">
        <f t="shared" si="68"/>
        <v>1.8105074974021029</v>
      </c>
      <c r="E302" s="17">
        <f t="shared" si="75"/>
        <v>-6.1697839966734502E-2</v>
      </c>
      <c r="F302" s="30">
        <v>1.4808784004792085E-3</v>
      </c>
      <c r="G302" s="17">
        <f t="shared" si="67"/>
        <v>1.791599571208824</v>
      </c>
      <c r="H302" s="17">
        <f t="shared" si="69"/>
        <v>3.795889063817115</v>
      </c>
      <c r="I302" s="17">
        <f t="shared" si="76"/>
        <v>3.4711926517170033</v>
      </c>
      <c r="J302" s="10">
        <v>3.1312707953084582E-3</v>
      </c>
      <c r="K302" s="17">
        <f t="shared" si="77"/>
        <v>3.8229172283873236</v>
      </c>
      <c r="L302" s="17">
        <f t="shared" si="70"/>
        <v>3.8916354697711597</v>
      </c>
      <c r="M302" s="17">
        <f t="shared" si="78"/>
        <v>3.9648349595919896</v>
      </c>
      <c r="N302" s="11">
        <v>3.2730872192337081E-3</v>
      </c>
      <c r="O302" s="17">
        <f t="shared" si="79"/>
        <v>3.9991882617526731</v>
      </c>
      <c r="P302" s="17">
        <f t="shared" si="71"/>
        <v>4.1308119237588592</v>
      </c>
      <c r="Q302" s="17">
        <f t="shared" si="80"/>
        <v>4.0455946789973662</v>
      </c>
      <c r="R302" s="10">
        <v>2.9126072913933684E-3</v>
      </c>
      <c r="S302" s="17">
        <v>3.5516655710623457</v>
      </c>
      <c r="T302" s="17">
        <f t="shared" si="73"/>
        <v>3.3894692299370588</v>
      </c>
      <c r="U302" s="17">
        <f t="shared" si="74"/>
        <v>4.2145322860429379</v>
      </c>
      <c r="V302" s="11">
        <v>3.1214936319815751E-3</v>
      </c>
      <c r="W302" s="17">
        <v>3.8107747792248015</v>
      </c>
      <c r="X302" s="17">
        <f t="shared" si="72"/>
        <v>3.7089255340395866</v>
      </c>
      <c r="Y302" s="17">
        <f t="shared" si="81"/>
        <v>4.4205304877619422</v>
      </c>
    </row>
    <row r="303" spans="1:25" x14ac:dyDescent="0.25">
      <c r="A303" s="7">
        <v>33635</v>
      </c>
      <c r="B303" s="28">
        <v>1.378685626770288E-3</v>
      </c>
      <c r="C303" s="17">
        <f t="shared" si="66"/>
        <v>1.6670256926766491</v>
      </c>
      <c r="D303" s="17">
        <f t="shared" si="68"/>
        <v>-8.5059809864496128E-2</v>
      </c>
      <c r="E303" s="17">
        <f t="shared" si="75"/>
        <v>0.84062878188504442</v>
      </c>
      <c r="F303" s="30">
        <v>6.2109348702673857E-4</v>
      </c>
      <c r="G303" s="17">
        <f t="shared" si="67"/>
        <v>0.74786345980213387</v>
      </c>
      <c r="H303" s="17">
        <f t="shared" si="69"/>
        <v>1.7137755974068636</v>
      </c>
      <c r="I303" s="17">
        <f t="shared" si="76"/>
        <v>3.1631807451341976</v>
      </c>
      <c r="J303" s="10">
        <v>2.4479310928775802E-3</v>
      </c>
      <c r="K303" s="17">
        <f t="shared" si="77"/>
        <v>2.9773914315110117</v>
      </c>
      <c r="L303" s="17">
        <f t="shared" si="70"/>
        <v>3.5542466620856805</v>
      </c>
      <c r="M303" s="17">
        <f t="shared" si="78"/>
        <v>3.7448982824076493</v>
      </c>
      <c r="N303" s="11">
        <v>2.5224555966162762E-3</v>
      </c>
      <c r="O303" s="17">
        <f t="shared" si="79"/>
        <v>3.0692961872069935</v>
      </c>
      <c r="P303" s="17">
        <f t="shared" si="71"/>
        <v>3.7047058435810687</v>
      </c>
      <c r="Q303" s="17">
        <f t="shared" si="80"/>
        <v>3.8727805528892878</v>
      </c>
      <c r="R303" s="10">
        <v>3.1534091462222936E-3</v>
      </c>
      <c r="S303" s="17">
        <v>3.8504160882312677</v>
      </c>
      <c r="T303" s="17">
        <f t="shared" si="73"/>
        <v>3.551138031534995</v>
      </c>
      <c r="U303" s="17">
        <f t="shared" si="74"/>
        <v>3.8754828303640965</v>
      </c>
      <c r="V303" s="11">
        <v>3.4515805273640336E-3</v>
      </c>
      <c r="W303" s="17">
        <v>4.2214368329213769</v>
      </c>
      <c r="X303" s="17">
        <f t="shared" si="72"/>
        <v>3.8253440792246574</v>
      </c>
      <c r="Y303" s="17">
        <f t="shared" si="81"/>
        <v>4.1398474508870242</v>
      </c>
    </row>
    <row r="304" spans="1:25" x14ac:dyDescent="0.25">
      <c r="A304" s="7">
        <v>33664</v>
      </c>
      <c r="B304" s="28">
        <v>2.633621752422963E-3</v>
      </c>
      <c r="C304" s="17">
        <f t="shared" si="66"/>
        <v>3.2065277211261733</v>
      </c>
      <c r="D304" s="17">
        <f t="shared" si="68"/>
        <v>-0.29156107189378666</v>
      </c>
      <c r="E304" s="17">
        <f t="shared" si="75"/>
        <v>1.6696182925218128</v>
      </c>
      <c r="F304" s="30">
        <v>2.7722764977561138E-3</v>
      </c>
      <c r="G304" s="17">
        <f t="shared" si="67"/>
        <v>3.3779278865294415</v>
      </c>
      <c r="H304" s="17">
        <f t="shared" si="69"/>
        <v>1.9667402340808549</v>
      </c>
      <c r="I304" s="17">
        <f t="shared" si="76"/>
        <v>3.3999005947926264</v>
      </c>
      <c r="J304" s="10">
        <v>3.4888182521104123E-3</v>
      </c>
      <c r="K304" s="17">
        <f t="shared" si="77"/>
        <v>4.2678577441235044</v>
      </c>
      <c r="L304" s="17">
        <f t="shared" si="70"/>
        <v>3.688005714336029</v>
      </c>
      <c r="M304" s="17">
        <f t="shared" si="78"/>
        <v>3.8539537997645867</v>
      </c>
      <c r="N304" s="11">
        <v>3.728782837334407E-3</v>
      </c>
      <c r="O304" s="17">
        <f t="shared" si="79"/>
        <v>4.5674548281291028</v>
      </c>
      <c r="P304" s="17">
        <f t="shared" si="71"/>
        <v>3.8768087858370937</v>
      </c>
      <c r="Q304" s="17">
        <f t="shared" si="80"/>
        <v>3.9939372644829163</v>
      </c>
      <c r="R304" s="10">
        <v>3.7267142843691488E-3</v>
      </c>
      <c r="S304" s="17">
        <v>4.5648688602374365</v>
      </c>
      <c r="T304" s="17">
        <f t="shared" si="73"/>
        <v>3.9881157460203598</v>
      </c>
      <c r="U304" s="17">
        <f t="shared" si="74"/>
        <v>4.017782659216218</v>
      </c>
      <c r="V304" s="11">
        <v>4.2193998769707707E-3</v>
      </c>
      <c r="W304" s="17">
        <v>5.1824502879893597</v>
      </c>
      <c r="X304" s="17">
        <f t="shared" si="72"/>
        <v>4.4033075216522111</v>
      </c>
      <c r="Y304" s="17">
        <f t="shared" si="81"/>
        <v>4.3119904600175785</v>
      </c>
    </row>
    <row r="305" spans="1:25" x14ac:dyDescent="0.25">
      <c r="A305" s="7">
        <v>33695</v>
      </c>
      <c r="B305" s="28">
        <v>6.5498223159823142E-5</v>
      </c>
      <c r="C305" s="17">
        <f t="shared" si="66"/>
        <v>7.862618808820443E-2</v>
      </c>
      <c r="D305" s="17">
        <f t="shared" si="68"/>
        <v>1.6427032217544824</v>
      </c>
      <c r="E305" s="17">
        <f t="shared" si="75"/>
        <v>1.4536303819978169</v>
      </c>
      <c r="F305" s="30">
        <v>-9.0539297476978606E-5</v>
      </c>
      <c r="G305" s="17">
        <f t="shared" si="67"/>
        <v>-0.10859307069210899</v>
      </c>
      <c r="H305" s="17">
        <f t="shared" si="69"/>
        <v>1.3282633202197358</v>
      </c>
      <c r="I305" s="17">
        <f t="shared" si="76"/>
        <v>3.0301802402754374</v>
      </c>
      <c r="J305" s="10">
        <v>3.2192676520349101E-3</v>
      </c>
      <c r="K305" s="17">
        <f t="shared" si="77"/>
        <v>3.9322608387599489</v>
      </c>
      <c r="L305" s="17">
        <f t="shared" si="70"/>
        <v>3.7243934514684662</v>
      </c>
      <c r="M305" s="17">
        <f t="shared" si="78"/>
        <v>3.9034569252079709</v>
      </c>
      <c r="N305" s="11">
        <v>3.497717998497634E-3</v>
      </c>
      <c r="O305" s="17">
        <f t="shared" si="79"/>
        <v>4.2789550606736615</v>
      </c>
      <c r="P305" s="17">
        <f t="shared" si="71"/>
        <v>3.9698712494873556</v>
      </c>
      <c r="Q305" s="17">
        <f t="shared" si="80"/>
        <v>4.0802167234328168</v>
      </c>
      <c r="R305" s="10">
        <v>4.266650944573902E-3</v>
      </c>
      <c r="S305" s="17">
        <v>5.2418548696758327</v>
      </c>
      <c r="T305" s="17">
        <f t="shared" si="73"/>
        <v>4.5508361919219587</v>
      </c>
      <c r="U305" s="17">
        <f t="shared" si="74"/>
        <v>4.1983942076127434</v>
      </c>
      <c r="V305" s="11">
        <v>5.0142818182992103E-3</v>
      </c>
      <c r="W305" s="17">
        <v>6.1858873055679275</v>
      </c>
      <c r="X305" s="17">
        <f t="shared" si="72"/>
        <v>5.1935342954811725</v>
      </c>
      <c r="Y305" s="17">
        <f t="shared" si="81"/>
        <v>4.5905207533269099</v>
      </c>
    </row>
    <row r="306" spans="1:25" x14ac:dyDescent="0.25">
      <c r="A306" s="7">
        <v>33725</v>
      </c>
      <c r="B306" s="28">
        <v>3.5610115921016123E-3</v>
      </c>
      <c r="C306" s="17">
        <f t="shared" si="66"/>
        <v>4.3579086620363361</v>
      </c>
      <c r="D306" s="17">
        <f t="shared" si="68"/>
        <v>2.5316523682250125</v>
      </c>
      <c r="E306" s="17">
        <f t="shared" si="75"/>
        <v>1.3410440722960271</v>
      </c>
      <c r="F306" s="30">
        <v>7.8759245227182466E-3</v>
      </c>
      <c r="G306" s="17">
        <f t="shared" si="67"/>
        <v>9.8714495392721027</v>
      </c>
      <c r="H306" s="17">
        <f t="shared" si="69"/>
        <v>4.299029909047225</v>
      </c>
      <c r="I306" s="17">
        <f t="shared" si="76"/>
        <v>3.5325896309271965</v>
      </c>
      <c r="J306" s="10">
        <v>1.7762262721753334E-3</v>
      </c>
      <c r="K306" s="17">
        <f t="shared" si="77"/>
        <v>2.1524181742883952</v>
      </c>
      <c r="L306" s="17">
        <f t="shared" si="70"/>
        <v>3.4466645961667597</v>
      </c>
      <c r="M306" s="17">
        <f t="shared" si="78"/>
        <v>3.7610022483321348</v>
      </c>
      <c r="N306" s="11">
        <v>1.7854954097538431E-3</v>
      </c>
      <c r="O306" s="17">
        <f t="shared" si="79"/>
        <v>2.1637609829576077</v>
      </c>
      <c r="P306" s="17">
        <f t="shared" si="71"/>
        <v>3.6644927149096285</v>
      </c>
      <c r="Q306" s="17">
        <f t="shared" si="80"/>
        <v>3.9388177687750492</v>
      </c>
      <c r="R306" s="10">
        <v>1.5370516680356001E-3</v>
      </c>
      <c r="S306" s="17">
        <v>1.8601348514903915</v>
      </c>
      <c r="T306" s="17">
        <f t="shared" si="73"/>
        <v>3.8786218532140593</v>
      </c>
      <c r="U306" s="17">
        <f t="shared" si="74"/>
        <v>3.9581709180637414</v>
      </c>
      <c r="V306" s="11">
        <v>1.4994808351625748E-3</v>
      </c>
      <c r="W306" s="17">
        <v>1.8142911482893043</v>
      </c>
      <c r="X306" s="17">
        <f t="shared" si="72"/>
        <v>4.3773521318615227</v>
      </c>
      <c r="Y306" s="17">
        <f t="shared" si="81"/>
        <v>4.3292056165773474</v>
      </c>
    </row>
    <row r="307" spans="1:25" x14ac:dyDescent="0.25">
      <c r="A307" s="7">
        <v>33756</v>
      </c>
      <c r="B307" s="28">
        <v>5.2502157518972198E-3</v>
      </c>
      <c r="C307" s="17">
        <f t="shared" si="66"/>
        <v>6.4854081442313527</v>
      </c>
      <c r="D307" s="17">
        <f t="shared" si="68"/>
        <v>3.6061655195997577</v>
      </c>
      <c r="E307" s="17">
        <f t="shared" si="75"/>
        <v>1.7367525340726386</v>
      </c>
      <c r="F307" s="30">
        <v>2.8663247934154054E-3</v>
      </c>
      <c r="G307" s="17">
        <f t="shared" si="67"/>
        <v>3.4943355887782968</v>
      </c>
      <c r="H307" s="17">
        <f t="shared" si="69"/>
        <v>4.3381635240967276</v>
      </c>
      <c r="I307" s="17">
        <f t="shared" si="76"/>
        <v>3.5426672198334286</v>
      </c>
      <c r="J307" s="10">
        <v>2.4861324843968072E-3</v>
      </c>
      <c r="K307" s="17">
        <f t="shared" si="77"/>
        <v>3.0244925824067792</v>
      </c>
      <c r="L307" s="17">
        <f t="shared" si="70"/>
        <v>3.0338283483915873</v>
      </c>
      <c r="M307" s="17">
        <f t="shared" si="78"/>
        <v>3.696556721693578</v>
      </c>
      <c r="N307" s="11">
        <v>2.6205004709422405E-3</v>
      </c>
      <c r="O307" s="17">
        <f t="shared" si="79"/>
        <v>3.1903211499078266</v>
      </c>
      <c r="P307" s="17">
        <f t="shared" si="71"/>
        <v>3.2073995807288647</v>
      </c>
      <c r="Q307" s="17">
        <f t="shared" si="80"/>
        <v>3.877732488195762</v>
      </c>
      <c r="R307" s="10">
        <v>1.6378168565116275E-3</v>
      </c>
      <c r="S307" s="17">
        <v>1.9831813694388689</v>
      </c>
      <c r="T307" s="17">
        <f t="shared" si="73"/>
        <v>3.0165731050692202</v>
      </c>
      <c r="U307" s="17">
        <f t="shared" si="74"/>
        <v>3.7502977478587773</v>
      </c>
      <c r="V307" s="11">
        <v>1.6895347265267683E-3</v>
      </c>
      <c r="W307" s="17">
        <v>2.0463880604916662</v>
      </c>
      <c r="X307" s="17">
        <f t="shared" si="72"/>
        <v>3.3295155568852985</v>
      </c>
      <c r="Y307" s="17">
        <f t="shared" si="81"/>
        <v>4.0939326263885745</v>
      </c>
    </row>
    <row r="308" spans="1:25" x14ac:dyDescent="0.25">
      <c r="A308" s="7">
        <v>33786</v>
      </c>
      <c r="B308" s="28">
        <v>1.6759687436906673E-3</v>
      </c>
      <c r="C308" s="17">
        <f t="shared" si="66"/>
        <v>2.0298050009065038</v>
      </c>
      <c r="D308" s="17">
        <f t="shared" si="68"/>
        <v>4.2751543163977113</v>
      </c>
      <c r="E308" s="17">
        <f t="shared" si="75"/>
        <v>2.1290569485984179</v>
      </c>
      <c r="F308" s="30">
        <v>3.1898177477962175E-3</v>
      </c>
      <c r="G308" s="17">
        <f t="shared" si="67"/>
        <v>3.8956550705544712</v>
      </c>
      <c r="H308" s="17">
        <f t="shared" si="69"/>
        <v>5.7141057136236739</v>
      </c>
      <c r="I308" s="17">
        <f t="shared" si="76"/>
        <v>3.3537016658094609</v>
      </c>
      <c r="J308" s="10">
        <v>2.691875008345064E-3</v>
      </c>
      <c r="K308" s="17">
        <f t="shared" si="77"/>
        <v>3.2785066098476756</v>
      </c>
      <c r="L308" s="17">
        <f t="shared" si="70"/>
        <v>2.8173394884817737</v>
      </c>
      <c r="M308" s="17">
        <f t="shared" si="78"/>
        <v>3.5870559732600338</v>
      </c>
      <c r="N308" s="11">
        <v>2.9219372170004743E-3</v>
      </c>
      <c r="O308" s="17">
        <f t="shared" si="79"/>
        <v>3.5632260451853526</v>
      </c>
      <c r="P308" s="17">
        <f t="shared" si="71"/>
        <v>2.9707325268691243</v>
      </c>
      <c r="Q308" s="17">
        <f t="shared" si="80"/>
        <v>3.7879511545914069</v>
      </c>
      <c r="R308" s="10">
        <v>3.3230340117691151E-3</v>
      </c>
      <c r="S308" s="17">
        <v>4.0613350308500218</v>
      </c>
      <c r="T308" s="17">
        <f t="shared" si="73"/>
        <v>2.6299376947266584</v>
      </c>
      <c r="U308" s="17">
        <f t="shared" si="74"/>
        <v>3.6670046904630826</v>
      </c>
      <c r="V308" s="11">
        <v>3.8864861855125565E-3</v>
      </c>
      <c r="W308" s="17">
        <v>4.7647777999150653</v>
      </c>
      <c r="X308" s="17">
        <f t="shared" si="72"/>
        <v>2.8664830686822906</v>
      </c>
      <c r="Y308" s="17">
        <f t="shared" si="81"/>
        <v>4.0525754300853922</v>
      </c>
    </row>
    <row r="309" spans="1:25" x14ac:dyDescent="0.25">
      <c r="A309" s="7">
        <v>33817</v>
      </c>
      <c r="B309" s="28">
        <v>3.5687092157013363E-3</v>
      </c>
      <c r="C309" s="17">
        <f t="shared" si="66"/>
        <v>4.3675145568173868</v>
      </c>
      <c r="D309" s="17">
        <f t="shared" si="68"/>
        <v>4.2783536440503145</v>
      </c>
      <c r="E309" s="17">
        <f t="shared" si="75"/>
        <v>2.4280556202791459</v>
      </c>
      <c r="F309" s="30">
        <v>1.7656245585238313E-3</v>
      </c>
      <c r="G309" s="17">
        <f t="shared" si="67"/>
        <v>2.1394460838331408</v>
      </c>
      <c r="H309" s="17">
        <f t="shared" si="69"/>
        <v>3.1737355166720604</v>
      </c>
      <c r="I309" s="17">
        <f t="shared" si="76"/>
        <v>3.0959892058092908</v>
      </c>
      <c r="J309" s="10">
        <v>1.8955727267954254E-3</v>
      </c>
      <c r="K309" s="17">
        <f t="shared" si="77"/>
        <v>2.2985528521614507</v>
      </c>
      <c r="L309" s="17">
        <f t="shared" si="70"/>
        <v>2.8663447558405553</v>
      </c>
      <c r="M309" s="17">
        <f t="shared" si="78"/>
        <v>3.4249271086599586</v>
      </c>
      <c r="N309" s="11">
        <v>1.9742688531319864E-3</v>
      </c>
      <c r="O309" s="17">
        <f t="shared" si="79"/>
        <v>2.3950177396888872</v>
      </c>
      <c r="P309" s="17">
        <f t="shared" si="71"/>
        <v>3.0483684472230932</v>
      </c>
      <c r="Q309" s="17">
        <f t="shared" si="80"/>
        <v>3.6203133531393705</v>
      </c>
      <c r="R309" s="10">
        <v>1.9619634648964145E-3</v>
      </c>
      <c r="S309" s="17">
        <v>2.3799284259574227</v>
      </c>
      <c r="T309" s="17">
        <f t="shared" si="73"/>
        <v>2.8042155454243156</v>
      </c>
      <c r="U309" s="17">
        <f t="shared" si="74"/>
        <v>3.4074005502681137</v>
      </c>
      <c r="V309" s="11">
        <v>2.1204757621069237E-3</v>
      </c>
      <c r="W309" s="17">
        <v>2.5744580339056578</v>
      </c>
      <c r="X309" s="17">
        <f t="shared" si="72"/>
        <v>3.1218561533956857</v>
      </c>
      <c r="Y309" s="17">
        <f t="shared" si="81"/>
        <v>3.7598811346232441</v>
      </c>
    </row>
    <row r="310" spans="1:25" x14ac:dyDescent="0.25">
      <c r="A310" s="7">
        <v>33848</v>
      </c>
      <c r="B310" s="28">
        <v>2.9872419319206668E-3</v>
      </c>
      <c r="C310" s="17">
        <f t="shared" si="66"/>
        <v>3.6441765876044308</v>
      </c>
      <c r="D310" s="17">
        <f t="shared" si="68"/>
        <v>3.3425327417533124</v>
      </c>
      <c r="E310" s="17">
        <f t="shared" si="75"/>
        <v>2.5919893969436281</v>
      </c>
      <c r="F310" s="30">
        <v>2.230404408869941E-3</v>
      </c>
      <c r="G310" s="17">
        <f t="shared" si="67"/>
        <v>2.7095636685255498</v>
      </c>
      <c r="H310" s="17">
        <f t="shared" si="69"/>
        <v>2.9122932852509331</v>
      </c>
      <c r="I310" s="17">
        <f t="shared" si="76"/>
        <v>3.2648101964258602</v>
      </c>
      <c r="J310" s="10">
        <v>1.5827264014593577E-3</v>
      </c>
      <c r="K310" s="17">
        <f t="shared" si="77"/>
        <v>1.9158923688950891</v>
      </c>
      <c r="L310" s="17">
        <f t="shared" si="70"/>
        <v>2.4960472088602748</v>
      </c>
      <c r="M310" s="17">
        <f t="shared" si="78"/>
        <v>3.1575145074048905</v>
      </c>
      <c r="N310" s="11">
        <v>1.4993886415651289E-3</v>
      </c>
      <c r="O310" s="17">
        <f t="shared" si="79"/>
        <v>1.8141786774848567</v>
      </c>
      <c r="P310" s="17">
        <f t="shared" si="71"/>
        <v>2.5882337660043664</v>
      </c>
      <c r="Q310" s="17">
        <f t="shared" si="80"/>
        <v>3.3230685824943151</v>
      </c>
      <c r="R310" s="10">
        <v>1.9557790499616966E-3</v>
      </c>
      <c r="S310" s="17">
        <v>2.372345641529483</v>
      </c>
      <c r="T310" s="17">
        <f t="shared" si="73"/>
        <v>2.9348153345893024</v>
      </c>
      <c r="U310" s="17">
        <f t="shared" si="74"/>
        <v>3.1823581511889909</v>
      </c>
      <c r="V310" s="11">
        <v>1.8885098702974656E-3</v>
      </c>
      <c r="W310" s="17">
        <v>2.289899351672342</v>
      </c>
      <c r="X310" s="17">
        <f t="shared" si="72"/>
        <v>3.2038168806891809</v>
      </c>
      <c r="Y310" s="17">
        <f t="shared" si="81"/>
        <v>3.4901531557789189</v>
      </c>
    </row>
    <row r="311" spans="1:25" x14ac:dyDescent="0.25">
      <c r="A311" s="7">
        <v>33878</v>
      </c>
      <c r="B311" s="28">
        <v>2.4660943937615813E-3</v>
      </c>
      <c r="C311" s="17">
        <f t="shared" si="66"/>
        <v>2.9997837656229542</v>
      </c>
      <c r="D311" s="17">
        <f t="shared" si="68"/>
        <v>3.6689866138550853</v>
      </c>
      <c r="E311" s="17">
        <f t="shared" si="75"/>
        <v>2.8429737273970801</v>
      </c>
      <c r="F311" s="30">
        <v>2.5862839664115619E-3</v>
      </c>
      <c r="G311" s="17">
        <f t="shared" si="67"/>
        <v>3.1480700756242319</v>
      </c>
      <c r="H311" s="17">
        <f t="shared" si="69"/>
        <v>2.6648624739888938</v>
      </c>
      <c r="I311" s="17">
        <f t="shared" si="76"/>
        <v>3.3633034165797993</v>
      </c>
      <c r="J311" s="10">
        <v>4.6799118558880195E-3</v>
      </c>
      <c r="K311" s="17">
        <f t="shared" si="77"/>
        <v>5.7627234884922274</v>
      </c>
      <c r="L311" s="17">
        <f t="shared" si="70"/>
        <v>3.3113434529890462</v>
      </c>
      <c r="M311" s="17">
        <f t="shared" si="78"/>
        <v>3.4353443144163442</v>
      </c>
      <c r="N311" s="11">
        <v>5.1575660454753584E-3</v>
      </c>
      <c r="O311" s="17">
        <f t="shared" si="79"/>
        <v>6.3676960514103209</v>
      </c>
      <c r="P311" s="17">
        <f t="shared" si="71"/>
        <v>3.5060209373366957</v>
      </c>
      <c r="Q311" s="17">
        <f t="shared" si="80"/>
        <v>3.6433743801060015</v>
      </c>
      <c r="R311" s="10">
        <v>4.782414766720474E-3</v>
      </c>
      <c r="S311" s="17">
        <v>5.892282034656815</v>
      </c>
      <c r="T311" s="17">
        <f t="shared" si="73"/>
        <v>3.5350174902477827</v>
      </c>
      <c r="U311" s="17">
        <f t="shared" si="74"/>
        <v>3.5240575990271195</v>
      </c>
      <c r="V311" s="11">
        <v>5.6758397257699175E-3</v>
      </c>
      <c r="W311" s="17">
        <v>7.0277022034153536</v>
      </c>
      <c r="X311" s="17">
        <f t="shared" si="72"/>
        <v>3.9415992516325327</v>
      </c>
      <c r="Y311" s="17">
        <f t="shared" si="81"/>
        <v>3.9243021783937904</v>
      </c>
    </row>
    <row r="312" spans="1:25" x14ac:dyDescent="0.25">
      <c r="A312" s="7">
        <v>33909</v>
      </c>
      <c r="B312" s="28">
        <v>1.6278546176527809E-3</v>
      </c>
      <c r="C312" s="17">
        <f t="shared" si="66"/>
        <v>1.9710102007362007</v>
      </c>
      <c r="D312" s="17">
        <f t="shared" si="68"/>
        <v>2.869346313975818</v>
      </c>
      <c r="E312" s="17">
        <f t="shared" si="75"/>
        <v>2.386367160164049</v>
      </c>
      <c r="F312" s="30">
        <v>1.5786069943762931E-3</v>
      </c>
      <c r="G312" s="17">
        <f t="shared" si="67"/>
        <v>1.9108624472608637</v>
      </c>
      <c r="H312" s="17">
        <f t="shared" si="69"/>
        <v>2.5882187719008742</v>
      </c>
      <c r="I312" s="17">
        <f t="shared" si="76"/>
        <v>2.9394093951628175</v>
      </c>
      <c r="J312" s="10">
        <v>3.079766787573194E-3</v>
      </c>
      <c r="K312" s="17">
        <f t="shared" si="77"/>
        <v>3.7589680316899354</v>
      </c>
      <c r="L312" s="17">
        <f t="shared" si="70"/>
        <v>3.8006469498107709</v>
      </c>
      <c r="M312" s="17">
        <f t="shared" si="78"/>
        <v>3.4164066586887865</v>
      </c>
      <c r="N312" s="11">
        <v>3.2523650936569204E-3</v>
      </c>
      <c r="O312" s="17">
        <f t="shared" si="79"/>
        <v>3.9734145481020722</v>
      </c>
      <c r="P312" s="17">
        <f t="shared" si="71"/>
        <v>4.0351522582821042</v>
      </c>
      <c r="Q312" s="17">
        <f t="shared" si="80"/>
        <v>3.6125660457995368</v>
      </c>
      <c r="R312" s="10">
        <v>3.4855897820438779E-3</v>
      </c>
      <c r="S312" s="17">
        <v>4.2638323515725274</v>
      </c>
      <c r="T312" s="17">
        <f t="shared" si="73"/>
        <v>4.1662145503033932</v>
      </c>
      <c r="U312" s="17">
        <f t="shared" si="74"/>
        <v>3.5987976835198499</v>
      </c>
      <c r="V312" s="11">
        <v>3.8914936072809718E-3</v>
      </c>
      <c r="W312" s="17">
        <v>4.7710488175457089</v>
      </c>
      <c r="X312" s="17">
        <f t="shared" si="72"/>
        <v>4.6783210008340514</v>
      </c>
      <c r="Y312" s="17">
        <f t="shared" si="81"/>
        <v>3.9990281733354172</v>
      </c>
    </row>
    <row r="313" spans="1:25" x14ac:dyDescent="0.25">
      <c r="A313" s="7">
        <v>33939</v>
      </c>
      <c r="B313" s="28">
        <v>1.737769743282923E-3</v>
      </c>
      <c r="C313" s="17">
        <f t="shared" si="66"/>
        <v>2.1053705643482523</v>
      </c>
      <c r="D313" s="17">
        <f t="shared" si="68"/>
        <v>2.357705079337391</v>
      </c>
      <c r="E313" s="17">
        <f t="shared" si="75"/>
        <v>2.241989027003366</v>
      </c>
      <c r="F313" s="30">
        <v>2.6633066902167508E-3</v>
      </c>
      <c r="G313" s="17">
        <f t="shared" si="67"/>
        <v>3.2432012763204954</v>
      </c>
      <c r="H313" s="17">
        <f t="shared" si="69"/>
        <v>2.7655810074992626</v>
      </c>
      <c r="I313" s="17">
        <f t="shared" si="76"/>
        <v>2.9921597696463076</v>
      </c>
      <c r="J313" s="10">
        <v>2.0219679303210623E-3</v>
      </c>
      <c r="K313" s="17">
        <f t="shared" si="77"/>
        <v>2.4535273483659914</v>
      </c>
      <c r="L313" s="17">
        <f t="shared" si="70"/>
        <v>3.9828527919623546</v>
      </c>
      <c r="M313" s="17">
        <f t="shared" si="78"/>
        <v>3.2985679664362832</v>
      </c>
      <c r="N313" s="11">
        <v>2.1857697388377481E-3</v>
      </c>
      <c r="O313" s="17">
        <f t="shared" si="79"/>
        <v>2.6546866497650479</v>
      </c>
      <c r="P313" s="17">
        <f t="shared" si="71"/>
        <v>4.3206490070856862</v>
      </c>
      <c r="Q313" s="17">
        <f t="shared" si="80"/>
        <v>3.4961791643929541</v>
      </c>
      <c r="R313" s="10">
        <v>2.0954210308728352E-3</v>
      </c>
      <c r="S313" s="17">
        <v>2.5436878160735477</v>
      </c>
      <c r="T313" s="17">
        <f t="shared" si="73"/>
        <v>4.2242970247068135</v>
      </c>
      <c r="U313" s="17">
        <f t="shared" si="74"/>
        <v>3.5393699682776614</v>
      </c>
      <c r="V313" s="11">
        <v>2.4098055513233525E-3</v>
      </c>
      <c r="W313" s="17">
        <v>2.930403482715116</v>
      </c>
      <c r="X313" s="17">
        <f t="shared" si="72"/>
        <v>4.8963530865004934</v>
      </c>
      <c r="Y313" s="17">
        <f t="shared" si="81"/>
        <v>3.9557940147485482</v>
      </c>
    </row>
    <row r="314" spans="1:25" x14ac:dyDescent="0.25">
      <c r="A314" s="7">
        <v>33970</v>
      </c>
      <c r="B314" s="28">
        <v>2.0317916575051703E-3</v>
      </c>
      <c r="C314" s="17">
        <f t="shared" si="66"/>
        <v>2.4655813328854803</v>
      </c>
      <c r="D314" s="17">
        <f t="shared" si="68"/>
        <v>2.1804408253750296</v>
      </c>
      <c r="E314" s="17">
        <f t="shared" si="75"/>
        <v>2.9362679134244507</v>
      </c>
      <c r="F314" s="30">
        <v>4.1405165326391172E-3</v>
      </c>
      <c r="G314" s="17">
        <f t="shared" si="67"/>
        <v>5.083345733072786</v>
      </c>
      <c r="H314" s="17">
        <f t="shared" si="69"/>
        <v>3.4043027034803997</v>
      </c>
      <c r="I314" s="17">
        <f t="shared" si="76"/>
        <v>3.2656765999170556</v>
      </c>
      <c r="J314" s="10">
        <v>3.583969442171174E-3</v>
      </c>
      <c r="K314" s="17">
        <f t="shared" si="77"/>
        <v>4.3865602496526712</v>
      </c>
      <c r="L314" s="17">
        <f t="shared" si="70"/>
        <v>3.5298811084148785</v>
      </c>
      <c r="M314" s="17">
        <f t="shared" si="78"/>
        <v>3.3451851174540526</v>
      </c>
      <c r="N314" s="11">
        <v>3.6990933142632639E-3</v>
      </c>
      <c r="O314" s="17">
        <f t="shared" si="79"/>
        <v>4.5303445700817013</v>
      </c>
      <c r="P314" s="17">
        <f t="shared" si="71"/>
        <v>3.7164930109142347</v>
      </c>
      <c r="Q314" s="17">
        <f t="shared" si="80"/>
        <v>3.5401253279031542</v>
      </c>
      <c r="R314" s="10">
        <v>3.2235635697232781E-3</v>
      </c>
      <c r="S314" s="17">
        <v>3.9376015849091672</v>
      </c>
      <c r="T314" s="17">
        <f t="shared" si="73"/>
        <v>3.5790131636069145</v>
      </c>
      <c r="U314" s="17">
        <f t="shared" si="74"/>
        <v>3.5714726828232068</v>
      </c>
      <c r="V314" s="11">
        <v>3.3518140871866848E-3</v>
      </c>
      <c r="W314" s="17">
        <v>4.0971603693297665</v>
      </c>
      <c r="X314" s="17">
        <f t="shared" si="72"/>
        <v>3.9300851540330139</v>
      </c>
      <c r="Y314" s="17">
        <f t="shared" si="81"/>
        <v>3.9796626547395242</v>
      </c>
    </row>
    <row r="315" spans="1:25" x14ac:dyDescent="0.25">
      <c r="A315" s="7">
        <v>34001</v>
      </c>
      <c r="B315" s="28">
        <v>1.4803948150505606E-3</v>
      </c>
      <c r="C315" s="17">
        <f t="shared" si="66"/>
        <v>1.791009747023864</v>
      </c>
      <c r="D315" s="17">
        <f t="shared" si="68"/>
        <v>2.1202820327459682</v>
      </c>
      <c r="E315" s="17">
        <f t="shared" si="75"/>
        <v>2.9467230633136499</v>
      </c>
      <c r="F315" s="30">
        <v>4.1960909861257127E-3</v>
      </c>
      <c r="G315" s="17">
        <f t="shared" si="67"/>
        <v>5.1531574068413244</v>
      </c>
      <c r="H315" s="17">
        <f t="shared" si="69"/>
        <v>4.4894774416259775</v>
      </c>
      <c r="I315" s="17">
        <f t="shared" si="76"/>
        <v>3.6346219859281881</v>
      </c>
      <c r="J315" s="10">
        <v>2.7268732920763487E-3</v>
      </c>
      <c r="K315" s="17">
        <f t="shared" si="77"/>
        <v>3.3217733148204198</v>
      </c>
      <c r="L315" s="17">
        <f t="shared" si="70"/>
        <v>3.384266582893658</v>
      </c>
      <c r="M315" s="17">
        <f t="shared" si="78"/>
        <v>3.3739420556641253</v>
      </c>
      <c r="N315" s="11">
        <v>2.9091275081048703E-3</v>
      </c>
      <c r="O315" s="17">
        <f t="shared" si="79"/>
        <v>3.5473541627531802</v>
      </c>
      <c r="P315" s="17">
        <f t="shared" si="71"/>
        <v>3.5746298670511933</v>
      </c>
      <c r="Q315" s="17">
        <f t="shared" si="80"/>
        <v>3.5800606510002053</v>
      </c>
      <c r="R315" s="10">
        <v>3.2751001040411602E-3</v>
      </c>
      <c r="S315" s="17">
        <v>4.0016921546454975</v>
      </c>
      <c r="T315" s="17">
        <f t="shared" si="73"/>
        <v>3.4921341711129816</v>
      </c>
      <c r="U315" s="17">
        <f t="shared" si="74"/>
        <v>3.5840367748141144</v>
      </c>
      <c r="V315" s="11">
        <v>3.7297101754280907E-3</v>
      </c>
      <c r="W315" s="17">
        <v>4.5686141438162409</v>
      </c>
      <c r="X315" s="17">
        <f t="shared" si="72"/>
        <v>3.8631053984330421</v>
      </c>
      <c r="Y315" s="17">
        <f t="shared" si="81"/>
        <v>4.0084830059564203</v>
      </c>
    </row>
    <row r="316" spans="1:25" x14ac:dyDescent="0.25">
      <c r="A316" s="7">
        <v>34029</v>
      </c>
      <c r="B316" s="28">
        <v>1.5585854247270119E-3</v>
      </c>
      <c r="C316" s="17">
        <f t="shared" si="66"/>
        <v>1.8864187409245892</v>
      </c>
      <c r="D316" s="17">
        <f t="shared" si="68"/>
        <v>2.047235194942032</v>
      </c>
      <c r="E316" s="17">
        <f t="shared" si="75"/>
        <v>2.8363422973895158</v>
      </c>
      <c r="F316" s="30">
        <v>1.1186537406644064E-3</v>
      </c>
      <c r="G316" s="17">
        <f t="shared" si="67"/>
        <v>1.3506745124081787</v>
      </c>
      <c r="H316" s="17">
        <f t="shared" si="69"/>
        <v>3.8470787650245031</v>
      </c>
      <c r="I316" s="17">
        <f t="shared" si="76"/>
        <v>3.4637231952904468</v>
      </c>
      <c r="J316" s="10">
        <v>1.4276713885446025E-3</v>
      </c>
      <c r="K316" s="17">
        <f t="shared" si="77"/>
        <v>1.7267223120754682</v>
      </c>
      <c r="L316" s="17">
        <f t="shared" si="70"/>
        <v>3.13921697313162</v>
      </c>
      <c r="M316" s="17">
        <f t="shared" si="78"/>
        <v>3.1616139533803267</v>
      </c>
      <c r="N316" s="11">
        <v>1.4847105837591493E-3</v>
      </c>
      <c r="O316" s="17">
        <f t="shared" si="79"/>
        <v>1.7962737566167286</v>
      </c>
      <c r="P316" s="17">
        <f t="shared" si="71"/>
        <v>3.28511952334265</v>
      </c>
      <c r="Q316" s="17">
        <f t="shared" si="80"/>
        <v>3.3484830135895649</v>
      </c>
      <c r="R316" s="10">
        <v>1.5861814283389549E-3</v>
      </c>
      <c r="S316" s="17">
        <v>1.9201112375204277</v>
      </c>
      <c r="T316" s="17">
        <f t="shared" si="73"/>
        <v>3.2819261098420371</v>
      </c>
      <c r="U316" s="17">
        <f t="shared" si="74"/>
        <v>3.3631349786166886</v>
      </c>
      <c r="V316" s="11">
        <v>1.725350125932555E-3</v>
      </c>
      <c r="W316" s="17">
        <v>2.0901806828991454</v>
      </c>
      <c r="X316" s="17">
        <f t="shared" si="72"/>
        <v>3.5797207482339832</v>
      </c>
      <c r="Y316" s="17">
        <f t="shared" si="81"/>
        <v>3.7501705981512146</v>
      </c>
    </row>
    <row r="317" spans="1:25" x14ac:dyDescent="0.25">
      <c r="A317" s="7">
        <v>34060</v>
      </c>
      <c r="B317" s="28">
        <v>2.5806315047692658E-3</v>
      </c>
      <c r="C317" s="17">
        <f t="shared" si="66"/>
        <v>3.1410918541170174</v>
      </c>
      <c r="D317" s="17">
        <f t="shared" si="68"/>
        <v>2.270995045880797</v>
      </c>
      <c r="E317" s="17">
        <f t="shared" si="75"/>
        <v>3.0949724646442522</v>
      </c>
      <c r="F317" s="30">
        <v>2.9455968479175881E-3</v>
      </c>
      <c r="G317" s="17">
        <f t="shared" si="67"/>
        <v>3.5925473978246192</v>
      </c>
      <c r="H317" s="17">
        <f t="shared" si="69"/>
        <v>3.3536514212549218</v>
      </c>
      <c r="I317" s="17">
        <f t="shared" si="76"/>
        <v>3.7778815887010042</v>
      </c>
      <c r="J317" s="10">
        <v>3.6407326504798517E-3</v>
      </c>
      <c r="K317" s="17">
        <f t="shared" si="77"/>
        <v>4.4574321629830882</v>
      </c>
      <c r="L317" s="17">
        <f t="shared" si="70"/>
        <v>3.1625533744936041</v>
      </c>
      <c r="M317" s="17">
        <f t="shared" si="78"/>
        <v>3.2049534414328562</v>
      </c>
      <c r="N317" s="11">
        <v>3.8498342970018353E-3</v>
      </c>
      <c r="O317" s="17">
        <f t="shared" si="79"/>
        <v>4.7188874800895952</v>
      </c>
      <c r="P317" s="17">
        <f t="shared" si="71"/>
        <v>3.3471811842420873</v>
      </c>
      <c r="Q317" s="17">
        <f t="shared" si="80"/>
        <v>3.3847468581824636</v>
      </c>
      <c r="R317" s="10">
        <v>3.2710034856221876E-3</v>
      </c>
      <c r="S317" s="17">
        <v>3.9965962959386259</v>
      </c>
      <c r="T317" s="17">
        <f t="shared" si="73"/>
        <v>3.3014632643433739</v>
      </c>
      <c r="U317" s="17">
        <f t="shared" si="74"/>
        <v>3.2606589653049411</v>
      </c>
      <c r="V317" s="11">
        <v>3.5680549045728313E-3</v>
      </c>
      <c r="W317" s="17">
        <v>4.3666980078670425</v>
      </c>
      <c r="X317" s="17">
        <f t="shared" si="72"/>
        <v>3.6690429781077061</v>
      </c>
      <c r="Y317" s="17">
        <f t="shared" si="81"/>
        <v>3.6008729297128728</v>
      </c>
    </row>
    <row r="318" spans="1:25" x14ac:dyDescent="0.25">
      <c r="A318" s="7">
        <v>34090</v>
      </c>
      <c r="B318" s="28">
        <v>2.6028094088436041E-3</v>
      </c>
      <c r="C318" s="17">
        <f t="shared" si="66"/>
        <v>3.1684739697305897</v>
      </c>
      <c r="D318" s="17">
        <f t="shared" si="68"/>
        <v>2.7302494865169891</v>
      </c>
      <c r="E318" s="17">
        <f t="shared" si="75"/>
        <v>2.9965371661846207</v>
      </c>
      <c r="F318" s="30">
        <v>1.5785174426632103E-3</v>
      </c>
      <c r="G318" s="17">
        <f t="shared" si="67"/>
        <v>1.9107531044161519</v>
      </c>
      <c r="H318" s="17">
        <f t="shared" si="69"/>
        <v>2.2802362165658341</v>
      </c>
      <c r="I318" s="17">
        <f t="shared" si="76"/>
        <v>3.1294569658196769</v>
      </c>
      <c r="J318" s="10">
        <v>2.9272635700332461E-3</v>
      </c>
      <c r="K318" s="17">
        <f t="shared" si="77"/>
        <v>3.5698263245734996</v>
      </c>
      <c r="L318" s="17">
        <f t="shared" si="70"/>
        <v>3.2450443145786378</v>
      </c>
      <c r="M318" s="17">
        <f t="shared" si="78"/>
        <v>3.3235355634870123</v>
      </c>
      <c r="N318" s="11">
        <v>3.1515536138147036E-3</v>
      </c>
      <c r="O318" s="17">
        <f t="shared" si="79"/>
        <v>3.8481110068692814</v>
      </c>
      <c r="P318" s="17">
        <f t="shared" si="71"/>
        <v>3.4471429441080392</v>
      </c>
      <c r="Q318" s="17">
        <f t="shared" si="80"/>
        <v>3.525724724469681</v>
      </c>
      <c r="R318" s="10">
        <v>3.4433286828202316E-3</v>
      </c>
      <c r="S318" s="17">
        <v>4.2111525675140982</v>
      </c>
      <c r="T318" s="17">
        <f t="shared" si="73"/>
        <v>3.37076680751629</v>
      </c>
      <c r="U318" s="17">
        <f t="shared" si="74"/>
        <v>3.457200291848217</v>
      </c>
      <c r="V318" s="11">
        <v>3.9662779276379741E-3</v>
      </c>
      <c r="W318" s="17">
        <v>4.8647455101314074</v>
      </c>
      <c r="X318" s="17">
        <f t="shared" si="72"/>
        <v>3.7668120244768399</v>
      </c>
      <c r="Y318" s="17">
        <f t="shared" si="81"/>
        <v>3.8560526247715554</v>
      </c>
    </row>
    <row r="319" spans="1:25" x14ac:dyDescent="0.25">
      <c r="A319" s="7">
        <v>34121</v>
      </c>
      <c r="B319" s="28">
        <v>-2.9149832494943843E-3</v>
      </c>
      <c r="C319" s="17">
        <f t="shared" si="66"/>
        <v>-3.4424402192168801</v>
      </c>
      <c r="D319" s="17">
        <f t="shared" si="68"/>
        <v>0.9070874363072523</v>
      </c>
      <c r="E319" s="17">
        <f t="shared" si="75"/>
        <v>2.1599422475879759</v>
      </c>
      <c r="F319" s="30">
        <v>-8.0729153499581362E-4</v>
      </c>
      <c r="G319" s="17">
        <f t="shared" si="67"/>
        <v>-0.96446004629935356</v>
      </c>
      <c r="H319" s="17">
        <f t="shared" si="69"/>
        <v>1.4954404291793733</v>
      </c>
      <c r="I319" s="17">
        <f t="shared" si="76"/>
        <v>2.751681735279532</v>
      </c>
      <c r="J319" s="10">
        <v>2.8210867713211753E-3</v>
      </c>
      <c r="K319" s="17">
        <f t="shared" si="77"/>
        <v>3.4383275143127001</v>
      </c>
      <c r="L319" s="17">
        <f t="shared" si="70"/>
        <v>3.8208773133046936</v>
      </c>
      <c r="M319" s="17">
        <f t="shared" si="78"/>
        <v>3.358058396328012</v>
      </c>
      <c r="N319" s="11">
        <v>2.9294412766598206E-3</v>
      </c>
      <c r="O319" s="17">
        <f t="shared" si="79"/>
        <v>3.5725249935462111</v>
      </c>
      <c r="P319" s="17">
        <f t="shared" si="71"/>
        <v>4.0453626532013454</v>
      </c>
      <c r="Q319" s="17">
        <f t="shared" si="80"/>
        <v>3.5576244520274525</v>
      </c>
      <c r="R319" s="10">
        <v>2.6385582382007148E-3</v>
      </c>
      <c r="S319" s="17">
        <v>3.2126255579641994</v>
      </c>
      <c r="T319" s="17">
        <f t="shared" si="73"/>
        <v>3.8059028835305098</v>
      </c>
      <c r="U319" s="17">
        <f t="shared" si="74"/>
        <v>3.5605649011145379</v>
      </c>
      <c r="V319" s="11">
        <v>2.794594848437085E-3</v>
      </c>
      <c r="W319" s="17">
        <v>3.4055414217654567</v>
      </c>
      <c r="X319" s="17">
        <f t="shared" si="72"/>
        <v>4.2105659476725732</v>
      </c>
      <c r="Y319" s="17">
        <f t="shared" si="81"/>
        <v>3.9706262308599749</v>
      </c>
    </row>
    <row r="320" spans="1:25" x14ac:dyDescent="0.25">
      <c r="A320" s="7">
        <v>34151</v>
      </c>
      <c r="B320" s="28">
        <v>-4.240954237725356E-4</v>
      </c>
      <c r="C320" s="17">
        <f t="shared" si="66"/>
        <v>-0.50772912928200853</v>
      </c>
      <c r="D320" s="17">
        <f t="shared" si="68"/>
        <v>-0.29715661257061488</v>
      </c>
      <c r="E320" s="17">
        <f t="shared" si="75"/>
        <v>1.9457587783236141</v>
      </c>
      <c r="F320" s="30">
        <v>1.9969711461903226E-3</v>
      </c>
      <c r="G320" s="17">
        <f t="shared" si="67"/>
        <v>2.4228614655630976</v>
      </c>
      <c r="H320" s="17">
        <f t="shared" si="69"/>
        <v>1.1119912372162366</v>
      </c>
      <c r="I320" s="17">
        <f t="shared" si="76"/>
        <v>2.6295044641401866</v>
      </c>
      <c r="J320" s="10">
        <v>1.4107721772891066E-3</v>
      </c>
      <c r="K320" s="17">
        <f t="shared" si="77"/>
        <v>1.7061244172075218</v>
      </c>
      <c r="L320" s="17">
        <f t="shared" si="70"/>
        <v>2.9012414800052122</v>
      </c>
      <c r="M320" s="17">
        <f t="shared" si="78"/>
        <v>3.2260015755595006</v>
      </c>
      <c r="N320" s="11">
        <v>1.4313830362451274E-3</v>
      </c>
      <c r="O320" s="17">
        <f t="shared" si="79"/>
        <v>1.7312468299732098</v>
      </c>
      <c r="P320" s="17">
        <f t="shared" si="71"/>
        <v>3.046325694149199</v>
      </c>
      <c r="Q320" s="17">
        <f t="shared" si="80"/>
        <v>3.4037159130394734</v>
      </c>
      <c r="R320" s="10">
        <v>1.8907642721515223E-3</v>
      </c>
      <c r="S320" s="17">
        <v>2.2926614002285239</v>
      </c>
      <c r="T320" s="17">
        <f t="shared" si="73"/>
        <v>3.2358412323548968</v>
      </c>
      <c r="U320" s="17">
        <f t="shared" si="74"/>
        <v>3.4127294998555158</v>
      </c>
      <c r="V320" s="11">
        <v>2.0351172025866214E-3</v>
      </c>
      <c r="W320" s="17">
        <v>2.4696621630487581</v>
      </c>
      <c r="X320" s="17">
        <f t="shared" si="72"/>
        <v>3.5753019734037439</v>
      </c>
      <c r="Y320" s="17">
        <f t="shared" si="81"/>
        <v>3.7788834440130037</v>
      </c>
    </row>
    <row r="321" spans="1:25" x14ac:dyDescent="0.25">
      <c r="A321" s="7">
        <v>34182</v>
      </c>
      <c r="B321" s="28">
        <v>2.0297752990985169E-3</v>
      </c>
      <c r="C321" s="17">
        <f t="shared" si="66"/>
        <v>2.4631070994158399</v>
      </c>
      <c r="D321" s="17">
        <f t="shared" si="68"/>
        <v>-0.52490050821994982</v>
      </c>
      <c r="E321" s="17">
        <f t="shared" si="75"/>
        <v>1.7894288884047649</v>
      </c>
      <c r="F321" s="30">
        <v>1.3766551933613732E-3</v>
      </c>
      <c r="G321" s="17">
        <f t="shared" si="67"/>
        <v>1.6645519932485975</v>
      </c>
      <c r="H321" s="17">
        <f t="shared" si="69"/>
        <v>1.0305017724422383</v>
      </c>
      <c r="I321" s="17">
        <f t="shared" si="76"/>
        <v>2.5896550899754622</v>
      </c>
      <c r="J321" s="10">
        <v>2.9623913991616729E-3</v>
      </c>
      <c r="K321" s="17">
        <f t="shared" si="77"/>
        <v>3.6133654831847828</v>
      </c>
      <c r="L321" s="17">
        <f t="shared" si="70"/>
        <v>2.9156588251998627</v>
      </c>
      <c r="M321" s="17">
        <f t="shared" si="78"/>
        <v>3.3359166494975945</v>
      </c>
      <c r="N321" s="11">
        <v>3.1388013222700224E-3</v>
      </c>
      <c r="O321" s="17">
        <f t="shared" si="79"/>
        <v>3.8322704237123473</v>
      </c>
      <c r="P321" s="17">
        <f t="shared" si="71"/>
        <v>3.0410860004016493</v>
      </c>
      <c r="Q321" s="17">
        <f t="shared" si="80"/>
        <v>3.5238956305766012</v>
      </c>
      <c r="R321" s="10">
        <v>3.514363179239274E-3</v>
      </c>
      <c r="S321" s="17">
        <v>4.2997132593167731</v>
      </c>
      <c r="T321" s="17">
        <f t="shared" si="73"/>
        <v>3.2650769032362081</v>
      </c>
      <c r="U321" s="17">
        <f t="shared" si="74"/>
        <v>3.5729530388607822</v>
      </c>
      <c r="V321" s="11">
        <v>3.9573732351445958E-3</v>
      </c>
      <c r="W321" s="17">
        <v>4.8535848632251799</v>
      </c>
      <c r="X321" s="17">
        <f t="shared" si="72"/>
        <v>3.5716273721199565</v>
      </c>
      <c r="Y321" s="17">
        <f t="shared" si="81"/>
        <v>3.9691112393367201</v>
      </c>
    </row>
    <row r="322" spans="1:25" x14ac:dyDescent="0.25">
      <c r="A322" s="7">
        <v>34213</v>
      </c>
      <c r="B322" s="28">
        <v>-3.0126649220265857E-3</v>
      </c>
      <c r="C322" s="17">
        <f t="shared" si="66"/>
        <v>-3.5558928135953516</v>
      </c>
      <c r="D322" s="17">
        <f t="shared" si="68"/>
        <v>-0.56387598620905033</v>
      </c>
      <c r="E322" s="17">
        <f t="shared" si="75"/>
        <v>1.1805207522747496</v>
      </c>
      <c r="F322" s="30">
        <v>-6.4041850945462647E-3</v>
      </c>
      <c r="G322" s="17">
        <f t="shared" si="67"/>
        <v>-7.4200285124764171</v>
      </c>
      <c r="H322" s="17">
        <f t="shared" si="69"/>
        <v>-1.214204929879048</v>
      </c>
      <c r="I322" s="17">
        <f t="shared" si="76"/>
        <v>1.7058068699432161</v>
      </c>
      <c r="J322" s="10">
        <v>2.6078717449484088E-3</v>
      </c>
      <c r="K322" s="17">
        <f t="shared" si="77"/>
        <v>3.1747251550235278</v>
      </c>
      <c r="L322" s="17">
        <f t="shared" si="70"/>
        <v>2.8281609932711893</v>
      </c>
      <c r="M322" s="17">
        <f t="shared" si="78"/>
        <v>3.4416835831477588</v>
      </c>
      <c r="N322" s="11">
        <v>2.7581632595903545E-3</v>
      </c>
      <c r="O322" s="17">
        <f t="shared" si="79"/>
        <v>3.3604696729136352</v>
      </c>
      <c r="P322" s="17">
        <f t="shared" si="71"/>
        <v>2.9707155369379734</v>
      </c>
      <c r="Q322" s="17">
        <f t="shared" si="80"/>
        <v>3.6540137850725296</v>
      </c>
      <c r="R322" s="10">
        <v>2.7885921675752023E-3</v>
      </c>
      <c r="S322" s="17">
        <v>3.3981138983310899</v>
      </c>
      <c r="T322" s="17">
        <f t="shared" si="73"/>
        <v>3.3269007502124914</v>
      </c>
      <c r="U322" s="17">
        <f t="shared" si="74"/>
        <v>3.6590415826111666</v>
      </c>
      <c r="V322" s="11">
        <v>3.1012460931029938E-3</v>
      </c>
      <c r="W322" s="17">
        <v>3.7856331063521598</v>
      </c>
      <c r="X322" s="17">
        <f t="shared" si="72"/>
        <v>3.6983729285933409</v>
      </c>
      <c r="Y322" s="17">
        <f t="shared" si="81"/>
        <v>4.0949606786812254</v>
      </c>
    </row>
    <row r="323" spans="1:25" x14ac:dyDescent="0.25">
      <c r="A323" s="7">
        <v>34243</v>
      </c>
      <c r="B323" s="28">
        <v>8.020560378470671E-3</v>
      </c>
      <c r="C323" s="17">
        <f t="shared" ref="C323:C384" si="82">((1+B323)^12 - 1)*100</f>
        <v>10.060804988467309</v>
      </c>
      <c r="D323" s="17">
        <f t="shared" si="68"/>
        <v>2.8391869485481225</v>
      </c>
      <c r="E323" s="17">
        <f t="shared" si="75"/>
        <v>1.741141968270643</v>
      </c>
      <c r="F323" s="30">
        <v>1.7027425442135598E-3</v>
      </c>
      <c r="G323" s="17">
        <f t="shared" ref="G323:G384" si="83">((1+F323)^12 - 1)*100</f>
        <v>2.0625356725870514</v>
      </c>
      <c r="H323" s="17">
        <f t="shared" si="69"/>
        <v>-1.3301845481336172</v>
      </c>
      <c r="I323" s="17">
        <f t="shared" si="76"/>
        <v>1.6161773839979743</v>
      </c>
      <c r="J323" s="10">
        <v>2.6416409718699263E-3</v>
      </c>
      <c r="K323" s="17">
        <f t="shared" si="77"/>
        <v>3.2164336989598974</v>
      </c>
      <c r="L323" s="17">
        <f t="shared" si="70"/>
        <v>3.3346525270733895</v>
      </c>
      <c r="M323" s="17">
        <f t="shared" si="78"/>
        <v>3.2318235378205884</v>
      </c>
      <c r="N323" s="11">
        <v>2.7960883338057421E-3</v>
      </c>
      <c r="O323" s="17">
        <f t="shared" si="79"/>
        <v>3.4073894883064559</v>
      </c>
      <c r="P323" s="17">
        <f t="shared" si="71"/>
        <v>3.5331592367387143</v>
      </c>
      <c r="Q323" s="17">
        <f t="shared" si="80"/>
        <v>3.410493115729607</v>
      </c>
      <c r="R323" s="10">
        <v>3.2343691493011383E-3</v>
      </c>
      <c r="S323" s="17">
        <v>3.9510363478159283</v>
      </c>
      <c r="T323" s="17">
        <f t="shared" si="73"/>
        <v>3.8822908367928788</v>
      </c>
      <c r="U323" s="17">
        <f t="shared" si="74"/>
        <v>3.4993364338451016</v>
      </c>
      <c r="V323" s="11">
        <v>3.6457239290486861E-3</v>
      </c>
      <c r="W323" s="17">
        <v>4.4636661515411902</v>
      </c>
      <c r="X323" s="17">
        <f t="shared" si="72"/>
        <v>4.3666944475832858</v>
      </c>
      <c r="Y323" s="17">
        <f t="shared" si="81"/>
        <v>3.8848285310395969</v>
      </c>
    </row>
    <row r="324" spans="1:25" x14ac:dyDescent="0.25">
      <c r="A324" s="7">
        <v>34274</v>
      </c>
      <c r="B324" s="28">
        <v>2.5107774190842987E-4</v>
      </c>
      <c r="C324" s="17">
        <f t="shared" si="82"/>
        <v>0.30170970291625299</v>
      </c>
      <c r="D324" s="17">
        <f t="shared" si="68"/>
        <v>2.1109317956785167</v>
      </c>
      <c r="E324" s="17">
        <f t="shared" si="75"/>
        <v>1.6012947676082856</v>
      </c>
      <c r="F324" s="30">
        <v>3.6563724825860195E-3</v>
      </c>
      <c r="G324" s="17">
        <f t="shared" si="83"/>
        <v>4.4769670822986773</v>
      </c>
      <c r="H324" s="17">
        <f t="shared" si="69"/>
        <v>-0.42859137028141703</v>
      </c>
      <c r="I324" s="17">
        <f t="shared" si="76"/>
        <v>1.8269791971935012</v>
      </c>
      <c r="J324" s="10">
        <v>3.2511048782040601E-3</v>
      </c>
      <c r="K324" s="17">
        <f t="shared" si="77"/>
        <v>3.9718473093531159</v>
      </c>
      <c r="L324" s="17">
        <f t="shared" si="70"/>
        <v>3.4536878642562829</v>
      </c>
      <c r="M324" s="17">
        <f t="shared" si="78"/>
        <v>3.2494567750993575</v>
      </c>
      <c r="N324" s="11">
        <v>3.4799904002842299E-3</v>
      </c>
      <c r="O324" s="17">
        <f t="shared" si="79"/>
        <v>4.2568511441850365</v>
      </c>
      <c r="P324" s="17">
        <f t="shared" si="71"/>
        <v>3.6740865303797055</v>
      </c>
      <c r="Q324" s="17">
        <f t="shared" si="80"/>
        <v>3.43395565219895</v>
      </c>
      <c r="R324" s="10">
        <v>3.5687848167856189E-3</v>
      </c>
      <c r="S324" s="17">
        <v>4.367608903727116</v>
      </c>
      <c r="T324" s="17">
        <f t="shared" si="73"/>
        <v>3.904827252779719</v>
      </c>
      <c r="U324" s="17">
        <f t="shared" si="74"/>
        <v>3.5079171558584976</v>
      </c>
      <c r="V324" s="11">
        <v>4.0535925950544232E-3</v>
      </c>
      <c r="W324" s="17">
        <v>4.9742385667890243</v>
      </c>
      <c r="X324" s="17">
        <f t="shared" si="72"/>
        <v>4.4067102512368006</v>
      </c>
      <c r="Y324" s="17">
        <f t="shared" si="81"/>
        <v>3.9016028793203983</v>
      </c>
    </row>
    <row r="325" spans="1:25" x14ac:dyDescent="0.25">
      <c r="A325" s="7">
        <v>34304</v>
      </c>
      <c r="B325" s="28">
        <v>-2.7276984113088412E-5</v>
      </c>
      <c r="C325" s="17">
        <f t="shared" si="82"/>
        <v>-3.272747075868665E-2</v>
      </c>
      <c r="D325" s="17">
        <f t="shared" ref="D325:D384" si="84">(((1+B325)*(1+B324)*(1+B323))^(12/3)-1)*100</f>
        <v>3.3394838367201141</v>
      </c>
      <c r="E325" s="17">
        <f t="shared" si="75"/>
        <v>1.4222748302101573</v>
      </c>
      <c r="F325" s="30">
        <v>-2.5925034004153387E-4</v>
      </c>
      <c r="G325" s="17">
        <f t="shared" si="83"/>
        <v>-0.31065720028704558</v>
      </c>
      <c r="H325" s="17">
        <f t="shared" ref="H325:H384" si="85">(((1+F325)*(1+F324)*(1+F323))^(12/3)-1)*100</f>
        <v>2.0575678823262056</v>
      </c>
      <c r="I325" s="17">
        <f t="shared" si="76"/>
        <v>1.5301745251395271</v>
      </c>
      <c r="J325" s="10">
        <v>3.1777967878491935E-3</v>
      </c>
      <c r="K325" s="17">
        <f t="shared" si="77"/>
        <v>3.8807166031304297</v>
      </c>
      <c r="L325" s="17">
        <f t="shared" ref="L325:L384" si="86">(((1+J325)*(1+J324)*(1+J323))^(12/3)-1)*100</f>
        <v>3.689118452822604</v>
      </c>
      <c r="M325" s="17">
        <f t="shared" si="78"/>
        <v>3.3685546646508913</v>
      </c>
      <c r="N325" s="11">
        <v>3.4123488217613802E-3</v>
      </c>
      <c r="O325" s="17">
        <f t="shared" si="79"/>
        <v>4.172550699887112</v>
      </c>
      <c r="P325" s="17">
        <f t="shared" ref="P325:P384" si="87">(((1+N325)*(1+N324)*(1+N323))^(12/3)-1)*100</f>
        <v>3.9448935553574316</v>
      </c>
      <c r="Q325" s="17">
        <f t="shared" si="80"/>
        <v>3.5605488750303893</v>
      </c>
      <c r="R325" s="10">
        <v>2.6576721815400389E-3</v>
      </c>
      <c r="S325" s="17">
        <v>3.23623933729007</v>
      </c>
      <c r="T325" s="17">
        <f t="shared" si="73"/>
        <v>3.850576317338561</v>
      </c>
      <c r="U325" s="17">
        <f t="shared" si="74"/>
        <v>3.5659929082296316</v>
      </c>
      <c r="V325" s="11">
        <v>2.9677348730202204E-3</v>
      </c>
      <c r="W325" s="17">
        <v>3.6199899174200301</v>
      </c>
      <c r="X325" s="17">
        <f t="shared" ref="X325:X384" si="88">(((1+V325)*(1+V324)*(1+V323))^(12/3)-1)*100</f>
        <v>4.3511358629506613</v>
      </c>
      <c r="Y325" s="17">
        <f t="shared" si="81"/>
        <v>3.9594332701412549</v>
      </c>
    </row>
    <row r="326" spans="1:25" x14ac:dyDescent="0.25">
      <c r="A326" s="7">
        <v>34335</v>
      </c>
      <c r="B326" s="28">
        <v>-2.1842221761138852E-3</v>
      </c>
      <c r="C326" s="17">
        <f t="shared" si="82"/>
        <v>-2.5898072856002208</v>
      </c>
      <c r="D326" s="17">
        <f t="shared" si="84"/>
        <v>-0.78206273011516281</v>
      </c>
      <c r="E326" s="17">
        <f t="shared" si="75"/>
        <v>0.99554414433642435</v>
      </c>
      <c r="F326" s="30">
        <v>-1.8028411004893559E-3</v>
      </c>
      <c r="G326" s="17">
        <f t="shared" si="83"/>
        <v>-2.1420861538512082</v>
      </c>
      <c r="H326" s="17">
        <f t="shared" si="85"/>
        <v>0.63639728760753744</v>
      </c>
      <c r="I326" s="17">
        <f t="shared" si="76"/>
        <v>0.92923259736978903</v>
      </c>
      <c r="J326" s="10">
        <v>2.1111315211347643E-3</v>
      </c>
      <c r="K326" s="17">
        <f t="shared" si="77"/>
        <v>2.5629811946685566</v>
      </c>
      <c r="L326" s="17">
        <f t="shared" si="86"/>
        <v>3.469840049384354</v>
      </c>
      <c r="M326" s="17">
        <f t="shared" si="78"/>
        <v>3.2168532308013198</v>
      </c>
      <c r="N326" s="11">
        <v>2.1665803516516566E-3</v>
      </c>
      <c r="O326" s="17">
        <f t="shared" si="79"/>
        <v>2.6311021230196463</v>
      </c>
      <c r="P326" s="17">
        <f t="shared" si="87"/>
        <v>3.6841324612551407</v>
      </c>
      <c r="Q326" s="17">
        <f t="shared" si="80"/>
        <v>3.402425903092543</v>
      </c>
      <c r="R326" s="10">
        <v>1.9756191885717121E-3</v>
      </c>
      <c r="S326" s="17">
        <v>2.3966736941439581</v>
      </c>
      <c r="T326" s="17">
        <f t="shared" si="73"/>
        <v>3.3303545425163783</v>
      </c>
      <c r="U326" s="17">
        <f t="shared" si="74"/>
        <v>3.4371635987701321</v>
      </c>
      <c r="V326" s="11">
        <v>2.0462469263382169E-3</v>
      </c>
      <c r="W326" s="17">
        <v>2.4833207107641586</v>
      </c>
      <c r="X326" s="17">
        <f t="shared" si="88"/>
        <v>3.6875205255514798</v>
      </c>
      <c r="Y326" s="17">
        <f t="shared" si="81"/>
        <v>3.8241606566548292</v>
      </c>
    </row>
    <row r="327" spans="1:25" x14ac:dyDescent="0.25">
      <c r="A327" s="7">
        <v>34366</v>
      </c>
      <c r="B327" s="28">
        <v>1.2876121504160811E-3</v>
      </c>
      <c r="C327" s="17">
        <f t="shared" si="82"/>
        <v>1.5561241195583664</v>
      </c>
      <c r="D327" s="17">
        <f t="shared" si="84"/>
        <v>-0.37015504531683341</v>
      </c>
      <c r="E327" s="17">
        <f t="shared" si="75"/>
        <v>0.97610273518136115</v>
      </c>
      <c r="F327" s="30">
        <v>-1.0802455810950233E-3</v>
      </c>
      <c r="G327" s="17">
        <f t="shared" si="83"/>
        <v>-1.2886206211964679</v>
      </c>
      <c r="H327" s="17">
        <f t="shared" si="85"/>
        <v>-1.2499549860898074</v>
      </c>
      <c r="I327" s="17">
        <f t="shared" si="76"/>
        <v>0.39892123145712777</v>
      </c>
      <c r="J327" s="10">
        <v>2.7231118815947536E-3</v>
      </c>
      <c r="K327" s="17">
        <f t="shared" si="77"/>
        <v>3.3171224660983212</v>
      </c>
      <c r="L327" s="17">
        <f t="shared" si="86"/>
        <v>3.2521946821357117</v>
      </c>
      <c r="M327" s="17">
        <f t="shared" si="78"/>
        <v>3.2164660456525329</v>
      </c>
      <c r="N327" s="11">
        <v>3.0388223260376522E-3</v>
      </c>
      <c r="O327" s="17">
        <f t="shared" si="79"/>
        <v>3.7081557045713698</v>
      </c>
      <c r="P327" s="17">
        <f t="shared" si="87"/>
        <v>3.5019186718475481</v>
      </c>
      <c r="Q327" s="17">
        <f t="shared" si="80"/>
        <v>3.41579776145291</v>
      </c>
      <c r="R327" s="10">
        <v>1.8219515672027438E-3</v>
      </c>
      <c r="S327" s="17">
        <v>2.2083842328731063</v>
      </c>
      <c r="T327" s="17">
        <f t="shared" si="73"/>
        <v>2.6127946789978873</v>
      </c>
      <c r="U327" s="17">
        <f t="shared" si="74"/>
        <v>3.2873447076976037</v>
      </c>
      <c r="V327" s="11">
        <v>2.1957101341904604E-3</v>
      </c>
      <c r="W327" s="17">
        <v>2.6669057477023639</v>
      </c>
      <c r="X327" s="17">
        <f t="shared" si="88"/>
        <v>2.9222020114008984</v>
      </c>
      <c r="Y327" s="17">
        <f t="shared" si="81"/>
        <v>3.6654861996628929</v>
      </c>
    </row>
    <row r="328" spans="1:25" x14ac:dyDescent="0.25">
      <c r="A328" s="7">
        <v>34394</v>
      </c>
      <c r="B328" s="28">
        <v>8.8789524286239467E-4</v>
      </c>
      <c r="C328" s="17">
        <f t="shared" si="82"/>
        <v>1.0706928843386532</v>
      </c>
      <c r="D328" s="17">
        <f t="shared" si="84"/>
        <v>-4.9302315531463137E-3</v>
      </c>
      <c r="E328" s="17">
        <f t="shared" si="75"/>
        <v>0.90848444335800416</v>
      </c>
      <c r="F328" s="30">
        <v>2.7410331170659727E-3</v>
      </c>
      <c r="G328" s="17">
        <f t="shared" si="83"/>
        <v>3.3392831500588249</v>
      </c>
      <c r="H328" s="17">
        <f t="shared" si="85"/>
        <v>-5.9188198808413084E-2</v>
      </c>
      <c r="I328" s="17">
        <f t="shared" si="76"/>
        <v>0.56162436221012246</v>
      </c>
      <c r="J328" s="10">
        <v>2.6407764059977355E-3</v>
      </c>
      <c r="K328" s="17">
        <f t="shared" si="77"/>
        <v>3.2153656764980498</v>
      </c>
      <c r="L328" s="17">
        <f t="shared" si="86"/>
        <v>3.0312806025782901</v>
      </c>
      <c r="M328" s="17">
        <f t="shared" si="78"/>
        <v>3.3414999511668153</v>
      </c>
      <c r="N328" s="11">
        <v>2.8285887822708448E-3</v>
      </c>
      <c r="O328" s="17">
        <f t="shared" si="79"/>
        <v>3.4476136460661611</v>
      </c>
      <c r="P328" s="17">
        <f t="shared" si="87"/>
        <v>3.2612695383218204</v>
      </c>
      <c r="Q328" s="17">
        <f t="shared" si="80"/>
        <v>3.5545699608929393</v>
      </c>
      <c r="R328" s="10">
        <v>2.5946288949410777E-3</v>
      </c>
      <c r="S328" s="17">
        <v>3.1583730613190752</v>
      </c>
      <c r="T328" s="17">
        <f t="shared" ref="T328:T384" si="89">(((1+R328)*(1+R327)*(1+R326))^(12/3)-1)*100</f>
        <v>2.5869895097753615</v>
      </c>
      <c r="U328" s="17">
        <f t="shared" si="74"/>
        <v>3.3913396140110796</v>
      </c>
      <c r="V328" s="11">
        <v>2.9250739757615148E-3</v>
      </c>
      <c r="W328" s="17">
        <v>3.5671129891164499</v>
      </c>
      <c r="X328" s="17">
        <f t="shared" si="88"/>
        <v>2.9046920828076139</v>
      </c>
      <c r="Y328" s="17">
        <f t="shared" si="81"/>
        <v>3.7896419437320583</v>
      </c>
    </row>
    <row r="329" spans="1:25" x14ac:dyDescent="0.25">
      <c r="A329" s="7">
        <v>34425</v>
      </c>
      <c r="B329" s="28">
        <v>-3.6468410486171907E-4</v>
      </c>
      <c r="C329" s="17">
        <f t="shared" si="82"/>
        <v>-0.43674422830469739</v>
      </c>
      <c r="D329" s="17">
        <f t="shared" si="84"/>
        <v>0.72643969094212668</v>
      </c>
      <c r="E329" s="17">
        <f t="shared" si="75"/>
        <v>0.61204211738854486</v>
      </c>
      <c r="F329" s="30">
        <v>8.1227902581012493E-4</v>
      </c>
      <c r="G329" s="17">
        <f t="shared" si="83"/>
        <v>0.97910130484082369</v>
      </c>
      <c r="H329" s="17">
        <f t="shared" si="85"/>
        <v>0.99225176385677738</v>
      </c>
      <c r="I329" s="17">
        <f t="shared" si="76"/>
        <v>0.34772451944080629</v>
      </c>
      <c r="J329" s="10">
        <v>2.0099178057010783E-3</v>
      </c>
      <c r="K329" s="17">
        <f t="shared" si="77"/>
        <v>2.4387432878439252</v>
      </c>
      <c r="L329" s="17">
        <f t="shared" si="86"/>
        <v>2.9896620689951359</v>
      </c>
      <c r="M329" s="17">
        <f t="shared" si="78"/>
        <v>3.1735804489789743</v>
      </c>
      <c r="N329" s="11">
        <v>2.038554495659174E-3</v>
      </c>
      <c r="O329" s="17">
        <f t="shared" si="79"/>
        <v>2.4738802775535085</v>
      </c>
      <c r="P329" s="17">
        <f t="shared" si="87"/>
        <v>3.2085135210582205</v>
      </c>
      <c r="Q329" s="17">
        <f t="shared" si="80"/>
        <v>3.3677229898634087</v>
      </c>
      <c r="R329" s="10">
        <v>2.4676157272153364E-3</v>
      </c>
      <c r="S329" s="17">
        <v>3.0016595197326357</v>
      </c>
      <c r="T329" s="17">
        <f t="shared" si="89"/>
        <v>2.7886296691167045</v>
      </c>
      <c r="U329" s="17">
        <f t="shared" si="74"/>
        <v>3.3085470920677373</v>
      </c>
      <c r="V329" s="11">
        <v>2.6198472609031843E-3</v>
      </c>
      <c r="W329" s="17">
        <v>3.189514407430516</v>
      </c>
      <c r="X329" s="17">
        <f t="shared" si="88"/>
        <v>3.1405169971417957</v>
      </c>
      <c r="Y329" s="17">
        <f t="shared" si="81"/>
        <v>3.6915777104757685</v>
      </c>
    </row>
    <row r="330" spans="1:25" x14ac:dyDescent="0.25">
      <c r="A330" s="7">
        <v>34455</v>
      </c>
      <c r="B330" s="28">
        <v>2.3805899456447593E-3</v>
      </c>
      <c r="C330" s="17">
        <f t="shared" si="82"/>
        <v>2.8944099152696134</v>
      </c>
      <c r="D330" s="17">
        <f t="shared" si="84"/>
        <v>1.1669610816886555</v>
      </c>
      <c r="E330" s="17">
        <f t="shared" si="75"/>
        <v>0.5897422058175561</v>
      </c>
      <c r="F330" s="30">
        <v>6.5053335559089077E-3</v>
      </c>
      <c r="G330" s="17">
        <f t="shared" si="83"/>
        <v>8.0918542895002119</v>
      </c>
      <c r="H330" s="17">
        <f t="shared" si="85"/>
        <v>4.0950243176737011</v>
      </c>
      <c r="I330" s="17">
        <f t="shared" si="76"/>
        <v>0.84134012468786157</v>
      </c>
      <c r="J330" s="10">
        <v>1.714960878378331E-3</v>
      </c>
      <c r="K330" s="17">
        <f t="shared" si="77"/>
        <v>2.0774756476070522</v>
      </c>
      <c r="L330" s="17">
        <f t="shared" si="86"/>
        <v>2.5760976539481728</v>
      </c>
      <c r="M330" s="17">
        <f t="shared" si="78"/>
        <v>3.0488679061762891</v>
      </c>
      <c r="N330" s="11">
        <v>1.7739692208950915E-3</v>
      </c>
      <c r="O330" s="17">
        <f t="shared" si="79"/>
        <v>2.1496563552340531</v>
      </c>
      <c r="P330" s="17">
        <f t="shared" si="87"/>
        <v>2.6889049633009199</v>
      </c>
      <c r="Q330" s="17">
        <f t="shared" si="80"/>
        <v>3.2257725922295588</v>
      </c>
      <c r="R330" s="10">
        <v>1.2998673206140257E-3</v>
      </c>
      <c r="S330" s="17">
        <v>1.5710409688906912</v>
      </c>
      <c r="T330" s="17">
        <f t="shared" si="89"/>
        <v>2.5745301906627605</v>
      </c>
      <c r="U330" s="17">
        <f t="shared" si="74"/>
        <v>3.0878690799192032</v>
      </c>
      <c r="V330" s="11">
        <v>1.3159069199167662E-3</v>
      </c>
      <c r="W330" s="17">
        <v>1.5905672154383987</v>
      </c>
      <c r="X330" s="17">
        <f t="shared" si="88"/>
        <v>2.7788154440442803</v>
      </c>
      <c r="Y330" s="17">
        <f t="shared" si="81"/>
        <v>3.4178422700025468</v>
      </c>
    </row>
    <row r="331" spans="1:25" x14ac:dyDescent="0.25">
      <c r="A331" s="7">
        <v>34486</v>
      </c>
      <c r="B331" s="28">
        <v>4.5069621153735161E-3</v>
      </c>
      <c r="C331" s="17">
        <f t="shared" si="82"/>
        <v>5.5444530493398148</v>
      </c>
      <c r="D331" s="17">
        <f t="shared" si="84"/>
        <v>2.6381372271183867</v>
      </c>
      <c r="E331" s="17">
        <f t="shared" si="75"/>
        <v>1.3384963826186258</v>
      </c>
      <c r="F331" s="30">
        <v>5.4888116862916612E-3</v>
      </c>
      <c r="G331" s="17">
        <f t="shared" si="83"/>
        <v>6.7890958613431973</v>
      </c>
      <c r="H331" s="17">
        <f t="shared" si="85"/>
        <v>5.2407156382960007</v>
      </c>
      <c r="I331" s="17">
        <f t="shared" si="76"/>
        <v>1.4767605806411011</v>
      </c>
      <c r="J331" s="10">
        <v>2.5312750327975693E-3</v>
      </c>
      <c r="K331" s="17">
        <f t="shared" si="77"/>
        <v>3.08017742453357</v>
      </c>
      <c r="L331" s="17">
        <f t="shared" si="86"/>
        <v>2.53129443472071</v>
      </c>
      <c r="M331" s="17">
        <f t="shared" si="78"/>
        <v>3.0190871487164594</v>
      </c>
      <c r="N331" s="11">
        <v>2.655206830233028E-3</v>
      </c>
      <c r="O331" s="17">
        <f t="shared" si="79"/>
        <v>3.2331933107615951</v>
      </c>
      <c r="P331" s="17">
        <f t="shared" si="87"/>
        <v>2.6179066445693566</v>
      </c>
      <c r="Q331" s="17">
        <f t="shared" si="80"/>
        <v>3.1975472142131922</v>
      </c>
      <c r="R331" s="10">
        <v>3.0741848682896717E-3</v>
      </c>
      <c r="S331" s="17">
        <v>3.7520394924734024</v>
      </c>
      <c r="T331" s="17">
        <f t="shared" si="89"/>
        <v>2.7709227550500426</v>
      </c>
      <c r="U331" s="17">
        <f t="shared" si="74"/>
        <v>3.1326587208534429</v>
      </c>
      <c r="V331" s="11">
        <v>3.4177430034074514E-3</v>
      </c>
      <c r="W331" s="17">
        <v>4.1792710749330331</v>
      </c>
      <c r="X331" s="17">
        <f t="shared" si="88"/>
        <v>2.9809173302312475</v>
      </c>
      <c r="Y331" s="17">
        <f t="shared" si="81"/>
        <v>3.4821073128464386</v>
      </c>
    </row>
    <row r="332" spans="1:25" x14ac:dyDescent="0.25">
      <c r="A332" s="7">
        <v>34516</v>
      </c>
      <c r="B332" s="28">
        <v>5.7379681496896691E-3</v>
      </c>
      <c r="C332" s="17">
        <f t="shared" si="82"/>
        <v>7.1070723781296419</v>
      </c>
      <c r="D332" s="17">
        <f t="shared" si="84"/>
        <v>5.1675559125442305</v>
      </c>
      <c r="E332" s="17">
        <f t="shared" si="75"/>
        <v>1.96321558032031</v>
      </c>
      <c r="F332" s="30">
        <v>8.908340982970367E-4</v>
      </c>
      <c r="G332" s="17">
        <f t="shared" si="83"/>
        <v>1.0742541657177362</v>
      </c>
      <c r="H332" s="17">
        <f t="shared" si="85"/>
        <v>5.2737614576726655</v>
      </c>
      <c r="I332" s="17">
        <f t="shared" si="76"/>
        <v>1.364737083953238</v>
      </c>
      <c r="J332" s="10">
        <v>1.8642306508809346E-3</v>
      </c>
      <c r="K332" s="17">
        <f t="shared" si="77"/>
        <v>2.2601572648107471</v>
      </c>
      <c r="L332" s="17">
        <f t="shared" si="86"/>
        <v>2.471677319707255</v>
      </c>
      <c r="M332" s="17">
        <f t="shared" si="78"/>
        <v>3.0657362155201762</v>
      </c>
      <c r="N332" s="11">
        <v>2.0068997852044916E-3</v>
      </c>
      <c r="O332" s="17">
        <f t="shared" si="79"/>
        <v>2.4350408441863536</v>
      </c>
      <c r="P332" s="17">
        <f t="shared" si="87"/>
        <v>2.6049403322980114</v>
      </c>
      <c r="Q332" s="17">
        <f t="shared" si="80"/>
        <v>3.2568542400158274</v>
      </c>
      <c r="R332" s="10">
        <v>2.0016086809313462E-3</v>
      </c>
      <c r="S332" s="17">
        <v>2.4285501255093767</v>
      </c>
      <c r="T332" s="17">
        <f t="shared" si="89"/>
        <v>2.5799596190324348</v>
      </c>
      <c r="U332" s="17">
        <f t="shared" si="74"/>
        <v>3.1440688256167748</v>
      </c>
      <c r="V332" s="11">
        <v>2.2900920253024811E-3</v>
      </c>
      <c r="W332" s="17">
        <v>2.7829898682697696</v>
      </c>
      <c r="X332" s="17">
        <f t="shared" si="88"/>
        <v>2.8455051006615939</v>
      </c>
      <c r="Y332" s="17">
        <f t="shared" si="81"/>
        <v>3.5084390566280543</v>
      </c>
    </row>
    <row r="333" spans="1:25" x14ac:dyDescent="0.25">
      <c r="A333" s="7">
        <v>34547</v>
      </c>
      <c r="B333" s="28">
        <v>6.1265125381403029E-3</v>
      </c>
      <c r="C333" s="17">
        <f t="shared" si="82"/>
        <v>7.604669875793646</v>
      </c>
      <c r="D333" s="17">
        <f t="shared" si="84"/>
        <v>6.7484457822359456</v>
      </c>
      <c r="E333" s="17">
        <f t="shared" si="75"/>
        <v>2.3800859294629939</v>
      </c>
      <c r="F333" s="30">
        <v>-1.0322680735536959E-3</v>
      </c>
      <c r="G333" s="17">
        <f t="shared" si="83"/>
        <v>-1.2317130206257909</v>
      </c>
      <c r="H333" s="17">
        <f t="shared" si="85"/>
        <v>2.1554776534119968</v>
      </c>
      <c r="I333" s="17">
        <f t="shared" si="76"/>
        <v>1.1208928997095802</v>
      </c>
      <c r="J333" s="10">
        <v>3.2333182209333196E-3</v>
      </c>
      <c r="K333" s="17">
        <f t="shared" si="77"/>
        <v>3.9497296406270088</v>
      </c>
      <c r="L333" s="17">
        <f t="shared" si="86"/>
        <v>3.0943803415415694</v>
      </c>
      <c r="M333" s="17">
        <f t="shared" si="78"/>
        <v>3.0935770125289919</v>
      </c>
      <c r="N333" s="11">
        <v>3.4440006497640824E-3</v>
      </c>
      <c r="O333" s="17">
        <f t="shared" si="79"/>
        <v>4.2119900044350622</v>
      </c>
      <c r="P333" s="17">
        <f t="shared" si="87"/>
        <v>3.2908533035321152</v>
      </c>
      <c r="Q333" s="17">
        <f t="shared" si="80"/>
        <v>3.2882695560534803</v>
      </c>
      <c r="R333" s="10">
        <v>2.2649585239274289E-3</v>
      </c>
      <c r="S333" s="17">
        <v>2.7520654061798488</v>
      </c>
      <c r="T333" s="17">
        <f t="shared" si="89"/>
        <v>2.9760137501193107</v>
      </c>
      <c r="U333" s="17">
        <f t="shared" ref="U333:U384" si="90">(((1+R325)*(1+R324)*(1+R323)*(1+R322)*(1+R326)*(1+R327)*(1+R328)*(1+R329)*(1+R330)*(1+R331)*(1+R332)*(1+R333))-1)*100</f>
        <v>3.0156514511506582</v>
      </c>
      <c r="V333" s="11">
        <v>2.435246800951829E-3</v>
      </c>
      <c r="W333" s="17">
        <v>2.9617564521095652</v>
      </c>
      <c r="X333" s="17">
        <f t="shared" si="88"/>
        <v>3.3061479431057972</v>
      </c>
      <c r="Y333" s="17">
        <f t="shared" si="81"/>
        <v>3.351507163451739</v>
      </c>
    </row>
    <row r="334" spans="1:25" x14ac:dyDescent="0.25">
      <c r="A334" s="7">
        <v>34578</v>
      </c>
      <c r="B334" s="28">
        <v>4.3014701502129082E-4</v>
      </c>
      <c r="C334" s="17">
        <f t="shared" si="82"/>
        <v>0.51739934526986442</v>
      </c>
      <c r="D334" s="17">
        <f t="shared" si="84"/>
        <v>5.0260028825697134</v>
      </c>
      <c r="E334" s="17">
        <f t="shared" ref="E334:E384" si="91">(((1+B326)*(1+B325)*(1+B324)*(1+B323)*(1+B327)*(1+B328)*(1+B329)*(1+B330)*(1+B331)*(1+B332)*(1+B333)*(1+B334))-1)*100</f>
        <v>2.7336264104224295</v>
      </c>
      <c r="F334" s="30">
        <v>2.4531575622745196E-3</v>
      </c>
      <c r="G334" s="17">
        <f t="shared" si="83"/>
        <v>2.9838343431292547</v>
      </c>
      <c r="H334" s="17">
        <f t="shared" si="85"/>
        <v>0.92738977381339183</v>
      </c>
      <c r="I334" s="17">
        <f t="shared" ref="I334:I384" si="92">(((1+F326)*(1+F325)*(1+F324)*(1+F323)*(1+F327)*(1+F328)*(1+F329)*(1+F330)*(1+F331)*(1+F332)*(1+F333)*(1+F334))-1)*100</f>
        <v>2.0223282567633616</v>
      </c>
      <c r="J334" s="10">
        <v>2.448838404793631E-3</v>
      </c>
      <c r="K334" s="17">
        <f t="shared" ref="K334:K384" si="93">((1+J334)^12 - 1)*100</f>
        <v>2.9785098905535046</v>
      </c>
      <c r="L334" s="17">
        <f t="shared" si="86"/>
        <v>3.0604753448947308</v>
      </c>
      <c r="M334" s="17">
        <f t="shared" ref="M334:M384" si="94">(((1+J326)*(1+J325)*(1+J324)*(1+J323)*(1+J327)*(1+J328)*(1+J329)*(1+J330)*(1+J331)*(1+J332)*(1+J333)*(1+J334))-1)*100</f>
        <v>3.0772243422948042</v>
      </c>
      <c r="N334" s="11">
        <v>2.5315150709252564E-3</v>
      </c>
      <c r="O334" s="17">
        <f t="shared" ref="O334:O384" si="95">((1+N334)^12 - 1)*100</f>
        <v>3.0804735933135374</v>
      </c>
      <c r="P334" s="17">
        <f t="shared" si="87"/>
        <v>3.2398931597885872</v>
      </c>
      <c r="Q334" s="17">
        <f t="shared" ref="Q334:Q384" si="96">(((1+N326)*(1+N325)*(1+N324)*(1+N323)*(1+N327)*(1+N328)*(1+N329)*(1+N330)*(1+N331)*(1+N332)*(1+N333)*(1+N334))-1)*100</f>
        <v>3.2649238481221365</v>
      </c>
      <c r="R334" s="10">
        <v>2.0230867622269711E-3</v>
      </c>
      <c r="S334" s="17">
        <v>2.4549001204156928</v>
      </c>
      <c r="T334" s="17">
        <f t="shared" si="89"/>
        <v>2.5450670324537628</v>
      </c>
      <c r="U334" s="17">
        <f t="shared" si="90"/>
        <v>2.9370117073031388</v>
      </c>
      <c r="V334" s="11">
        <v>2.0801698676632635E-3</v>
      </c>
      <c r="W334" s="17">
        <v>2.5249616997683244</v>
      </c>
      <c r="X334" s="17">
        <f t="shared" si="88"/>
        <v>2.7564128756340622</v>
      </c>
      <c r="Y334" s="17">
        <f t="shared" ref="Y334:Y384" si="97">(((1+V326)*(1+V325)*(1+V324)*(1+V323)*(1+V327)*(1+V328)*(1+V329)*(1+V330)*(1+V331)*(1+V332)*(1+V333)*(1+V334))-1)*100</f>
        <v>3.2463036585822946</v>
      </c>
    </row>
    <row r="335" spans="1:25" x14ac:dyDescent="0.25">
      <c r="A335" s="7">
        <v>34608</v>
      </c>
      <c r="B335" s="28">
        <v>-9.9402325978456985E-4</v>
      </c>
      <c r="C335" s="17">
        <f t="shared" si="82"/>
        <v>-1.1863281285885874</v>
      </c>
      <c r="D335" s="17">
        <f t="shared" si="84"/>
        <v>2.2421092331051939</v>
      </c>
      <c r="E335" s="17">
        <f t="shared" si="91"/>
        <v>1.8148942891348607</v>
      </c>
      <c r="F335" s="30">
        <v>1.0580572652326297E-3</v>
      </c>
      <c r="G335" s="17">
        <f t="shared" si="83"/>
        <v>1.2770834411323095</v>
      </c>
      <c r="H335" s="17">
        <f t="shared" si="85"/>
        <v>0.99485618399306475</v>
      </c>
      <c r="I335" s="17">
        <f t="shared" si="92"/>
        <v>1.9566677665190824</v>
      </c>
      <c r="J335" s="10">
        <v>1.8868242222899736E-3</v>
      </c>
      <c r="K335" s="17">
        <f t="shared" si="93"/>
        <v>2.2878341737475383</v>
      </c>
      <c r="L335" s="17">
        <f t="shared" si="86"/>
        <v>3.0697723450515468</v>
      </c>
      <c r="M335" s="17">
        <f t="shared" si="94"/>
        <v>2.9996249166831523</v>
      </c>
      <c r="N335" s="11">
        <v>1.9671200948118343E-3</v>
      </c>
      <c r="O335" s="17">
        <f t="shared" si="95"/>
        <v>2.386251424612662</v>
      </c>
      <c r="P335" s="17">
        <f t="shared" si="87"/>
        <v>3.2234996342336064</v>
      </c>
      <c r="Q335" s="17">
        <f t="shared" si="96"/>
        <v>3.1795591931657485</v>
      </c>
      <c r="R335" s="10">
        <v>1.5004445431752037E-3</v>
      </c>
      <c r="S335" s="17">
        <v>1.8154668225979886</v>
      </c>
      <c r="T335" s="17">
        <f t="shared" si="89"/>
        <v>2.3400639026708525</v>
      </c>
      <c r="U335" s="17">
        <f t="shared" si="90"/>
        <v>2.7591021151190276</v>
      </c>
      <c r="V335" s="11">
        <v>1.5618859581127864E-3</v>
      </c>
      <c r="W335" s="17">
        <v>1.8904478886134335</v>
      </c>
      <c r="X335" s="17">
        <f t="shared" si="88"/>
        <v>2.4581106774813177</v>
      </c>
      <c r="Y335" s="17">
        <f t="shared" si="97"/>
        <v>3.0319366137247838</v>
      </c>
    </row>
    <row r="336" spans="1:25" x14ac:dyDescent="0.25">
      <c r="A336" s="7">
        <v>34639</v>
      </c>
      <c r="B336" s="28">
        <v>1.3102321206480694E-3</v>
      </c>
      <c r="C336" s="17">
        <f t="shared" si="82"/>
        <v>1.5836584494480554</v>
      </c>
      <c r="D336" s="17">
        <f t="shared" si="84"/>
        <v>0.29840892178158995</v>
      </c>
      <c r="E336" s="17">
        <f t="shared" si="91"/>
        <v>1.9227049113945016</v>
      </c>
      <c r="F336" s="30">
        <v>-2.6123436308834628E-4</v>
      </c>
      <c r="G336" s="17">
        <f t="shared" si="83"/>
        <v>-0.31303122129073824</v>
      </c>
      <c r="H336" s="17">
        <f t="shared" si="85"/>
        <v>1.3070209787954701</v>
      </c>
      <c r="I336" s="17">
        <f t="shared" si="92"/>
        <v>1.5586967571622923</v>
      </c>
      <c r="J336" s="10">
        <v>3.0225352638074995E-3</v>
      </c>
      <c r="K336" s="17">
        <f t="shared" si="93"/>
        <v>3.6879497028856401</v>
      </c>
      <c r="L336" s="17">
        <f t="shared" si="86"/>
        <v>2.9831783091195607</v>
      </c>
      <c r="M336" s="17">
        <f t="shared" si="94"/>
        <v>2.9761586235131476</v>
      </c>
      <c r="N336" s="11">
        <v>3.0264159830906729E-3</v>
      </c>
      <c r="O336" s="17">
        <f t="shared" si="95"/>
        <v>3.692763860586612</v>
      </c>
      <c r="P336" s="17">
        <f t="shared" si="87"/>
        <v>3.0517804307999663</v>
      </c>
      <c r="Q336" s="17">
        <f t="shared" si="96"/>
        <v>3.1329218821331439</v>
      </c>
      <c r="R336" s="10">
        <v>2.9168915484656895E-3</v>
      </c>
      <c r="S336" s="17">
        <v>3.5569739384216925</v>
      </c>
      <c r="T336" s="17">
        <f t="shared" si="89"/>
        <v>2.6065961882286048</v>
      </c>
      <c r="U336" s="17">
        <f t="shared" si="90"/>
        <v>2.6923523636910307</v>
      </c>
      <c r="V336" s="11">
        <v>2.90092046220616E-3</v>
      </c>
      <c r="W336" s="17">
        <v>3.5371863864203101</v>
      </c>
      <c r="X336" s="17">
        <f t="shared" si="88"/>
        <v>2.6486279218578934</v>
      </c>
      <c r="Y336" s="17">
        <f t="shared" si="97"/>
        <v>2.9136540409578249</v>
      </c>
    </row>
    <row r="337" spans="1:25" x14ac:dyDescent="0.25">
      <c r="A337" s="7">
        <v>34669</v>
      </c>
      <c r="B337" s="28">
        <v>4.3398536453701118E-3</v>
      </c>
      <c r="C337" s="17">
        <f t="shared" si="82"/>
        <v>5.333946873154316</v>
      </c>
      <c r="D337" s="17">
        <f t="shared" si="84"/>
        <v>1.8754988350251134</v>
      </c>
      <c r="E337" s="17">
        <f t="shared" si="91"/>
        <v>2.3678268194360141</v>
      </c>
      <c r="F337" s="30">
        <v>7.698755128365594E-4</v>
      </c>
      <c r="G337" s="17">
        <f t="shared" si="83"/>
        <v>0.92777254648490626</v>
      </c>
      <c r="H337" s="17">
        <f t="shared" si="85"/>
        <v>0.62828900178741875</v>
      </c>
      <c r="I337" s="17">
        <f t="shared" si="92"/>
        <v>1.6632405405910822</v>
      </c>
      <c r="J337" s="10">
        <v>1.1486443795182247E-3</v>
      </c>
      <c r="K337" s="17">
        <f t="shared" si="93"/>
        <v>1.3871146166226866</v>
      </c>
      <c r="L337" s="17">
        <f t="shared" si="86"/>
        <v>2.4499327973787288</v>
      </c>
      <c r="M337" s="17">
        <f t="shared" si="94"/>
        <v>2.7678662141908505</v>
      </c>
      <c r="N337" s="11">
        <v>1.1093296991968502E-3</v>
      </c>
      <c r="O337" s="17">
        <f t="shared" si="95"/>
        <v>1.3393477892575945</v>
      </c>
      <c r="P337" s="17">
        <f t="shared" si="87"/>
        <v>2.4682689252144119</v>
      </c>
      <c r="Q337" s="17">
        <f t="shared" si="96"/>
        <v>2.8962125257658844</v>
      </c>
      <c r="R337" s="10">
        <v>2.0284530430506186E-3</v>
      </c>
      <c r="S337" s="17">
        <v>2.4614846149374925</v>
      </c>
      <c r="T337" s="17">
        <f t="shared" si="89"/>
        <v>2.6087942223456118</v>
      </c>
      <c r="U337" s="17">
        <f t="shared" si="90"/>
        <v>2.6279076431483084</v>
      </c>
      <c r="V337" s="11">
        <v>2.1491351895627825E-3</v>
      </c>
      <c r="W337" s="17">
        <v>2.609665629237834</v>
      </c>
      <c r="X337" s="17">
        <f t="shared" si="88"/>
        <v>2.6768888403827962</v>
      </c>
      <c r="Y337" s="17">
        <f t="shared" si="97"/>
        <v>2.8296582336230669</v>
      </c>
    </row>
    <row r="338" spans="1:25" x14ac:dyDescent="0.25">
      <c r="A338" s="7">
        <v>34700</v>
      </c>
      <c r="B338" s="28">
        <v>-2.2536432574902653E-4</v>
      </c>
      <c r="C338" s="17">
        <f t="shared" si="82"/>
        <v>-0.27010223466072958</v>
      </c>
      <c r="D338" s="17">
        <f t="shared" si="84"/>
        <v>2.1894026074667394</v>
      </c>
      <c r="E338" s="17">
        <f t="shared" si="91"/>
        <v>2.5687897883994504</v>
      </c>
      <c r="F338" s="30">
        <v>2.0208536504825398E-3</v>
      </c>
      <c r="G338" s="17">
        <f t="shared" si="83"/>
        <v>2.4521601783196179</v>
      </c>
      <c r="H338" s="17">
        <f t="shared" si="85"/>
        <v>1.0159764654708026</v>
      </c>
      <c r="I338" s="17">
        <f t="shared" si="92"/>
        <v>2.0526718225338358</v>
      </c>
      <c r="J338" s="10">
        <v>4.1244812036257926E-3</v>
      </c>
      <c r="K338" s="17">
        <f t="shared" si="93"/>
        <v>5.063210327669676</v>
      </c>
      <c r="L338" s="17">
        <f t="shared" si="86"/>
        <v>3.3682679378694402</v>
      </c>
      <c r="M338" s="17">
        <f t="shared" si="94"/>
        <v>2.9743379759589406</v>
      </c>
      <c r="N338" s="11">
        <v>4.4271407419025572E-3</v>
      </c>
      <c r="O338" s="17">
        <f t="shared" si="95"/>
        <v>5.4438541784584737</v>
      </c>
      <c r="P338" s="17">
        <f t="shared" si="87"/>
        <v>3.4782977276014204</v>
      </c>
      <c r="Q338" s="17">
        <f t="shared" si="96"/>
        <v>3.1283127642920627</v>
      </c>
      <c r="R338" s="10">
        <v>4.833218982426884E-3</v>
      </c>
      <c r="S338" s="17">
        <v>5.9565499269693456</v>
      </c>
      <c r="T338" s="17">
        <f t="shared" si="89"/>
        <v>3.9814656796920422</v>
      </c>
      <c r="U338" s="17">
        <f t="shared" si="90"/>
        <v>2.9205988844405395</v>
      </c>
      <c r="V338" s="11">
        <v>5.5356603338836607E-3</v>
      </c>
      <c r="W338" s="17">
        <v>6.8488185384822042</v>
      </c>
      <c r="X338" s="17">
        <f t="shared" si="88"/>
        <v>4.3161263962463003</v>
      </c>
      <c r="Y338" s="17">
        <f t="shared" si="97"/>
        <v>3.1877406966175137</v>
      </c>
    </row>
    <row r="339" spans="1:25" x14ac:dyDescent="0.25">
      <c r="A339" s="7">
        <v>34731</v>
      </c>
      <c r="B339" s="28">
        <v>1.3775523090057047E-3</v>
      </c>
      <c r="C339" s="17">
        <f t="shared" si="82"/>
        <v>1.6656449523342776</v>
      </c>
      <c r="D339" s="17">
        <f t="shared" si="84"/>
        <v>2.2168870110723882</v>
      </c>
      <c r="E339" s="17">
        <f t="shared" si="91"/>
        <v>2.5780029786037106</v>
      </c>
      <c r="F339" s="30">
        <v>4.9058391873387679E-4</v>
      </c>
      <c r="G339" s="17">
        <f t="shared" si="83"/>
        <v>0.59029174192908318</v>
      </c>
      <c r="H339" s="17">
        <f t="shared" si="85"/>
        <v>1.3201814110590515</v>
      </c>
      <c r="I339" s="17">
        <f t="shared" si="92"/>
        <v>2.213152528542528</v>
      </c>
      <c r="J339" s="10">
        <v>2.8964628968334806E-3</v>
      </c>
      <c r="K339" s="17">
        <f t="shared" si="93"/>
        <v>3.5316642557455369</v>
      </c>
      <c r="L339" s="17">
        <f t="shared" si="86"/>
        <v>3.3163072891589929</v>
      </c>
      <c r="M339" s="17">
        <f t="shared" si="94"/>
        <v>2.9921402045305134</v>
      </c>
      <c r="N339" s="11">
        <v>3.1155065380675672E-3</v>
      </c>
      <c r="O339" s="17">
        <f t="shared" si="95"/>
        <v>3.8033399335785978</v>
      </c>
      <c r="P339" s="17">
        <f t="shared" si="87"/>
        <v>3.5150671173672654</v>
      </c>
      <c r="Q339" s="17">
        <f t="shared" si="96"/>
        <v>3.1361971185426718</v>
      </c>
      <c r="R339" s="10">
        <v>2.895742582314982E-3</v>
      </c>
      <c r="S339" s="17">
        <v>3.5307719395109238</v>
      </c>
      <c r="T339" s="17">
        <f t="shared" si="89"/>
        <v>3.9726951386539922</v>
      </c>
      <c r="U339" s="17">
        <f t="shared" si="90"/>
        <v>3.0309131116135646</v>
      </c>
      <c r="V339" s="11">
        <v>3.2917045865368806E-3</v>
      </c>
      <c r="W339" s="17">
        <v>4.022349118765467</v>
      </c>
      <c r="X339" s="17">
        <f t="shared" si="88"/>
        <v>4.47881013845568</v>
      </c>
      <c r="Y339" s="17">
        <f t="shared" si="97"/>
        <v>3.3005861121486513</v>
      </c>
    </row>
    <row r="340" spans="1:25" x14ac:dyDescent="0.25">
      <c r="A340" s="7">
        <v>34759</v>
      </c>
      <c r="B340" s="28">
        <v>-1.3702523503014458E-3</v>
      </c>
      <c r="C340" s="17">
        <f t="shared" si="82"/>
        <v>-1.631967143347457</v>
      </c>
      <c r="D340" s="17">
        <f t="shared" si="84"/>
        <v>-8.7952249050260445E-2</v>
      </c>
      <c r="E340" s="17">
        <f t="shared" si="91"/>
        <v>2.3465721943584317</v>
      </c>
      <c r="F340" s="30">
        <v>2.1956169403376273E-3</v>
      </c>
      <c r="G340" s="17">
        <f t="shared" si="83"/>
        <v>2.6667911842151337</v>
      </c>
      <c r="H340" s="17">
        <f t="shared" si="85"/>
        <v>1.898797436283628</v>
      </c>
      <c r="I340" s="17">
        <f t="shared" si="92"/>
        <v>2.1575562130210946</v>
      </c>
      <c r="J340" s="10">
        <v>3.2653951887512147E-3</v>
      </c>
      <c r="K340" s="17">
        <f t="shared" si="93"/>
        <v>3.9896204038569527</v>
      </c>
      <c r="L340" s="17">
        <f t="shared" si="86"/>
        <v>4.1928582133647474</v>
      </c>
      <c r="M340" s="17">
        <f t="shared" si="94"/>
        <v>3.05630159389505</v>
      </c>
      <c r="N340" s="11">
        <v>3.2368355773464757E-3</v>
      </c>
      <c r="O340" s="17">
        <f t="shared" si="95"/>
        <v>3.9541031233502055</v>
      </c>
      <c r="P340" s="17">
        <f t="shared" si="87"/>
        <v>4.3978156086065257</v>
      </c>
      <c r="Q340" s="17">
        <f t="shared" si="96"/>
        <v>3.1781833786084013</v>
      </c>
      <c r="R340" s="10">
        <v>3.3942926966735562E-3</v>
      </c>
      <c r="S340" s="17">
        <v>4.1500582544649944</v>
      </c>
      <c r="T340" s="17">
        <f t="shared" si="89"/>
        <v>4.5407454723374929</v>
      </c>
      <c r="U340" s="17">
        <f t="shared" si="90"/>
        <v>3.1130899847987115</v>
      </c>
      <c r="V340" s="11">
        <v>3.3705832047862439E-3</v>
      </c>
      <c r="W340" s="17">
        <v>4.1205301925367754</v>
      </c>
      <c r="X340" s="17">
        <f t="shared" si="88"/>
        <v>4.9891091845133406</v>
      </c>
      <c r="Y340" s="17">
        <f t="shared" si="97"/>
        <v>3.3464732533427632</v>
      </c>
    </row>
    <row r="341" spans="1:25" x14ac:dyDescent="0.25">
      <c r="A341" s="7">
        <v>34790</v>
      </c>
      <c r="B341" s="28">
        <v>4.4140704112442955E-3</v>
      </c>
      <c r="C341" s="17">
        <f t="shared" si="82"/>
        <v>5.4273900187203017</v>
      </c>
      <c r="D341" s="17">
        <f t="shared" si="84"/>
        <v>1.7795564569313971</v>
      </c>
      <c r="E341" s="17">
        <f t="shared" si="91"/>
        <v>2.835839766546755</v>
      </c>
      <c r="F341" s="30">
        <v>2.1684907432665658E-3</v>
      </c>
      <c r="G341" s="17">
        <f t="shared" si="83"/>
        <v>2.6334498483151503</v>
      </c>
      <c r="H341" s="17">
        <f t="shared" si="85"/>
        <v>1.9588655171121294</v>
      </c>
      <c r="I341" s="17">
        <f t="shared" si="92"/>
        <v>2.2959910400774719</v>
      </c>
      <c r="J341" s="10">
        <v>3.1128968262610999E-3</v>
      </c>
      <c r="K341" s="17">
        <f t="shared" si="93"/>
        <v>3.8000993146410256</v>
      </c>
      <c r="L341" s="17">
        <f t="shared" si="86"/>
        <v>3.773624534069242</v>
      </c>
      <c r="M341" s="17">
        <f t="shared" si="94"/>
        <v>3.1697425255411638</v>
      </c>
      <c r="N341" s="11">
        <v>3.2923224773421969E-3</v>
      </c>
      <c r="O341" s="17">
        <f t="shared" si="95"/>
        <v>4.0231178842660142</v>
      </c>
      <c r="P341" s="17">
        <f t="shared" si="87"/>
        <v>3.9268131198114009</v>
      </c>
      <c r="Q341" s="17">
        <f t="shared" si="96"/>
        <v>3.3072817073582561</v>
      </c>
      <c r="R341" s="10">
        <v>3.0941245750142465E-3</v>
      </c>
      <c r="S341" s="17">
        <v>3.7767915373861483</v>
      </c>
      <c r="T341" s="17">
        <f t="shared" si="89"/>
        <v>3.8188951964926776</v>
      </c>
      <c r="U341" s="17">
        <f t="shared" si="90"/>
        <v>3.1775322293019714</v>
      </c>
      <c r="V341" s="11">
        <v>3.4144296320965093E-3</v>
      </c>
      <c r="W341" s="17">
        <v>4.1751430434161518</v>
      </c>
      <c r="X341" s="17">
        <f t="shared" si="88"/>
        <v>4.1059882548378779</v>
      </c>
      <c r="Y341" s="17">
        <f t="shared" si="97"/>
        <v>3.4283759665161284</v>
      </c>
    </row>
    <row r="342" spans="1:25" x14ac:dyDescent="0.25">
      <c r="A342" s="7">
        <v>34820</v>
      </c>
      <c r="B342" s="28">
        <v>2.3204801396297424E-3</v>
      </c>
      <c r="C342" s="17">
        <f t="shared" si="82"/>
        <v>2.8203910417254008</v>
      </c>
      <c r="D342" s="17">
        <f t="shared" si="84"/>
        <v>2.1634532790895111</v>
      </c>
      <c r="E342" s="17">
        <f t="shared" si="91"/>
        <v>2.8296730046982521</v>
      </c>
      <c r="F342" s="30">
        <v>2.0671829061252706E-3</v>
      </c>
      <c r="G342" s="17">
        <f t="shared" si="83"/>
        <v>2.5090181510985854</v>
      </c>
      <c r="H342" s="17">
        <f t="shared" si="85"/>
        <v>2.6030639250697041</v>
      </c>
      <c r="I342" s="17">
        <f t="shared" si="92"/>
        <v>1.8449203860344987</v>
      </c>
      <c r="J342" s="10">
        <v>2.3101186155660152E-3</v>
      </c>
      <c r="K342" s="17">
        <f t="shared" si="93"/>
        <v>2.8076368529518891</v>
      </c>
      <c r="L342" s="17">
        <f t="shared" si="86"/>
        <v>3.5311519243929945</v>
      </c>
      <c r="M342" s="17">
        <f t="shared" si="94"/>
        <v>3.2310396738376213</v>
      </c>
      <c r="N342" s="11">
        <v>2.3297244969389176E-3</v>
      </c>
      <c r="O342" s="17">
        <f t="shared" si="95"/>
        <v>2.8317713138381606</v>
      </c>
      <c r="P342" s="17">
        <f t="shared" si="87"/>
        <v>3.601554794469819</v>
      </c>
      <c r="Q342" s="17">
        <f t="shared" si="96"/>
        <v>3.3645936046790226</v>
      </c>
      <c r="R342" s="10">
        <v>1.5076444727839542E-3</v>
      </c>
      <c r="S342" s="17">
        <v>1.8242507609511405</v>
      </c>
      <c r="T342" s="17">
        <f t="shared" si="89"/>
        <v>3.2453085772792933</v>
      </c>
      <c r="U342" s="17">
        <f t="shared" si="90"/>
        <v>3.1989423328226296</v>
      </c>
      <c r="V342" s="11">
        <v>1.3694984929523092E-3</v>
      </c>
      <c r="W342" s="17">
        <v>1.6558333461167862</v>
      </c>
      <c r="X342" s="17">
        <f t="shared" si="88"/>
        <v>3.3104517096318231</v>
      </c>
      <c r="Y342" s="17">
        <f t="shared" si="97"/>
        <v>3.4339115715397384</v>
      </c>
    </row>
    <row r="343" spans="1:25" x14ac:dyDescent="0.25">
      <c r="A343" s="7">
        <v>34851</v>
      </c>
      <c r="B343" s="28">
        <v>2.5259729248732986E-3</v>
      </c>
      <c r="C343" s="17">
        <f t="shared" si="82"/>
        <v>3.0736356675832077</v>
      </c>
      <c r="D343" s="17">
        <f t="shared" si="84"/>
        <v>3.7672005594809654</v>
      </c>
      <c r="E343" s="17">
        <f t="shared" si="91"/>
        <v>2.6268825031212195</v>
      </c>
      <c r="F343" s="30">
        <v>1.1011496151752892E-3</v>
      </c>
      <c r="G343" s="17">
        <f t="shared" si="83"/>
        <v>1.3294116861544358</v>
      </c>
      <c r="H343" s="17">
        <f t="shared" si="85"/>
        <v>2.1555988559885719</v>
      </c>
      <c r="I343" s="17">
        <f t="shared" si="92"/>
        <v>1.4004986389996033</v>
      </c>
      <c r="J343" s="10">
        <v>2.2645736725149875E-3</v>
      </c>
      <c r="K343" s="17">
        <f t="shared" si="93"/>
        <v>2.751591948214771</v>
      </c>
      <c r="L343" s="17">
        <f t="shared" si="86"/>
        <v>3.11865384631973</v>
      </c>
      <c r="M343" s="17">
        <f t="shared" si="94"/>
        <v>3.2035773298788817</v>
      </c>
      <c r="N343" s="11">
        <v>2.3755896574958108E-3</v>
      </c>
      <c r="O343" s="17">
        <f t="shared" si="95"/>
        <v>2.888250726779007</v>
      </c>
      <c r="P343" s="17">
        <f t="shared" si="87"/>
        <v>3.2462584895039726</v>
      </c>
      <c r="Q343" s="17">
        <f t="shared" si="96"/>
        <v>3.3357676281837945</v>
      </c>
      <c r="R343" s="10">
        <v>2.0521933763695986E-3</v>
      </c>
      <c r="S343" s="17">
        <v>2.4906189587838634</v>
      </c>
      <c r="T343" s="17">
        <f t="shared" si="89"/>
        <v>2.694028993467712</v>
      </c>
      <c r="U343" s="17">
        <f t="shared" si="90"/>
        <v>3.0937971275822651</v>
      </c>
      <c r="V343" s="11">
        <v>2.2070842660802253E-3</v>
      </c>
      <c r="W343" s="17">
        <v>2.6808888826428845</v>
      </c>
      <c r="X343" s="17">
        <f t="shared" si="88"/>
        <v>2.832093314156614</v>
      </c>
      <c r="Y343" s="17">
        <f t="shared" si="97"/>
        <v>3.3091149256231356</v>
      </c>
    </row>
    <row r="344" spans="1:25" x14ac:dyDescent="0.25">
      <c r="A344" s="7">
        <v>34881</v>
      </c>
      <c r="B344" s="28">
        <v>-2.0602952171738516E-3</v>
      </c>
      <c r="C344" s="17">
        <f t="shared" si="82"/>
        <v>-2.444529986154631</v>
      </c>
      <c r="D344" s="17">
        <f t="shared" si="84"/>
        <v>1.1174612537360407</v>
      </c>
      <c r="E344" s="17">
        <f t="shared" si="91"/>
        <v>1.8311370071528721</v>
      </c>
      <c r="F344" s="30">
        <v>-8.5556483841699605E-4</v>
      </c>
      <c r="G344" s="17">
        <f t="shared" si="83"/>
        <v>-1.0218604155923017</v>
      </c>
      <c r="H344" s="17">
        <f t="shared" si="85"/>
        <v>0.92814559363680882</v>
      </c>
      <c r="I344" s="17">
        <f t="shared" si="92"/>
        <v>1.2235705295870147</v>
      </c>
      <c r="J344" s="10">
        <v>2.4439948546246142E-3</v>
      </c>
      <c r="K344" s="17">
        <f t="shared" si="93"/>
        <v>2.9725392916932547</v>
      </c>
      <c r="L344" s="17">
        <f t="shared" si="86"/>
        <v>2.8438799540648985</v>
      </c>
      <c r="M344" s="17">
        <f t="shared" si="94"/>
        <v>3.2632997333778446</v>
      </c>
      <c r="N344" s="11">
        <v>2.5293962827369954E-3</v>
      </c>
      <c r="O344" s="17">
        <f t="shared" si="95"/>
        <v>3.0778593734364756</v>
      </c>
      <c r="P344" s="17">
        <f t="shared" si="87"/>
        <v>2.9325733472456594</v>
      </c>
      <c r="Q344" s="17">
        <f t="shared" si="96"/>
        <v>3.3896520641763406</v>
      </c>
      <c r="R344" s="10">
        <v>2.125414879407401E-3</v>
      </c>
      <c r="S344" s="17">
        <v>2.5805248615123677</v>
      </c>
      <c r="T344" s="17">
        <f t="shared" si="89"/>
        <v>2.2979078882191972</v>
      </c>
      <c r="U344" s="17">
        <f t="shared" si="90"/>
        <v>3.1065352818909098</v>
      </c>
      <c r="V344" s="11">
        <v>2.2110555927805178E-3</v>
      </c>
      <c r="W344" s="17">
        <v>2.6857715650671965</v>
      </c>
      <c r="X344" s="17">
        <f t="shared" si="88"/>
        <v>2.3396824508929326</v>
      </c>
      <c r="Y344" s="17">
        <f t="shared" si="97"/>
        <v>3.3009683980302906</v>
      </c>
    </row>
    <row r="345" spans="1:25" x14ac:dyDescent="0.25">
      <c r="A345" s="7">
        <v>34912</v>
      </c>
      <c r="B345" s="28">
        <v>1.2609068160531894E-3</v>
      </c>
      <c r="C345" s="17">
        <f t="shared" si="82"/>
        <v>1.523625655589611</v>
      </c>
      <c r="D345" s="17">
        <f t="shared" si="84"/>
        <v>0.69056548798269723</v>
      </c>
      <c r="E345" s="17">
        <f t="shared" si="91"/>
        <v>1.3386838645965238</v>
      </c>
      <c r="F345" s="30">
        <v>3.5671713656841592E-3</v>
      </c>
      <c r="G345" s="17">
        <f t="shared" si="83"/>
        <v>4.3655954029435451</v>
      </c>
      <c r="H345" s="17">
        <f t="shared" si="85"/>
        <v>1.5338188264693464</v>
      </c>
      <c r="I345" s="17">
        <f t="shared" si="92"/>
        <v>1.6896233034603858</v>
      </c>
      <c r="J345" s="10">
        <v>2.2089735502172645E-3</v>
      </c>
      <c r="K345" s="17">
        <f t="shared" si="93"/>
        <v>2.6832117006191147</v>
      </c>
      <c r="L345" s="17">
        <f t="shared" si="86"/>
        <v>2.8023735327708188</v>
      </c>
      <c r="M345" s="17">
        <f t="shared" si="94"/>
        <v>3.1578634317306564</v>
      </c>
      <c r="N345" s="11">
        <v>2.136452265453114E-3</v>
      </c>
      <c r="O345" s="17">
        <f t="shared" si="95"/>
        <v>2.5940835170549459</v>
      </c>
      <c r="P345" s="17">
        <f t="shared" si="87"/>
        <v>2.853205233686662</v>
      </c>
      <c r="Q345" s="17">
        <f t="shared" si="96"/>
        <v>3.2549290777182716</v>
      </c>
      <c r="R345" s="10">
        <v>2.5963096935878705E-3</v>
      </c>
      <c r="S345" s="17">
        <v>3.160448357327228</v>
      </c>
      <c r="T345" s="17">
        <f t="shared" si="89"/>
        <v>2.7434357758585382</v>
      </c>
      <c r="U345" s="17">
        <f t="shared" si="90"/>
        <v>3.1406225467151438</v>
      </c>
      <c r="V345" s="11">
        <v>2.5487671944804313E-3</v>
      </c>
      <c r="W345" s="17">
        <v>3.101762006085873</v>
      </c>
      <c r="X345" s="17">
        <f t="shared" si="88"/>
        <v>2.8226184376157315</v>
      </c>
      <c r="Y345" s="17">
        <f t="shared" si="97"/>
        <v>3.3126666764196733</v>
      </c>
    </row>
    <row r="346" spans="1:25" x14ac:dyDescent="0.25">
      <c r="A346" s="7">
        <v>34943</v>
      </c>
      <c r="B346" s="28">
        <v>-1.8443354283439969E-3</v>
      </c>
      <c r="C346" s="17">
        <f t="shared" si="82"/>
        <v>-2.1908895801348915</v>
      </c>
      <c r="D346" s="17">
        <f t="shared" si="84"/>
        <v>-1.0537472955921112</v>
      </c>
      <c r="E346" s="17">
        <f t="shared" si="91"/>
        <v>1.1082899105843813</v>
      </c>
      <c r="F346" s="30">
        <v>-2.7755569426861186E-4</v>
      </c>
      <c r="G346" s="17">
        <f t="shared" si="83"/>
        <v>-0.33255885795633322</v>
      </c>
      <c r="H346" s="17">
        <f t="shared" si="85"/>
        <v>0.97564825016038803</v>
      </c>
      <c r="I346" s="17">
        <f t="shared" si="92"/>
        <v>1.4126176395917733</v>
      </c>
      <c r="J346" s="10">
        <v>3.1549455736138866E-3</v>
      </c>
      <c r="K346" s="17">
        <f t="shared" si="93"/>
        <v>3.8523247889332257</v>
      </c>
      <c r="L346" s="17">
        <f t="shared" si="86"/>
        <v>3.1681627263620671</v>
      </c>
      <c r="M346" s="17">
        <f t="shared" si="94"/>
        <v>3.2305259997329028</v>
      </c>
      <c r="N346" s="11">
        <v>3.4218747352283271E-3</v>
      </c>
      <c r="O346" s="17">
        <f t="shared" si="95"/>
        <v>4.1844188877250499</v>
      </c>
      <c r="P346" s="17">
        <f t="shared" si="87"/>
        <v>3.2833130056052706</v>
      </c>
      <c r="Q346" s="17">
        <f t="shared" si="96"/>
        <v>3.3466309570200803</v>
      </c>
      <c r="R346" s="10">
        <v>2.8416298271939835E-3</v>
      </c>
      <c r="S346" s="17">
        <v>3.4637579182076328</v>
      </c>
      <c r="T346" s="17">
        <f t="shared" si="89"/>
        <v>3.0675917971196176</v>
      </c>
      <c r="U346" s="17">
        <f t="shared" si="90"/>
        <v>3.2248771336775839</v>
      </c>
      <c r="V346" s="11">
        <v>3.256881570321783E-3</v>
      </c>
      <c r="W346" s="17">
        <v>3.9790315411252219</v>
      </c>
      <c r="X346" s="17">
        <f t="shared" si="88"/>
        <v>3.2541166010159328</v>
      </c>
      <c r="Y346" s="17">
        <f t="shared" si="97"/>
        <v>3.4339835406452801</v>
      </c>
    </row>
    <row r="347" spans="1:25" x14ac:dyDescent="0.25">
      <c r="A347" s="7">
        <v>34973</v>
      </c>
      <c r="B347" s="28">
        <v>2.465712632317573E-3</v>
      </c>
      <c r="C347" s="17">
        <f t="shared" si="82"/>
        <v>2.9993130712338001</v>
      </c>
      <c r="D347" s="17">
        <f t="shared" si="84"/>
        <v>0.75352561554520303</v>
      </c>
      <c r="E347" s="17">
        <f t="shared" si="91"/>
        <v>1.4584459534282557</v>
      </c>
      <c r="F347" s="30">
        <v>1.3774198279407747E-3</v>
      </c>
      <c r="G347" s="17">
        <f t="shared" si="83"/>
        <v>1.6654835495180098</v>
      </c>
      <c r="H347" s="17">
        <f t="shared" si="85"/>
        <v>1.8813594569339731</v>
      </c>
      <c r="I347" s="17">
        <f t="shared" si="92"/>
        <v>1.4449708015540796</v>
      </c>
      <c r="J347" s="10">
        <v>2.9389455383851759E-3</v>
      </c>
      <c r="K347" s="17">
        <f t="shared" si="93"/>
        <v>3.5843036689288343</v>
      </c>
      <c r="L347" s="17">
        <f t="shared" si="86"/>
        <v>3.3720683154301767</v>
      </c>
      <c r="M347" s="17">
        <f t="shared" si="94"/>
        <v>3.338932492612301</v>
      </c>
      <c r="N347" s="11">
        <v>2.9889377375744504E-3</v>
      </c>
      <c r="O347" s="17">
        <f t="shared" si="95"/>
        <v>3.6462794500266682</v>
      </c>
      <c r="P347" s="17">
        <f t="shared" si="87"/>
        <v>3.4728161097464572</v>
      </c>
      <c r="Q347" s="17">
        <f t="shared" si="96"/>
        <v>3.452025045023599</v>
      </c>
      <c r="R347" s="10">
        <v>3.006160153565978E-3</v>
      </c>
      <c r="S347" s="17">
        <v>3.6676381055099405</v>
      </c>
      <c r="T347" s="17">
        <f t="shared" si="89"/>
        <v>3.4304048143890542</v>
      </c>
      <c r="U347" s="17">
        <f t="shared" si="90"/>
        <v>3.380071581895483</v>
      </c>
      <c r="V347" s="11">
        <v>3.1111364809187701E-3</v>
      </c>
      <c r="W347" s="17">
        <v>3.7979134519134705</v>
      </c>
      <c r="X347" s="17">
        <f t="shared" si="88"/>
        <v>3.6255446786150891</v>
      </c>
      <c r="Y347" s="17">
        <f t="shared" si="97"/>
        <v>3.5939787993735761</v>
      </c>
    </row>
    <row r="348" spans="1:25" x14ac:dyDescent="0.25">
      <c r="A348" s="7">
        <v>35004</v>
      </c>
      <c r="B348" s="28">
        <v>-2.2243728214453124E-3</v>
      </c>
      <c r="C348" s="17">
        <f t="shared" si="82"/>
        <v>-2.6368325990876684</v>
      </c>
      <c r="D348" s="17">
        <f t="shared" si="84"/>
        <v>-0.64201461130395376</v>
      </c>
      <c r="E348" s="17">
        <f t="shared" si="91"/>
        <v>1.1002996836906753</v>
      </c>
      <c r="F348" s="30">
        <v>4.7720474946067544E-4</v>
      </c>
      <c r="G348" s="17">
        <f t="shared" si="83"/>
        <v>0.57415107354843453</v>
      </c>
      <c r="H348" s="17">
        <f t="shared" si="85"/>
        <v>0.63237862734679684</v>
      </c>
      <c r="I348" s="17">
        <f t="shared" si="92"/>
        <v>1.5199013101890202</v>
      </c>
      <c r="J348" s="10">
        <v>2.1876901015711781E-3</v>
      </c>
      <c r="K348" s="17">
        <f t="shared" si="93"/>
        <v>2.6570471260545903</v>
      </c>
      <c r="L348" s="17">
        <f t="shared" si="86"/>
        <v>3.3632875358432512</v>
      </c>
      <c r="M348" s="17">
        <f t="shared" si="94"/>
        <v>3.2529204591544403</v>
      </c>
      <c r="N348" s="11">
        <v>2.2583057760315545E-3</v>
      </c>
      <c r="O348" s="17">
        <f t="shared" si="95"/>
        <v>2.7438812393989043</v>
      </c>
      <c r="P348" s="17">
        <f t="shared" si="87"/>
        <v>3.5231518728129574</v>
      </c>
      <c r="Q348" s="17">
        <f t="shared" si="96"/>
        <v>3.3728022497793386</v>
      </c>
      <c r="R348" s="10">
        <v>1.8070022889037209E-3</v>
      </c>
      <c r="S348" s="17">
        <v>2.1900837811756446</v>
      </c>
      <c r="T348" s="17">
        <f t="shared" si="89"/>
        <v>3.1050813404519095</v>
      </c>
      <c r="U348" s="17">
        <f t="shared" si="90"/>
        <v>3.2656648627860774</v>
      </c>
      <c r="V348" s="11">
        <v>1.8527034804369067E-3</v>
      </c>
      <c r="W348" s="17">
        <v>2.2460392360212245</v>
      </c>
      <c r="X348" s="17">
        <f t="shared" si="88"/>
        <v>3.3380578271527739</v>
      </c>
      <c r="Y348" s="17">
        <f t="shared" si="97"/>
        <v>3.4857039283758384</v>
      </c>
    </row>
    <row r="349" spans="1:25" x14ac:dyDescent="0.25">
      <c r="A349" s="7">
        <v>35034</v>
      </c>
      <c r="B349" s="28">
        <v>3.5788329687516467E-3</v>
      </c>
      <c r="C349" s="17">
        <f t="shared" si="82"/>
        <v>4.3801492620477278</v>
      </c>
      <c r="D349" s="17">
        <f t="shared" si="84"/>
        <v>1.5349700924805587</v>
      </c>
      <c r="E349" s="17">
        <f t="shared" si="91"/>
        <v>1.0236927281941144</v>
      </c>
      <c r="F349" s="30">
        <v>1.0478616069876786E-3</v>
      </c>
      <c r="G349" s="17">
        <f t="shared" si="83"/>
        <v>1.2647061926837067</v>
      </c>
      <c r="H349" s="17">
        <f t="shared" si="85"/>
        <v>1.1671085641789647</v>
      </c>
      <c r="I349" s="17">
        <f t="shared" si="92"/>
        <v>1.5481007209970254</v>
      </c>
      <c r="J349" s="10">
        <v>1.1703434974390632E-3</v>
      </c>
      <c r="K349" s="17">
        <f t="shared" si="93"/>
        <v>1.4134876022498633</v>
      </c>
      <c r="L349" s="17">
        <f t="shared" si="86"/>
        <v>2.5477523007909841</v>
      </c>
      <c r="M349" s="17">
        <f t="shared" si="94"/>
        <v>3.2551583858692057</v>
      </c>
      <c r="N349" s="11">
        <v>1.2166521772393679E-3</v>
      </c>
      <c r="O349" s="17">
        <f t="shared" si="95"/>
        <v>1.4697919426798656</v>
      </c>
      <c r="P349" s="17">
        <f t="shared" si="87"/>
        <v>2.6160952414783667</v>
      </c>
      <c r="Q349" s="17">
        <f t="shared" si="96"/>
        <v>3.3838841815629239</v>
      </c>
      <c r="R349" s="10">
        <v>3.5643921374943651E-4</v>
      </c>
      <c r="S349" s="17">
        <v>0.42856657639993578</v>
      </c>
      <c r="T349" s="17">
        <f t="shared" si="89"/>
        <v>2.0868353488396663</v>
      </c>
      <c r="U349" s="17">
        <f t="shared" si="90"/>
        <v>3.0933527700324204</v>
      </c>
      <c r="V349" s="11">
        <v>2.6472390052722269E-4</v>
      </c>
      <c r="W349" s="17">
        <v>0.31813160871627666</v>
      </c>
      <c r="X349" s="17">
        <f t="shared" si="88"/>
        <v>2.1107620395230509</v>
      </c>
      <c r="Y349" s="17">
        <f t="shared" si="97"/>
        <v>3.2911125029194688</v>
      </c>
    </row>
    <row r="350" spans="1:25" x14ac:dyDescent="0.25">
      <c r="A350" s="7">
        <v>35065</v>
      </c>
      <c r="B350" s="28">
        <v>7.7047771120052257E-3</v>
      </c>
      <c r="C350" s="17">
        <f t="shared" si="82"/>
        <v>9.6477712714602148</v>
      </c>
      <c r="D350" s="17">
        <f t="shared" si="84"/>
        <v>3.6742268516424481</v>
      </c>
      <c r="E350" s="17">
        <f t="shared" si="91"/>
        <v>1.8250054874025867</v>
      </c>
      <c r="F350" s="30">
        <v>2.5210006568207777E-3</v>
      </c>
      <c r="G350" s="17">
        <f t="shared" si="83"/>
        <v>3.0675012138627222</v>
      </c>
      <c r="H350" s="17">
        <f t="shared" si="85"/>
        <v>1.6300353191161632</v>
      </c>
      <c r="I350" s="17">
        <f t="shared" si="92"/>
        <v>1.5987872694754213</v>
      </c>
      <c r="J350" s="10">
        <v>3.2996112586443855E-3</v>
      </c>
      <c r="K350" s="17">
        <f t="shared" si="93"/>
        <v>4.0321868110659631</v>
      </c>
      <c r="L350" s="17">
        <f t="shared" si="86"/>
        <v>2.6953402046808073</v>
      </c>
      <c r="M350" s="17">
        <f t="shared" si="94"/>
        <v>3.1703361567420929</v>
      </c>
      <c r="N350" s="11">
        <v>3.4706916356590186E-3</v>
      </c>
      <c r="O350" s="17">
        <f t="shared" si="95"/>
        <v>4.2452585601278514</v>
      </c>
      <c r="P350" s="17">
        <f t="shared" si="87"/>
        <v>2.8133908675439967</v>
      </c>
      <c r="Q350" s="17">
        <f t="shared" si="96"/>
        <v>3.2854385904248939</v>
      </c>
      <c r="R350" s="10">
        <v>3.277141613476513E-3</v>
      </c>
      <c r="S350" s="17">
        <v>4.0042317110884795</v>
      </c>
      <c r="T350" s="17">
        <f t="shared" si="89"/>
        <v>2.197202976070689</v>
      </c>
      <c r="U350" s="17">
        <f t="shared" si="90"/>
        <v>2.9337031584310225</v>
      </c>
      <c r="V350" s="11">
        <v>3.5828765241784168E-3</v>
      </c>
      <c r="W350" s="17">
        <v>4.385196115468859</v>
      </c>
      <c r="X350" s="17">
        <f t="shared" si="88"/>
        <v>2.302978929067323</v>
      </c>
      <c r="Y350" s="17">
        <f t="shared" si="97"/>
        <v>3.090517715346075</v>
      </c>
    </row>
    <row r="351" spans="1:25" x14ac:dyDescent="0.25">
      <c r="A351" s="7">
        <v>35096</v>
      </c>
      <c r="B351" s="28">
        <v>9.3077256579333163E-4</v>
      </c>
      <c r="C351" s="17">
        <f t="shared" si="82"/>
        <v>1.1226626841075671</v>
      </c>
      <c r="D351" s="17">
        <f t="shared" si="84"/>
        <v>4.991805997930765</v>
      </c>
      <c r="E351" s="17">
        <f t="shared" si="91"/>
        <v>1.7795747208557255</v>
      </c>
      <c r="F351" s="30">
        <v>-4.9148485951932121E-4</v>
      </c>
      <c r="G351" s="17">
        <f t="shared" si="83"/>
        <v>-0.58819016179341155</v>
      </c>
      <c r="H351" s="17">
        <f t="shared" si="85"/>
        <v>1.2370025905960924</v>
      </c>
      <c r="I351" s="17">
        <f t="shared" si="92"/>
        <v>1.499059197578001</v>
      </c>
      <c r="J351" s="10">
        <v>2.7735832808248083E-3</v>
      </c>
      <c r="K351" s="17">
        <f t="shared" si="93"/>
        <v>3.379544526685474</v>
      </c>
      <c r="L351" s="17">
        <f t="shared" si="86"/>
        <v>2.9356995049187651</v>
      </c>
      <c r="M351" s="17">
        <f t="shared" si="94"/>
        <v>3.1576952393997271</v>
      </c>
      <c r="N351" s="11">
        <v>2.8039961147088327E-3</v>
      </c>
      <c r="O351" s="17">
        <f t="shared" si="95"/>
        <v>3.4171752278738809</v>
      </c>
      <c r="P351" s="17">
        <f t="shared" si="87"/>
        <v>3.0374852362646809</v>
      </c>
      <c r="Q351" s="17">
        <f t="shared" si="96"/>
        <v>3.2533640282310428</v>
      </c>
      <c r="R351" s="10">
        <v>3.4042899614792257E-3</v>
      </c>
      <c r="S351" s="17">
        <v>4.1625112585800927</v>
      </c>
      <c r="T351" s="17">
        <f t="shared" si="89"/>
        <v>2.8505389965081562</v>
      </c>
      <c r="U351" s="17">
        <f t="shared" si="90"/>
        <v>2.9858986786095665</v>
      </c>
      <c r="V351" s="11">
        <v>3.5954911558334088E-3</v>
      </c>
      <c r="W351" s="17">
        <v>4.4009421613598665</v>
      </c>
      <c r="X351" s="17">
        <f t="shared" si="88"/>
        <v>3.0166891847493327</v>
      </c>
      <c r="Y351" s="17">
        <f t="shared" si="97"/>
        <v>3.1217324802649715</v>
      </c>
    </row>
    <row r="352" spans="1:25" x14ac:dyDescent="0.25">
      <c r="A352" s="7">
        <v>35125</v>
      </c>
      <c r="B352" s="28">
        <v>5.267678017584136E-3</v>
      </c>
      <c r="C352" s="17">
        <f t="shared" si="82"/>
        <v>6.5076074429838648</v>
      </c>
      <c r="D352" s="17">
        <f t="shared" si="84"/>
        <v>5.700322249856149</v>
      </c>
      <c r="E352" s="17">
        <f t="shared" si="91"/>
        <v>2.4561074713171482</v>
      </c>
      <c r="F352" s="30">
        <v>2.9245358985882006E-3</v>
      </c>
      <c r="G352" s="17">
        <f t="shared" si="83"/>
        <v>3.5664462162566135</v>
      </c>
      <c r="H352" s="17">
        <f t="shared" si="85"/>
        <v>1.9983000929528538</v>
      </c>
      <c r="I352" s="17">
        <f t="shared" si="92"/>
        <v>1.572881700134543</v>
      </c>
      <c r="J352" s="10">
        <v>2.076609619406511E-3</v>
      </c>
      <c r="K352" s="17">
        <f t="shared" si="93"/>
        <v>2.5205907059745458</v>
      </c>
      <c r="L352" s="17">
        <f t="shared" si="86"/>
        <v>3.3089182303069231</v>
      </c>
      <c r="M352" s="17">
        <f t="shared" si="94"/>
        <v>3.0354619997648769</v>
      </c>
      <c r="N352" s="11">
        <v>2.0409747731101528E-3</v>
      </c>
      <c r="O352" s="17">
        <f t="shared" si="95"/>
        <v>2.4768504449037776</v>
      </c>
      <c r="P352" s="17">
        <f t="shared" si="87"/>
        <v>3.3772361952071339</v>
      </c>
      <c r="Q352" s="17">
        <f t="shared" si="96"/>
        <v>3.1302857613969781</v>
      </c>
      <c r="R352" s="10">
        <v>1.82656631576963E-3</v>
      </c>
      <c r="S352" s="17">
        <v>2.2140340744693843</v>
      </c>
      <c r="T352" s="17">
        <f t="shared" si="89"/>
        <v>3.4564710383916619</v>
      </c>
      <c r="U352" s="17">
        <f t="shared" si="90"/>
        <v>2.8249911356877488</v>
      </c>
      <c r="V352" s="11">
        <v>1.7080742491856844E-3</v>
      </c>
      <c r="W352" s="17">
        <v>2.0690547713536178</v>
      </c>
      <c r="X352" s="17">
        <f t="shared" si="88"/>
        <v>3.6125766975604101</v>
      </c>
      <c r="Y352" s="17">
        <f t="shared" si="97"/>
        <v>2.9508675908260784</v>
      </c>
    </row>
    <row r="353" spans="1:25" x14ac:dyDescent="0.25">
      <c r="A353" s="7">
        <v>35156</v>
      </c>
      <c r="B353" s="28">
        <v>6.431779199487917E-3</v>
      </c>
      <c r="C353" s="17">
        <f t="shared" si="82"/>
        <v>7.9971015048604599</v>
      </c>
      <c r="D353" s="17">
        <f t="shared" si="84"/>
        <v>5.1672235210817208</v>
      </c>
      <c r="E353" s="17">
        <f t="shared" si="91"/>
        <v>2.6619255642172934</v>
      </c>
      <c r="F353" s="30">
        <v>-3.1256986068129091E-3</v>
      </c>
      <c r="G353" s="17">
        <f t="shared" si="83"/>
        <v>-3.6870235181499567</v>
      </c>
      <c r="H353" s="17">
        <f t="shared" si="85"/>
        <v>-0.28037889044133513</v>
      </c>
      <c r="I353" s="17">
        <f t="shared" si="92"/>
        <v>1.0362992057528109</v>
      </c>
      <c r="J353" s="10">
        <v>2.2453805395825205E-3</v>
      </c>
      <c r="K353" s="17">
        <f t="shared" si="93"/>
        <v>2.7279824065810088</v>
      </c>
      <c r="L353" s="17">
        <f t="shared" si="86"/>
        <v>2.8753891273733956</v>
      </c>
      <c r="M353" s="17">
        <f t="shared" si="94"/>
        <v>2.9463544410114784</v>
      </c>
      <c r="N353" s="11">
        <v>2.1843954297313378E-3</v>
      </c>
      <c r="O353" s="17">
        <f t="shared" si="95"/>
        <v>2.6529974035888193</v>
      </c>
      <c r="P353" s="17">
        <f t="shared" si="87"/>
        <v>2.8481991713346533</v>
      </c>
      <c r="Q353" s="17">
        <f t="shared" si="96"/>
        <v>3.0163998774297207</v>
      </c>
      <c r="R353" s="10">
        <v>2.1091177107735023E-3</v>
      </c>
      <c r="S353" s="17">
        <v>2.5605079347087445</v>
      </c>
      <c r="T353" s="17">
        <f t="shared" si="89"/>
        <v>2.9755320595846735</v>
      </c>
      <c r="U353" s="17">
        <f t="shared" si="90"/>
        <v>2.7240202301637817</v>
      </c>
      <c r="V353" s="11">
        <v>1.9690957855204171E-3</v>
      </c>
      <c r="W353" s="17">
        <v>2.3886740880554092</v>
      </c>
      <c r="X353" s="17">
        <f t="shared" si="88"/>
        <v>2.9477383224798759</v>
      </c>
      <c r="Y353" s="17">
        <f t="shared" si="97"/>
        <v>2.8025755501007499</v>
      </c>
    </row>
    <row r="354" spans="1:25" x14ac:dyDescent="0.25">
      <c r="A354" s="7">
        <v>35186</v>
      </c>
      <c r="B354" s="28">
        <v>2.1010086125396355E-3</v>
      </c>
      <c r="C354" s="17">
        <f t="shared" si="82"/>
        <v>2.5505493039912785</v>
      </c>
      <c r="D354" s="17">
        <f t="shared" si="84"/>
        <v>5.6599108434244094</v>
      </c>
      <c r="E354" s="17">
        <f t="shared" si="91"/>
        <v>2.6394463571931759</v>
      </c>
      <c r="F354" s="30">
        <v>1.4750253771718561E-3</v>
      </c>
      <c r="G354" s="17">
        <f t="shared" si="83"/>
        <v>1.7844609092498631</v>
      </c>
      <c r="H354" s="17">
        <f t="shared" si="85"/>
        <v>0.50672454933533562</v>
      </c>
      <c r="I354" s="17">
        <f t="shared" si="92"/>
        <v>0.97659322366614454</v>
      </c>
      <c r="J354" s="10">
        <v>2.6200530034625499E-3</v>
      </c>
      <c r="K354" s="17">
        <f t="shared" si="93"/>
        <v>3.1897685077117321</v>
      </c>
      <c r="L354" s="17">
        <f t="shared" si="86"/>
        <v>2.8124003916397911</v>
      </c>
      <c r="M354" s="17">
        <f t="shared" si="94"/>
        <v>2.9781875181771333</v>
      </c>
      <c r="N354" s="11">
        <v>2.6203762642839899E-3</v>
      </c>
      <c r="O354" s="17">
        <f t="shared" si="95"/>
        <v>3.1901677489005742</v>
      </c>
      <c r="P354" s="17">
        <f t="shared" si="87"/>
        <v>2.7728911960355873</v>
      </c>
      <c r="Q354" s="17">
        <f t="shared" si="96"/>
        <v>3.0462721818802274</v>
      </c>
      <c r="R354" s="10">
        <v>2.7660274078991718E-3</v>
      </c>
      <c r="S354" s="17">
        <v>3.3701973678391894</v>
      </c>
      <c r="T354" s="17">
        <f t="shared" si="89"/>
        <v>2.7137722020026844</v>
      </c>
      <c r="U354" s="17">
        <f t="shared" si="90"/>
        <v>2.8530917902237274</v>
      </c>
      <c r="V354" s="11">
        <v>2.7981013555395001E-3</v>
      </c>
      <c r="W354" s="17">
        <v>3.4098804867037424</v>
      </c>
      <c r="X354" s="17">
        <f t="shared" si="88"/>
        <v>2.6209465230718765</v>
      </c>
      <c r="Y354" s="17">
        <f t="shared" si="97"/>
        <v>2.9492387487833893</v>
      </c>
    </row>
    <row r="355" spans="1:25" x14ac:dyDescent="0.25">
      <c r="A355" s="7">
        <v>35217</v>
      </c>
      <c r="B355" s="28">
        <v>-4.2637086769511815E-4</v>
      </c>
      <c r="C355" s="17">
        <f t="shared" si="82"/>
        <v>-0.51044691686737975</v>
      </c>
      <c r="D355" s="17">
        <f t="shared" si="84"/>
        <v>3.2862532665144162</v>
      </c>
      <c r="E355" s="17">
        <f t="shared" si="91"/>
        <v>2.3371829340907757</v>
      </c>
      <c r="F355" s="30">
        <v>-6.5962359571552752E-5</v>
      </c>
      <c r="G355" s="17">
        <f t="shared" si="83"/>
        <v>-7.9126120982053738E-2</v>
      </c>
      <c r="H355" s="17">
        <f t="shared" si="85"/>
        <v>-0.6866794062527326</v>
      </c>
      <c r="I355" s="17">
        <f t="shared" si="92"/>
        <v>0.85887186137842964</v>
      </c>
      <c r="J355" s="10">
        <v>2.4762280837351109E-3</v>
      </c>
      <c r="K355" s="17">
        <f t="shared" si="93"/>
        <v>3.0122788624496799</v>
      </c>
      <c r="L355" s="17">
        <f t="shared" si="86"/>
        <v>2.9765008869053089</v>
      </c>
      <c r="M355" s="17">
        <f t="shared" si="94"/>
        <v>2.9999340591806423</v>
      </c>
      <c r="N355" s="11">
        <v>2.5219711885641348E-3</v>
      </c>
      <c r="O355" s="17">
        <f t="shared" si="95"/>
        <v>3.0686985651104948</v>
      </c>
      <c r="P355" s="17">
        <f t="shared" si="87"/>
        <v>2.970364146503357</v>
      </c>
      <c r="Q355" s="17">
        <f t="shared" si="96"/>
        <v>3.0613205043339198</v>
      </c>
      <c r="R355" s="10">
        <v>2.6835576598181299E-3</v>
      </c>
      <c r="S355" s="17">
        <v>3.2682267122957853</v>
      </c>
      <c r="T355" s="17">
        <f t="shared" si="89"/>
        <v>3.0656807240126094</v>
      </c>
      <c r="U355" s="17">
        <f t="shared" si="90"/>
        <v>2.9178965668889001</v>
      </c>
      <c r="V355" s="11">
        <v>2.8112717863546743E-3</v>
      </c>
      <c r="W355" s="17">
        <v>3.4261794931737199</v>
      </c>
      <c r="X355" s="17">
        <f t="shared" si="88"/>
        <v>3.0737664122999497</v>
      </c>
      <c r="Y355" s="17">
        <f t="shared" si="97"/>
        <v>3.0113024143175071</v>
      </c>
    </row>
    <row r="356" spans="1:25" x14ac:dyDescent="0.25">
      <c r="A356" s="7">
        <v>35247</v>
      </c>
      <c r="B356" s="28">
        <v>7.1812230293626989E-4</v>
      </c>
      <c r="C356" s="17">
        <f t="shared" si="82"/>
        <v>0.8651585417190244</v>
      </c>
      <c r="D356" s="17">
        <f t="shared" si="84"/>
        <v>0.9606680206978524</v>
      </c>
      <c r="E356" s="17">
        <f t="shared" si="91"/>
        <v>2.6221053804671657</v>
      </c>
      <c r="F356" s="30">
        <v>-2.3258094306380749E-5</v>
      </c>
      <c r="G356" s="17">
        <f t="shared" si="83"/>
        <v>-2.7906143247347082E-2</v>
      </c>
      <c r="H356" s="17">
        <f t="shared" si="85"/>
        <v>0.55542306441838107</v>
      </c>
      <c r="I356" s="17">
        <f t="shared" si="92"/>
        <v>0.94288926296666187</v>
      </c>
      <c r="J356" s="10">
        <v>2.7143625107462883E-3</v>
      </c>
      <c r="K356" s="17">
        <f t="shared" si="93"/>
        <v>3.3063049262028077</v>
      </c>
      <c r="L356" s="17">
        <f t="shared" si="86"/>
        <v>3.1693799218395657</v>
      </c>
      <c r="M356" s="17">
        <f t="shared" si="94"/>
        <v>3.0277140158617044</v>
      </c>
      <c r="N356" s="11">
        <v>2.6816290406333058E-3</v>
      </c>
      <c r="O356" s="17">
        <f t="shared" si="95"/>
        <v>3.2658431529994258</v>
      </c>
      <c r="P356" s="17">
        <f t="shared" si="87"/>
        <v>3.1748711947807484</v>
      </c>
      <c r="Q356" s="17">
        <f t="shared" si="96"/>
        <v>3.0769702290312395</v>
      </c>
      <c r="R356" s="10">
        <v>1.6283248458361982E-3</v>
      </c>
      <c r="S356" s="17">
        <v>1.9715846627959888</v>
      </c>
      <c r="T356" s="17">
        <f t="shared" si="89"/>
        <v>2.8680272254526296</v>
      </c>
      <c r="U356" s="17">
        <f t="shared" si="90"/>
        <v>2.8668456106912599</v>
      </c>
      <c r="V356" s="11">
        <v>1.3348949780898993E-3</v>
      </c>
      <c r="W356" s="17">
        <v>1.6136872971951766</v>
      </c>
      <c r="X356" s="17">
        <f t="shared" si="88"/>
        <v>2.8130500748368314</v>
      </c>
      <c r="Y356" s="17">
        <f t="shared" si="97"/>
        <v>2.9212470856122996</v>
      </c>
    </row>
    <row r="357" spans="1:25" x14ac:dyDescent="0.25">
      <c r="A357" s="7">
        <v>35278</v>
      </c>
      <c r="B357" s="28">
        <v>-5.6402857948146938E-4</v>
      </c>
      <c r="C357" s="17">
        <f t="shared" si="82"/>
        <v>-0.6747385915339188</v>
      </c>
      <c r="D357" s="17">
        <f t="shared" si="84"/>
        <v>-0.10905445897391175</v>
      </c>
      <c r="E357" s="17">
        <f t="shared" si="91"/>
        <v>2.4350625116222213</v>
      </c>
      <c r="F357" s="30">
        <v>-1.7381688432915167E-3</v>
      </c>
      <c r="G357" s="17">
        <f t="shared" si="83"/>
        <v>-2.0659775682607906</v>
      </c>
      <c r="H357" s="17">
        <f t="shared" si="85"/>
        <v>-0.72889224578946976</v>
      </c>
      <c r="I357" s="17">
        <f t="shared" si="92"/>
        <v>0.40925645342761996</v>
      </c>
      <c r="J357" s="10">
        <v>2.2497175350618842E-3</v>
      </c>
      <c r="K357" s="17">
        <f t="shared" si="93"/>
        <v>2.7333169253456191</v>
      </c>
      <c r="L357" s="17">
        <f t="shared" si="86"/>
        <v>3.0170346064535059</v>
      </c>
      <c r="M357" s="17">
        <f t="shared" si="94"/>
        <v>3.031902523178287</v>
      </c>
      <c r="N357" s="11">
        <v>2.2697939631285313E-3</v>
      </c>
      <c r="O357" s="17">
        <f t="shared" si="95"/>
        <v>2.7580143067562846</v>
      </c>
      <c r="P357" s="17">
        <f t="shared" si="87"/>
        <v>3.0306398695919778</v>
      </c>
      <c r="Q357" s="17">
        <f t="shared" si="96"/>
        <v>3.0906853854558047</v>
      </c>
      <c r="R357" s="10">
        <v>2.5927797310614392E-3</v>
      </c>
      <c r="S357" s="17">
        <v>3.1560899275762333</v>
      </c>
      <c r="T357" s="17">
        <f t="shared" si="89"/>
        <v>2.7969556964244857</v>
      </c>
      <c r="U357" s="17">
        <f t="shared" si="90"/>
        <v>2.8664834349015678</v>
      </c>
      <c r="V357" s="11">
        <v>2.7033023419904918E-3</v>
      </c>
      <c r="W357" s="17">
        <v>3.2926318496629081</v>
      </c>
      <c r="X357" s="17">
        <f t="shared" si="88"/>
        <v>2.7741780677216665</v>
      </c>
      <c r="Y357" s="17">
        <f t="shared" si="97"/>
        <v>2.937111600756781</v>
      </c>
    </row>
    <row r="358" spans="1:25" x14ac:dyDescent="0.25">
      <c r="A358" s="7">
        <v>35309</v>
      </c>
      <c r="B358" s="28">
        <v>3.7424993899602258E-3</v>
      </c>
      <c r="C358" s="17">
        <f t="shared" si="82"/>
        <v>4.5846038368654751</v>
      </c>
      <c r="D358" s="17">
        <f t="shared" si="84"/>
        <v>1.567839850617947</v>
      </c>
      <c r="E358" s="17">
        <f t="shared" si="91"/>
        <v>3.0084077263695441</v>
      </c>
      <c r="F358" s="30">
        <v>3.3460964115234323E-3</v>
      </c>
      <c r="G358" s="17">
        <f t="shared" si="83"/>
        <v>4.0900421266024001</v>
      </c>
      <c r="H358" s="17">
        <f t="shared" si="85"/>
        <v>0.63302362356287833</v>
      </c>
      <c r="I358" s="17">
        <f t="shared" si="92"/>
        <v>0.77320568319729777</v>
      </c>
      <c r="J358" s="10">
        <v>2.9347199948430119E-3</v>
      </c>
      <c r="K358" s="17">
        <f t="shared" si="93"/>
        <v>3.57906678173876</v>
      </c>
      <c r="L358" s="17">
        <f t="shared" si="86"/>
        <v>3.2056271693707616</v>
      </c>
      <c r="M358" s="17">
        <f t="shared" si="94"/>
        <v>3.0092836242084253</v>
      </c>
      <c r="N358" s="11">
        <v>2.9597058231458214E-3</v>
      </c>
      <c r="O358" s="17">
        <f t="shared" si="95"/>
        <v>3.6100362560028909</v>
      </c>
      <c r="P358" s="17">
        <f t="shared" si="87"/>
        <v>3.2107042579872402</v>
      </c>
      <c r="Q358" s="17">
        <f t="shared" si="96"/>
        <v>3.0432025558403852</v>
      </c>
      <c r="R358" s="10">
        <v>3.5060791041321726E-3</v>
      </c>
      <c r="S358" s="17">
        <v>4.2893817189405992</v>
      </c>
      <c r="T358" s="17">
        <f t="shared" si="89"/>
        <v>3.1346765941038468</v>
      </c>
      <c r="U358" s="17">
        <f t="shared" si="90"/>
        <v>2.9346393216404199</v>
      </c>
      <c r="V358" s="11">
        <v>3.6747046735490451E-3</v>
      </c>
      <c r="W358" s="17">
        <v>4.4998691533944202</v>
      </c>
      <c r="X358" s="17">
        <f t="shared" si="88"/>
        <v>3.1285948205046488</v>
      </c>
      <c r="Y358" s="17">
        <f t="shared" si="97"/>
        <v>2.9799814820367976</v>
      </c>
    </row>
    <row r="359" spans="1:25" x14ac:dyDescent="0.25">
      <c r="A359" s="7">
        <v>35339</v>
      </c>
      <c r="B359" s="28">
        <v>4.3169975467754525E-3</v>
      </c>
      <c r="C359" s="17">
        <f t="shared" si="82"/>
        <v>5.3051850342119566</v>
      </c>
      <c r="D359" s="17">
        <f t="shared" si="84"/>
        <v>3.0368111310939305</v>
      </c>
      <c r="E359" s="17">
        <f t="shared" si="91"/>
        <v>3.1986365879486778</v>
      </c>
      <c r="F359" s="30">
        <v>7.3853321173678076E-4</v>
      </c>
      <c r="G359" s="17">
        <f t="shared" si="83"/>
        <v>0.88984857746052803</v>
      </c>
      <c r="H359" s="17">
        <f t="shared" si="85"/>
        <v>0.94002679976377124</v>
      </c>
      <c r="I359" s="17">
        <f t="shared" si="92"/>
        <v>0.70891159077204335</v>
      </c>
      <c r="J359" s="10">
        <v>2.4231965091678631E-3</v>
      </c>
      <c r="K359" s="17">
        <f t="shared" si="93"/>
        <v>2.9469049729638819</v>
      </c>
      <c r="L359" s="17">
        <f t="shared" si="86"/>
        <v>3.085804876230358</v>
      </c>
      <c r="M359" s="17">
        <f t="shared" si="94"/>
        <v>2.9563123658223889</v>
      </c>
      <c r="N359" s="11">
        <v>2.1893996938431273E-3</v>
      </c>
      <c r="O359" s="17">
        <f t="shared" si="95"/>
        <v>2.6591485688414407</v>
      </c>
      <c r="P359" s="17">
        <f t="shared" si="87"/>
        <v>3.0081835842679094</v>
      </c>
      <c r="Q359" s="17">
        <f t="shared" si="96"/>
        <v>2.961061110913632</v>
      </c>
      <c r="R359" s="10">
        <v>2.2944248539394107E-3</v>
      </c>
      <c r="S359" s="17">
        <v>2.7883218775240914</v>
      </c>
      <c r="T359" s="17">
        <f t="shared" si="89"/>
        <v>3.4092956943285513</v>
      </c>
      <c r="U359" s="17">
        <f t="shared" si="90"/>
        <v>2.8615966831502249</v>
      </c>
      <c r="V359" s="11">
        <v>1.8424873044858505E-3</v>
      </c>
      <c r="W359" s="17">
        <v>2.2335283556358831</v>
      </c>
      <c r="X359" s="17">
        <f t="shared" si="88"/>
        <v>3.3378638695079843</v>
      </c>
      <c r="Y359" s="17">
        <f t="shared" si="97"/>
        <v>2.8497412086065044</v>
      </c>
    </row>
    <row r="360" spans="1:25" x14ac:dyDescent="0.25">
      <c r="A360" s="7">
        <v>35370</v>
      </c>
      <c r="B360" s="28">
        <v>4.5162060982673682E-3</v>
      </c>
      <c r="C360" s="17">
        <f t="shared" si="82"/>
        <v>5.5561089227771587</v>
      </c>
      <c r="D360" s="17">
        <f t="shared" si="84"/>
        <v>5.1478252291654369</v>
      </c>
      <c r="E360" s="17">
        <f t="shared" si="91"/>
        <v>3.8958059067611961</v>
      </c>
      <c r="F360" s="30">
        <v>1.3472772374924357E-3</v>
      </c>
      <c r="G360" s="17">
        <f t="shared" si="83"/>
        <v>1.6287666791386934</v>
      </c>
      <c r="H360" s="17">
        <f t="shared" si="85"/>
        <v>2.1937736941084252</v>
      </c>
      <c r="I360" s="17">
        <f t="shared" si="92"/>
        <v>0.79649384937701129</v>
      </c>
      <c r="J360" s="10">
        <v>2.6425799395478054E-3</v>
      </c>
      <c r="K360" s="17">
        <f t="shared" si="93"/>
        <v>3.2175936435338226</v>
      </c>
      <c r="L360" s="17">
        <f t="shared" si="86"/>
        <v>3.2475304607630928</v>
      </c>
      <c r="M360" s="17">
        <f t="shared" si="94"/>
        <v>3.0030439119322683</v>
      </c>
      <c r="N360" s="11">
        <v>2.6212050152275516E-3</v>
      </c>
      <c r="O360" s="17">
        <f t="shared" si="95"/>
        <v>3.1911912988664914</v>
      </c>
      <c r="P360" s="17">
        <f t="shared" si="87"/>
        <v>3.1527245304451279</v>
      </c>
      <c r="Q360" s="17">
        <f t="shared" si="96"/>
        <v>2.9983414113397888</v>
      </c>
      <c r="R360" s="10">
        <v>2.606419158148673E-3</v>
      </c>
      <c r="S360" s="17">
        <v>3.1729314043001722</v>
      </c>
      <c r="T360" s="17">
        <f t="shared" si="89"/>
        <v>3.4149229933053471</v>
      </c>
      <c r="U360" s="17">
        <f t="shared" si="90"/>
        <v>2.9436776582263402</v>
      </c>
      <c r="V360" s="11">
        <v>2.5598111483860621E-3</v>
      </c>
      <c r="W360" s="17">
        <v>3.1153919078099612</v>
      </c>
      <c r="X360" s="17">
        <f t="shared" si="88"/>
        <v>3.2787241788029275</v>
      </c>
      <c r="Y360" s="17">
        <f t="shared" si="97"/>
        <v>2.9223325590141291</v>
      </c>
    </row>
    <row r="361" spans="1:25" x14ac:dyDescent="0.25">
      <c r="A361" s="7">
        <v>35400</v>
      </c>
      <c r="B361" s="28">
        <v>3.9905508666759053E-3</v>
      </c>
      <c r="C361" s="17">
        <f t="shared" si="82"/>
        <v>4.8951733935342245</v>
      </c>
      <c r="D361" s="17">
        <f t="shared" si="84"/>
        <v>5.251803065280769</v>
      </c>
      <c r="E361" s="17">
        <f t="shared" si="91"/>
        <v>3.9384291281822303</v>
      </c>
      <c r="F361" s="30">
        <v>-5.3392251680730283E-4</v>
      </c>
      <c r="G361" s="17">
        <f t="shared" si="83"/>
        <v>-0.63882888122799297</v>
      </c>
      <c r="H361" s="17">
        <f t="shared" si="85"/>
        <v>0.62215378657917153</v>
      </c>
      <c r="I361" s="17">
        <f t="shared" si="92"/>
        <v>0.63722245005632949</v>
      </c>
      <c r="J361" s="10">
        <v>1.9710473978968419E-3</v>
      </c>
      <c r="K361" s="17">
        <f t="shared" si="93"/>
        <v>2.3910672773671537</v>
      </c>
      <c r="L361" s="17">
        <f t="shared" si="86"/>
        <v>2.8512793270521586</v>
      </c>
      <c r="M361" s="17">
        <f t="shared" si="94"/>
        <v>3.0854224397771857</v>
      </c>
      <c r="N361" s="11">
        <v>1.9608885512764586E-3</v>
      </c>
      <c r="O361" s="17">
        <f t="shared" si="95"/>
        <v>2.3786104246663164</v>
      </c>
      <c r="P361" s="17">
        <f t="shared" si="87"/>
        <v>2.7424312088552671</v>
      </c>
      <c r="Q361" s="17">
        <f t="shared" si="96"/>
        <v>3.074903374204796</v>
      </c>
      <c r="R361" s="10">
        <v>2.5822937334142823E-3</v>
      </c>
      <c r="S361" s="17">
        <v>3.143143906215573</v>
      </c>
      <c r="T361" s="17">
        <f t="shared" si="89"/>
        <v>3.0346508249218029</v>
      </c>
      <c r="U361" s="17">
        <f t="shared" si="90"/>
        <v>3.1727336638702974</v>
      </c>
      <c r="V361" s="11">
        <v>2.6959551233414832E-3</v>
      </c>
      <c r="W361" s="17">
        <v>3.2835498055700407</v>
      </c>
      <c r="X361" s="17">
        <f t="shared" si="88"/>
        <v>2.876457428726531</v>
      </c>
      <c r="Y361" s="17">
        <f t="shared" si="97"/>
        <v>3.1724943236583591</v>
      </c>
    </row>
    <row r="362" spans="1:25" x14ac:dyDescent="0.25">
      <c r="A362" s="7">
        <v>35431</v>
      </c>
      <c r="B362" s="28">
        <v>2.113875883834348E-3</v>
      </c>
      <c r="C362" s="17">
        <f t="shared" si="82"/>
        <v>2.5663517700550864</v>
      </c>
      <c r="D362" s="17">
        <f t="shared" si="84"/>
        <v>4.3312943456178754</v>
      </c>
      <c r="E362" s="17">
        <f t="shared" si="91"/>
        <v>3.3617627232334302</v>
      </c>
      <c r="F362" s="30">
        <v>1.8549164154956917E-3</v>
      </c>
      <c r="G362" s="17">
        <f t="shared" si="83"/>
        <v>2.2487494139889597</v>
      </c>
      <c r="H362" s="17">
        <f t="shared" si="85"/>
        <v>1.0719056028837048</v>
      </c>
      <c r="I362" s="17">
        <f t="shared" si="92"/>
        <v>0.57035814704342602</v>
      </c>
      <c r="J362" s="10">
        <v>1.7312791294970833E-3</v>
      </c>
      <c r="K362" s="17">
        <f t="shared" si="93"/>
        <v>2.0974319249664086</v>
      </c>
      <c r="L362" s="17">
        <f t="shared" si="86"/>
        <v>2.567602970171623</v>
      </c>
      <c r="M362" s="17">
        <f t="shared" si="94"/>
        <v>2.9242819606572601</v>
      </c>
      <c r="N362" s="11">
        <v>1.6930371389308251E-3</v>
      </c>
      <c r="O362" s="17">
        <f t="shared" si="95"/>
        <v>2.0506698112290778</v>
      </c>
      <c r="P362" s="17">
        <f t="shared" si="87"/>
        <v>2.5390380328538686</v>
      </c>
      <c r="Q362" s="17">
        <f t="shared" si="96"/>
        <v>2.8923055494648242</v>
      </c>
      <c r="R362" s="10">
        <v>8.7503389953416373E-4</v>
      </c>
      <c r="S362" s="17">
        <v>1.0551089650437495</v>
      </c>
      <c r="T362" s="17">
        <f t="shared" si="89"/>
        <v>2.4522427724094076</v>
      </c>
      <c r="U362" s="17">
        <f t="shared" si="90"/>
        <v>2.9257111721548767</v>
      </c>
      <c r="V362" s="11">
        <v>6.208731026217352E-4</v>
      </c>
      <c r="W362" s="17">
        <v>0.74759718641037587</v>
      </c>
      <c r="X362" s="17">
        <f t="shared" si="88"/>
        <v>2.3755976102226795</v>
      </c>
      <c r="Y362" s="17">
        <f t="shared" si="97"/>
        <v>2.8679880508374778</v>
      </c>
    </row>
    <row r="363" spans="1:25" x14ac:dyDescent="0.25">
      <c r="A363" s="7">
        <v>35462</v>
      </c>
      <c r="B363" s="28">
        <v>1.8427960655664234E-3</v>
      </c>
      <c r="C363" s="17">
        <f t="shared" si="82"/>
        <v>2.2339064484632409</v>
      </c>
      <c r="D363" s="17">
        <f t="shared" si="84"/>
        <v>3.2250550328468686</v>
      </c>
      <c r="E363" s="17">
        <f t="shared" si="91"/>
        <v>3.4559434190071459</v>
      </c>
      <c r="F363" s="30">
        <v>2.6970010723814976E-3</v>
      </c>
      <c r="G363" s="17">
        <f t="shared" si="83"/>
        <v>3.2848426794348962</v>
      </c>
      <c r="H363" s="17">
        <f t="shared" si="85"/>
        <v>1.6179508431531708</v>
      </c>
      <c r="I363" s="17">
        <f t="shared" si="92"/>
        <v>0.89118299971915338</v>
      </c>
      <c r="J363" s="10">
        <v>1.5988005373239755E-3</v>
      </c>
      <c r="K363" s="17">
        <f t="shared" si="93"/>
        <v>1.9355215553837235</v>
      </c>
      <c r="L363" s="17">
        <f t="shared" si="86"/>
        <v>2.1411662961453137</v>
      </c>
      <c r="M363" s="17">
        <f t="shared" si="94"/>
        <v>2.8037027268695169</v>
      </c>
      <c r="N363" s="11">
        <v>1.5452462245216826E-3</v>
      </c>
      <c r="O363" s="17">
        <f t="shared" si="95"/>
        <v>1.8701363130305237</v>
      </c>
      <c r="P363" s="17">
        <f t="shared" si="87"/>
        <v>2.0995886809501485</v>
      </c>
      <c r="Q363" s="17">
        <f t="shared" si="96"/>
        <v>2.7631520171561563</v>
      </c>
      <c r="R363" s="10">
        <v>8.7379273186554795E-4</v>
      </c>
      <c r="S363" s="17">
        <v>1.0536051751683928</v>
      </c>
      <c r="T363" s="17">
        <f t="shared" si="89"/>
        <v>1.7458764555221995</v>
      </c>
      <c r="U363" s="17">
        <f t="shared" si="90"/>
        <v>2.666141595282534</v>
      </c>
      <c r="V363" s="11">
        <v>6.1990873950987756E-4</v>
      </c>
      <c r="W363" s="17">
        <v>0.74643202880908532</v>
      </c>
      <c r="X363" s="17">
        <f t="shared" si="88"/>
        <v>1.5855280627349977</v>
      </c>
      <c r="Y363" s="17">
        <f t="shared" si="97"/>
        <v>2.5629924832567097</v>
      </c>
    </row>
    <row r="364" spans="1:25" x14ac:dyDescent="0.25">
      <c r="A364" s="7">
        <v>35490</v>
      </c>
      <c r="B364" s="28">
        <v>-5.3244196828890773E-3</v>
      </c>
      <c r="C364" s="17">
        <f t="shared" si="82"/>
        <v>-6.2054786123843524</v>
      </c>
      <c r="D364" s="17">
        <f t="shared" si="84"/>
        <v>-0.55282623260538566</v>
      </c>
      <c r="E364" s="17">
        <f t="shared" si="91"/>
        <v>2.365870113805757</v>
      </c>
      <c r="F364" s="30">
        <v>-1.5366825616998443E-3</v>
      </c>
      <c r="G364" s="17">
        <f t="shared" si="83"/>
        <v>-1.8285134346082921</v>
      </c>
      <c r="H364" s="17">
        <f t="shared" si="85"/>
        <v>1.2107527424411346</v>
      </c>
      <c r="I364" s="17">
        <f t="shared" si="92"/>
        <v>0.44239787983437751</v>
      </c>
      <c r="J364" s="10">
        <v>2.817809253828196E-3</v>
      </c>
      <c r="K364" s="17">
        <f t="shared" si="93"/>
        <v>3.4342707807044626</v>
      </c>
      <c r="L364" s="17">
        <f t="shared" si="86"/>
        <v>2.4868806484115824</v>
      </c>
      <c r="M364" s="17">
        <f t="shared" si="94"/>
        <v>2.8797428880177778</v>
      </c>
      <c r="N364" s="11">
        <v>2.8809091444307248E-3</v>
      </c>
      <c r="O364" s="17">
        <f t="shared" si="95"/>
        <v>3.5123980373681807</v>
      </c>
      <c r="P364" s="17">
        <f t="shared" si="87"/>
        <v>2.4751050595861912</v>
      </c>
      <c r="Q364" s="17">
        <f t="shared" si="96"/>
        <v>2.8492905141412228</v>
      </c>
      <c r="R364" s="10">
        <v>3.2010788106696291E-3</v>
      </c>
      <c r="S364" s="17">
        <v>3.9096509989704264</v>
      </c>
      <c r="T364" s="17">
        <f t="shared" si="89"/>
        <v>1.9972957788719103</v>
      </c>
      <c r="U364" s="17">
        <f t="shared" si="90"/>
        <v>2.8070002021219231</v>
      </c>
      <c r="V364" s="11">
        <v>3.3985952611359969E-3</v>
      </c>
      <c r="W364" s="17">
        <v>4.1554175383813119</v>
      </c>
      <c r="X364" s="17">
        <f t="shared" si="88"/>
        <v>1.870572124204295</v>
      </c>
      <c r="Y364" s="17">
        <f t="shared" si="97"/>
        <v>2.7360817278166527</v>
      </c>
    </row>
    <row r="365" spans="1:25" x14ac:dyDescent="0.25">
      <c r="A365" s="7">
        <v>35521</v>
      </c>
      <c r="B365" s="28">
        <v>-3.3362580793978949E-3</v>
      </c>
      <c r="C365" s="17">
        <f t="shared" si="82"/>
        <v>-3.9308584781923006</v>
      </c>
      <c r="D365" s="17">
        <f t="shared" si="84"/>
        <v>-2.6986694408579703</v>
      </c>
      <c r="E365" s="17">
        <f t="shared" si="91"/>
        <v>1.3723466023040087</v>
      </c>
      <c r="F365" s="30">
        <v>3.2484649379627335E-3</v>
      </c>
      <c r="G365" s="17">
        <f t="shared" si="83"/>
        <v>3.9685642769405005</v>
      </c>
      <c r="H365" s="17">
        <f t="shared" si="85"/>
        <v>1.7750525956531815</v>
      </c>
      <c r="I365" s="17">
        <f t="shared" si="92"/>
        <v>1.084641611085857</v>
      </c>
      <c r="J365" s="10">
        <v>2.4722406537277183E-3</v>
      </c>
      <c r="K365" s="17">
        <f t="shared" si="93"/>
        <v>3.0073620942963952</v>
      </c>
      <c r="L365" s="17">
        <f t="shared" si="86"/>
        <v>2.7904476197189609</v>
      </c>
      <c r="M365" s="17">
        <f t="shared" si="94"/>
        <v>2.9030299100065493</v>
      </c>
      <c r="N365" s="11">
        <v>2.5997719750584375E-3</v>
      </c>
      <c r="O365" s="17">
        <f t="shared" si="95"/>
        <v>3.164723385542767</v>
      </c>
      <c r="P365" s="17">
        <f t="shared" si="87"/>
        <v>2.8466519680079516</v>
      </c>
      <c r="Q365" s="17">
        <f t="shared" si="96"/>
        <v>2.8919185805708292</v>
      </c>
      <c r="R365" s="10">
        <v>2.1991370056148904E-3</v>
      </c>
      <c r="S365" s="17">
        <v>2.6711184925625187</v>
      </c>
      <c r="T365" s="17">
        <f t="shared" si="89"/>
        <v>2.53811525581078</v>
      </c>
      <c r="U365" s="17">
        <f t="shared" si="90"/>
        <v>2.8162353377966465</v>
      </c>
      <c r="V365" s="11">
        <v>2.3713930333708285E-3</v>
      </c>
      <c r="W365" s="17">
        <v>2.8830817257313957</v>
      </c>
      <c r="X365" s="17">
        <f t="shared" si="88"/>
        <v>2.5853082373002989</v>
      </c>
      <c r="Y365" s="17">
        <f t="shared" si="97"/>
        <v>2.7773309470868535</v>
      </c>
    </row>
    <row r="366" spans="1:25" x14ac:dyDescent="0.25">
      <c r="A366" s="7">
        <v>35551</v>
      </c>
      <c r="B366" s="28">
        <v>-3.4757342505362687E-3</v>
      </c>
      <c r="C366" s="17">
        <f t="shared" si="82"/>
        <v>-4.0920648746439632</v>
      </c>
      <c r="D366" s="17">
        <f t="shared" si="84"/>
        <v>-4.7484669854479851</v>
      </c>
      <c r="E366" s="17">
        <f t="shared" si="91"/>
        <v>0.80820435958701697</v>
      </c>
      <c r="F366" s="30">
        <v>9.7931549965049868E-5</v>
      </c>
      <c r="G366" s="17">
        <f t="shared" si="83"/>
        <v>0.11758117850937388</v>
      </c>
      <c r="H366" s="17">
        <f t="shared" si="85"/>
        <v>0.72391261414863628</v>
      </c>
      <c r="I366" s="17">
        <f t="shared" si="92"/>
        <v>0.94564360069051556</v>
      </c>
      <c r="J366" s="10">
        <v>2.1580129037539085E-3</v>
      </c>
      <c r="K366" s="17">
        <f t="shared" si="93"/>
        <v>2.6205739897298352</v>
      </c>
      <c r="L366" s="17">
        <f t="shared" si="86"/>
        <v>3.020199680489255</v>
      </c>
      <c r="M366" s="17">
        <f t="shared" si="94"/>
        <v>2.8556088295509374</v>
      </c>
      <c r="N366" s="11">
        <v>2.2928306412473595E-3</v>
      </c>
      <c r="O366" s="17">
        <f t="shared" si="95"/>
        <v>2.7863599987417054</v>
      </c>
      <c r="P366" s="17">
        <f t="shared" si="87"/>
        <v>3.1540676667832557</v>
      </c>
      <c r="Q366" s="17">
        <f t="shared" si="96"/>
        <v>2.8583048635800745</v>
      </c>
      <c r="R366" s="10">
        <v>1.9276217593653978E-3</v>
      </c>
      <c r="S366" s="17">
        <v>2.3378281613492868</v>
      </c>
      <c r="T366" s="17">
        <f t="shared" si="89"/>
        <v>2.9706510068330028</v>
      </c>
      <c r="U366" s="17">
        <f t="shared" si="90"/>
        <v>2.7302714039256326</v>
      </c>
      <c r="V366" s="11">
        <v>2.1224380477242338E-3</v>
      </c>
      <c r="W366" s="17">
        <v>2.5768683135834358</v>
      </c>
      <c r="X366" s="17">
        <f t="shared" si="88"/>
        <v>3.2028652430868609</v>
      </c>
      <c r="Y366" s="17">
        <f t="shared" si="97"/>
        <v>2.7080818417063668</v>
      </c>
    </row>
    <row r="367" spans="1:25" x14ac:dyDescent="0.25">
      <c r="A367" s="7">
        <v>35582</v>
      </c>
      <c r="B367" s="28">
        <v>1.7007908037027636E-3</v>
      </c>
      <c r="C367" s="17">
        <f t="shared" si="82"/>
        <v>2.0601493664421433</v>
      </c>
      <c r="D367" s="17">
        <f t="shared" si="84"/>
        <v>-2.0288475488940083</v>
      </c>
      <c r="E367" s="17">
        <f t="shared" si="91"/>
        <v>1.0227311760480085</v>
      </c>
      <c r="F367" s="30">
        <v>-3.1838743503277522E-3</v>
      </c>
      <c r="G367" s="17">
        <f t="shared" si="83"/>
        <v>-3.7544496432635133</v>
      </c>
      <c r="H367" s="17">
        <f t="shared" si="85"/>
        <v>6.0887795922170973E-2</v>
      </c>
      <c r="I367" s="17">
        <f t="shared" si="92"/>
        <v>0.63088320575495072</v>
      </c>
      <c r="J367" s="10">
        <v>2.0962829215047823E-3</v>
      </c>
      <c r="K367" s="17">
        <f t="shared" si="93"/>
        <v>2.5447461806978655</v>
      </c>
      <c r="L367" s="17">
        <f t="shared" si="86"/>
        <v>2.7240278249123673</v>
      </c>
      <c r="M367" s="17">
        <f t="shared" si="94"/>
        <v>2.8166258692688961</v>
      </c>
      <c r="N367" s="11">
        <v>2.1501343762977561E-3</v>
      </c>
      <c r="O367" s="17">
        <f t="shared" si="95"/>
        <v>2.6108933121292477</v>
      </c>
      <c r="P367" s="17">
        <f t="shared" si="87"/>
        <v>2.8537327605759888</v>
      </c>
      <c r="Q367" s="17">
        <f t="shared" si="96"/>
        <v>2.8201545733173905</v>
      </c>
      <c r="R367" s="10">
        <v>1.7130830415546024E-3</v>
      </c>
      <c r="S367" s="17">
        <v>2.0751793912011651</v>
      </c>
      <c r="T367" s="17">
        <f t="shared" si="89"/>
        <v>2.3610849342508455</v>
      </c>
      <c r="U367" s="17">
        <f t="shared" si="90"/>
        <v>2.6308411099278839</v>
      </c>
      <c r="V367" s="11">
        <v>1.7280832670291549E-3</v>
      </c>
      <c r="W367" s="17">
        <v>2.0935232884019106</v>
      </c>
      <c r="X367" s="17">
        <f t="shared" si="88"/>
        <v>2.5173089051620634</v>
      </c>
      <c r="Y367" s="17">
        <f t="shared" si="97"/>
        <v>2.5971415100379369</v>
      </c>
    </row>
    <row r="368" spans="1:25" x14ac:dyDescent="0.25">
      <c r="A368" s="7">
        <v>35612</v>
      </c>
      <c r="B368" s="28">
        <v>-1.2810043678858562E-3</v>
      </c>
      <c r="C368" s="17">
        <f t="shared" si="82"/>
        <v>-1.5264209380210225</v>
      </c>
      <c r="D368" s="17">
        <f t="shared" si="84"/>
        <v>-1.2182260483578067</v>
      </c>
      <c r="E368" s="17">
        <f t="shared" si="91"/>
        <v>0.82091886571582506</v>
      </c>
      <c r="F368" s="30">
        <v>3.1836536077279215E-4</v>
      </c>
      <c r="G368" s="17">
        <f t="shared" si="83"/>
        <v>0.38270809626037572</v>
      </c>
      <c r="H368" s="17">
        <f t="shared" si="85"/>
        <v>-1.1029572138517962</v>
      </c>
      <c r="I368" s="17">
        <f t="shared" si="92"/>
        <v>0.6652618753456796</v>
      </c>
      <c r="J368" s="10">
        <v>2.0502354328705138E-3</v>
      </c>
      <c r="K368" s="17">
        <f t="shared" si="93"/>
        <v>2.4882158661795994</v>
      </c>
      <c r="L368" s="17">
        <f t="shared" si="86"/>
        <v>2.5511643431731956</v>
      </c>
      <c r="M368" s="17">
        <f t="shared" si="94"/>
        <v>2.7485274078839161</v>
      </c>
      <c r="N368" s="11">
        <v>1.9173391810325064E-3</v>
      </c>
      <c r="O368" s="17">
        <f t="shared" si="95"/>
        <v>2.3252256062381571</v>
      </c>
      <c r="P368" s="17">
        <f t="shared" si="87"/>
        <v>2.5739835314459336</v>
      </c>
      <c r="Q368" s="17">
        <f t="shared" si="96"/>
        <v>2.7417803424279796</v>
      </c>
      <c r="R368" s="10">
        <v>1.790468211280302E-3</v>
      </c>
      <c r="S368" s="17">
        <v>2.1698467645482555</v>
      </c>
      <c r="T368" s="17">
        <f t="shared" si="89"/>
        <v>2.1942270720492374</v>
      </c>
      <c r="U368" s="17">
        <f t="shared" si="90"/>
        <v>2.6474549671473113</v>
      </c>
      <c r="V368" s="11">
        <v>1.4931354747924142E-3</v>
      </c>
      <c r="W368" s="17">
        <v>1.8065504450577752</v>
      </c>
      <c r="X368" s="17">
        <f t="shared" si="88"/>
        <v>2.1584864615643795</v>
      </c>
      <c r="Y368" s="17">
        <f t="shared" si="97"/>
        <v>2.613354889511843</v>
      </c>
    </row>
    <row r="369" spans="1:25" x14ac:dyDescent="0.25">
      <c r="A369" s="7">
        <v>35643</v>
      </c>
      <c r="B369" s="28">
        <v>4.4524278191132114E-3</v>
      </c>
      <c r="C369" s="17">
        <f t="shared" si="82"/>
        <v>5.4757139640704722</v>
      </c>
      <c r="D369" s="17">
        <f t="shared" si="84"/>
        <v>1.9630454878505343</v>
      </c>
      <c r="E369" s="17">
        <f t="shared" si="91"/>
        <v>1.3269680354662361</v>
      </c>
      <c r="F369" s="30">
        <v>-1.873144801777875E-3</v>
      </c>
      <c r="G369" s="17">
        <f t="shared" si="83"/>
        <v>-2.2247605125059633</v>
      </c>
      <c r="H369" s="17">
        <f t="shared" si="85"/>
        <v>-1.8803134540446576</v>
      </c>
      <c r="I369" s="17">
        <f t="shared" si="92"/>
        <v>0.65165082683735776</v>
      </c>
      <c r="J369" s="10">
        <v>1.2556950067815051E-3</v>
      </c>
      <c r="K369" s="17">
        <f t="shared" si="93"/>
        <v>1.5172843718502582</v>
      </c>
      <c r="L369" s="17">
        <f t="shared" si="86"/>
        <v>2.1823248900992187</v>
      </c>
      <c r="M369" s="17">
        <f t="shared" si="94"/>
        <v>2.6466223145681589</v>
      </c>
      <c r="N369" s="11">
        <v>1.1796144325594998E-3</v>
      </c>
      <c r="O369" s="17">
        <f t="shared" si="95"/>
        <v>1.4247573617619746</v>
      </c>
      <c r="P369" s="17">
        <f t="shared" si="87"/>
        <v>2.119038939177087</v>
      </c>
      <c r="Q369" s="17">
        <f t="shared" si="96"/>
        <v>2.6300270135955595</v>
      </c>
      <c r="R369" s="10">
        <v>3.6676023617493935E-4</v>
      </c>
      <c r="S369" s="17">
        <v>0.4410011559226934</v>
      </c>
      <c r="T369" s="17">
        <f t="shared" si="89"/>
        <v>1.5588970262798929</v>
      </c>
      <c r="U369" s="17">
        <f t="shared" si="90"/>
        <v>2.4195506370178199</v>
      </c>
      <c r="V369" s="11">
        <v>3.6385292879160883E-5</v>
      </c>
      <c r="W369" s="17">
        <v>4.3671090185570804E-2</v>
      </c>
      <c r="X369" s="17">
        <f t="shared" si="88"/>
        <v>1.3105122518343615</v>
      </c>
      <c r="Y369" s="17">
        <f t="shared" si="97"/>
        <v>2.3404313786566044</v>
      </c>
    </row>
    <row r="370" spans="1:25" x14ac:dyDescent="0.25">
      <c r="A370" s="7">
        <v>35674</v>
      </c>
      <c r="B370" s="28">
        <v>3.875539865317025E-3</v>
      </c>
      <c r="C370" s="17">
        <f t="shared" si="82"/>
        <v>4.7510704330390396</v>
      </c>
      <c r="D370" s="17">
        <f t="shared" si="84"/>
        <v>2.8514034229079055</v>
      </c>
      <c r="E370" s="17">
        <f t="shared" si="91"/>
        <v>1.3403983604769465</v>
      </c>
      <c r="F370" s="30">
        <v>1.2061764866843267E-3</v>
      </c>
      <c r="G370" s="17">
        <f t="shared" si="83"/>
        <v>1.4570525823689229</v>
      </c>
      <c r="H370" s="17">
        <f t="shared" si="85"/>
        <v>-0.14035620754015987</v>
      </c>
      <c r="I370" s="17">
        <f t="shared" si="92"/>
        <v>0.43698265416731719</v>
      </c>
      <c r="J370" s="10">
        <v>2.0439889602503606E-3</v>
      </c>
      <c r="K370" s="17">
        <f t="shared" si="93"/>
        <v>2.4805495692655999</v>
      </c>
      <c r="L370" s="17">
        <f t="shared" si="86"/>
        <v>2.1609971978584941</v>
      </c>
      <c r="M370" s="17">
        <f t="shared" si="94"/>
        <v>2.5554593203384046</v>
      </c>
      <c r="N370" s="11">
        <v>2.0178952707778069E-3</v>
      </c>
      <c r="O370" s="17">
        <f t="shared" si="95"/>
        <v>2.4485304638050653</v>
      </c>
      <c r="P370" s="17">
        <f t="shared" si="87"/>
        <v>2.0651489790850741</v>
      </c>
      <c r="Q370" s="17">
        <f t="shared" si="96"/>
        <v>2.533654206323277</v>
      </c>
      <c r="R370" s="10">
        <v>1.7662515594292897E-3</v>
      </c>
      <c r="S370" s="17">
        <v>2.1402132302880572</v>
      </c>
      <c r="T370" s="17">
        <f t="shared" si="89"/>
        <v>1.5804607496492151</v>
      </c>
      <c r="U370" s="17">
        <f t="shared" si="90"/>
        <v>2.2419808554042353</v>
      </c>
      <c r="V370" s="11">
        <v>1.6586446141932923E-3</v>
      </c>
      <c r="W370" s="17">
        <v>2.0086315737926075</v>
      </c>
      <c r="X370" s="17">
        <f t="shared" si="88"/>
        <v>1.2824242540359965</v>
      </c>
      <c r="Y370" s="17">
        <f t="shared" si="97"/>
        <v>2.1348623280478485</v>
      </c>
    </row>
    <row r="371" spans="1:25" x14ac:dyDescent="0.25">
      <c r="A371" s="7">
        <v>35704</v>
      </c>
      <c r="B371" s="28">
        <v>1.6609208296255629E-4</v>
      </c>
      <c r="C371" s="17">
        <f t="shared" si="82"/>
        <v>0.19949267182295394</v>
      </c>
      <c r="D371" s="17">
        <f t="shared" si="84"/>
        <v>3.4488074908777477</v>
      </c>
      <c r="E371" s="17">
        <f t="shared" si="91"/>
        <v>0.92155210547280042</v>
      </c>
      <c r="F371" s="30">
        <v>1.0727003088705335E-3</v>
      </c>
      <c r="G371" s="17">
        <f t="shared" si="83"/>
        <v>1.2948621190926879</v>
      </c>
      <c r="H371" s="17">
        <f t="shared" si="85"/>
        <v>0.16119926091608949</v>
      </c>
      <c r="I371" s="17">
        <f t="shared" si="92"/>
        <v>0.47052062020394025</v>
      </c>
      <c r="J371" s="10">
        <v>2.8391885730061099E-3</v>
      </c>
      <c r="K371" s="17">
        <f t="shared" si="93"/>
        <v>3.4607355711921528</v>
      </c>
      <c r="L371" s="17">
        <f t="shared" si="86"/>
        <v>2.4831186892428248</v>
      </c>
      <c r="M371" s="17">
        <f t="shared" si="94"/>
        <v>2.5980184483884727</v>
      </c>
      <c r="N371" s="11">
        <v>2.908454932242838E-3</v>
      </c>
      <c r="O371" s="17">
        <f t="shared" si="95"/>
        <v>3.5465208685828919</v>
      </c>
      <c r="P371" s="17">
        <f t="shared" si="87"/>
        <v>2.4696078043775049</v>
      </c>
      <c r="Q371" s="17">
        <f t="shared" si="96"/>
        <v>2.6072205014685323</v>
      </c>
      <c r="R371" s="10">
        <v>2.7374592893835742E-3</v>
      </c>
      <c r="S371" s="17">
        <v>3.3348635497126633</v>
      </c>
      <c r="T371" s="17">
        <f t="shared" si="89"/>
        <v>1.9651011697275234</v>
      </c>
      <c r="U371" s="17">
        <f t="shared" si="90"/>
        <v>2.2871738816685028</v>
      </c>
      <c r="V371" s="11">
        <v>2.8413992841371687E-3</v>
      </c>
      <c r="W371" s="17">
        <v>3.463472495423181</v>
      </c>
      <c r="X371" s="17">
        <f t="shared" si="88"/>
        <v>1.8289339693451367</v>
      </c>
      <c r="Y371" s="17">
        <f t="shared" si="97"/>
        <v>2.2366984338353157</v>
      </c>
    </row>
    <row r="372" spans="1:25" x14ac:dyDescent="0.25">
      <c r="A372" s="7">
        <v>35735</v>
      </c>
      <c r="B372" s="28">
        <v>-7.8170202013871221E-4</v>
      </c>
      <c r="C372" s="17">
        <f t="shared" si="82"/>
        <v>-0.93401993122480542</v>
      </c>
      <c r="D372" s="17">
        <f t="shared" si="84"/>
        <v>1.3093457912094486</v>
      </c>
      <c r="E372" s="17">
        <f t="shared" si="91"/>
        <v>0.38928283298542699</v>
      </c>
      <c r="F372" s="30">
        <v>-6.2487197760053767E-4</v>
      </c>
      <c r="G372" s="17">
        <f t="shared" si="83"/>
        <v>-0.74727466445176915</v>
      </c>
      <c r="H372" s="17">
        <f t="shared" si="85"/>
        <v>0.66319253718631899</v>
      </c>
      <c r="I372" s="17">
        <f t="shared" si="92"/>
        <v>0.2726443560093994</v>
      </c>
      <c r="J372" s="10">
        <v>1.7775912391883471E-3</v>
      </c>
      <c r="K372" s="17">
        <f t="shared" si="93"/>
        <v>2.1540884362377</v>
      </c>
      <c r="L372" s="17">
        <f t="shared" si="86"/>
        <v>2.6969597157934233</v>
      </c>
      <c r="M372" s="17">
        <f t="shared" si="94"/>
        <v>2.5095062223841058</v>
      </c>
      <c r="N372" s="11">
        <v>1.7363245929769334E-3</v>
      </c>
      <c r="O372" s="17">
        <f t="shared" si="95"/>
        <v>2.1036029587990557</v>
      </c>
      <c r="P372" s="17">
        <f t="shared" si="87"/>
        <v>2.6977126100048432</v>
      </c>
      <c r="Q372" s="17">
        <f t="shared" si="96"/>
        <v>2.5166627512941853</v>
      </c>
      <c r="R372" s="10">
        <v>1.27364330494839E-3</v>
      </c>
      <c r="S372" s="17">
        <v>1.5391238538043694</v>
      </c>
      <c r="T372" s="17">
        <f t="shared" si="89"/>
        <v>2.3353503512262508</v>
      </c>
      <c r="U372" s="17">
        <f t="shared" si="90"/>
        <v>2.1512024048889744</v>
      </c>
      <c r="V372" s="11">
        <v>1.0894133380757972E-3</v>
      </c>
      <c r="W372" s="17">
        <v>1.3151575415753625</v>
      </c>
      <c r="X372" s="17">
        <f t="shared" si="88"/>
        <v>2.2585111723496754</v>
      </c>
      <c r="Y372" s="17">
        <f t="shared" si="97"/>
        <v>2.0867536466627534</v>
      </c>
    </row>
    <row r="373" spans="1:25" x14ac:dyDescent="0.25">
      <c r="A373" s="7">
        <v>35765</v>
      </c>
      <c r="B373" s="28">
        <v>-3.5122364057743366E-3</v>
      </c>
      <c r="C373" s="17">
        <f t="shared" si="82"/>
        <v>-4.1342130641678025</v>
      </c>
      <c r="D373" s="17">
        <f t="shared" si="84"/>
        <v>-1.6401400824616053</v>
      </c>
      <c r="E373" s="17">
        <f t="shared" si="91"/>
        <v>-0.36092286653989225</v>
      </c>
      <c r="F373" s="30">
        <v>4.8712662399983135E-5</v>
      </c>
      <c r="G373" s="17">
        <f t="shared" si="83"/>
        <v>5.8470858718262519E-2</v>
      </c>
      <c r="H373" s="17">
        <f t="shared" si="85"/>
        <v>0.19850458461825315</v>
      </c>
      <c r="I373" s="17">
        <f t="shared" si="92"/>
        <v>0.33109793580581304</v>
      </c>
      <c r="J373" s="10">
        <v>2.4572961264438648E-3</v>
      </c>
      <c r="K373" s="17">
        <f t="shared" si="93"/>
        <v>2.9889364055808221</v>
      </c>
      <c r="L373" s="17">
        <f t="shared" si="86"/>
        <v>2.8664998073869796</v>
      </c>
      <c r="M373" s="17">
        <f t="shared" si="94"/>
        <v>2.5592532856292483</v>
      </c>
      <c r="N373" s="11">
        <v>2.4668625623834452E-3</v>
      </c>
      <c r="O373" s="17">
        <f t="shared" si="95"/>
        <v>3.0007308883536865</v>
      </c>
      <c r="P373" s="17">
        <f t="shared" si="87"/>
        <v>2.8818965941253882</v>
      </c>
      <c r="Q373" s="17">
        <f t="shared" si="96"/>
        <v>2.568432004615584</v>
      </c>
      <c r="R373" s="10">
        <v>2.0388456262326292E-3</v>
      </c>
      <c r="S373" s="17">
        <v>2.4742375491623614</v>
      </c>
      <c r="T373" s="17">
        <f t="shared" si="89"/>
        <v>2.446783123776175</v>
      </c>
      <c r="U373" s="17">
        <f t="shared" si="90"/>
        <v>2.0958315112074244</v>
      </c>
      <c r="V373" s="11">
        <v>1.9655307720401814E-3</v>
      </c>
      <c r="W373" s="17">
        <v>2.384302577653119</v>
      </c>
      <c r="X373" s="17">
        <f t="shared" si="88"/>
        <v>2.3838878032749422</v>
      </c>
      <c r="Y373" s="17">
        <f t="shared" si="97"/>
        <v>2.012387483692013</v>
      </c>
    </row>
    <row r="374" spans="1:25" x14ac:dyDescent="0.25">
      <c r="A374" s="7">
        <v>35796</v>
      </c>
      <c r="B374" s="28">
        <v>-2.4282767165613984E-3</v>
      </c>
      <c r="C374" s="17">
        <f t="shared" si="82"/>
        <v>-2.8753282667398405</v>
      </c>
      <c r="D374" s="17">
        <f t="shared" si="84"/>
        <v>-2.6567335508345558</v>
      </c>
      <c r="E374" s="17">
        <f t="shared" si="91"/>
        <v>-0.8125440886326829</v>
      </c>
      <c r="F374" s="31">
        <v>1.1106571339107821E-3</v>
      </c>
      <c r="G374" s="17">
        <f t="shared" si="83"/>
        <v>1.3409602686765831</v>
      </c>
      <c r="H374" s="17">
        <f t="shared" si="85"/>
        <v>0.21370201600221517</v>
      </c>
      <c r="I374" s="17">
        <f t="shared" si="92"/>
        <v>0.25656383945433792</v>
      </c>
      <c r="J374" s="14">
        <v>2.3715556904584608E-3</v>
      </c>
      <c r="K374" s="17">
        <f t="shared" si="93"/>
        <v>2.8832820667724857</v>
      </c>
      <c r="L374" s="17">
        <f t="shared" si="86"/>
        <v>2.6747636965122945</v>
      </c>
      <c r="M374" s="17">
        <f t="shared" si="94"/>
        <v>2.6248060814305196</v>
      </c>
      <c r="N374" s="15">
        <v>2.4753715585559928E-3</v>
      </c>
      <c r="O374" s="17">
        <f t="shared" si="95"/>
        <v>3.0112226914181139</v>
      </c>
      <c r="P374" s="17">
        <f t="shared" si="87"/>
        <v>2.7043027731987301</v>
      </c>
      <c r="Q374" s="17">
        <f t="shared" si="96"/>
        <v>2.6485391948915193</v>
      </c>
      <c r="R374" s="14">
        <v>2.2876587270973694E-3</v>
      </c>
      <c r="S374" s="17">
        <v>2.7799955456407233</v>
      </c>
      <c r="T374" s="17">
        <f t="shared" si="89"/>
        <v>2.2630874864329131</v>
      </c>
      <c r="U374" s="17">
        <f t="shared" si="90"/>
        <v>2.2399285278164927</v>
      </c>
      <c r="V374" s="15">
        <v>2.4612140593505611E-3</v>
      </c>
      <c r="W374" s="17">
        <v>2.993766685154009</v>
      </c>
      <c r="X374" s="17">
        <f t="shared" si="88"/>
        <v>2.2287178554014631</v>
      </c>
      <c r="Y374" s="17">
        <f t="shared" si="97"/>
        <v>2.200008569586176</v>
      </c>
    </row>
    <row r="375" spans="1:25" x14ac:dyDescent="0.25">
      <c r="A375" s="7">
        <v>35827</v>
      </c>
      <c r="B375" s="28">
        <v>-3.9660623856498847E-3</v>
      </c>
      <c r="C375" s="17">
        <f t="shared" si="82"/>
        <v>-4.6568194622499508</v>
      </c>
      <c r="D375" s="17">
        <f t="shared" si="84"/>
        <v>-3.8916885725503336</v>
      </c>
      <c r="E375" s="17">
        <f t="shared" si="91"/>
        <v>-1.3876501769212846</v>
      </c>
      <c r="F375" s="31">
        <v>2.6784884085095406E-3</v>
      </c>
      <c r="G375" s="17">
        <f t="shared" si="83"/>
        <v>3.2619617881338936</v>
      </c>
      <c r="H375" s="17">
        <f t="shared" si="85"/>
        <v>1.5452818642635036</v>
      </c>
      <c r="I375" s="17">
        <f t="shared" si="92"/>
        <v>0.2547128156003442</v>
      </c>
      <c r="J375" s="14">
        <v>2.0560656894815748E-3</v>
      </c>
      <c r="K375" s="17">
        <f t="shared" si="93"/>
        <v>2.4953718154388405</v>
      </c>
      <c r="L375" s="17">
        <f t="shared" si="86"/>
        <v>2.788977561878192</v>
      </c>
      <c r="M375" s="17">
        <f t="shared" si="94"/>
        <v>2.6716579222501702</v>
      </c>
      <c r="N375" s="15">
        <v>2.0367376964224079E-3</v>
      </c>
      <c r="O375" s="17">
        <f t="shared" si="95"/>
        <v>2.471650751233101</v>
      </c>
      <c r="P375" s="17">
        <f t="shared" si="87"/>
        <v>2.827559161306703</v>
      </c>
      <c r="Q375" s="17">
        <f t="shared" si="96"/>
        <v>2.6989122377546249</v>
      </c>
      <c r="R375" s="14">
        <v>1.75611524698229E-3</v>
      </c>
      <c r="S375" s="17">
        <v>2.1278119241225912</v>
      </c>
      <c r="T375" s="17">
        <f t="shared" si="89"/>
        <v>2.4603352372784437</v>
      </c>
      <c r="U375" s="17">
        <f t="shared" si="90"/>
        <v>2.3300583639048744</v>
      </c>
      <c r="V375" s="15">
        <v>1.6598813926587967E-3</v>
      </c>
      <c r="W375" s="17">
        <v>2.0101430220640149</v>
      </c>
      <c r="X375" s="17">
        <f t="shared" si="88"/>
        <v>2.4619361261150052</v>
      </c>
      <c r="Y375" s="17">
        <f t="shared" si="97"/>
        <v>2.3062279373357697</v>
      </c>
    </row>
    <row r="376" spans="1:25" x14ac:dyDescent="0.25">
      <c r="A376" s="7">
        <v>35855</v>
      </c>
      <c r="B376" s="28">
        <v>-4.512527998215549E-3</v>
      </c>
      <c r="C376" s="17">
        <f t="shared" si="82"/>
        <v>-5.2826395615528483</v>
      </c>
      <c r="D376" s="17">
        <f t="shared" si="84"/>
        <v>-4.2770086187064464</v>
      </c>
      <c r="E376" s="17">
        <f t="shared" si="91"/>
        <v>-1.3071590616151818</v>
      </c>
      <c r="F376" s="31">
        <v>-2.9689017795487007E-3</v>
      </c>
      <c r="G376" s="17">
        <f t="shared" si="83"/>
        <v>-3.5050791330032083</v>
      </c>
      <c r="H376" s="17">
        <f t="shared" si="85"/>
        <v>0.32517986661990683</v>
      </c>
      <c r="I376" s="17">
        <f t="shared" si="92"/>
        <v>0.11090510242079965</v>
      </c>
      <c r="J376" s="14">
        <v>2.3864676293039711E-3</v>
      </c>
      <c r="K376" s="17">
        <f t="shared" si="93"/>
        <v>2.9016502824836587</v>
      </c>
      <c r="L376" s="17">
        <f t="shared" si="86"/>
        <v>2.7599304701955152</v>
      </c>
      <c r="M376" s="17">
        <f t="shared" si="94"/>
        <v>2.6274958029578022</v>
      </c>
      <c r="N376" s="15">
        <v>2.4532233300661528E-3</v>
      </c>
      <c r="O376" s="17">
        <f t="shared" si="95"/>
        <v>2.9839154204954088</v>
      </c>
      <c r="P376" s="17">
        <f t="shared" si="87"/>
        <v>2.8219631245778753</v>
      </c>
      <c r="Q376" s="17">
        <f t="shared" si="96"/>
        <v>2.6551155441349783</v>
      </c>
      <c r="R376" s="14">
        <v>1.9810880201493511E-3</v>
      </c>
      <c r="S376" s="17">
        <v>2.4033805276750586</v>
      </c>
      <c r="T376" s="17">
        <f t="shared" si="89"/>
        <v>2.4367139891880996</v>
      </c>
      <c r="U376" s="17">
        <f t="shared" si="90"/>
        <v>2.2056149881606979</v>
      </c>
      <c r="V376" s="15">
        <v>2.0215176911645588E-3</v>
      </c>
      <c r="W376" s="17">
        <v>2.4529749236422704</v>
      </c>
      <c r="X376" s="17">
        <f t="shared" si="88"/>
        <v>2.4848391453655472</v>
      </c>
      <c r="Y376" s="17">
        <f t="shared" si="97"/>
        <v>2.165821510192778</v>
      </c>
    </row>
    <row r="377" spans="1:25" x14ac:dyDescent="0.25">
      <c r="A377" s="7">
        <v>35886</v>
      </c>
      <c r="B377" s="28">
        <v>-9.41548205915343E-4</v>
      </c>
      <c r="C377" s="17">
        <f t="shared" si="82"/>
        <v>-1.1240251855801797</v>
      </c>
      <c r="D377" s="17">
        <f t="shared" si="84"/>
        <v>-3.7050895897630998</v>
      </c>
      <c r="E377" s="17">
        <f t="shared" si="91"/>
        <v>-1.0700272079152029</v>
      </c>
      <c r="F377" s="31">
        <v>1.9297979073067194E-3</v>
      </c>
      <c r="G377" s="17">
        <f t="shared" si="83"/>
        <v>2.3404954787437315</v>
      </c>
      <c r="H377" s="17">
        <f t="shared" si="85"/>
        <v>0.65394018448157176</v>
      </c>
      <c r="I377" s="17">
        <f t="shared" si="92"/>
        <v>-2.0680396666739043E-2</v>
      </c>
      <c r="J377" s="14">
        <v>2.2345074741872608E-3</v>
      </c>
      <c r="K377" s="17">
        <f t="shared" si="93"/>
        <v>2.7146096164723854</v>
      </c>
      <c r="L377" s="17">
        <f t="shared" si="86"/>
        <v>2.7037430130810947</v>
      </c>
      <c r="M377" s="17">
        <f t="shared" si="94"/>
        <v>2.6031580109510788</v>
      </c>
      <c r="N377" s="15">
        <v>2.2848082580699358E-3</v>
      </c>
      <c r="O377" s="17">
        <f t="shared" si="95"/>
        <v>2.7764879704390344</v>
      </c>
      <c r="P377" s="17">
        <f t="shared" si="87"/>
        <v>2.7438025756935325</v>
      </c>
      <c r="Q377" s="17">
        <f t="shared" si="96"/>
        <v>2.6228667468946254</v>
      </c>
      <c r="R377" s="14">
        <v>1.8318203085785352E-3</v>
      </c>
      <c r="S377" s="17">
        <v>2.2204668919881376</v>
      </c>
      <c r="T377" s="17">
        <f t="shared" si="89"/>
        <v>2.2504890305333758</v>
      </c>
      <c r="U377" s="17">
        <f t="shared" si="90"/>
        <v>2.1681555377084161</v>
      </c>
      <c r="V377" s="15">
        <v>1.842638284996125E-3</v>
      </c>
      <c r="W377" s="17">
        <v>2.2337132383887459</v>
      </c>
      <c r="X377" s="17">
        <f t="shared" si="88"/>
        <v>2.2321172053423988</v>
      </c>
      <c r="Y377" s="17">
        <f t="shared" si="97"/>
        <v>2.1119286481053878</v>
      </c>
    </row>
    <row r="378" spans="1:25" x14ac:dyDescent="0.25">
      <c r="A378" s="7">
        <v>35916</v>
      </c>
      <c r="B378" s="28">
        <v>4.2326150048245881E-3</v>
      </c>
      <c r="C378" s="17">
        <f t="shared" si="82"/>
        <v>5.199061400719085</v>
      </c>
      <c r="D378" s="17">
        <f t="shared" si="84"/>
        <v>-0.49518957027542276</v>
      </c>
      <c r="E378" s="17">
        <f t="shared" si="91"/>
        <v>-0.30478063207671768</v>
      </c>
      <c r="F378" s="31">
        <v>3.0199821445661668E-3</v>
      </c>
      <c r="G378" s="17">
        <f t="shared" si="83"/>
        <v>3.6847825876826112</v>
      </c>
      <c r="H378" s="17">
        <f t="shared" si="85"/>
        <v>0.79113372965295969</v>
      </c>
      <c r="I378" s="17">
        <f t="shared" si="92"/>
        <v>0.27143562625313589</v>
      </c>
      <c r="J378" s="14">
        <v>2.0819263080320044E-3</v>
      </c>
      <c r="K378" s="17">
        <f t="shared" si="93"/>
        <v>2.5271181825287092</v>
      </c>
      <c r="L378" s="17">
        <f t="shared" si="86"/>
        <v>2.714345554120845</v>
      </c>
      <c r="M378" s="17">
        <f t="shared" si="94"/>
        <v>2.5953680966832149</v>
      </c>
      <c r="N378" s="15">
        <v>2.0865531682492814E-3</v>
      </c>
      <c r="O378" s="17">
        <f t="shared" si="95"/>
        <v>2.5327990436895487</v>
      </c>
      <c r="P378" s="17">
        <f t="shared" si="87"/>
        <v>2.7642354101234945</v>
      </c>
      <c r="Q378" s="17">
        <f t="shared" si="96"/>
        <v>2.6017463866793156</v>
      </c>
      <c r="R378" s="14">
        <v>1.6892269670858327E-3</v>
      </c>
      <c r="S378" s="17">
        <v>2.0460118279146178</v>
      </c>
      <c r="T378" s="17">
        <f t="shared" si="89"/>
        <v>2.2231822869070106</v>
      </c>
      <c r="U378" s="17">
        <f t="shared" si="90"/>
        <v>2.1438460410061921</v>
      </c>
      <c r="V378" s="15">
        <v>1.6181688554767154E-3</v>
      </c>
      <c r="W378" s="17">
        <v>1.9591780885805266</v>
      </c>
      <c r="X378" s="17">
        <f t="shared" si="88"/>
        <v>2.215089091496969</v>
      </c>
      <c r="Y378" s="17">
        <f t="shared" si="97"/>
        <v>2.0605458052278758</v>
      </c>
    </row>
    <row r="379" spans="1:25" x14ac:dyDescent="0.25">
      <c r="A379" s="7">
        <v>35947</v>
      </c>
      <c r="B379" s="28">
        <v>4.3449729139440925E-4</v>
      </c>
      <c r="C379" s="17">
        <f t="shared" si="82"/>
        <v>0.52264455616599648</v>
      </c>
      <c r="D379" s="17">
        <f t="shared" si="84"/>
        <v>1.4975399727949146</v>
      </c>
      <c r="E379" s="17">
        <f t="shared" si="91"/>
        <v>-0.43080969250350876</v>
      </c>
      <c r="F379" s="31">
        <v>4.5913036260991706E-4</v>
      </c>
      <c r="G379" s="17">
        <f t="shared" si="83"/>
        <v>0.55234985115630852</v>
      </c>
      <c r="H379" s="17">
        <f t="shared" si="85"/>
        <v>2.1844755469132782</v>
      </c>
      <c r="I379" s="17">
        <f t="shared" si="92"/>
        <v>0.637891688870873</v>
      </c>
      <c r="J379" s="14">
        <v>1.738862905309572E-3</v>
      </c>
      <c r="K379" s="17">
        <f t="shared" si="93"/>
        <v>2.1067076613864311</v>
      </c>
      <c r="L379" s="17">
        <f t="shared" si="86"/>
        <v>2.4491629611665067</v>
      </c>
      <c r="M379" s="17">
        <f t="shared" si="94"/>
        <v>2.5587751676886983</v>
      </c>
      <c r="N379" s="15">
        <v>1.8229183054240814E-3</v>
      </c>
      <c r="O379" s="17">
        <f t="shared" si="95"/>
        <v>2.209567787805411</v>
      </c>
      <c r="P379" s="17">
        <f t="shared" si="87"/>
        <v>2.5060218677761981</v>
      </c>
      <c r="Q379" s="17">
        <f t="shared" si="96"/>
        <v>2.5682454778176655</v>
      </c>
      <c r="R379" s="14">
        <v>9.5039111479617146E-4</v>
      </c>
      <c r="S379" s="17">
        <v>1.1464496693468273</v>
      </c>
      <c r="T379" s="17">
        <f t="shared" si="89"/>
        <v>1.8032196374919707</v>
      </c>
      <c r="U379" s="17">
        <f t="shared" si="90"/>
        <v>2.0660749825440083</v>
      </c>
      <c r="V379" s="15">
        <v>9.4513780511735698E-4</v>
      </c>
      <c r="W379" s="17">
        <v>1.1400796639190469</v>
      </c>
      <c r="X379" s="17">
        <f t="shared" si="88"/>
        <v>1.7765950644666351</v>
      </c>
      <c r="Y379" s="17">
        <f t="shared" si="97"/>
        <v>1.9807758132378117</v>
      </c>
    </row>
    <row r="380" spans="1:25" x14ac:dyDescent="0.25">
      <c r="A380" s="7">
        <v>35977</v>
      </c>
      <c r="B380" s="28">
        <v>1.7457885000197034E-3</v>
      </c>
      <c r="C380" s="17">
        <f t="shared" si="82"/>
        <v>2.1151790495737899</v>
      </c>
      <c r="D380" s="17">
        <f t="shared" si="84"/>
        <v>2.5940146161580691</v>
      </c>
      <c r="E380" s="17">
        <f t="shared" si="91"/>
        <v>-0.12904781913982699</v>
      </c>
      <c r="F380" s="31">
        <v>2.9847402229106956E-3</v>
      </c>
      <c r="G380" s="17">
        <f t="shared" si="83"/>
        <v>3.6410744462901379</v>
      </c>
      <c r="H380" s="17">
        <f t="shared" si="85"/>
        <v>2.6155201195787958</v>
      </c>
      <c r="I380" s="17">
        <f t="shared" si="92"/>
        <v>0.90614463100398002</v>
      </c>
      <c r="J380" s="14">
        <v>2.0401303059783683E-3</v>
      </c>
      <c r="K380" s="17">
        <f t="shared" si="93"/>
        <v>2.4758141048772497</v>
      </c>
      <c r="L380" s="17">
        <f t="shared" si="86"/>
        <v>2.369708559819883</v>
      </c>
      <c r="M380" s="17">
        <f t="shared" si="94"/>
        <v>2.5577409187056421</v>
      </c>
      <c r="N380" s="15">
        <v>2.011441468799642E-3</v>
      </c>
      <c r="O380" s="17">
        <f t="shared" si="95"/>
        <v>2.4406125320773464</v>
      </c>
      <c r="P380" s="17">
        <f t="shared" si="87"/>
        <v>2.3942361565480352</v>
      </c>
      <c r="Q380" s="17">
        <f t="shared" si="96"/>
        <v>2.5778789138051428</v>
      </c>
      <c r="R380" s="14">
        <v>1.5923684568871887E-3</v>
      </c>
      <c r="S380" s="17">
        <v>1.9276665022465389</v>
      </c>
      <c r="T380" s="17">
        <f t="shared" si="89"/>
        <v>1.7059249391497833</v>
      </c>
      <c r="U380" s="17">
        <f t="shared" si="90"/>
        <v>2.045891855405646</v>
      </c>
      <c r="V380" s="15">
        <v>1.4488105240855061E-3</v>
      </c>
      <c r="W380" s="17">
        <v>1.7524934951037574</v>
      </c>
      <c r="X380" s="17">
        <f t="shared" si="88"/>
        <v>1.6166544974001162</v>
      </c>
      <c r="Y380" s="17">
        <f t="shared" si="97"/>
        <v>1.9762622597236712</v>
      </c>
    </row>
    <row r="381" spans="1:25" x14ac:dyDescent="0.25">
      <c r="A381" s="7">
        <v>36008</v>
      </c>
      <c r="B381" s="28">
        <v>1.6354560925380588E-3</v>
      </c>
      <c r="C381" s="17">
        <f t="shared" si="82"/>
        <v>1.98029703225997</v>
      </c>
      <c r="D381" s="17">
        <f t="shared" si="84"/>
        <v>1.5368050393762323</v>
      </c>
      <c r="E381" s="17">
        <f t="shared" si="91"/>
        <v>-0.40913440244415566</v>
      </c>
      <c r="F381" s="31">
        <v>6.6448259509669849E-3</v>
      </c>
      <c r="G381" s="17">
        <f t="shared" si="83"/>
        <v>8.2717578386290782</v>
      </c>
      <c r="H381" s="17">
        <f t="shared" si="85"/>
        <v>4.1069619093727194</v>
      </c>
      <c r="I381" s="17">
        <f t="shared" si="92"/>
        <v>1.7672732383175571</v>
      </c>
      <c r="J381" s="14">
        <v>1.7185937765256069E-3</v>
      </c>
      <c r="K381" s="17">
        <f t="shared" si="93"/>
        <v>2.0819181624984751</v>
      </c>
      <c r="L381" s="17">
        <f t="shared" si="86"/>
        <v>2.2213214047597463</v>
      </c>
      <c r="M381" s="17">
        <f t="shared" si="94"/>
        <v>2.6051552328870686</v>
      </c>
      <c r="N381" s="15">
        <v>1.6648306953360994E-3</v>
      </c>
      <c r="O381" s="17">
        <f t="shared" si="95"/>
        <v>2.0161916955215853</v>
      </c>
      <c r="P381" s="17">
        <f t="shared" si="87"/>
        <v>2.2219767896327847</v>
      </c>
      <c r="Q381" s="17">
        <f t="shared" si="96"/>
        <v>2.6275927257251919</v>
      </c>
      <c r="R381" s="14">
        <v>8.6253563829925882E-4</v>
      </c>
      <c r="S381" s="17">
        <v>1.0399670977659481</v>
      </c>
      <c r="T381" s="17">
        <f t="shared" si="89"/>
        <v>1.3705898852070408</v>
      </c>
      <c r="U381" s="17">
        <f t="shared" si="90"/>
        <v>2.0964651502018539</v>
      </c>
      <c r="V381" s="15">
        <v>5.8986836076233354E-4</v>
      </c>
      <c r="W381" s="17">
        <v>0.71014298913556484</v>
      </c>
      <c r="X381" s="17">
        <f t="shared" si="88"/>
        <v>1.2000021028639951</v>
      </c>
      <c r="Y381" s="17">
        <f t="shared" si="97"/>
        <v>2.0327023406215616</v>
      </c>
    </row>
    <row r="382" spans="1:25" x14ac:dyDescent="0.25">
      <c r="A382" s="7">
        <v>36039</v>
      </c>
      <c r="B382" s="28">
        <v>-2.2678108227043008E-3</v>
      </c>
      <c r="C382" s="17">
        <f t="shared" si="82"/>
        <v>-2.6876846996049197</v>
      </c>
      <c r="D382" s="17">
        <f t="shared" si="84"/>
        <v>0.44418373363184216</v>
      </c>
      <c r="E382" s="17">
        <f t="shared" si="91"/>
        <v>-1.0185940300504459</v>
      </c>
      <c r="F382" s="31">
        <v>-8.6236800311433807E-4</v>
      </c>
      <c r="G382" s="17">
        <f t="shared" si="83"/>
        <v>-1.0299474069594416</v>
      </c>
      <c r="H382" s="17">
        <f t="shared" si="85"/>
        <v>3.5579946244890026</v>
      </c>
      <c r="I382" s="17">
        <f t="shared" si="92"/>
        <v>1.5570167124961953</v>
      </c>
      <c r="J382" s="14">
        <v>1.9485830630949249E-3</v>
      </c>
      <c r="K382" s="17">
        <f t="shared" si="93"/>
        <v>2.3635232047885646</v>
      </c>
      <c r="L382" s="17">
        <f t="shared" si="86"/>
        <v>2.3069509260337018</v>
      </c>
      <c r="M382" s="17">
        <f t="shared" si="94"/>
        <v>2.5953860640724802</v>
      </c>
      <c r="N382" s="15">
        <v>1.7554163490902403E-3</v>
      </c>
      <c r="O382" s="17">
        <f t="shared" si="95"/>
        <v>2.1269569059699123</v>
      </c>
      <c r="P382" s="17">
        <f t="shared" si="87"/>
        <v>2.1944290626789043</v>
      </c>
      <c r="Q382" s="17">
        <f t="shared" si="96"/>
        <v>2.6007093935999537</v>
      </c>
      <c r="R382" s="14">
        <v>1.324340883631611E-3</v>
      </c>
      <c r="S382" s="17">
        <v>1.6008359130036398</v>
      </c>
      <c r="T382" s="17">
        <f t="shared" si="89"/>
        <v>1.5221608615481053</v>
      </c>
      <c r="U382" s="17">
        <f t="shared" si="90"/>
        <v>2.0514271806747031</v>
      </c>
      <c r="V382" s="15">
        <v>8.4141116524475909E-4</v>
      </c>
      <c r="W382" s="17">
        <v>1.0143791485972109</v>
      </c>
      <c r="X382" s="17">
        <f t="shared" si="88"/>
        <v>1.1580597258735503</v>
      </c>
      <c r="Y382" s="17">
        <f t="shared" si="97"/>
        <v>1.9494558796763428</v>
      </c>
    </row>
    <row r="383" spans="1:25" x14ac:dyDescent="0.25">
      <c r="A383" s="7">
        <v>36069</v>
      </c>
      <c r="B383" s="28">
        <v>1.9324442185751087E-3</v>
      </c>
      <c r="C383" s="17">
        <f t="shared" si="82"/>
        <v>2.3437391639740124</v>
      </c>
      <c r="D383" s="17">
        <f t="shared" si="84"/>
        <v>0.51906788996973763</v>
      </c>
      <c r="E383" s="17">
        <f t="shared" si="91"/>
        <v>-0.84378704628556012</v>
      </c>
      <c r="F383" s="31">
        <v>-1.5766082546081754E-3</v>
      </c>
      <c r="G383" s="17">
        <f t="shared" si="83"/>
        <v>-1.8756102400021457</v>
      </c>
      <c r="H383" s="17">
        <f t="shared" si="85"/>
        <v>1.6869729325728056</v>
      </c>
      <c r="I383" s="17">
        <f t="shared" si="92"/>
        <v>1.2882491454905498</v>
      </c>
      <c r="J383" s="14">
        <v>2.0175757204612351E-3</v>
      </c>
      <c r="K383" s="17">
        <f t="shared" si="93"/>
        <v>2.4481384061012967</v>
      </c>
      <c r="L383" s="17">
        <f t="shared" si="86"/>
        <v>2.297740065521281</v>
      </c>
      <c r="M383" s="17">
        <f t="shared" si="94"/>
        <v>2.5113310243786602</v>
      </c>
      <c r="N383" s="15">
        <v>2.0949111568971768E-3</v>
      </c>
      <c r="O383" s="17">
        <f t="shared" si="95"/>
        <v>2.5430617174760028</v>
      </c>
      <c r="P383" s="17">
        <f t="shared" si="87"/>
        <v>2.2284853725899501</v>
      </c>
      <c r="Q383" s="17">
        <f t="shared" si="96"/>
        <v>2.5174812903141941</v>
      </c>
      <c r="R383" s="14">
        <v>1.3944287099062964E-3</v>
      </c>
      <c r="S383" s="17">
        <v>1.6862075370365437</v>
      </c>
      <c r="T383" s="17">
        <f t="shared" si="89"/>
        <v>1.4419313579781878</v>
      </c>
      <c r="U383" s="17">
        <f t="shared" si="90"/>
        <v>1.9147431602332343</v>
      </c>
      <c r="V383" s="15">
        <v>1.4101385834793707E-3</v>
      </c>
      <c r="W383" s="17">
        <v>1.7053522248356323</v>
      </c>
      <c r="X383" s="17">
        <f t="shared" si="88"/>
        <v>1.1424353550824273</v>
      </c>
      <c r="Y383" s="17">
        <f t="shared" si="97"/>
        <v>1.8039530616253074</v>
      </c>
    </row>
    <row r="384" spans="1:25" x14ac:dyDescent="0.25">
      <c r="A384" s="7">
        <v>36100</v>
      </c>
      <c r="B384" s="28">
        <v>4.1394058506680356E-4</v>
      </c>
      <c r="C384" s="17">
        <f t="shared" si="82"/>
        <v>0.49786115286973853</v>
      </c>
      <c r="D384" s="17">
        <f t="shared" si="84"/>
        <v>2.9623661132438528E-2</v>
      </c>
      <c r="E384" s="17">
        <f t="shared" si="91"/>
        <v>-0.72513890601632047</v>
      </c>
      <c r="F384" s="31">
        <v>1.5636582480578532E-3</v>
      </c>
      <c r="G384" s="17">
        <f t="shared" si="83"/>
        <v>1.8926114834102448</v>
      </c>
      <c r="H384" s="17">
        <f t="shared" si="85"/>
        <v>-0.35064597937415343</v>
      </c>
      <c r="I384" s="17">
        <f t="shared" si="92"/>
        <v>1.5100601437266103</v>
      </c>
      <c r="J384" s="14">
        <v>1.7854936033044858E-3</v>
      </c>
      <c r="K384" s="17">
        <f t="shared" si="93"/>
        <v>2.1637587722608487</v>
      </c>
      <c r="L384" s="17">
        <f t="shared" si="86"/>
        <v>2.3250706421869216</v>
      </c>
      <c r="M384" s="17">
        <f t="shared" si="94"/>
        <v>2.5121396688031483</v>
      </c>
      <c r="N384" s="15">
        <v>1.7793390098314646E-3</v>
      </c>
      <c r="O384" s="17">
        <f t="shared" si="95"/>
        <v>2.1562271580255254</v>
      </c>
      <c r="P384" s="17">
        <f t="shared" si="87"/>
        <v>2.2752396107712736</v>
      </c>
      <c r="Q384" s="17">
        <f t="shared" si="96"/>
        <v>2.5218833765387139</v>
      </c>
      <c r="R384" s="14">
        <v>1.4517416387794333E-3</v>
      </c>
      <c r="S384" s="17">
        <v>1.7560673536200389</v>
      </c>
      <c r="T384" s="17">
        <f t="shared" si="89"/>
        <v>1.6810171191294909</v>
      </c>
      <c r="U384" s="17">
        <f t="shared" si="90"/>
        <v>1.9328709178856984</v>
      </c>
      <c r="V384" s="15">
        <v>1.372373961342373E-3</v>
      </c>
      <c r="W384" s="17">
        <v>1.659336301848735</v>
      </c>
      <c r="X384" s="17">
        <f t="shared" si="88"/>
        <v>1.4591981560028833</v>
      </c>
      <c r="Y384" s="17">
        <f t="shared" si="97"/>
        <v>1.8327282235893971</v>
      </c>
    </row>
    <row r="385" spans="1:25" x14ac:dyDescent="0.25">
      <c r="A385" s="7">
        <v>36130</v>
      </c>
      <c r="B385" s="12">
        <v>4.1599999999999996E-3</v>
      </c>
      <c r="C385" s="17">
        <v>5.1077969999999997</v>
      </c>
      <c r="D385" s="17">
        <v>2.6323599999999998</v>
      </c>
      <c r="E385" s="17">
        <v>3.92044E-2</v>
      </c>
      <c r="F385" s="31">
        <v>1.1874600000000001E-2</v>
      </c>
      <c r="G385" s="17">
        <v>15.21804</v>
      </c>
      <c r="H385" s="17">
        <v>4.8286470000000001</v>
      </c>
      <c r="I385" s="17">
        <v>2.7104490000000001</v>
      </c>
      <c r="J385" s="14">
        <v>1.8186000000000001E-3</v>
      </c>
      <c r="K385" s="17">
        <v>2.2043240000000002</v>
      </c>
      <c r="L385" s="17">
        <v>2.271998</v>
      </c>
      <c r="M385" s="17">
        <v>2.446831</v>
      </c>
      <c r="N385" s="15">
        <v>1.7489999999999999E-3</v>
      </c>
      <c r="O385" s="17">
        <v>2.1190869999999999</v>
      </c>
      <c r="P385" s="17">
        <v>2.2726130000000002</v>
      </c>
      <c r="Q385" s="17">
        <v>2.4484669999999999</v>
      </c>
      <c r="R385" s="14">
        <v>1.4686E-3</v>
      </c>
      <c r="S385" s="17">
        <v>1.7766</v>
      </c>
      <c r="T385" s="17">
        <v>1.739619</v>
      </c>
      <c r="U385" s="17">
        <v>1.874862</v>
      </c>
      <c r="V385" s="15">
        <v>1.2687E-3</v>
      </c>
      <c r="W385" s="17">
        <v>1.5330839999999999</v>
      </c>
      <c r="X385" s="17">
        <v>1.632565</v>
      </c>
      <c r="Y385" s="17">
        <v>1.761906</v>
      </c>
    </row>
    <row r="386" spans="1:25" x14ac:dyDescent="0.25">
      <c r="A386" s="7">
        <v>36161</v>
      </c>
      <c r="B386" s="12">
        <v>1.0549999999999999E-3</v>
      </c>
      <c r="C386" s="17">
        <v>1.2733179999999999</v>
      </c>
      <c r="D386" s="17">
        <v>2.2732999999999999</v>
      </c>
      <c r="E386" s="17">
        <v>0.388511</v>
      </c>
      <c r="F386" s="13">
        <v>1.0975E-3</v>
      </c>
      <c r="G386" s="17">
        <v>1.324946</v>
      </c>
      <c r="H386" s="17">
        <v>5.9562270000000002</v>
      </c>
      <c r="I386" s="17">
        <v>2.7090969999999999</v>
      </c>
      <c r="J386" s="14">
        <v>1.9017999999999999E-3</v>
      </c>
      <c r="K386" s="17">
        <v>2.3062230000000001</v>
      </c>
      <c r="L386" s="17">
        <v>2.2247530000000002</v>
      </c>
      <c r="M386" s="17">
        <v>2.3988230000000001</v>
      </c>
      <c r="N386" s="15">
        <v>1.8031E-3</v>
      </c>
      <c r="O386" s="17">
        <v>2.185333</v>
      </c>
      <c r="P386" s="17">
        <v>2.1535470000000001</v>
      </c>
      <c r="Q386" s="17">
        <v>2.379766</v>
      </c>
      <c r="R386" s="14">
        <v>2.0945E-3</v>
      </c>
      <c r="S386" s="17">
        <v>2.542583</v>
      </c>
      <c r="T386" s="17">
        <v>2.024432</v>
      </c>
      <c r="U386" s="17">
        <v>1.8552299999999999</v>
      </c>
      <c r="V386" s="15">
        <v>1.9514000000000001E-3</v>
      </c>
      <c r="W386" s="17">
        <v>2.366962</v>
      </c>
      <c r="X386" s="17">
        <v>1.852471</v>
      </c>
      <c r="Y386" s="17">
        <v>1.7101519999999999</v>
      </c>
    </row>
    <row r="387" spans="1:25" x14ac:dyDescent="0.25">
      <c r="A387" s="7">
        <v>36192</v>
      </c>
      <c r="B387" s="12">
        <v>-3.5612E-3</v>
      </c>
      <c r="C387" s="17">
        <v>-4.1906850000000002</v>
      </c>
      <c r="D387" s="17">
        <v>0.65744480000000005</v>
      </c>
      <c r="E387" s="17">
        <v>0.42931940000000002</v>
      </c>
      <c r="F387" s="13">
        <v>-6.2560000000000003E-3</v>
      </c>
      <c r="G387" s="17">
        <v>-7.2541900000000004</v>
      </c>
      <c r="H387" s="17">
        <v>2.6857980000000001</v>
      </c>
      <c r="I387" s="17">
        <v>1.7938940000000001</v>
      </c>
      <c r="J387" s="14">
        <v>1.4897999999999999E-3</v>
      </c>
      <c r="K387" s="17">
        <v>1.802457</v>
      </c>
      <c r="L387" s="17">
        <v>2.1041029999999998</v>
      </c>
      <c r="M387" s="17">
        <v>2.340954</v>
      </c>
      <c r="N387" s="15">
        <v>1.3859E-3</v>
      </c>
      <c r="O387" s="17">
        <v>1.6757789999999999</v>
      </c>
      <c r="P387" s="17">
        <v>1.9931479999999999</v>
      </c>
      <c r="Q387" s="17">
        <v>2.3132649999999999</v>
      </c>
      <c r="R387" s="14">
        <v>1.1402000000000001E-3</v>
      </c>
      <c r="S387" s="17">
        <v>1.376852</v>
      </c>
      <c r="T387" s="17">
        <v>1.897532</v>
      </c>
      <c r="U387" s="17">
        <v>1.7926059999999999</v>
      </c>
      <c r="V387" s="15">
        <v>8.7690000000000001E-4</v>
      </c>
      <c r="W387" s="17">
        <v>1.057388</v>
      </c>
      <c r="X387" s="17">
        <v>1.6510389999999999</v>
      </c>
      <c r="Y387" s="17">
        <v>1.630649</v>
      </c>
    </row>
    <row r="388" spans="1:25" x14ac:dyDescent="0.25">
      <c r="A388" s="7">
        <v>36220</v>
      </c>
      <c r="B388" s="12">
        <v>-4.8440000000000001E-4</v>
      </c>
      <c r="C388" s="17">
        <v>-0.5797795</v>
      </c>
      <c r="D388" s="17">
        <v>-1.1919109999999999</v>
      </c>
      <c r="E388" s="17">
        <v>0.83569170000000004</v>
      </c>
      <c r="F388" s="13">
        <v>-4.4129E-3</v>
      </c>
      <c r="G388" s="17">
        <v>-5.168787</v>
      </c>
      <c r="H388" s="17">
        <v>-3.7677450000000001</v>
      </c>
      <c r="I388" s="17">
        <v>1.646471</v>
      </c>
      <c r="J388" s="14">
        <v>1.7225000000000001E-3</v>
      </c>
      <c r="K388" s="17">
        <v>2.086741</v>
      </c>
      <c r="L388" s="17">
        <v>2.0649320000000002</v>
      </c>
      <c r="M388" s="17">
        <v>2.2731690000000002</v>
      </c>
      <c r="N388" s="15">
        <v>1.7011000000000001E-3</v>
      </c>
      <c r="O388" s="17">
        <v>2.0605129999999998</v>
      </c>
      <c r="P388" s="17">
        <v>1.973644</v>
      </c>
      <c r="Q388" s="17">
        <v>2.2364999999999999</v>
      </c>
      <c r="R388" s="14">
        <v>1.5387000000000001E-3</v>
      </c>
      <c r="S388" s="17">
        <v>1.862101</v>
      </c>
      <c r="T388" s="17">
        <v>1.926058</v>
      </c>
      <c r="U388" s="17">
        <v>1.7476609999999999</v>
      </c>
      <c r="V388" s="15">
        <v>1.4614999999999999E-3</v>
      </c>
      <c r="W388" s="17">
        <v>1.767906</v>
      </c>
      <c r="X388" s="17">
        <v>1.7293430000000001</v>
      </c>
      <c r="Y388" s="17">
        <v>1.573844</v>
      </c>
    </row>
    <row r="389" spans="1:25" x14ac:dyDescent="0.25">
      <c r="A389" s="7">
        <v>36251</v>
      </c>
      <c r="B389" s="12">
        <v>1.4745299999999999E-2</v>
      </c>
      <c r="C389" s="17">
        <v>19.202269999999999</v>
      </c>
      <c r="D389" s="17">
        <v>4.3251439999999999</v>
      </c>
      <c r="E389" s="17">
        <v>2.4189759999999998</v>
      </c>
      <c r="F389" s="13">
        <v>9.2467000000000001E-3</v>
      </c>
      <c r="G389" s="17">
        <v>11.67807</v>
      </c>
      <c r="H389" s="17">
        <v>-0.59585259999999995</v>
      </c>
      <c r="I389" s="17">
        <v>2.388773</v>
      </c>
      <c r="J389" s="14">
        <v>2.1343E-3</v>
      </c>
      <c r="K389" s="17">
        <v>2.591485</v>
      </c>
      <c r="L389" s="17">
        <v>2.159707</v>
      </c>
      <c r="M389" s="17">
        <v>2.262947</v>
      </c>
      <c r="N389" s="15">
        <v>2.1595999999999998E-3</v>
      </c>
      <c r="O389" s="17">
        <v>2.6224690000000002</v>
      </c>
      <c r="P389" s="17">
        <v>2.1188479999999998</v>
      </c>
      <c r="Q389" s="17">
        <v>2.2237239999999998</v>
      </c>
      <c r="R389" s="14">
        <v>2.0013000000000001E-3</v>
      </c>
      <c r="S389" s="17">
        <v>2.4282279999999998</v>
      </c>
      <c r="T389" s="17">
        <v>1.888155</v>
      </c>
      <c r="U389" s="17">
        <v>1.764877</v>
      </c>
      <c r="V389" s="15">
        <v>2.0208000000000001E-3</v>
      </c>
      <c r="W389" s="17">
        <v>2.4520849999999998</v>
      </c>
      <c r="X389" s="17">
        <v>1.757533</v>
      </c>
      <c r="Y389" s="17">
        <v>1.591906</v>
      </c>
    </row>
    <row r="390" spans="1:25" x14ac:dyDescent="0.25">
      <c r="A390" s="7">
        <v>36281</v>
      </c>
      <c r="B390" s="12">
        <v>-7.1969999999999998E-4</v>
      </c>
      <c r="C390" s="17">
        <v>-0.86021309999999995</v>
      </c>
      <c r="D390" s="17">
        <v>5.5202330000000002</v>
      </c>
      <c r="E390" s="17">
        <v>1.9139029999999999</v>
      </c>
      <c r="F390" s="13">
        <v>-5.306E-4</v>
      </c>
      <c r="G390" s="17">
        <v>-0.63481770000000004</v>
      </c>
      <c r="H390" s="17">
        <v>1.7148779999999999</v>
      </c>
      <c r="I390" s="17">
        <v>2.0263309999999999</v>
      </c>
      <c r="J390" s="14">
        <v>1.3500000000000001E-3</v>
      </c>
      <c r="K390" s="17">
        <v>1.632069</v>
      </c>
      <c r="L390" s="17">
        <v>2.1026799999999999</v>
      </c>
      <c r="M390" s="17">
        <v>2.1882519999999999</v>
      </c>
      <c r="N390" s="15">
        <v>1.3944000000000001E-3</v>
      </c>
      <c r="O390" s="17">
        <v>1.6861999999999999</v>
      </c>
      <c r="P390" s="17">
        <v>2.1223359999999998</v>
      </c>
      <c r="Q390" s="17">
        <v>2.1531189999999998</v>
      </c>
      <c r="R390" s="14">
        <v>7.1089999999999999E-4</v>
      </c>
      <c r="S390" s="17">
        <v>0.85643599999999998</v>
      </c>
      <c r="T390" s="17">
        <v>1.7135089999999999</v>
      </c>
      <c r="U390" s="17">
        <v>1.665486</v>
      </c>
      <c r="V390" s="15">
        <v>6.625E-4</v>
      </c>
      <c r="W390" s="17">
        <v>0.79787929999999996</v>
      </c>
      <c r="X390" s="17">
        <v>1.670356</v>
      </c>
      <c r="Y390" s="17">
        <v>1.494972</v>
      </c>
    </row>
    <row r="391" spans="1:25" x14ac:dyDescent="0.25">
      <c r="A391" s="7">
        <v>36312</v>
      </c>
      <c r="B391" s="12">
        <v>-5.4259999999999996E-4</v>
      </c>
      <c r="C391" s="17">
        <v>-0.64920089999999997</v>
      </c>
      <c r="D391" s="17">
        <v>5.4956670000000001</v>
      </c>
      <c r="E391" s="17">
        <v>1.8143659999999999</v>
      </c>
      <c r="F391" s="13">
        <v>8.2030000000000004E-4</v>
      </c>
      <c r="G391" s="17">
        <v>0.98886890000000005</v>
      </c>
      <c r="H391" s="17">
        <v>3.8704190000000001</v>
      </c>
      <c r="I391" s="17">
        <v>2.063167</v>
      </c>
      <c r="J391" s="14">
        <v>1.1592E-3</v>
      </c>
      <c r="K391" s="17">
        <v>1.399975</v>
      </c>
      <c r="L391" s="17">
        <v>1.8732070000000001</v>
      </c>
      <c r="M391" s="17">
        <v>2.129124</v>
      </c>
      <c r="N391" s="15">
        <v>1.2684E-3</v>
      </c>
      <c r="O391" s="17">
        <v>1.532734</v>
      </c>
      <c r="P391" s="17">
        <v>1.945999</v>
      </c>
      <c r="Q391" s="17">
        <v>2.0965760000000002</v>
      </c>
      <c r="R391" s="14">
        <v>3.455E-4</v>
      </c>
      <c r="S391" s="17">
        <v>0.41541709999999998</v>
      </c>
      <c r="T391" s="17">
        <v>1.2296860000000001</v>
      </c>
      <c r="U391" s="17">
        <v>1.604052</v>
      </c>
      <c r="V391" s="15">
        <v>3.812E-4</v>
      </c>
      <c r="W391" s="17">
        <v>0.45841369999999998</v>
      </c>
      <c r="X391" s="17">
        <v>1.2323930000000001</v>
      </c>
      <c r="Y391" s="17">
        <v>1.437792</v>
      </c>
    </row>
    <row r="392" spans="1:25" x14ac:dyDescent="0.25">
      <c r="A392" s="7">
        <v>36342</v>
      </c>
      <c r="B392" s="12">
        <v>6.2798999999999997E-3</v>
      </c>
      <c r="C392" s="17">
        <v>7.8017209999999997</v>
      </c>
      <c r="D392" s="17">
        <v>2.019145</v>
      </c>
      <c r="E392" s="17">
        <v>2.2752020000000002</v>
      </c>
      <c r="F392" s="13">
        <v>4.3528000000000004E-3</v>
      </c>
      <c r="G392" s="17">
        <v>5.3502359999999998</v>
      </c>
      <c r="H392" s="17">
        <v>1.870339</v>
      </c>
      <c r="I392" s="17">
        <v>2.2023839999999999</v>
      </c>
      <c r="J392" s="14">
        <v>2.2802999999999999E-3</v>
      </c>
      <c r="K392" s="17">
        <v>2.7709009999999998</v>
      </c>
      <c r="L392" s="17">
        <v>1.9325589999999999</v>
      </c>
      <c r="M392" s="17">
        <v>2.153597</v>
      </c>
      <c r="N392" s="15">
        <v>2.2074999999999998E-3</v>
      </c>
      <c r="O392" s="17">
        <v>2.681438</v>
      </c>
      <c r="P392" s="17">
        <v>1.965522</v>
      </c>
      <c r="Q392" s="17">
        <v>2.1165539999999998</v>
      </c>
      <c r="R392" s="14">
        <v>2.7544000000000002E-3</v>
      </c>
      <c r="S392" s="17">
        <v>3.3557790000000001</v>
      </c>
      <c r="T392" s="17">
        <v>1.5343340000000001</v>
      </c>
      <c r="U392" s="17">
        <v>1.721927</v>
      </c>
      <c r="V392" s="15">
        <v>2.7165000000000002E-3</v>
      </c>
      <c r="W392" s="17">
        <v>3.308996</v>
      </c>
      <c r="X392" s="17">
        <v>1.513846</v>
      </c>
      <c r="Y392" s="17">
        <v>1.5662</v>
      </c>
    </row>
    <row r="393" spans="1:25" x14ac:dyDescent="0.25">
      <c r="A393" s="7">
        <v>36373</v>
      </c>
      <c r="B393" s="12">
        <v>4.9318000000000001E-3</v>
      </c>
      <c r="C393" s="17">
        <v>6.0813179999999996</v>
      </c>
      <c r="D393" s="17">
        <v>4.3466839999999998</v>
      </c>
      <c r="E393" s="17">
        <v>2.6117810000000001</v>
      </c>
      <c r="F393" s="13">
        <v>-1.6762999999999999E-3</v>
      </c>
      <c r="G393" s="17">
        <v>-1.9930859999999999</v>
      </c>
      <c r="H393" s="17">
        <v>1.404037</v>
      </c>
      <c r="I393" s="17">
        <v>1.357558</v>
      </c>
      <c r="J393" s="14">
        <v>1.5458E-3</v>
      </c>
      <c r="K393" s="17">
        <v>1.8708670000000001</v>
      </c>
      <c r="L393" s="17">
        <v>2.0123310000000001</v>
      </c>
      <c r="M393" s="17">
        <v>2.1359810000000001</v>
      </c>
      <c r="N393" s="15">
        <v>1.4023E-3</v>
      </c>
      <c r="O393" s="17">
        <v>1.695821</v>
      </c>
      <c r="P393" s="17">
        <v>1.9687380000000001</v>
      </c>
      <c r="Q393" s="17">
        <v>2.0897929999999998</v>
      </c>
      <c r="R393" s="14">
        <v>1.2493999999999999E-3</v>
      </c>
      <c r="S393" s="17">
        <v>1.5096210000000001</v>
      </c>
      <c r="T393" s="17">
        <v>1.753055</v>
      </c>
      <c r="U393" s="17">
        <v>1.7612460000000001</v>
      </c>
      <c r="V393" s="15">
        <v>9.2310000000000005E-4</v>
      </c>
      <c r="W393" s="17">
        <v>1.1133519999999999</v>
      </c>
      <c r="X393" s="17">
        <v>1.6196410000000001</v>
      </c>
      <c r="Y393" s="17">
        <v>1.600025</v>
      </c>
    </row>
    <row r="394" spans="1:25" x14ac:dyDescent="0.25">
      <c r="A394" s="7">
        <v>36404</v>
      </c>
      <c r="B394" s="12">
        <v>1.06161E-2</v>
      </c>
      <c r="C394" s="17">
        <v>13.51009</v>
      </c>
      <c r="D394" s="17">
        <v>9.0853330000000003</v>
      </c>
      <c r="E394" s="17">
        <v>3.9368259999999999</v>
      </c>
      <c r="F394" s="13">
        <v>1.06052E-2</v>
      </c>
      <c r="G394" s="17">
        <v>13.495480000000001</v>
      </c>
      <c r="H394" s="17">
        <v>5.4282339999999998</v>
      </c>
      <c r="I394" s="17">
        <v>2.5208889999999999</v>
      </c>
      <c r="J394" s="14">
        <v>1.3848E-3</v>
      </c>
      <c r="K394" s="17">
        <v>1.6744220000000001</v>
      </c>
      <c r="L394" s="17">
        <v>2.1042830000000001</v>
      </c>
      <c r="M394" s="17">
        <v>2.078506</v>
      </c>
      <c r="N394" s="15">
        <v>1.3767E-3</v>
      </c>
      <c r="O394" s="17">
        <v>1.6645700000000001</v>
      </c>
      <c r="P394" s="17">
        <v>2.0128529999999998</v>
      </c>
      <c r="Q394" s="17">
        <v>2.0511949999999999</v>
      </c>
      <c r="R394" s="14">
        <v>8.7560000000000003E-4</v>
      </c>
      <c r="S394" s="17">
        <v>1.055779</v>
      </c>
      <c r="T394" s="17">
        <v>1.9688939999999999</v>
      </c>
      <c r="U394" s="17">
        <v>1.7156389999999999</v>
      </c>
      <c r="V394" s="15">
        <v>7.5630000000000001E-4</v>
      </c>
      <c r="W394" s="17">
        <v>0.91137880000000004</v>
      </c>
      <c r="X394" s="17">
        <v>1.772146</v>
      </c>
      <c r="Y394" s="17">
        <v>1.5913870000000001</v>
      </c>
    </row>
    <row r="395" spans="1:25" x14ac:dyDescent="0.25">
      <c r="A395" s="7">
        <v>36434</v>
      </c>
      <c r="B395" s="12">
        <v>1.5437999999999999E-3</v>
      </c>
      <c r="C395" s="17">
        <v>1.868398</v>
      </c>
      <c r="D395" s="17">
        <v>7.0461260000000001</v>
      </c>
      <c r="E395" s="17">
        <v>3.8965130000000001</v>
      </c>
      <c r="F395" s="13">
        <v>9.7380000000000003E-4</v>
      </c>
      <c r="G395" s="17">
        <v>1.174866</v>
      </c>
      <c r="H395" s="17">
        <v>4.0165959999999998</v>
      </c>
      <c r="I395" s="17">
        <v>2.7827760000000001</v>
      </c>
      <c r="J395" s="14">
        <v>1.9608E-3</v>
      </c>
      <c r="K395" s="17">
        <v>2.378511</v>
      </c>
      <c r="L395" s="17">
        <v>1.9741690000000001</v>
      </c>
      <c r="M395" s="17">
        <v>2.0727229999999999</v>
      </c>
      <c r="N395" s="15">
        <v>1.9683000000000001E-3</v>
      </c>
      <c r="O395" s="17">
        <v>2.387645</v>
      </c>
      <c r="P395" s="17">
        <v>1.915467</v>
      </c>
      <c r="Q395" s="17">
        <v>2.0382959999999999</v>
      </c>
      <c r="R395" s="14">
        <v>2.2745999999999999E-3</v>
      </c>
      <c r="S395" s="17">
        <v>2.76389</v>
      </c>
      <c r="T395" s="17">
        <v>1.7738719999999999</v>
      </c>
      <c r="U395" s="17">
        <v>1.80504</v>
      </c>
      <c r="V395" s="15">
        <v>2.3527000000000001E-3</v>
      </c>
      <c r="W395" s="17">
        <v>2.860036</v>
      </c>
      <c r="X395" s="17">
        <v>1.6245050000000001</v>
      </c>
      <c r="Y395" s="17">
        <v>1.6870069999999999</v>
      </c>
    </row>
    <row r="396" spans="1:25" x14ac:dyDescent="0.25">
      <c r="A396" s="7">
        <v>36465</v>
      </c>
      <c r="B396" s="12">
        <v>-1.4005000000000001E-3</v>
      </c>
      <c r="C396" s="17">
        <v>-1.667735</v>
      </c>
      <c r="D396" s="17">
        <v>4.3734409999999997</v>
      </c>
      <c r="E396" s="17">
        <v>3.708075</v>
      </c>
      <c r="F396" s="13">
        <v>-2.2363000000000001E-3</v>
      </c>
      <c r="G396" s="17">
        <v>-2.6507529999999999</v>
      </c>
      <c r="H396" s="17">
        <v>3.7834089999999998</v>
      </c>
      <c r="I396" s="17">
        <v>2.3928219999999998</v>
      </c>
      <c r="J396" s="14">
        <v>2.7777000000000001E-3</v>
      </c>
      <c r="K396" s="17">
        <v>3.3846280000000002</v>
      </c>
      <c r="L396" s="17">
        <v>2.4767860000000002</v>
      </c>
      <c r="M396" s="17">
        <v>2.1738189999999999</v>
      </c>
      <c r="N396" s="15">
        <v>2.8484999999999999E-3</v>
      </c>
      <c r="O396" s="17">
        <v>3.4722849999999998</v>
      </c>
      <c r="P396" s="17">
        <v>2.5054780000000001</v>
      </c>
      <c r="Q396" s="17">
        <v>2.1471990000000001</v>
      </c>
      <c r="R396" s="14">
        <v>2.3809E-3</v>
      </c>
      <c r="S396" s="17">
        <v>2.8948160000000001</v>
      </c>
      <c r="T396" s="17">
        <v>2.2347160000000001</v>
      </c>
      <c r="U396" s="17">
        <v>1.8994960000000001</v>
      </c>
      <c r="V396" s="15">
        <v>2.4307999999999999E-3</v>
      </c>
      <c r="W396" s="17">
        <v>2.956331</v>
      </c>
      <c r="X396" s="17">
        <v>2.2382230000000001</v>
      </c>
      <c r="Y396" s="17">
        <v>1.794492</v>
      </c>
    </row>
    <row r="397" spans="1:25" x14ac:dyDescent="0.25">
      <c r="A397" s="7">
        <v>36495</v>
      </c>
      <c r="B397" s="12">
        <v>4.7076000000000002E-3</v>
      </c>
      <c r="C397" s="17">
        <v>5.7977460000000001</v>
      </c>
      <c r="D397" s="17">
        <v>1.953932</v>
      </c>
      <c r="E397" s="17">
        <v>3.7646359999999999</v>
      </c>
      <c r="F397" s="13">
        <v>-2.2709999999999999E-4</v>
      </c>
      <c r="G397" s="17">
        <v>-0.27222770000000002</v>
      </c>
      <c r="H397" s="17">
        <v>-0.59525450000000002</v>
      </c>
      <c r="I397" s="17">
        <v>1.168229</v>
      </c>
      <c r="J397" s="14">
        <v>2.0290999999999998E-3</v>
      </c>
      <c r="K397" s="17">
        <v>2.4622820000000001</v>
      </c>
      <c r="L397" s="17">
        <v>2.7407979999999998</v>
      </c>
      <c r="M397" s="17">
        <v>2.195284</v>
      </c>
      <c r="N397" s="15">
        <v>2.0265000000000001E-3</v>
      </c>
      <c r="O397" s="17">
        <v>2.459076</v>
      </c>
      <c r="P397" s="17">
        <v>2.771811</v>
      </c>
      <c r="Q397" s="17">
        <v>2.175497</v>
      </c>
      <c r="R397" s="14">
        <v>1.9976999999999998E-3</v>
      </c>
      <c r="S397" s="17">
        <v>2.4237500000000001</v>
      </c>
      <c r="T397" s="17">
        <v>2.6939600000000001</v>
      </c>
      <c r="U397" s="17">
        <v>1.9533339999999999</v>
      </c>
      <c r="V397" s="15">
        <v>1.9864000000000001E-3</v>
      </c>
      <c r="W397" s="17">
        <v>2.409907</v>
      </c>
      <c r="X397" s="17">
        <v>2.7418149999999999</v>
      </c>
      <c r="Y397" s="17">
        <v>1.8674599999999999</v>
      </c>
    </row>
    <row r="398" spans="1:25" x14ac:dyDescent="0.25">
      <c r="A398" s="7">
        <v>36526</v>
      </c>
      <c r="B398" s="12">
        <v>2.0785000000000001E-3</v>
      </c>
      <c r="C398" s="17">
        <v>2.5229300000000001</v>
      </c>
      <c r="D398" s="17">
        <v>2.1718259999999998</v>
      </c>
      <c r="E398" s="17">
        <v>3.870733</v>
      </c>
      <c r="F398" s="13">
        <v>-1.7400000000000001E-6</v>
      </c>
      <c r="G398" s="17">
        <v>-2.0929E-3</v>
      </c>
      <c r="H398" s="17">
        <v>-0.9822147</v>
      </c>
      <c r="I398" s="17">
        <v>1.057145</v>
      </c>
      <c r="J398" s="14">
        <v>3.3769999999999998E-3</v>
      </c>
      <c r="K398" s="17">
        <v>4.1285299999999996</v>
      </c>
      <c r="L398" s="17">
        <v>3.3228979999999999</v>
      </c>
      <c r="M398" s="17">
        <v>2.3457539999999999</v>
      </c>
      <c r="N398" s="15">
        <v>3.4675000000000001E-3</v>
      </c>
      <c r="O398" s="17">
        <v>4.2412520000000002</v>
      </c>
      <c r="P398" s="17">
        <v>3.388293</v>
      </c>
      <c r="Q398" s="17">
        <v>2.3452470000000001</v>
      </c>
      <c r="R398" s="14">
        <v>2.5655999999999999E-3</v>
      </c>
      <c r="S398" s="17">
        <v>3.1225179999999999</v>
      </c>
      <c r="T398" s="17">
        <v>2.8132820000000001</v>
      </c>
      <c r="U398" s="17">
        <v>2.0012599999999998</v>
      </c>
      <c r="V398" s="15">
        <v>2.5668000000000002E-3</v>
      </c>
      <c r="W398" s="17">
        <v>3.1240559999999999</v>
      </c>
      <c r="X398" s="17">
        <v>2.8296450000000002</v>
      </c>
      <c r="Y398" s="17">
        <v>1.9300310000000001</v>
      </c>
    </row>
    <row r="399" spans="1:25" x14ac:dyDescent="0.25">
      <c r="A399" s="7">
        <v>36557</v>
      </c>
      <c r="B399" s="12">
        <v>8.4577999999999997E-3</v>
      </c>
      <c r="C399" s="17">
        <v>10.63503</v>
      </c>
      <c r="D399" s="17">
        <v>6.2665790000000001</v>
      </c>
      <c r="E399" s="17">
        <v>5.1236119999999996</v>
      </c>
      <c r="F399" s="13">
        <v>-8.8069999999999999E-4</v>
      </c>
      <c r="G399" s="17">
        <v>-1.051677</v>
      </c>
      <c r="H399" s="17">
        <v>-0.44299529999999998</v>
      </c>
      <c r="I399" s="17">
        <v>1.6037809999999999</v>
      </c>
      <c r="J399" s="14">
        <v>1.7389E-3</v>
      </c>
      <c r="K399" s="17">
        <v>2.1067580000000001</v>
      </c>
      <c r="L399" s="17">
        <v>2.895429</v>
      </c>
      <c r="M399" s="17">
        <v>2.371213</v>
      </c>
      <c r="N399" s="15">
        <v>1.6489E-3</v>
      </c>
      <c r="O399" s="17">
        <v>1.9967029999999999</v>
      </c>
      <c r="P399" s="17">
        <v>2.8944770000000002</v>
      </c>
      <c r="Q399" s="17">
        <v>2.372128</v>
      </c>
      <c r="R399" s="14">
        <v>1.2585999999999999E-3</v>
      </c>
      <c r="S399" s="17">
        <v>1.5208759999999999</v>
      </c>
      <c r="T399" s="17">
        <v>2.3536130000000002</v>
      </c>
      <c r="U399" s="17">
        <v>2.013328</v>
      </c>
      <c r="V399" s="15">
        <v>9.9310000000000002E-4</v>
      </c>
      <c r="W399" s="17">
        <v>1.1982649999999999</v>
      </c>
      <c r="X399" s="17">
        <v>2.2409810000000001</v>
      </c>
      <c r="Y399" s="17">
        <v>1.941865</v>
      </c>
    </row>
    <row r="400" spans="1:25" x14ac:dyDescent="0.25">
      <c r="A400" s="7">
        <v>36586</v>
      </c>
      <c r="B400" s="12">
        <v>1.3565900000000001E-2</v>
      </c>
      <c r="C400" s="17">
        <v>17.550319999999999</v>
      </c>
      <c r="D400" s="17">
        <v>10.06414</v>
      </c>
      <c r="E400" s="17">
        <v>6.6013479999999998</v>
      </c>
      <c r="F400" s="13">
        <v>4.6255999999999997E-3</v>
      </c>
      <c r="G400" s="17">
        <v>5.6941930000000003</v>
      </c>
      <c r="H400" s="17">
        <v>1.504078</v>
      </c>
      <c r="I400" s="17">
        <v>2.5261990000000001</v>
      </c>
      <c r="J400" s="14">
        <v>2.7621E-3</v>
      </c>
      <c r="K400" s="17">
        <v>3.3653659999999999</v>
      </c>
      <c r="L400" s="17">
        <v>3.1968459999999999</v>
      </c>
      <c r="M400" s="17">
        <v>2.4774530000000001</v>
      </c>
      <c r="N400" s="15">
        <v>2.8517E-3</v>
      </c>
      <c r="O400" s="17">
        <v>3.4762439999999999</v>
      </c>
      <c r="P400" s="17">
        <v>3.2338529999999999</v>
      </c>
      <c r="Q400" s="17">
        <v>2.4897200000000002</v>
      </c>
      <c r="R400" s="14">
        <v>2.9326000000000001E-3</v>
      </c>
      <c r="S400" s="17">
        <v>3.5763859999999998</v>
      </c>
      <c r="T400" s="17">
        <v>2.7361309999999999</v>
      </c>
      <c r="U400" s="17">
        <v>2.1553049999999998</v>
      </c>
      <c r="V400" s="15">
        <v>3.1338999999999998E-3</v>
      </c>
      <c r="W400" s="17">
        <v>3.8261919999999998</v>
      </c>
      <c r="X400" s="17">
        <v>2.7101410000000001</v>
      </c>
      <c r="Y400" s="17">
        <v>2.1121089999999998</v>
      </c>
    </row>
    <row r="401" spans="1:25" x14ac:dyDescent="0.25">
      <c r="A401" s="7">
        <v>36617</v>
      </c>
      <c r="B401" s="12">
        <v>-4.3829000000000003E-3</v>
      </c>
      <c r="C401" s="17">
        <v>-5.1345850000000004</v>
      </c>
      <c r="D401" s="17">
        <v>7.252675</v>
      </c>
      <c r="E401" s="17">
        <v>4.5918830000000002</v>
      </c>
      <c r="F401" s="13">
        <v>3.8909000000000001E-3</v>
      </c>
      <c r="G401" s="17">
        <v>4.7702869999999997</v>
      </c>
      <c r="H401" s="17">
        <v>3.093804</v>
      </c>
      <c r="I401" s="17">
        <v>1.982121</v>
      </c>
      <c r="J401" s="14">
        <v>1.4626000000000001E-3</v>
      </c>
      <c r="K401" s="17">
        <v>1.769315</v>
      </c>
      <c r="L401" s="17">
        <v>2.4115160000000002</v>
      </c>
      <c r="M401" s="17">
        <v>2.4087619999999998</v>
      </c>
      <c r="N401" s="15">
        <v>1.5027E-3</v>
      </c>
      <c r="O401" s="17">
        <v>1.818179</v>
      </c>
      <c r="P401" s="17">
        <v>2.427689</v>
      </c>
      <c r="Q401" s="17">
        <v>2.4225409999999998</v>
      </c>
      <c r="R401" s="14">
        <v>8.7929999999999996E-4</v>
      </c>
      <c r="S401" s="17">
        <v>1.0602560000000001</v>
      </c>
      <c r="T401" s="17">
        <v>2.0466690000000001</v>
      </c>
      <c r="U401" s="17">
        <v>2.0409099999999998</v>
      </c>
      <c r="V401" s="15">
        <v>8.3390000000000005E-4</v>
      </c>
      <c r="W401" s="17">
        <v>1.005317</v>
      </c>
      <c r="X401" s="17">
        <v>2.0018560000000001</v>
      </c>
      <c r="Y401" s="17">
        <v>1.991161</v>
      </c>
    </row>
    <row r="402" spans="1:25" x14ac:dyDescent="0.25">
      <c r="A402" s="7">
        <v>36647</v>
      </c>
      <c r="B402" s="12">
        <v>-8.0210000000000004E-4</v>
      </c>
      <c r="C402" s="17">
        <v>-0.95832309999999998</v>
      </c>
      <c r="D402" s="17">
        <v>3.3673160000000002</v>
      </c>
      <c r="E402" s="17">
        <v>4.583253</v>
      </c>
      <c r="F402" s="13">
        <v>-6.6350000000000003E-4</v>
      </c>
      <c r="G402" s="17">
        <v>-0.79334020000000005</v>
      </c>
      <c r="H402" s="17">
        <v>3.183446</v>
      </c>
      <c r="I402" s="17">
        <v>1.968553</v>
      </c>
      <c r="J402" s="14">
        <v>2.6018999999999999E-3</v>
      </c>
      <c r="K402" s="17">
        <v>3.1672920000000002</v>
      </c>
      <c r="L402" s="17">
        <v>2.7648619999999999</v>
      </c>
      <c r="M402" s="17">
        <v>2.5367920000000002</v>
      </c>
      <c r="N402" s="15">
        <v>2.7585000000000001E-3</v>
      </c>
      <c r="O402" s="17">
        <v>3.3609339999999999</v>
      </c>
      <c r="P402" s="17">
        <v>2.882333</v>
      </c>
      <c r="Q402" s="17">
        <v>2.5620630000000002</v>
      </c>
      <c r="R402" s="14">
        <v>2.6223000000000002E-3</v>
      </c>
      <c r="S402" s="17">
        <v>3.1924920000000001</v>
      </c>
      <c r="T402" s="17">
        <v>2.6037140000000001</v>
      </c>
      <c r="U402" s="17">
        <v>2.2358069999999999</v>
      </c>
      <c r="V402" s="15">
        <v>2.9175E-3</v>
      </c>
      <c r="W402" s="17">
        <v>3.5576699999999999</v>
      </c>
      <c r="X402" s="17">
        <v>2.7884880000000001</v>
      </c>
      <c r="Y402" s="17">
        <v>2.220996</v>
      </c>
    </row>
    <row r="403" spans="1:25" x14ac:dyDescent="0.25">
      <c r="A403" s="7">
        <v>36678</v>
      </c>
      <c r="B403" s="12">
        <v>1.3217599999999999E-2</v>
      </c>
      <c r="C403" s="17">
        <v>17.066549999999999</v>
      </c>
      <c r="D403" s="17">
        <v>3.2253210000000001</v>
      </c>
      <c r="E403" s="17">
        <v>6.0231260000000004</v>
      </c>
      <c r="F403" s="13">
        <v>-1.281E-4</v>
      </c>
      <c r="G403" s="17">
        <v>-0.1535639</v>
      </c>
      <c r="H403" s="17">
        <v>1.244283</v>
      </c>
      <c r="I403" s="17">
        <v>1.8719250000000001</v>
      </c>
      <c r="J403" s="14">
        <v>2.3389999999999999E-3</v>
      </c>
      <c r="K403" s="17">
        <v>2.8431549999999999</v>
      </c>
      <c r="L403" s="17">
        <v>2.5915110000000001</v>
      </c>
      <c r="M403" s="17">
        <v>2.657619</v>
      </c>
      <c r="N403" s="15">
        <v>2.3730999999999999E-3</v>
      </c>
      <c r="O403" s="17">
        <v>2.8852159999999998</v>
      </c>
      <c r="P403" s="17">
        <v>2.68608</v>
      </c>
      <c r="Q403" s="17">
        <v>2.6752229999999999</v>
      </c>
      <c r="R403" s="14">
        <v>1.9692999999999998E-3</v>
      </c>
      <c r="S403" s="17">
        <v>2.3889670000000001</v>
      </c>
      <c r="T403" s="17">
        <v>2.2101169999999999</v>
      </c>
      <c r="U403" s="17">
        <v>2.401761</v>
      </c>
      <c r="V403" s="15">
        <v>1.957E-3</v>
      </c>
      <c r="W403" s="17">
        <v>2.3738610000000002</v>
      </c>
      <c r="X403" s="17">
        <v>2.3069639999999998</v>
      </c>
      <c r="Y403" s="17">
        <v>2.382015</v>
      </c>
    </row>
    <row r="404" spans="1:25" x14ac:dyDescent="0.25">
      <c r="A404" s="7">
        <v>36708</v>
      </c>
      <c r="B404" s="12">
        <v>3.6269000000000002E-3</v>
      </c>
      <c r="C404" s="17">
        <v>4.4401120000000001</v>
      </c>
      <c r="D404" s="17">
        <v>6.5874439999999996</v>
      </c>
      <c r="E404" s="17">
        <v>5.7435960000000001</v>
      </c>
      <c r="F404" s="13">
        <v>1.9900999999999999E-3</v>
      </c>
      <c r="G404" s="17">
        <v>2.414482</v>
      </c>
      <c r="H404" s="17">
        <v>0.47968300000000003</v>
      </c>
      <c r="I404" s="17">
        <v>1.63228</v>
      </c>
      <c r="J404" s="14">
        <v>2.663E-3</v>
      </c>
      <c r="K404" s="17">
        <v>3.2428780000000001</v>
      </c>
      <c r="L404" s="17">
        <v>3.0842960000000001</v>
      </c>
      <c r="M404" s="17">
        <v>2.6968239999999999</v>
      </c>
      <c r="N404" s="15">
        <v>2.6032E-3</v>
      </c>
      <c r="O404" s="17">
        <v>3.1689310000000002</v>
      </c>
      <c r="P404" s="17">
        <v>3.1381749999999999</v>
      </c>
      <c r="Q404" s="17">
        <v>2.715757</v>
      </c>
      <c r="R404" s="14">
        <v>2.7009E-3</v>
      </c>
      <c r="S404" s="17">
        <v>3.2896429999999999</v>
      </c>
      <c r="T404" s="17">
        <v>2.9562409999999999</v>
      </c>
      <c r="U404" s="17">
        <v>2.396299</v>
      </c>
      <c r="V404" s="15">
        <v>2.5974000000000001E-3</v>
      </c>
      <c r="W404" s="17">
        <v>3.161826</v>
      </c>
      <c r="X404" s="17">
        <v>3.0299429999999998</v>
      </c>
      <c r="Y404" s="17">
        <v>2.369853</v>
      </c>
    </row>
    <row r="405" spans="1:25" x14ac:dyDescent="0.25">
      <c r="A405" s="7">
        <v>36739</v>
      </c>
      <c r="B405" s="12">
        <v>-6.3946999999999997E-3</v>
      </c>
      <c r="C405" s="17">
        <v>-7.4094639999999998</v>
      </c>
      <c r="D405" s="17">
        <v>4.2210840000000003</v>
      </c>
      <c r="E405" s="17">
        <v>4.551768</v>
      </c>
      <c r="F405" s="13">
        <v>-1.6329000000000001E-3</v>
      </c>
      <c r="G405" s="17">
        <v>-1.941999</v>
      </c>
      <c r="H405" s="17">
        <v>9.0376999999999999E-2</v>
      </c>
      <c r="I405" s="17">
        <v>1.636693</v>
      </c>
      <c r="J405" s="14">
        <v>3.0014E-3</v>
      </c>
      <c r="K405" s="17">
        <v>3.6616970000000002</v>
      </c>
      <c r="L405" s="17">
        <v>3.2487029999999999</v>
      </c>
      <c r="M405" s="17">
        <v>2.8460709999999998</v>
      </c>
      <c r="N405" s="15">
        <v>3.0728999999999999E-3</v>
      </c>
      <c r="O405" s="17">
        <v>3.7504580000000001</v>
      </c>
      <c r="P405" s="17">
        <v>3.2675749999999999</v>
      </c>
      <c r="Q405" s="17">
        <v>2.8871129999999998</v>
      </c>
      <c r="R405" s="14">
        <v>3.0653E-3</v>
      </c>
      <c r="S405" s="17">
        <v>3.7410040000000002</v>
      </c>
      <c r="T405" s="17">
        <v>3.1383380000000001</v>
      </c>
      <c r="U405" s="17">
        <v>2.5820080000000001</v>
      </c>
      <c r="V405" s="15">
        <v>3.2112999999999998E-3</v>
      </c>
      <c r="W405" s="17">
        <v>3.9223629999999998</v>
      </c>
      <c r="X405" s="17">
        <v>3.1507459999999998</v>
      </c>
      <c r="Y405" s="17">
        <v>2.6038809999999999</v>
      </c>
    </row>
    <row r="406" spans="1:25" x14ac:dyDescent="0.25">
      <c r="A406" s="7">
        <v>36770</v>
      </c>
      <c r="B406" s="12">
        <v>1.26277E-2</v>
      </c>
      <c r="C406" s="17">
        <v>16.251270000000002</v>
      </c>
      <c r="D406" s="17">
        <v>3.97858</v>
      </c>
      <c r="E406" s="17">
        <v>4.7598779999999996</v>
      </c>
      <c r="F406" s="13">
        <v>4.8183000000000002E-3</v>
      </c>
      <c r="G406" s="17">
        <v>5.93771</v>
      </c>
      <c r="H406" s="17">
        <v>2.0857199999999998</v>
      </c>
      <c r="I406" s="17">
        <v>1.0547029999999999</v>
      </c>
      <c r="J406" s="14">
        <v>1.6309E-3</v>
      </c>
      <c r="K406" s="17">
        <v>1.9747680000000001</v>
      </c>
      <c r="L406" s="17">
        <v>2.9572769999999999</v>
      </c>
      <c r="M406" s="17">
        <v>2.8713540000000002</v>
      </c>
      <c r="N406" s="15">
        <v>1.5430000000000001E-3</v>
      </c>
      <c r="O406" s="17">
        <v>1.867413</v>
      </c>
      <c r="P406" s="17">
        <v>2.9259170000000001</v>
      </c>
      <c r="Q406" s="17">
        <v>2.904204</v>
      </c>
      <c r="R406" s="14">
        <v>8.0040000000000005E-4</v>
      </c>
      <c r="S406" s="17">
        <v>0.96465999999999996</v>
      </c>
      <c r="T406" s="17">
        <v>2.6578590000000002</v>
      </c>
      <c r="U406" s="17">
        <v>2.5742970000000001</v>
      </c>
      <c r="V406" s="15">
        <v>4.6690000000000002E-4</v>
      </c>
      <c r="W406" s="17">
        <v>0.56169780000000002</v>
      </c>
      <c r="X406" s="17">
        <v>2.5384799999999998</v>
      </c>
      <c r="Y406" s="17">
        <v>2.5742050000000001</v>
      </c>
    </row>
    <row r="407" spans="1:25" x14ac:dyDescent="0.25">
      <c r="A407" s="7">
        <v>36800</v>
      </c>
      <c r="B407" s="12">
        <v>-5.2400000000000005E-4</v>
      </c>
      <c r="C407" s="17">
        <v>-0.62697910000000001</v>
      </c>
      <c r="D407" s="17">
        <v>2.2690619999999999</v>
      </c>
      <c r="E407" s="17">
        <v>4.5435879999999997</v>
      </c>
      <c r="F407" s="13">
        <v>-2.2981999999999998E-3</v>
      </c>
      <c r="G407" s="17">
        <v>-2.7232180000000001</v>
      </c>
      <c r="H407" s="17">
        <v>0.34928189999999998</v>
      </c>
      <c r="I407" s="17">
        <v>0.7243735</v>
      </c>
      <c r="J407" s="14">
        <v>2.1202E-3</v>
      </c>
      <c r="K407" s="17">
        <v>2.5741070000000001</v>
      </c>
      <c r="L407" s="17">
        <v>2.7344879999999998</v>
      </c>
      <c r="M407" s="17">
        <v>2.887718</v>
      </c>
      <c r="N407" s="15">
        <v>2.1510000000000001E-3</v>
      </c>
      <c r="O407" s="17">
        <v>2.6120019999999999</v>
      </c>
      <c r="P407" s="17">
        <v>2.7403770000000001</v>
      </c>
      <c r="Q407" s="17">
        <v>2.9229759999999998</v>
      </c>
      <c r="R407" s="14">
        <v>1.4878999999999999E-3</v>
      </c>
      <c r="S407" s="17">
        <v>1.8002020000000001</v>
      </c>
      <c r="T407" s="17">
        <v>2.1620240000000002</v>
      </c>
      <c r="U407" s="17">
        <v>2.4937909999999999</v>
      </c>
      <c r="V407" s="15">
        <v>1.4155000000000001E-3</v>
      </c>
      <c r="W407" s="17">
        <v>1.711884</v>
      </c>
      <c r="X407" s="17">
        <v>2.0558179999999999</v>
      </c>
      <c r="Y407" s="17">
        <v>2.4782989999999998</v>
      </c>
    </row>
    <row r="408" spans="1:25" x14ac:dyDescent="0.25">
      <c r="A408" s="7">
        <v>36831</v>
      </c>
      <c r="B408" s="12">
        <v>1.8374999999999999E-3</v>
      </c>
      <c r="C408" s="17">
        <v>2.2273969999999998</v>
      </c>
      <c r="D408" s="17">
        <v>5.7006940000000004</v>
      </c>
      <c r="E408" s="17">
        <v>4.8825750000000001</v>
      </c>
      <c r="F408" s="13">
        <v>5.2339999999999999E-3</v>
      </c>
      <c r="G408" s="17">
        <v>6.4647699999999997</v>
      </c>
      <c r="H408" s="17">
        <v>3.1387580000000002</v>
      </c>
      <c r="I408" s="17">
        <v>1.4784949999999999</v>
      </c>
      <c r="J408" s="14">
        <v>2.1846999999999999E-3</v>
      </c>
      <c r="K408" s="17">
        <v>2.6533220000000002</v>
      </c>
      <c r="L408" s="17">
        <v>2.4002840000000001</v>
      </c>
      <c r="M408" s="17">
        <v>2.8268710000000001</v>
      </c>
      <c r="N408" s="15">
        <v>2.3241999999999998E-3</v>
      </c>
      <c r="O408" s="17">
        <v>2.82491</v>
      </c>
      <c r="P408" s="17">
        <v>2.433951</v>
      </c>
      <c r="Q408" s="17">
        <v>2.8691599999999999</v>
      </c>
      <c r="R408" s="14">
        <v>1.7461E-3</v>
      </c>
      <c r="S408" s="17">
        <v>2.1156060000000001</v>
      </c>
      <c r="T408" s="17">
        <v>1.625661</v>
      </c>
      <c r="U408" s="17">
        <v>2.4288850000000002</v>
      </c>
      <c r="V408" s="15">
        <v>1.9157E-3</v>
      </c>
      <c r="W408" s="17">
        <v>2.3231570000000001</v>
      </c>
      <c r="X408" s="17">
        <v>1.5296160000000001</v>
      </c>
      <c r="Y408" s="17">
        <v>2.4256310000000001</v>
      </c>
    </row>
    <row r="409" spans="1:25" x14ac:dyDescent="0.25">
      <c r="A409" s="7">
        <v>36861</v>
      </c>
      <c r="B409" s="12">
        <v>1.7003000000000001E-3</v>
      </c>
      <c r="C409" s="17">
        <v>2.0595530000000002</v>
      </c>
      <c r="D409" s="17">
        <v>1.21149</v>
      </c>
      <c r="E409" s="17">
        <v>4.5686359999999997</v>
      </c>
      <c r="F409" s="13">
        <v>-4.4736999999999997E-3</v>
      </c>
      <c r="G409" s="17">
        <v>-5.2382759999999999</v>
      </c>
      <c r="H409" s="17">
        <v>-0.62373080000000003</v>
      </c>
      <c r="I409" s="17">
        <v>1.0474650000000001</v>
      </c>
      <c r="J409" s="14">
        <v>2.7991000000000001E-3</v>
      </c>
      <c r="K409" s="17">
        <v>3.4111590000000001</v>
      </c>
      <c r="L409" s="17">
        <v>2.8788390000000001</v>
      </c>
      <c r="M409" s="17">
        <v>2.905891</v>
      </c>
      <c r="N409" s="15">
        <v>2.8779000000000001E-3</v>
      </c>
      <c r="O409" s="17">
        <v>3.5086680000000001</v>
      </c>
      <c r="P409" s="17">
        <v>2.98115</v>
      </c>
      <c r="Q409" s="17">
        <v>2.956566</v>
      </c>
      <c r="R409" s="14">
        <v>2.5062999999999999E-3</v>
      </c>
      <c r="S409" s="17">
        <v>3.0493990000000002</v>
      </c>
      <c r="T409" s="17">
        <v>2.320363</v>
      </c>
      <c r="U409" s="17">
        <v>2.4808789999999998</v>
      </c>
      <c r="V409" s="15">
        <v>2.5929E-3</v>
      </c>
      <c r="W409" s="17">
        <v>3.1562450000000002</v>
      </c>
      <c r="X409" s="17">
        <v>2.3953850000000001</v>
      </c>
      <c r="Y409" s="17">
        <v>2.4876290000000001</v>
      </c>
    </row>
    <row r="410" spans="1:25" x14ac:dyDescent="0.25">
      <c r="A410" s="7">
        <v>36892</v>
      </c>
      <c r="B410" s="12">
        <v>1.14842E-2</v>
      </c>
      <c r="C410" s="17">
        <v>14.685639999999999</v>
      </c>
      <c r="D410" s="17">
        <v>6.1638529999999996</v>
      </c>
      <c r="E410" s="17">
        <v>5.5501319999999996</v>
      </c>
      <c r="F410" s="13">
        <v>4.1253000000000001E-3</v>
      </c>
      <c r="G410" s="17">
        <v>5.064235</v>
      </c>
      <c r="H410" s="17">
        <v>1.9603360000000001</v>
      </c>
      <c r="I410" s="17">
        <v>1.4644919999999999</v>
      </c>
      <c r="J410" s="14">
        <v>2.8246E-3</v>
      </c>
      <c r="K410" s="17">
        <v>3.4427310000000002</v>
      </c>
      <c r="L410" s="17">
        <v>3.1684239999999999</v>
      </c>
      <c r="M410" s="17">
        <v>2.8492410000000001</v>
      </c>
      <c r="N410" s="15">
        <v>2.7415E-3</v>
      </c>
      <c r="O410" s="17">
        <v>3.339871</v>
      </c>
      <c r="P410" s="17">
        <v>3.2240730000000002</v>
      </c>
      <c r="Q410" s="17">
        <v>2.8820809999999999</v>
      </c>
      <c r="R410" s="14">
        <v>2.6573999999999999E-3</v>
      </c>
      <c r="S410" s="17">
        <v>3.2359209999999998</v>
      </c>
      <c r="T410" s="17">
        <v>2.7991380000000001</v>
      </c>
      <c r="U410" s="17">
        <v>2.4902660000000001</v>
      </c>
      <c r="V410" s="15">
        <v>2.4683000000000001E-3</v>
      </c>
      <c r="W410" s="17">
        <v>3.0024700000000002</v>
      </c>
      <c r="X410" s="17">
        <v>2.8266529999999999</v>
      </c>
      <c r="Y410" s="17">
        <v>2.477554</v>
      </c>
    </row>
    <row r="411" spans="1:25" x14ac:dyDescent="0.25">
      <c r="A411" s="7">
        <v>36923</v>
      </c>
      <c r="B411" s="12">
        <v>1.1937E-3</v>
      </c>
      <c r="C411" s="17">
        <v>1.441897</v>
      </c>
      <c r="D411" s="17">
        <v>5.8912380000000004</v>
      </c>
      <c r="E411" s="17">
        <v>4.7898389999999997</v>
      </c>
      <c r="F411" s="13">
        <v>1.9765999999999998E-3</v>
      </c>
      <c r="G411" s="17">
        <v>2.3979309999999998</v>
      </c>
      <c r="H411" s="17">
        <v>0.64518679999999995</v>
      </c>
      <c r="I411" s="17">
        <v>1.7546619999999999</v>
      </c>
      <c r="J411" s="14">
        <v>2.5363E-3</v>
      </c>
      <c r="K411" s="17">
        <v>3.086401</v>
      </c>
      <c r="L411" s="17">
        <v>3.3133050000000002</v>
      </c>
      <c r="M411" s="17">
        <v>2.9311120000000002</v>
      </c>
      <c r="N411" s="15">
        <v>2.5506999999999999E-3</v>
      </c>
      <c r="O411" s="17">
        <v>3.104152</v>
      </c>
      <c r="P411" s="17">
        <v>3.3174299999999999</v>
      </c>
      <c r="Q411" s="17">
        <v>2.97471</v>
      </c>
      <c r="R411" s="14">
        <v>2.2596000000000001E-3</v>
      </c>
      <c r="S411" s="17">
        <v>2.7454369999999999</v>
      </c>
      <c r="T411" s="17">
        <v>3.0100539999999998</v>
      </c>
      <c r="U411" s="17">
        <v>2.5927220000000002</v>
      </c>
      <c r="V411" s="15">
        <v>2.2296E-3</v>
      </c>
      <c r="W411" s="17">
        <v>2.7085140000000001</v>
      </c>
      <c r="X411" s="17">
        <v>2.9555750000000001</v>
      </c>
      <c r="Y411" s="17">
        <v>2.604136</v>
      </c>
    </row>
    <row r="412" spans="1:25" x14ac:dyDescent="0.25">
      <c r="A412" s="7">
        <v>36951</v>
      </c>
      <c r="B412" s="12">
        <v>-3.3809000000000001E-3</v>
      </c>
      <c r="C412" s="17">
        <v>-3.9825179999999998</v>
      </c>
      <c r="D412" s="17">
        <v>3.7589510000000002</v>
      </c>
      <c r="E412" s="17">
        <v>3.0377529999999999</v>
      </c>
      <c r="F412" s="13">
        <v>1.105E-4</v>
      </c>
      <c r="G412" s="17">
        <v>0.13273470000000001</v>
      </c>
      <c r="H412" s="17">
        <v>2.5118459999999998</v>
      </c>
      <c r="I412" s="17">
        <v>1.297345</v>
      </c>
      <c r="J412" s="14">
        <v>2.6865999999999999E-3</v>
      </c>
      <c r="K412" s="17">
        <v>3.271935</v>
      </c>
      <c r="L412" s="17">
        <v>3.2669199999999998</v>
      </c>
      <c r="M412" s="17">
        <v>2.9233560000000001</v>
      </c>
      <c r="N412" s="15">
        <v>2.7001E-3</v>
      </c>
      <c r="O412" s="17">
        <v>3.2886639999999998</v>
      </c>
      <c r="P412" s="17">
        <v>3.2441789999999999</v>
      </c>
      <c r="Q412" s="17">
        <v>2.9591409999999998</v>
      </c>
      <c r="R412" s="14">
        <v>1.5992999999999999E-3</v>
      </c>
      <c r="S412" s="17">
        <v>1.936118</v>
      </c>
      <c r="T412" s="17">
        <v>2.6377579999999998</v>
      </c>
      <c r="U412" s="17">
        <v>2.4563380000000001</v>
      </c>
      <c r="V412" s="15">
        <v>1.4012E-3</v>
      </c>
      <c r="W412" s="17">
        <v>1.6945159999999999</v>
      </c>
      <c r="X412" s="17">
        <v>2.4669650000000001</v>
      </c>
      <c r="Y412" s="17">
        <v>2.4269129999999999</v>
      </c>
    </row>
    <row r="413" spans="1:25" x14ac:dyDescent="0.25">
      <c r="A413" s="7">
        <v>36982</v>
      </c>
      <c r="B413" s="12">
        <v>9.3570000000000003E-4</v>
      </c>
      <c r="C413" s="17">
        <v>1.128617</v>
      </c>
      <c r="D413" s="17">
        <v>-0.50210049999999995</v>
      </c>
      <c r="E413" s="17">
        <v>3.5881859999999999</v>
      </c>
      <c r="F413" s="13">
        <v>-1.5690000000000001E-3</v>
      </c>
      <c r="G413" s="17">
        <v>-1.866673</v>
      </c>
      <c r="H413" s="17">
        <v>0.20619999999999999</v>
      </c>
      <c r="I413" s="17">
        <v>0.7464134</v>
      </c>
      <c r="J413" s="14">
        <v>2.7169999999999998E-3</v>
      </c>
      <c r="K413" s="17">
        <v>3.30958</v>
      </c>
      <c r="L413" s="17">
        <v>3.2225929999999998</v>
      </c>
      <c r="M413" s="17">
        <v>3.0522749999999998</v>
      </c>
      <c r="N413" s="15">
        <v>2.7709000000000002E-3</v>
      </c>
      <c r="O413" s="17">
        <v>3.376201</v>
      </c>
      <c r="P413" s="17">
        <v>3.2562769999999999</v>
      </c>
      <c r="Q413" s="17">
        <v>3.0895190000000001</v>
      </c>
      <c r="R413" s="14">
        <v>2.0409E-3</v>
      </c>
      <c r="S413" s="17">
        <v>2.476817</v>
      </c>
      <c r="T413" s="17">
        <v>2.3855710000000001</v>
      </c>
      <c r="U413" s="17">
        <v>2.575253</v>
      </c>
      <c r="V413" s="15">
        <v>2.0024999999999999E-3</v>
      </c>
      <c r="W413" s="17">
        <v>2.429624</v>
      </c>
      <c r="X413" s="17">
        <v>2.276656</v>
      </c>
      <c r="Y413" s="17">
        <v>2.5465040000000001</v>
      </c>
    </row>
    <row r="414" spans="1:25" x14ac:dyDescent="0.25">
      <c r="A414" s="7">
        <v>37012</v>
      </c>
      <c r="B414" s="12">
        <v>9.6334999999999997E-3</v>
      </c>
      <c r="C414" s="17">
        <v>12.192869999999999</v>
      </c>
      <c r="D414" s="17">
        <v>2.89554</v>
      </c>
      <c r="E414" s="17">
        <v>4.6700660000000003</v>
      </c>
      <c r="F414" s="13">
        <v>-3.8381999999999999E-3</v>
      </c>
      <c r="G414" s="17">
        <v>-4.5099</v>
      </c>
      <c r="H414" s="17">
        <v>-2.0997840000000001</v>
      </c>
      <c r="I414" s="17">
        <v>0.42635970000000001</v>
      </c>
      <c r="J414" s="14">
        <v>2.5660000000000001E-3</v>
      </c>
      <c r="K414" s="17">
        <v>3.1230440000000002</v>
      </c>
      <c r="L414" s="17">
        <v>3.2348219999999999</v>
      </c>
      <c r="M414" s="17">
        <v>3.0485910000000001</v>
      </c>
      <c r="N414" s="15">
        <v>2.5947000000000001E-3</v>
      </c>
      <c r="O414" s="17">
        <v>3.1584080000000001</v>
      </c>
      <c r="P414" s="17">
        <v>3.2743850000000001</v>
      </c>
      <c r="Q414" s="17">
        <v>3.0726710000000002</v>
      </c>
      <c r="R414" s="14">
        <v>1.4193999999999999E-3</v>
      </c>
      <c r="S414" s="17">
        <v>1.716682</v>
      </c>
      <c r="T414" s="17">
        <v>2.0427059999999999</v>
      </c>
      <c r="U414" s="17">
        <v>2.4521959999999998</v>
      </c>
      <c r="V414" s="15">
        <v>1.2371999999999999E-3</v>
      </c>
      <c r="W414" s="17">
        <v>1.4947360000000001</v>
      </c>
      <c r="X414" s="17">
        <v>1.8721669999999999</v>
      </c>
      <c r="Y414" s="17">
        <v>2.3746969999999998</v>
      </c>
    </row>
    <row r="415" spans="1:25" x14ac:dyDescent="0.25">
      <c r="A415" s="7">
        <v>37043</v>
      </c>
      <c r="B415" s="12">
        <v>-4.2400000000000001E-5</v>
      </c>
      <c r="C415" s="17">
        <v>-5.0840200000000002E-2</v>
      </c>
      <c r="D415" s="17">
        <v>4.2812340000000004</v>
      </c>
      <c r="E415" s="17">
        <v>3.3002470000000002</v>
      </c>
      <c r="F415" s="13">
        <v>2.7196E-3</v>
      </c>
      <c r="G415" s="17">
        <v>3.31277</v>
      </c>
      <c r="H415" s="17">
        <v>-1.0741879999999999</v>
      </c>
      <c r="I415" s="17">
        <v>0.7123756</v>
      </c>
      <c r="J415" s="14">
        <v>3.5664E-3</v>
      </c>
      <c r="K415" s="17">
        <v>4.3646349999999998</v>
      </c>
      <c r="L415" s="17">
        <v>3.5976469999999998</v>
      </c>
      <c r="M415" s="17">
        <v>3.1747809999999999</v>
      </c>
      <c r="N415" s="15">
        <v>3.6334000000000002E-3</v>
      </c>
      <c r="O415" s="17">
        <v>4.4482200000000001</v>
      </c>
      <c r="P415" s="17">
        <v>3.6594139999999999</v>
      </c>
      <c r="Q415" s="17">
        <v>3.2022590000000002</v>
      </c>
      <c r="R415" s="14">
        <v>3.4846E-3</v>
      </c>
      <c r="S415" s="17">
        <v>4.2625609999999998</v>
      </c>
      <c r="T415" s="17">
        <v>2.8131659999999998</v>
      </c>
      <c r="U415" s="17">
        <v>2.6071300000000002</v>
      </c>
      <c r="V415" s="15">
        <v>3.5929E-3</v>
      </c>
      <c r="W415" s="17">
        <v>4.3977510000000004</v>
      </c>
      <c r="X415" s="17">
        <v>2.766937</v>
      </c>
      <c r="Y415" s="17">
        <v>2.5418470000000002</v>
      </c>
    </row>
    <row r="416" spans="1:25" x14ac:dyDescent="0.25">
      <c r="A416" s="7">
        <v>37073</v>
      </c>
      <c r="B416" s="12">
        <v>-1.14006E-2</v>
      </c>
      <c r="C416" s="17">
        <v>-12.85463</v>
      </c>
      <c r="D416" s="17">
        <v>-0.76544900000000005</v>
      </c>
      <c r="E416" s="17">
        <v>1.75352</v>
      </c>
      <c r="F416" s="13">
        <v>1.7633E-3</v>
      </c>
      <c r="G416" s="17">
        <v>2.1366429999999998</v>
      </c>
      <c r="H416" s="17">
        <v>0.25313849999999999</v>
      </c>
      <c r="I416" s="17">
        <v>0.68957880000000005</v>
      </c>
      <c r="J416" s="14">
        <v>2.7223E-3</v>
      </c>
      <c r="K416" s="17">
        <v>3.316176</v>
      </c>
      <c r="L416" s="17">
        <v>3.5998519999999998</v>
      </c>
      <c r="M416" s="17">
        <v>3.1808830000000001</v>
      </c>
      <c r="N416" s="15">
        <v>2.6974E-3</v>
      </c>
      <c r="O416" s="17">
        <v>3.2852969999999999</v>
      </c>
      <c r="P416" s="17">
        <v>3.6290200000000001</v>
      </c>
      <c r="Q416" s="17">
        <v>3.211954</v>
      </c>
      <c r="R416" s="14">
        <v>2.3858999999999998E-3</v>
      </c>
      <c r="S416" s="17">
        <v>2.900909</v>
      </c>
      <c r="T416" s="17">
        <v>2.954799</v>
      </c>
      <c r="U416" s="17">
        <v>2.574894</v>
      </c>
      <c r="V416" s="15">
        <v>2.2699E-3</v>
      </c>
      <c r="W416" s="17">
        <v>2.7581869999999999</v>
      </c>
      <c r="X416" s="17">
        <v>2.8767010000000002</v>
      </c>
      <c r="Y416" s="17">
        <v>2.5083530000000001</v>
      </c>
    </row>
    <row r="417" spans="1:25" x14ac:dyDescent="0.25">
      <c r="A417" s="7">
        <v>37104</v>
      </c>
      <c r="B417" s="12">
        <v>-6.3140000000000002E-3</v>
      </c>
      <c r="C417" s="17">
        <v>-7.3191829999999998</v>
      </c>
      <c r="D417" s="17">
        <v>-6.8882620000000001</v>
      </c>
      <c r="E417" s="17">
        <v>1.761784</v>
      </c>
      <c r="F417" s="13">
        <v>-5.7792E-3</v>
      </c>
      <c r="G417" s="17">
        <v>-6.7188080000000001</v>
      </c>
      <c r="H417" s="17">
        <v>-0.52592939999999999</v>
      </c>
      <c r="I417" s="17">
        <v>0.27140769999999997</v>
      </c>
      <c r="J417" s="14">
        <v>3.5238000000000001E-3</v>
      </c>
      <c r="K417" s="17">
        <v>4.3114549999999996</v>
      </c>
      <c r="L417" s="17">
        <v>3.9963009999999999</v>
      </c>
      <c r="M417" s="17">
        <v>3.2346240000000002</v>
      </c>
      <c r="N417" s="15">
        <v>3.5611000000000002E-3</v>
      </c>
      <c r="O417" s="17">
        <v>4.3580480000000001</v>
      </c>
      <c r="P417" s="17">
        <v>4.0291779999999999</v>
      </c>
      <c r="Q417" s="17">
        <v>3.2621889999999998</v>
      </c>
      <c r="R417" s="14">
        <v>2.9594000000000001E-3</v>
      </c>
      <c r="S417" s="17">
        <v>3.6096919999999999</v>
      </c>
      <c r="T417" s="17">
        <v>3.5895609999999998</v>
      </c>
      <c r="U417" s="17">
        <v>2.5640679999999998</v>
      </c>
      <c r="V417" s="15">
        <v>2.9131000000000001E-3</v>
      </c>
      <c r="W417" s="17">
        <v>3.552305</v>
      </c>
      <c r="X417" s="17">
        <v>3.5672510000000002</v>
      </c>
      <c r="Y417" s="17">
        <v>2.477884</v>
      </c>
    </row>
    <row r="418" spans="1:25" x14ac:dyDescent="0.25">
      <c r="A418" s="7">
        <v>37135</v>
      </c>
      <c r="B418" s="12">
        <v>5.5735999999999997E-3</v>
      </c>
      <c r="C418" s="17">
        <v>6.8971660000000004</v>
      </c>
      <c r="D418" s="17">
        <v>-4.7788440000000003</v>
      </c>
      <c r="E418" s="17">
        <v>1.0528930000000001</v>
      </c>
      <c r="F418" s="13">
        <v>-1.9521E-3</v>
      </c>
      <c r="G418" s="17">
        <v>-2.3175729999999999</v>
      </c>
      <c r="H418" s="17">
        <v>-2.366835</v>
      </c>
      <c r="I418" s="17">
        <v>-0.40422079999999999</v>
      </c>
      <c r="J418" s="14">
        <v>2.8871000000000001E-3</v>
      </c>
      <c r="K418" s="17">
        <v>3.5200049999999998</v>
      </c>
      <c r="L418" s="17">
        <v>3.7149909999999999</v>
      </c>
      <c r="M418" s="17">
        <v>3.3640880000000002</v>
      </c>
      <c r="N418" s="15">
        <v>2.9537999999999999E-3</v>
      </c>
      <c r="O418" s="17">
        <v>3.6027719999999999</v>
      </c>
      <c r="P418" s="17">
        <v>3.7477309999999999</v>
      </c>
      <c r="Q418" s="17">
        <v>3.4076499999999998</v>
      </c>
      <c r="R418" s="14">
        <v>2.4699000000000001E-3</v>
      </c>
      <c r="S418" s="17">
        <v>3.0044300000000002</v>
      </c>
      <c r="T418" s="17">
        <v>3.1712039999999999</v>
      </c>
      <c r="U418" s="17">
        <v>2.735163</v>
      </c>
      <c r="V418" s="15">
        <v>2.5089999999999999E-3</v>
      </c>
      <c r="W418" s="17">
        <v>3.0527060000000001</v>
      </c>
      <c r="X418" s="17">
        <v>3.120546</v>
      </c>
      <c r="Y418" s="17">
        <v>2.6870599999999998</v>
      </c>
    </row>
    <row r="419" spans="1:25" x14ac:dyDescent="0.25">
      <c r="A419" s="7">
        <v>37165</v>
      </c>
      <c r="B419" s="12">
        <v>-1.5359299999999999E-2</v>
      </c>
      <c r="C419" s="17">
        <v>-16.951219999999999</v>
      </c>
      <c r="D419" s="17">
        <v>-6.2949289999999998</v>
      </c>
      <c r="E419" s="17">
        <v>-0.44704700000000003</v>
      </c>
      <c r="F419" s="13">
        <v>-4.9284999999999997E-3</v>
      </c>
      <c r="G419" s="17">
        <v>-5.7564890000000002</v>
      </c>
      <c r="H419" s="17">
        <v>-4.9495899999999997</v>
      </c>
      <c r="I419" s="17">
        <v>-0.66679330000000003</v>
      </c>
      <c r="J419" s="14">
        <v>2.9968E-3</v>
      </c>
      <c r="K419" s="17">
        <v>3.6559680000000001</v>
      </c>
      <c r="L419" s="17">
        <v>3.8285680000000002</v>
      </c>
      <c r="M419" s="17">
        <v>3.454501</v>
      </c>
      <c r="N419" s="15">
        <v>3.0225999999999999E-3</v>
      </c>
      <c r="O419" s="17">
        <v>3.6880269999999999</v>
      </c>
      <c r="P419" s="17">
        <v>3.8824010000000002</v>
      </c>
      <c r="Q419" s="17">
        <v>3.4975830000000001</v>
      </c>
      <c r="R419" s="14">
        <v>2.3741000000000001E-3</v>
      </c>
      <c r="S419" s="17">
        <v>2.88645</v>
      </c>
      <c r="T419" s="17">
        <v>3.1663709999999998</v>
      </c>
      <c r="U419" s="17">
        <v>2.8260719999999999</v>
      </c>
      <c r="V419" s="15">
        <v>2.2943999999999998E-3</v>
      </c>
      <c r="W419" s="17">
        <v>2.7882419999999999</v>
      </c>
      <c r="X419" s="17">
        <v>3.130598</v>
      </c>
      <c r="Y419" s="17">
        <v>2.77718</v>
      </c>
    </row>
    <row r="420" spans="1:25" x14ac:dyDescent="0.25">
      <c r="A420" s="7">
        <v>37196</v>
      </c>
      <c r="B420" s="12">
        <v>-7.9894000000000007E-3</v>
      </c>
      <c r="C420" s="17">
        <v>-9.177009</v>
      </c>
      <c r="D420" s="17">
        <v>-6.9252789999999997</v>
      </c>
      <c r="E420" s="17">
        <v>-1.4235469999999999</v>
      </c>
      <c r="F420" s="13">
        <v>6.4342999999999996E-3</v>
      </c>
      <c r="G420" s="17">
        <v>8.0003960000000003</v>
      </c>
      <c r="H420" s="17">
        <v>-0.19221550000000001</v>
      </c>
      <c r="I420" s="17">
        <v>-0.54817859999999996</v>
      </c>
      <c r="J420" s="14">
        <v>3.2566000000000001E-3</v>
      </c>
      <c r="K420" s="17">
        <v>3.9786320000000002</v>
      </c>
      <c r="L420" s="17">
        <v>3.7180230000000001</v>
      </c>
      <c r="M420" s="17">
        <v>3.5651519999999999</v>
      </c>
      <c r="N420" s="15">
        <v>3.4719E-3</v>
      </c>
      <c r="O420" s="17">
        <v>4.2467779999999999</v>
      </c>
      <c r="P420" s="17">
        <v>3.8454670000000002</v>
      </c>
      <c r="Q420" s="17">
        <v>3.6160969999999999</v>
      </c>
      <c r="R420" s="14">
        <v>2.6007999999999999E-3</v>
      </c>
      <c r="S420" s="17">
        <v>3.165991</v>
      </c>
      <c r="T420" s="17">
        <v>3.0188929999999998</v>
      </c>
      <c r="U420" s="17">
        <v>2.9138000000000002</v>
      </c>
      <c r="V420" s="15">
        <v>2.8693999999999998E-3</v>
      </c>
      <c r="W420" s="17">
        <v>3.4981080000000002</v>
      </c>
      <c r="X420" s="17">
        <v>3.112603</v>
      </c>
      <c r="Y420" s="17">
        <v>2.875013</v>
      </c>
    </row>
    <row r="421" spans="1:25" x14ac:dyDescent="0.25">
      <c r="A421" s="7">
        <v>37226</v>
      </c>
      <c r="B421" s="12">
        <v>-6.0656E-3</v>
      </c>
      <c r="C421" s="17">
        <v>-7.0406979999999999</v>
      </c>
      <c r="D421" s="17">
        <v>-11.160259999999999</v>
      </c>
      <c r="E421" s="17">
        <v>-2.1877789999999999</v>
      </c>
      <c r="F421" s="13">
        <v>-1.2398999999999999E-3</v>
      </c>
      <c r="G421" s="17">
        <v>-1.477749</v>
      </c>
      <c r="H421" s="17">
        <v>9.3000899999999997E-2</v>
      </c>
      <c r="I421" s="17">
        <v>-0.22512570000000001</v>
      </c>
      <c r="J421" s="14">
        <v>2.3957000000000002E-3</v>
      </c>
      <c r="K421" s="17">
        <v>2.9130560000000001</v>
      </c>
      <c r="L421" s="17">
        <v>3.514923</v>
      </c>
      <c r="M421" s="17">
        <v>3.5234899999999998</v>
      </c>
      <c r="N421" s="15">
        <v>2.5918E-3</v>
      </c>
      <c r="O421" s="17">
        <v>3.1549170000000002</v>
      </c>
      <c r="P421" s="17">
        <v>3.6956159999999998</v>
      </c>
      <c r="Q421" s="17">
        <v>3.586541</v>
      </c>
      <c r="R421" s="14">
        <v>1.2512000000000001E-3</v>
      </c>
      <c r="S421" s="17">
        <v>1.511798</v>
      </c>
      <c r="T421" s="17">
        <v>2.518856</v>
      </c>
      <c r="U421" s="17">
        <v>2.784951</v>
      </c>
      <c r="V421" s="15">
        <v>1.3655E-3</v>
      </c>
      <c r="W421" s="17">
        <v>1.6510089999999999</v>
      </c>
      <c r="X421" s="17">
        <v>2.642963</v>
      </c>
      <c r="Y421" s="17">
        <v>2.7490739999999998</v>
      </c>
    </row>
    <row r="422" spans="1:25" x14ac:dyDescent="0.25">
      <c r="A422" s="7">
        <v>37257</v>
      </c>
      <c r="B422" s="12">
        <v>-8.5389999999999999E-4</v>
      </c>
      <c r="C422" s="17">
        <v>-1.019908</v>
      </c>
      <c r="D422" s="17">
        <v>-5.8084009999999999</v>
      </c>
      <c r="E422" s="17">
        <v>-3.3808929999999999</v>
      </c>
      <c r="F422" s="13">
        <v>-3.9984E-3</v>
      </c>
      <c r="G422" s="17">
        <v>-4.6939200000000003</v>
      </c>
      <c r="H422" s="17">
        <v>0.46776960000000001</v>
      </c>
      <c r="I422" s="17">
        <v>-1.0323329999999999</v>
      </c>
      <c r="J422" s="14">
        <v>2.5203999999999999E-3</v>
      </c>
      <c r="K422" s="17">
        <v>3.0667689999999999</v>
      </c>
      <c r="L422" s="17">
        <v>3.3184179999999999</v>
      </c>
      <c r="M422" s="17">
        <v>3.492083</v>
      </c>
      <c r="N422" s="15">
        <v>2.5043999999999999E-3</v>
      </c>
      <c r="O422" s="17">
        <v>3.0469849999999998</v>
      </c>
      <c r="P422" s="17">
        <v>3.4814769999999999</v>
      </c>
      <c r="Q422" s="17">
        <v>3.5620440000000002</v>
      </c>
      <c r="R422" s="14">
        <v>2.2545E-3</v>
      </c>
      <c r="S422" s="17">
        <v>2.7392470000000002</v>
      </c>
      <c r="T422" s="17">
        <v>2.4699399999999998</v>
      </c>
      <c r="U422" s="17">
        <v>2.743652</v>
      </c>
      <c r="V422" s="15">
        <v>2.1646999999999999E-3</v>
      </c>
      <c r="W422" s="17">
        <v>2.6287889999999998</v>
      </c>
      <c r="X422" s="17">
        <v>2.5898599999999998</v>
      </c>
      <c r="Y422" s="17">
        <v>2.717959</v>
      </c>
    </row>
    <row r="423" spans="1:25" x14ac:dyDescent="0.25">
      <c r="A423" s="7">
        <v>37288</v>
      </c>
      <c r="B423" s="12">
        <v>-2.1599999999999999E-4</v>
      </c>
      <c r="C423" s="17">
        <v>-0.2588879</v>
      </c>
      <c r="D423" s="17">
        <v>-2.821177</v>
      </c>
      <c r="E423" s="17">
        <v>-3.5169350000000001</v>
      </c>
      <c r="F423" s="13">
        <v>8.5340000000000004E-4</v>
      </c>
      <c r="G423" s="17">
        <v>1.0289140000000001</v>
      </c>
      <c r="H423" s="17">
        <v>-1.742237</v>
      </c>
      <c r="I423" s="17">
        <v>-1.143278</v>
      </c>
      <c r="J423" s="14">
        <v>2.6335E-3</v>
      </c>
      <c r="K423" s="17">
        <v>3.2063959999999998</v>
      </c>
      <c r="L423" s="17">
        <v>3.0620039999999999</v>
      </c>
      <c r="M423" s="17">
        <v>3.502116</v>
      </c>
      <c r="N423" s="15">
        <v>2.5259000000000002E-3</v>
      </c>
      <c r="O423" s="17">
        <v>3.0735420000000002</v>
      </c>
      <c r="P423" s="17">
        <v>3.0918040000000002</v>
      </c>
      <c r="Q423" s="17">
        <v>3.5594809999999999</v>
      </c>
      <c r="R423" s="14">
        <v>2.0937E-3</v>
      </c>
      <c r="S423" s="17">
        <v>2.54162</v>
      </c>
      <c r="T423" s="17">
        <v>2.2628029999999999</v>
      </c>
      <c r="U423" s="17">
        <v>2.7266520000000001</v>
      </c>
      <c r="V423" s="15">
        <v>1.7692000000000001E-3</v>
      </c>
      <c r="W423" s="17">
        <v>2.1438000000000001</v>
      </c>
      <c r="X423" s="17">
        <v>2.1404190000000001</v>
      </c>
      <c r="Y423" s="17">
        <v>2.670776</v>
      </c>
    </row>
    <row r="424" spans="1:25" x14ac:dyDescent="0.25">
      <c r="A424" s="7">
        <v>37316</v>
      </c>
      <c r="B424" s="12">
        <v>5.0759000000000004E-3</v>
      </c>
      <c r="C424" s="17">
        <v>6.263979</v>
      </c>
      <c r="D424" s="17">
        <v>1.6099049999999999</v>
      </c>
      <c r="E424" s="17">
        <v>-2.6982309999999998</v>
      </c>
      <c r="F424" s="13">
        <v>-4.6496999999999997E-3</v>
      </c>
      <c r="G424" s="17">
        <v>-5.439152</v>
      </c>
      <c r="H424" s="17">
        <v>-3.0772149999999998</v>
      </c>
      <c r="I424" s="17">
        <v>-1.613809</v>
      </c>
      <c r="J424" s="14">
        <v>1.8125000000000001E-3</v>
      </c>
      <c r="K424" s="17">
        <v>2.1968399999999999</v>
      </c>
      <c r="L424" s="17">
        <v>2.8223630000000002</v>
      </c>
      <c r="M424" s="17">
        <v>3.4118940000000002</v>
      </c>
      <c r="N424" s="15">
        <v>1.9789999999999999E-3</v>
      </c>
      <c r="O424" s="17">
        <v>2.400773</v>
      </c>
      <c r="P424" s="17">
        <v>2.8399619999999999</v>
      </c>
      <c r="Q424" s="17">
        <v>3.4850029999999999</v>
      </c>
      <c r="R424" s="14">
        <v>8.9090000000000003E-4</v>
      </c>
      <c r="S424" s="17">
        <v>1.0743119999999999</v>
      </c>
      <c r="T424" s="17">
        <v>2.1156839999999999</v>
      </c>
      <c r="U424" s="17">
        <v>2.6539959999999998</v>
      </c>
      <c r="V424" s="15">
        <v>9.9949999999999995E-4</v>
      </c>
      <c r="W424" s="17">
        <v>1.2059869999999999</v>
      </c>
      <c r="X424" s="17">
        <v>1.991147</v>
      </c>
      <c r="Y424" s="17">
        <v>2.6295839999999999</v>
      </c>
    </row>
    <row r="425" spans="1:25" x14ac:dyDescent="0.25">
      <c r="A425" s="7">
        <v>37347</v>
      </c>
      <c r="B425" s="12">
        <v>8.9072000000000005E-3</v>
      </c>
      <c r="C425" s="17">
        <v>11.22819</v>
      </c>
      <c r="D425" s="17">
        <v>5.6391859999999996</v>
      </c>
      <c r="E425" s="17">
        <v>-1.9233089999999999</v>
      </c>
      <c r="F425" s="13">
        <v>3.3479999999999998E-3</v>
      </c>
      <c r="G425" s="17">
        <v>4.0924659999999999</v>
      </c>
      <c r="H425" s="17">
        <v>-0.18584980000000001</v>
      </c>
      <c r="I425" s="17">
        <v>-1.1292770000000001</v>
      </c>
      <c r="J425" s="14">
        <v>2.3782999999999999E-3</v>
      </c>
      <c r="K425" s="17">
        <v>2.8915660000000001</v>
      </c>
      <c r="L425" s="17">
        <v>2.7640669999999998</v>
      </c>
      <c r="M425" s="17">
        <v>3.37696</v>
      </c>
      <c r="N425" s="15">
        <v>2.5653E-3</v>
      </c>
      <c r="O425" s="17">
        <v>3.122198</v>
      </c>
      <c r="P425" s="17">
        <v>2.8649770000000001</v>
      </c>
      <c r="Q425" s="17">
        <v>3.4637889999999998</v>
      </c>
      <c r="R425" s="14">
        <v>2.0309E-3</v>
      </c>
      <c r="S425" s="17">
        <v>2.4644759999999999</v>
      </c>
      <c r="T425" s="17">
        <v>2.0245679999999999</v>
      </c>
      <c r="U425" s="17">
        <v>2.652965</v>
      </c>
      <c r="V425" s="15">
        <v>2.3077000000000002E-3</v>
      </c>
      <c r="W425" s="17">
        <v>2.8046579999999999</v>
      </c>
      <c r="X425" s="17">
        <v>2.049372</v>
      </c>
      <c r="Y425" s="17">
        <v>2.6608450000000001</v>
      </c>
    </row>
    <row r="426" spans="1:25" x14ac:dyDescent="0.25">
      <c r="A426" s="7">
        <v>37377</v>
      </c>
      <c r="B426" s="12">
        <v>-2.8143999999999999E-3</v>
      </c>
      <c r="C426" s="17">
        <v>-3.3254969999999999</v>
      </c>
      <c r="D426" s="17">
        <v>4.5452469999999998</v>
      </c>
      <c r="E426" s="17">
        <v>-3.132514</v>
      </c>
      <c r="F426" s="13">
        <v>-3.0352999999999999E-3</v>
      </c>
      <c r="G426" s="17">
        <v>-3.5821860000000001</v>
      </c>
      <c r="H426" s="17">
        <v>-1.7281089999999999</v>
      </c>
      <c r="I426" s="17">
        <v>-1.0495840000000001</v>
      </c>
      <c r="J426" s="14">
        <v>2.4686E-3</v>
      </c>
      <c r="K426" s="17">
        <v>3.0029159999999999</v>
      </c>
      <c r="L426" s="17">
        <v>2.6964869999999999</v>
      </c>
      <c r="M426" s="17">
        <v>3.3669199999999999</v>
      </c>
      <c r="N426" s="15">
        <v>2.4946999999999999E-3</v>
      </c>
      <c r="O426" s="17">
        <v>3.0351119999999998</v>
      </c>
      <c r="P426" s="17">
        <v>2.8521909999999999</v>
      </c>
      <c r="Q426" s="17">
        <v>3.4534790000000002</v>
      </c>
      <c r="R426" s="14">
        <v>2.6161999999999999E-3</v>
      </c>
      <c r="S426" s="17">
        <v>3.185063</v>
      </c>
      <c r="T426" s="17">
        <v>2.2375229999999999</v>
      </c>
      <c r="U426" s="17">
        <v>2.7756470000000002</v>
      </c>
      <c r="V426" s="15">
        <v>2.6987999999999999E-3</v>
      </c>
      <c r="W426" s="17">
        <v>3.2870620000000002</v>
      </c>
      <c r="X426" s="17">
        <v>2.4286949999999998</v>
      </c>
      <c r="Y426" s="17">
        <v>2.8107129999999998</v>
      </c>
    </row>
    <row r="427" spans="1:25" x14ac:dyDescent="0.25">
      <c r="A427" s="7">
        <v>37408</v>
      </c>
      <c r="B427" s="12">
        <v>-1.1647000000000001E-3</v>
      </c>
      <c r="C427" s="17">
        <v>-1.3887659999999999</v>
      </c>
      <c r="D427" s="17">
        <v>1.9728129999999999</v>
      </c>
      <c r="E427" s="17">
        <v>-3.2412390000000002</v>
      </c>
      <c r="F427" s="13">
        <v>-3.6489999999999998E-4</v>
      </c>
      <c r="G427" s="17">
        <v>-0.43699169999999998</v>
      </c>
      <c r="H427" s="17">
        <v>-2.4972999999999999E-2</v>
      </c>
      <c r="I427" s="17">
        <v>-1.3539669999999999</v>
      </c>
      <c r="J427" s="14">
        <v>1.8E-3</v>
      </c>
      <c r="K427" s="17">
        <v>2.18146</v>
      </c>
      <c r="L427" s="17">
        <v>2.691335</v>
      </c>
      <c r="M427" s="17">
        <v>3.1849769999999999</v>
      </c>
      <c r="N427" s="15">
        <v>1.6521999999999999E-3</v>
      </c>
      <c r="O427" s="17">
        <v>2.0007169999999999</v>
      </c>
      <c r="P427" s="17">
        <v>2.7180770000000001</v>
      </c>
      <c r="Q427" s="17">
        <v>3.24926</v>
      </c>
      <c r="R427" s="14">
        <v>1.0801999999999999E-3</v>
      </c>
      <c r="S427" s="17">
        <v>1.3039210000000001</v>
      </c>
      <c r="T427" s="17">
        <v>2.3148810000000002</v>
      </c>
      <c r="U427" s="17">
        <v>2.5293909999999999</v>
      </c>
      <c r="V427" s="15">
        <v>6.3889999999999997E-4</v>
      </c>
      <c r="W427" s="17">
        <v>0.76936959999999999</v>
      </c>
      <c r="X427" s="17">
        <v>2.2811849999999998</v>
      </c>
      <c r="Y427" s="17">
        <v>2.5080930000000001</v>
      </c>
    </row>
    <row r="428" spans="1:25" x14ac:dyDescent="0.25">
      <c r="A428" s="7">
        <v>37438</v>
      </c>
      <c r="B428" s="12">
        <v>7.5639999999999995E-4</v>
      </c>
      <c r="C428" s="17">
        <v>0.91142489999999998</v>
      </c>
      <c r="D428" s="17">
        <v>-1.2827850000000001</v>
      </c>
      <c r="E428" s="17">
        <v>-2.0513849999999998</v>
      </c>
      <c r="F428" s="13">
        <v>-1.6257000000000001E-3</v>
      </c>
      <c r="G428" s="17">
        <v>-1.9335100000000001</v>
      </c>
      <c r="H428" s="17">
        <v>-1.992651</v>
      </c>
      <c r="I428" s="17">
        <v>-1.6876949999999999</v>
      </c>
      <c r="J428" s="14">
        <v>2.7166999999999998E-3</v>
      </c>
      <c r="K428" s="17">
        <v>3.3091750000000002</v>
      </c>
      <c r="L428" s="17">
        <v>2.8300800000000002</v>
      </c>
      <c r="M428" s="17">
        <v>3.1843940000000002</v>
      </c>
      <c r="N428" s="15">
        <v>2.8395999999999998E-3</v>
      </c>
      <c r="O428" s="17">
        <v>3.461185</v>
      </c>
      <c r="P428" s="17">
        <v>2.8305060000000002</v>
      </c>
      <c r="Q428" s="17">
        <v>3.2639010000000002</v>
      </c>
      <c r="R428" s="14">
        <v>2.673E-3</v>
      </c>
      <c r="S428" s="17">
        <v>3.2551960000000002</v>
      </c>
      <c r="T428" s="17">
        <v>2.5773950000000001</v>
      </c>
      <c r="U428" s="17">
        <v>2.5587620000000002</v>
      </c>
      <c r="V428" s="15">
        <v>2.8963999999999999E-3</v>
      </c>
      <c r="W428" s="17">
        <v>3.5316459999999998</v>
      </c>
      <c r="X428" s="17">
        <v>2.5217149999999999</v>
      </c>
      <c r="Y428" s="17">
        <v>2.5721699999999998</v>
      </c>
    </row>
    <row r="429" spans="1:25" x14ac:dyDescent="0.25">
      <c r="A429" s="7">
        <v>37469</v>
      </c>
      <c r="B429" s="12">
        <v>3.8245000000000002E-3</v>
      </c>
      <c r="C429" s="17">
        <v>4.6871999999999998</v>
      </c>
      <c r="D429" s="17">
        <v>1.3724879999999999</v>
      </c>
      <c r="E429" s="17">
        <v>-1.052017</v>
      </c>
      <c r="F429" s="13">
        <v>6.2262000000000003E-3</v>
      </c>
      <c r="G429" s="17">
        <v>7.7327349999999999</v>
      </c>
      <c r="H429" s="17">
        <v>1.7002710000000001</v>
      </c>
      <c r="I429" s="17">
        <v>-0.50055059999999996</v>
      </c>
      <c r="J429" s="14">
        <v>2.4055000000000001E-3</v>
      </c>
      <c r="K429" s="17">
        <v>2.9251049999999998</v>
      </c>
      <c r="L429" s="17">
        <v>2.8041800000000001</v>
      </c>
      <c r="M429" s="17">
        <v>3.0694110000000001</v>
      </c>
      <c r="N429" s="15">
        <v>2.4827E-3</v>
      </c>
      <c r="O429" s="17">
        <v>3.020289</v>
      </c>
      <c r="P429" s="17">
        <v>2.8255750000000002</v>
      </c>
      <c r="Q429" s="17">
        <v>3.152936</v>
      </c>
      <c r="R429" s="14">
        <v>2.5417999999999999E-3</v>
      </c>
      <c r="S429" s="17">
        <v>3.0931320000000002</v>
      </c>
      <c r="T429" s="17">
        <v>2.546923</v>
      </c>
      <c r="U429" s="17">
        <v>2.516054</v>
      </c>
      <c r="V429" s="15">
        <v>2.7188999999999998E-3</v>
      </c>
      <c r="W429" s="17">
        <v>3.311868</v>
      </c>
      <c r="X429" s="17">
        <v>2.529922</v>
      </c>
      <c r="Y429" s="17">
        <v>2.5523020000000001</v>
      </c>
    </row>
    <row r="430" spans="1:25" x14ac:dyDescent="0.25">
      <c r="A430" s="7">
        <v>37500</v>
      </c>
      <c r="B430" s="12">
        <v>7.314E-4</v>
      </c>
      <c r="C430" s="17">
        <v>0.88117639999999997</v>
      </c>
      <c r="D430" s="17">
        <v>2.1444290000000001</v>
      </c>
      <c r="E430" s="17">
        <v>-1.5284880000000001</v>
      </c>
      <c r="F430" s="13">
        <v>-1.6232E-3</v>
      </c>
      <c r="G430" s="17">
        <v>-1.9305920000000001</v>
      </c>
      <c r="H430" s="17">
        <v>1.189152</v>
      </c>
      <c r="I430" s="17">
        <v>-0.46776180000000001</v>
      </c>
      <c r="J430" s="14">
        <v>1.6727999999999999E-3</v>
      </c>
      <c r="K430" s="17">
        <v>2.025944</v>
      </c>
      <c r="L430" s="17">
        <v>2.7519990000000001</v>
      </c>
      <c r="M430" s="17">
        <v>2.94462</v>
      </c>
      <c r="N430" s="15">
        <v>1.6711E-3</v>
      </c>
      <c r="O430" s="17">
        <v>2.0238019999999999</v>
      </c>
      <c r="P430" s="17">
        <v>2.8333309999999998</v>
      </c>
      <c r="Q430" s="17">
        <v>3.0210029999999999</v>
      </c>
      <c r="R430" s="14">
        <v>8.8099999999999995E-4</v>
      </c>
      <c r="S430" s="17">
        <v>1.062343</v>
      </c>
      <c r="T430" s="17">
        <v>2.465344</v>
      </c>
      <c r="U430" s="17">
        <v>2.3535720000000002</v>
      </c>
      <c r="V430" s="15">
        <v>7.0049999999999995E-4</v>
      </c>
      <c r="W430" s="17">
        <v>0.84385909999999997</v>
      </c>
      <c r="X430" s="17">
        <v>2.5551789999999999</v>
      </c>
      <c r="Y430" s="17">
        <v>2.3673009999999999</v>
      </c>
    </row>
    <row r="431" spans="1:25" x14ac:dyDescent="0.25">
      <c r="A431" s="7">
        <v>37530</v>
      </c>
      <c r="B431" s="12">
        <v>1.9902000000000001E-3</v>
      </c>
      <c r="C431" s="17">
        <v>2.4145219999999998</v>
      </c>
      <c r="D431" s="17">
        <v>2.6490860000000001</v>
      </c>
      <c r="E431" s="17">
        <v>0.20659359999999999</v>
      </c>
      <c r="F431" s="13">
        <v>-4.8386999999999996E-3</v>
      </c>
      <c r="G431" s="17">
        <v>-5.6543599999999996</v>
      </c>
      <c r="H431" s="17">
        <v>-0.1071607</v>
      </c>
      <c r="I431" s="17">
        <v>-0.45877790000000002</v>
      </c>
      <c r="J431" s="14">
        <v>2.3796999999999998E-3</v>
      </c>
      <c r="K431" s="17">
        <v>2.893262</v>
      </c>
      <c r="L431" s="17">
        <v>2.6139230000000002</v>
      </c>
      <c r="M431" s="17">
        <v>2.881284</v>
      </c>
      <c r="N431" s="15">
        <v>2.3617E-3</v>
      </c>
      <c r="O431" s="17">
        <v>2.8711060000000002</v>
      </c>
      <c r="P431" s="17">
        <v>2.6374590000000002</v>
      </c>
      <c r="Q431" s="17">
        <v>2.9531179999999999</v>
      </c>
      <c r="R431" s="14">
        <v>2.2734999999999999E-3</v>
      </c>
      <c r="S431" s="17">
        <v>2.762537</v>
      </c>
      <c r="T431" s="17">
        <v>2.3021210000000001</v>
      </c>
      <c r="U431" s="17">
        <v>2.3432930000000001</v>
      </c>
      <c r="V431" s="15">
        <v>2.2155E-3</v>
      </c>
      <c r="W431" s="17">
        <v>2.6912560000000001</v>
      </c>
      <c r="X431" s="17">
        <v>2.2769370000000002</v>
      </c>
      <c r="Y431" s="17">
        <v>2.359248</v>
      </c>
    </row>
    <row r="432" spans="1:25" x14ac:dyDescent="0.25">
      <c r="A432" s="7">
        <v>37561</v>
      </c>
      <c r="B432" s="12">
        <v>9.5310000000000002E-4</v>
      </c>
      <c r="C432" s="17">
        <v>1.14971</v>
      </c>
      <c r="D432" s="17">
        <v>1.479606</v>
      </c>
      <c r="E432" s="17">
        <v>1.1099049999999999</v>
      </c>
      <c r="F432" s="13">
        <v>8.6899999999999998E-5</v>
      </c>
      <c r="G432" s="17">
        <v>0.1043446</v>
      </c>
      <c r="H432" s="17">
        <v>-2.5228609999999998</v>
      </c>
      <c r="I432" s="17">
        <v>-1.0865689999999999</v>
      </c>
      <c r="J432" s="14">
        <v>2.1189E-3</v>
      </c>
      <c r="K432" s="17">
        <v>2.5725349999999998</v>
      </c>
      <c r="L432" s="17">
        <v>2.4966210000000002</v>
      </c>
      <c r="M432" s="17">
        <v>2.764621</v>
      </c>
      <c r="N432" s="15">
        <v>2.2198999999999999E-3</v>
      </c>
      <c r="O432" s="17">
        <v>2.6966019999999999</v>
      </c>
      <c r="P432" s="17">
        <v>2.529852</v>
      </c>
      <c r="Q432" s="17">
        <v>2.824662</v>
      </c>
      <c r="R432" s="14">
        <v>1.9495999999999999E-3</v>
      </c>
      <c r="S432" s="17">
        <v>2.3647640000000001</v>
      </c>
      <c r="T432" s="17">
        <v>2.0606249999999999</v>
      </c>
      <c r="U432" s="17">
        <v>2.2768199999999998</v>
      </c>
      <c r="V432" s="15">
        <v>2.1034000000000001E-3</v>
      </c>
      <c r="W432" s="17">
        <v>2.5535459999999999</v>
      </c>
      <c r="X432" s="17">
        <v>2.0260799999999999</v>
      </c>
      <c r="Y432" s="17">
        <v>2.2810730000000001</v>
      </c>
    </row>
    <row r="433" spans="1:25" x14ac:dyDescent="0.25">
      <c r="A433" s="7">
        <v>37591</v>
      </c>
      <c r="B433" s="12">
        <v>-3.6870000000000002E-4</v>
      </c>
      <c r="C433" s="17">
        <v>-0.44148530000000002</v>
      </c>
      <c r="D433" s="17">
        <v>1.034151</v>
      </c>
      <c r="E433" s="17">
        <v>1.6894340000000001</v>
      </c>
      <c r="F433" s="13">
        <v>-2.4534000000000001E-3</v>
      </c>
      <c r="G433" s="17">
        <v>-2.904693</v>
      </c>
      <c r="H433" s="17">
        <v>-2.8466749999999998</v>
      </c>
      <c r="I433" s="17">
        <v>-1.206753</v>
      </c>
      <c r="J433" s="14">
        <v>2.2510999999999998E-3</v>
      </c>
      <c r="K433" s="17">
        <v>2.7349709999999998</v>
      </c>
      <c r="L433" s="17">
        <v>2.7335060000000002</v>
      </c>
      <c r="M433" s="17">
        <v>2.74979</v>
      </c>
      <c r="N433" s="15">
        <v>2.3657999999999999E-3</v>
      </c>
      <c r="O433" s="17">
        <v>2.8761869999999998</v>
      </c>
      <c r="P433" s="17">
        <v>2.8145980000000002</v>
      </c>
      <c r="Q433" s="17">
        <v>2.8014800000000002</v>
      </c>
      <c r="R433" s="14">
        <v>1.8282999999999999E-3</v>
      </c>
      <c r="S433" s="17">
        <v>2.216126</v>
      </c>
      <c r="T433" s="17">
        <v>2.4475500000000001</v>
      </c>
      <c r="U433" s="17">
        <v>2.335769</v>
      </c>
      <c r="V433" s="15">
        <v>1.9514000000000001E-3</v>
      </c>
      <c r="W433" s="17">
        <v>2.3670270000000002</v>
      </c>
      <c r="X433" s="17">
        <v>2.5371899999999998</v>
      </c>
      <c r="Y433" s="17">
        <v>2.3409179999999998</v>
      </c>
    </row>
    <row r="434" spans="1:25" x14ac:dyDescent="0.25">
      <c r="A434" s="7">
        <v>37622</v>
      </c>
      <c r="B434" s="12">
        <v>9.5118000000000008E-3</v>
      </c>
      <c r="C434" s="17">
        <v>12.03068</v>
      </c>
      <c r="D434" s="17">
        <v>4.1022230000000004</v>
      </c>
      <c r="E434" s="17">
        <v>2.7444229999999998</v>
      </c>
      <c r="F434" s="13">
        <v>-2.6162999999999998E-3</v>
      </c>
      <c r="G434" s="17">
        <v>-3.094821</v>
      </c>
      <c r="H434" s="17">
        <v>-1.9759329999999999</v>
      </c>
      <c r="I434" s="17">
        <v>-1.0696699999999999</v>
      </c>
      <c r="J434" s="14">
        <v>2.0530000000000001E-3</v>
      </c>
      <c r="K434" s="17">
        <v>2.4915500000000002</v>
      </c>
      <c r="L434" s="17">
        <v>2.5996350000000001</v>
      </c>
      <c r="M434" s="17">
        <v>2.7018800000000001</v>
      </c>
      <c r="N434" s="15">
        <v>2.3257999999999998E-3</v>
      </c>
      <c r="O434" s="17">
        <v>2.8269540000000002</v>
      </c>
      <c r="P434" s="17">
        <v>2.7998859999999999</v>
      </c>
      <c r="Q434" s="17">
        <v>2.7831700000000001</v>
      </c>
      <c r="R434" s="14">
        <v>1.5495999999999999E-3</v>
      </c>
      <c r="S434" s="17">
        <v>1.8754280000000001</v>
      </c>
      <c r="T434" s="17">
        <v>2.1519010000000001</v>
      </c>
      <c r="U434" s="17">
        <v>2.2637890000000001</v>
      </c>
      <c r="V434" s="15">
        <v>1.9551999999999998E-3</v>
      </c>
      <c r="W434" s="17">
        <v>2.3716170000000001</v>
      </c>
      <c r="X434" s="17">
        <v>2.4306930000000002</v>
      </c>
      <c r="Y434" s="17">
        <v>2.3195229999999998</v>
      </c>
    </row>
    <row r="435" spans="1:25" x14ac:dyDescent="0.25">
      <c r="A435" s="7">
        <v>37653</v>
      </c>
      <c r="B435" s="12">
        <v>1.2449099999999999E-2</v>
      </c>
      <c r="C435" s="17">
        <v>16.005469999999999</v>
      </c>
      <c r="D435" s="17">
        <v>8.9677389999999999</v>
      </c>
      <c r="E435" s="17">
        <v>4.0459740000000002</v>
      </c>
      <c r="F435" s="13">
        <v>-3.1874999999999998E-3</v>
      </c>
      <c r="G435" s="17">
        <v>-3.7586360000000001</v>
      </c>
      <c r="H435" s="17">
        <v>-3.2534100000000001</v>
      </c>
      <c r="I435" s="17">
        <v>-1.4690970000000001</v>
      </c>
      <c r="J435" s="14">
        <v>1.7714E-3</v>
      </c>
      <c r="K435" s="17">
        <v>2.1465480000000001</v>
      </c>
      <c r="L435" s="17">
        <v>2.4574050000000001</v>
      </c>
      <c r="M435" s="17">
        <v>2.6135739999999998</v>
      </c>
      <c r="N435" s="15">
        <v>1.5315000000000001E-3</v>
      </c>
      <c r="O435" s="17">
        <v>1.853359</v>
      </c>
      <c r="P435" s="17">
        <v>2.5177489999999998</v>
      </c>
      <c r="Q435" s="17">
        <v>2.6812200000000002</v>
      </c>
      <c r="R435" s="14">
        <v>2.0855000000000001E-3</v>
      </c>
      <c r="S435" s="17">
        <v>2.531533</v>
      </c>
      <c r="T435" s="17">
        <v>2.2073450000000001</v>
      </c>
      <c r="U435" s="17">
        <v>2.2629510000000002</v>
      </c>
      <c r="V435" s="15">
        <v>1.6998E-3</v>
      </c>
      <c r="W435" s="17">
        <v>2.058929</v>
      </c>
      <c r="X435" s="17">
        <v>2.2657530000000001</v>
      </c>
      <c r="Y435" s="17">
        <v>2.3124349999999998</v>
      </c>
    </row>
    <row r="436" spans="1:25" x14ac:dyDescent="0.25">
      <c r="A436" s="7">
        <v>37681</v>
      </c>
      <c r="B436" s="12">
        <v>3.1522E-3</v>
      </c>
      <c r="C436" s="17">
        <v>3.8489390000000001</v>
      </c>
      <c r="D436" s="17">
        <v>10.51108</v>
      </c>
      <c r="E436" s="17">
        <v>3.846838</v>
      </c>
      <c r="F436" s="13">
        <v>-5.0232999999999996E-3</v>
      </c>
      <c r="G436" s="17">
        <v>-5.8641360000000002</v>
      </c>
      <c r="H436" s="17">
        <v>-4.2465080000000004</v>
      </c>
      <c r="I436" s="17">
        <v>-1.5060750000000001</v>
      </c>
      <c r="J436" s="14">
        <v>1.3447000000000001E-3</v>
      </c>
      <c r="K436" s="17">
        <v>1.6255869999999999</v>
      </c>
      <c r="L436" s="17">
        <v>2.0872739999999999</v>
      </c>
      <c r="M436" s="17">
        <v>2.5656530000000002</v>
      </c>
      <c r="N436" s="15">
        <v>1.2903000000000001E-3</v>
      </c>
      <c r="O436" s="17">
        <v>1.559377</v>
      </c>
      <c r="P436" s="17">
        <v>2.078462</v>
      </c>
      <c r="Q436" s="17">
        <v>2.610646</v>
      </c>
      <c r="R436" s="14">
        <v>1.1670999999999999E-3</v>
      </c>
      <c r="S436" s="17">
        <v>1.409516</v>
      </c>
      <c r="T436" s="17">
        <v>1.9377880000000001</v>
      </c>
      <c r="U436" s="17">
        <v>2.2911700000000002</v>
      </c>
      <c r="V436" s="15">
        <v>1.0241E-3</v>
      </c>
      <c r="W436" s="17">
        <v>1.235805</v>
      </c>
      <c r="X436" s="17">
        <v>1.887656</v>
      </c>
      <c r="Y436" s="17">
        <v>2.3149470000000001</v>
      </c>
    </row>
    <row r="437" spans="1:25" x14ac:dyDescent="0.25">
      <c r="A437" s="7">
        <v>37712</v>
      </c>
      <c r="B437" s="12">
        <v>-1.32753E-2</v>
      </c>
      <c r="C437" s="17">
        <v>-14.81714</v>
      </c>
      <c r="D437" s="17">
        <v>0.86587060000000005</v>
      </c>
      <c r="E437" s="17">
        <v>1.563593</v>
      </c>
      <c r="F437" s="13">
        <v>-2.7698000000000002E-3</v>
      </c>
      <c r="G437" s="17">
        <v>-3.2736100000000001</v>
      </c>
      <c r="H437" s="17">
        <v>-4.3054319999999997</v>
      </c>
      <c r="I437" s="17">
        <v>-2.1066370000000001</v>
      </c>
      <c r="J437" s="14">
        <v>9.7519999999999996E-4</v>
      </c>
      <c r="K437" s="17">
        <v>1.176498</v>
      </c>
      <c r="L437" s="17">
        <v>1.6487719999999999</v>
      </c>
      <c r="M437" s="17">
        <v>2.4220830000000002</v>
      </c>
      <c r="N437" s="15">
        <v>1.0342000000000001E-3</v>
      </c>
      <c r="O437" s="17">
        <v>1.248132</v>
      </c>
      <c r="P437" s="17">
        <v>1.5533220000000001</v>
      </c>
      <c r="Q437" s="17">
        <v>2.4539390000000001</v>
      </c>
      <c r="R437" s="14">
        <v>9.701E-4</v>
      </c>
      <c r="S437" s="17">
        <v>1.1703440000000001</v>
      </c>
      <c r="T437" s="17">
        <v>1.7020709999999999</v>
      </c>
      <c r="U437" s="17">
        <v>2.1828799999999999</v>
      </c>
      <c r="V437" s="15">
        <v>1.0811E-3</v>
      </c>
      <c r="W437" s="17">
        <v>1.3051060000000001</v>
      </c>
      <c r="X437" s="17">
        <v>1.532597</v>
      </c>
      <c r="Y437" s="17">
        <v>2.18974</v>
      </c>
    </row>
    <row r="438" spans="1:25" x14ac:dyDescent="0.25">
      <c r="A438" s="7">
        <v>37742</v>
      </c>
      <c r="B438" s="12">
        <v>-8.9940000000000003E-3</v>
      </c>
      <c r="C438" s="17">
        <v>-10.27458</v>
      </c>
      <c r="D438" s="17">
        <v>-7.4115979999999997</v>
      </c>
      <c r="E438" s="17">
        <v>0.93420150000000002</v>
      </c>
      <c r="F438" s="13">
        <v>4.5782000000000002E-3</v>
      </c>
      <c r="G438" s="17">
        <v>5.6342460000000001</v>
      </c>
      <c r="H438" s="17">
        <v>-1.288381</v>
      </c>
      <c r="I438" s="17">
        <v>-1.359059</v>
      </c>
      <c r="J438" s="14">
        <v>1.4758E-3</v>
      </c>
      <c r="K438" s="17">
        <v>1.7854650000000001</v>
      </c>
      <c r="L438" s="17">
        <v>1.528856</v>
      </c>
      <c r="M438" s="17">
        <v>2.3206500000000001</v>
      </c>
      <c r="N438" s="15">
        <v>1.3996E-3</v>
      </c>
      <c r="O438" s="17">
        <v>1.692456</v>
      </c>
      <c r="P438" s="17">
        <v>1.499817</v>
      </c>
      <c r="Q438" s="17">
        <v>2.342012</v>
      </c>
      <c r="R438" s="14">
        <v>1.3916E-3</v>
      </c>
      <c r="S438" s="17">
        <v>1.6828160000000001</v>
      </c>
      <c r="T438" s="17">
        <v>1.420676</v>
      </c>
      <c r="U438" s="17">
        <v>2.058074</v>
      </c>
      <c r="V438" s="15">
        <v>1.2279000000000001E-3</v>
      </c>
      <c r="W438" s="17">
        <v>1.4834160000000001</v>
      </c>
      <c r="X438" s="17">
        <v>1.3413889999999999</v>
      </c>
      <c r="Y438" s="17">
        <v>2.0398290000000001</v>
      </c>
    </row>
    <row r="439" spans="1:25" x14ac:dyDescent="0.25">
      <c r="A439" s="7">
        <v>37773</v>
      </c>
      <c r="B439" s="12">
        <v>2.1962000000000001E-3</v>
      </c>
      <c r="C439" s="17">
        <v>2.6675589999999998</v>
      </c>
      <c r="D439" s="17">
        <v>-7.7640320000000003</v>
      </c>
      <c r="E439" s="17">
        <v>1.2738350000000001</v>
      </c>
      <c r="F439" s="13">
        <v>-7.7209999999999996E-4</v>
      </c>
      <c r="G439" s="17">
        <v>-0.92259630000000004</v>
      </c>
      <c r="H439" s="17">
        <v>0.40949390000000002</v>
      </c>
      <c r="I439" s="17">
        <v>-1.399241</v>
      </c>
      <c r="J439" s="14">
        <v>1.0824000000000001E-3</v>
      </c>
      <c r="K439" s="17">
        <v>1.3066770000000001</v>
      </c>
      <c r="L439" s="17">
        <v>1.422542</v>
      </c>
      <c r="M439" s="17">
        <v>2.2473640000000001</v>
      </c>
      <c r="N439" s="15">
        <v>9.6029999999999998E-4</v>
      </c>
      <c r="O439" s="17">
        <v>1.1584129999999999</v>
      </c>
      <c r="P439" s="17">
        <v>1.3660650000000001</v>
      </c>
      <c r="Q439" s="17">
        <v>2.2713169999999998</v>
      </c>
      <c r="R439" s="14">
        <v>1.4919E-3</v>
      </c>
      <c r="S439" s="17">
        <v>1.8050759999999999</v>
      </c>
      <c r="T439" s="17">
        <v>1.552373</v>
      </c>
      <c r="U439" s="17">
        <v>2.1000519999999998</v>
      </c>
      <c r="V439" s="15">
        <v>1.3515000000000001E-3</v>
      </c>
      <c r="W439" s="17">
        <v>1.6338539999999999</v>
      </c>
      <c r="X439" s="17">
        <v>1.4740359999999999</v>
      </c>
      <c r="Y439" s="17">
        <v>2.1124930000000002</v>
      </c>
    </row>
    <row r="440" spans="1:25" x14ac:dyDescent="0.25">
      <c r="A440" s="7">
        <v>37803</v>
      </c>
      <c r="B440" s="12">
        <v>4.1302999999999999E-3</v>
      </c>
      <c r="C440" s="17">
        <v>5.0704940000000001</v>
      </c>
      <c r="D440" s="17">
        <v>-1.0817330000000001</v>
      </c>
      <c r="E440" s="17">
        <v>1.6152660000000001</v>
      </c>
      <c r="F440" s="13">
        <v>6.6569999999999997E-4</v>
      </c>
      <c r="G440" s="17">
        <v>0.8018113</v>
      </c>
      <c r="H440" s="17">
        <v>1.8003400000000001</v>
      </c>
      <c r="I440" s="17">
        <v>-1.1729350000000001</v>
      </c>
      <c r="J440" s="14">
        <v>2.5113000000000002E-3</v>
      </c>
      <c r="K440" s="17">
        <v>3.0555310000000002</v>
      </c>
      <c r="L440" s="17">
        <v>2.0465620000000002</v>
      </c>
      <c r="M440" s="17">
        <v>2.2264210000000002</v>
      </c>
      <c r="N440" s="15">
        <v>2.5580999999999998E-3</v>
      </c>
      <c r="O440" s="17">
        <v>3.1132390000000001</v>
      </c>
      <c r="P440" s="17">
        <v>1.9847079999999999</v>
      </c>
      <c r="Q440" s="17">
        <v>2.2426110000000001</v>
      </c>
      <c r="R440" s="14">
        <v>2.5416000000000002E-3</v>
      </c>
      <c r="S440" s="17">
        <v>3.092975</v>
      </c>
      <c r="T440" s="17">
        <v>2.1916370000000001</v>
      </c>
      <c r="U440" s="17">
        <v>2.0866750000000001</v>
      </c>
      <c r="V440" s="15">
        <v>2.6373E-3</v>
      </c>
      <c r="W440" s="17">
        <v>3.2110590000000001</v>
      </c>
      <c r="X440" s="17">
        <v>2.1064639999999999</v>
      </c>
      <c r="Y440" s="17">
        <v>2.086106</v>
      </c>
    </row>
    <row r="441" spans="1:25" x14ac:dyDescent="0.25">
      <c r="A441" s="7">
        <v>37834</v>
      </c>
      <c r="B441" s="12">
        <v>9.9702000000000002E-3</v>
      </c>
      <c r="C441" s="17">
        <v>12.642569999999999</v>
      </c>
      <c r="D441" s="17">
        <v>6.7100980000000003</v>
      </c>
      <c r="E441" s="17">
        <v>2.2373789999999998</v>
      </c>
      <c r="F441" s="13">
        <v>-1.6888000000000001E-3</v>
      </c>
      <c r="G441" s="17">
        <v>-2.0078849999999999</v>
      </c>
      <c r="H441" s="17">
        <v>-0.7162828</v>
      </c>
      <c r="I441" s="17">
        <v>-1.9503189999999999</v>
      </c>
      <c r="J441" s="14">
        <v>1.6368999999999999E-3</v>
      </c>
      <c r="K441" s="17">
        <v>1.982057</v>
      </c>
      <c r="L441" s="17">
        <v>2.1122190000000001</v>
      </c>
      <c r="M441" s="17">
        <v>2.148037</v>
      </c>
      <c r="N441" s="15">
        <v>1.6634E-3</v>
      </c>
      <c r="O441" s="17">
        <v>2.0144009999999999</v>
      </c>
      <c r="P441" s="17">
        <v>2.0922179999999999</v>
      </c>
      <c r="Q441" s="17">
        <v>2.1590449999999999</v>
      </c>
      <c r="R441" s="14">
        <v>1.4196E-3</v>
      </c>
      <c r="S441" s="17">
        <v>1.7168760000000001</v>
      </c>
      <c r="T441" s="17">
        <v>2.2030460000000001</v>
      </c>
      <c r="U441" s="17">
        <v>1.9724060000000001</v>
      </c>
      <c r="V441" s="15">
        <v>1.4212000000000001E-3</v>
      </c>
      <c r="W441" s="17">
        <v>1.718831</v>
      </c>
      <c r="X441" s="17">
        <v>2.1853560000000001</v>
      </c>
      <c r="Y441" s="17">
        <v>1.953992</v>
      </c>
    </row>
    <row r="442" spans="1:25" x14ac:dyDescent="0.25">
      <c r="A442" s="7">
        <v>37865</v>
      </c>
      <c r="B442" s="12">
        <v>5.8734E-3</v>
      </c>
      <c r="C442" s="17">
        <v>7.280233</v>
      </c>
      <c r="D442" s="17">
        <v>8.2848439999999997</v>
      </c>
      <c r="E442" s="17">
        <v>2.762699</v>
      </c>
      <c r="F442" s="13">
        <v>-6.6026000000000001E-3</v>
      </c>
      <c r="G442" s="17">
        <v>-7.6416659999999998</v>
      </c>
      <c r="H442" s="17">
        <v>-3.0133740000000002</v>
      </c>
      <c r="I442" s="17">
        <v>-2.4393400000000001</v>
      </c>
      <c r="J442" s="14">
        <v>1.9291E-3</v>
      </c>
      <c r="K442" s="17">
        <v>2.3396210000000002</v>
      </c>
      <c r="L442" s="17">
        <v>2.4580989999999998</v>
      </c>
      <c r="M442" s="17">
        <v>2.174172</v>
      </c>
      <c r="N442" s="15">
        <v>1.9922E-3</v>
      </c>
      <c r="O442" s="17">
        <v>2.4169860000000001</v>
      </c>
      <c r="P442" s="17">
        <v>2.513871</v>
      </c>
      <c r="Q442" s="17">
        <v>2.1917960000000001</v>
      </c>
      <c r="R442" s="14">
        <v>1.7038000000000001E-3</v>
      </c>
      <c r="S442" s="17">
        <v>2.0638800000000002</v>
      </c>
      <c r="T442" s="17">
        <v>2.2895780000000001</v>
      </c>
      <c r="U442" s="17">
        <v>2.0562390000000001</v>
      </c>
      <c r="V442" s="15">
        <v>1.7733E-3</v>
      </c>
      <c r="W442" s="17">
        <v>2.1488</v>
      </c>
      <c r="X442" s="17">
        <v>2.3576459999999999</v>
      </c>
      <c r="Y442" s="17">
        <v>2.0632869999999999</v>
      </c>
    </row>
    <row r="443" spans="1:25" x14ac:dyDescent="0.25">
      <c r="A443" s="7">
        <v>37895</v>
      </c>
      <c r="B443" s="12">
        <v>-7.3299000000000003E-3</v>
      </c>
      <c r="C443" s="17">
        <v>-8.4497470000000003</v>
      </c>
      <c r="D443" s="17">
        <v>3.425414</v>
      </c>
      <c r="E443" s="17">
        <v>1.806851</v>
      </c>
      <c r="F443" s="13">
        <v>-3.8660000000000002E-4</v>
      </c>
      <c r="G443" s="17">
        <v>-0.46298800000000001</v>
      </c>
      <c r="H443" s="17">
        <v>-3.420725</v>
      </c>
      <c r="I443" s="17">
        <v>-2.0028839999999999</v>
      </c>
      <c r="J443" s="14">
        <v>2.0525999999999999E-3</v>
      </c>
      <c r="K443" s="17">
        <v>2.4910600000000001</v>
      </c>
      <c r="L443" s="17">
        <v>2.2706900000000001</v>
      </c>
      <c r="M443" s="17">
        <v>2.1408290000000001</v>
      </c>
      <c r="N443" s="15">
        <v>1.9821999999999999E-3</v>
      </c>
      <c r="O443" s="17">
        <v>2.4047830000000001</v>
      </c>
      <c r="P443" s="17">
        <v>2.2785519999999999</v>
      </c>
      <c r="Q443" s="17">
        <v>2.1531120000000001</v>
      </c>
      <c r="R443" s="14">
        <v>1.9451E-3</v>
      </c>
      <c r="S443" s="17">
        <v>2.359302</v>
      </c>
      <c r="T443" s="17">
        <v>2.0463480000000001</v>
      </c>
      <c r="U443" s="17">
        <v>2.0228069999999998</v>
      </c>
      <c r="V443" s="15">
        <v>1.7875E-3</v>
      </c>
      <c r="W443" s="17">
        <v>2.1661649999999999</v>
      </c>
      <c r="X443" s="17">
        <v>2.0110549999999998</v>
      </c>
      <c r="Y443" s="17">
        <v>2.019695</v>
      </c>
    </row>
    <row r="444" spans="1:25" x14ac:dyDescent="0.25">
      <c r="A444" s="7">
        <v>37926</v>
      </c>
      <c r="B444" s="12">
        <v>-8.8000000000000003E-4</v>
      </c>
      <c r="C444" s="17">
        <v>-1.0509299999999999</v>
      </c>
      <c r="D444" s="17">
        <v>-0.9479069</v>
      </c>
      <c r="E444" s="17">
        <v>1.620406</v>
      </c>
      <c r="F444" s="13">
        <v>-2.9044000000000001E-3</v>
      </c>
      <c r="G444" s="17">
        <v>-3.4301680000000001</v>
      </c>
      <c r="H444" s="17">
        <v>-3.890263</v>
      </c>
      <c r="I444" s="17">
        <v>-2.296001</v>
      </c>
      <c r="J444" s="14">
        <v>1.1347E-3</v>
      </c>
      <c r="K444" s="17">
        <v>1.3702289999999999</v>
      </c>
      <c r="L444" s="17">
        <v>2.06576</v>
      </c>
      <c r="M444" s="17">
        <v>2.0405190000000002</v>
      </c>
      <c r="N444" s="15">
        <v>9.4810000000000001E-4</v>
      </c>
      <c r="O444" s="17">
        <v>1.1436980000000001</v>
      </c>
      <c r="P444" s="17">
        <v>1.986734</v>
      </c>
      <c r="Q444" s="17">
        <v>2.0234869999999998</v>
      </c>
      <c r="R444" s="14">
        <v>6.6980000000000002E-4</v>
      </c>
      <c r="S444" s="17">
        <v>0.80672509999999997</v>
      </c>
      <c r="T444" s="17">
        <v>1.741069</v>
      </c>
      <c r="U444" s="17">
        <v>1.8924920000000001</v>
      </c>
      <c r="V444" s="15">
        <v>2.109E-4</v>
      </c>
      <c r="W444" s="17">
        <v>0.2533648</v>
      </c>
      <c r="X444" s="17">
        <v>1.518791</v>
      </c>
      <c r="Y444" s="17">
        <v>1.8270219999999999</v>
      </c>
    </row>
    <row r="445" spans="1:25" x14ac:dyDescent="0.25">
      <c r="A445" s="7">
        <v>37956</v>
      </c>
      <c r="B445" s="12">
        <v>4.4530999999999998E-3</v>
      </c>
      <c r="C445" s="17">
        <v>5.4765059999999997</v>
      </c>
      <c r="D445" s="17">
        <v>-1.506176</v>
      </c>
      <c r="E445" s="17">
        <v>2.1105710000000002</v>
      </c>
      <c r="F445" s="13">
        <v>-5.7450000000000003E-4</v>
      </c>
      <c r="G445" s="17">
        <v>-0.6871929</v>
      </c>
      <c r="H445" s="17">
        <v>-1.5360819999999999</v>
      </c>
      <c r="I445" s="17">
        <v>-2.1119690000000002</v>
      </c>
      <c r="J445" s="14">
        <v>1.9442000000000001E-3</v>
      </c>
      <c r="K445" s="17">
        <v>2.3580909999999999</v>
      </c>
      <c r="L445" s="17">
        <v>2.0718999999999999</v>
      </c>
      <c r="M445" s="17">
        <v>2.0092720000000002</v>
      </c>
      <c r="N445" s="15">
        <v>1.8469000000000001E-3</v>
      </c>
      <c r="O445" s="17">
        <v>2.2389770000000002</v>
      </c>
      <c r="P445" s="17">
        <v>1.927613</v>
      </c>
      <c r="Q445" s="17">
        <v>1.9706760000000001</v>
      </c>
      <c r="R445" s="14">
        <v>2.2522000000000002E-3</v>
      </c>
      <c r="S445" s="17">
        <v>2.736389</v>
      </c>
      <c r="T445" s="17">
        <v>1.9640409999999999</v>
      </c>
      <c r="U445" s="17">
        <v>1.9356100000000001</v>
      </c>
      <c r="V445" s="15">
        <v>2.1324999999999998E-3</v>
      </c>
      <c r="W445" s="17">
        <v>2.5892469999999999</v>
      </c>
      <c r="X445" s="17">
        <v>1.6644920000000001</v>
      </c>
      <c r="Y445" s="17">
        <v>1.8454250000000001</v>
      </c>
    </row>
    <row r="446" spans="1:25" x14ac:dyDescent="0.25">
      <c r="A446" s="7">
        <v>37987</v>
      </c>
      <c r="B446" s="12">
        <v>7.3838999999999997E-3</v>
      </c>
      <c r="C446" s="17">
        <v>9.2295149999999992</v>
      </c>
      <c r="D446" s="17">
        <v>4.4646020000000002</v>
      </c>
      <c r="E446" s="17">
        <v>1.895332</v>
      </c>
      <c r="F446" s="13">
        <v>-2.0689999999999999E-4</v>
      </c>
      <c r="G446" s="17">
        <v>-0.248033</v>
      </c>
      <c r="H446" s="17">
        <v>-1.4652540000000001</v>
      </c>
      <c r="I446" s="17">
        <v>-1.8754980000000001</v>
      </c>
      <c r="J446" s="14">
        <v>2.3405000000000001E-3</v>
      </c>
      <c r="K446" s="17">
        <v>2.8449939999999998</v>
      </c>
      <c r="L446" s="17">
        <v>2.18926</v>
      </c>
      <c r="M446" s="17">
        <v>2.0385409999999999</v>
      </c>
      <c r="N446" s="15">
        <v>2.2617000000000002E-3</v>
      </c>
      <c r="O446" s="17">
        <v>2.748081</v>
      </c>
      <c r="P446" s="17">
        <v>2.0413860000000001</v>
      </c>
      <c r="Q446" s="17">
        <v>1.964156</v>
      </c>
      <c r="R446" s="14">
        <v>2.8554000000000001E-3</v>
      </c>
      <c r="S446" s="17">
        <v>3.4808400000000002</v>
      </c>
      <c r="T446" s="17">
        <v>2.3350919999999999</v>
      </c>
      <c r="U446" s="17">
        <v>2.0685159999999998</v>
      </c>
      <c r="V446" s="15">
        <v>2.8181999999999999E-3</v>
      </c>
      <c r="W446" s="17">
        <v>3.4348010000000002</v>
      </c>
      <c r="X446" s="17">
        <v>2.0835650000000001</v>
      </c>
      <c r="Y446" s="17">
        <v>1.9331510000000001</v>
      </c>
    </row>
    <row r="447" spans="1:25" x14ac:dyDescent="0.25">
      <c r="A447" s="7">
        <v>38018</v>
      </c>
      <c r="B447" s="12">
        <v>2.0969000000000001E-3</v>
      </c>
      <c r="C447" s="17">
        <v>2.5454539999999999</v>
      </c>
      <c r="D447" s="17">
        <v>5.7151870000000002</v>
      </c>
      <c r="E447" s="17">
        <v>0.8534564</v>
      </c>
      <c r="F447" s="13">
        <v>-3.1451000000000001E-3</v>
      </c>
      <c r="G447" s="17">
        <v>-3.7095340000000001</v>
      </c>
      <c r="H447" s="17">
        <v>-1.5603629999999999</v>
      </c>
      <c r="I447" s="17">
        <v>-1.871327</v>
      </c>
      <c r="J447" s="14">
        <v>2.3516000000000001E-3</v>
      </c>
      <c r="K447" s="17">
        <v>2.8587549999999999</v>
      </c>
      <c r="L447" s="17">
        <v>2.6870159999999998</v>
      </c>
      <c r="M447" s="17">
        <v>2.0976400000000002</v>
      </c>
      <c r="N447" s="15">
        <v>2.2923000000000002E-3</v>
      </c>
      <c r="O447" s="17">
        <v>2.7857289999999999</v>
      </c>
      <c r="P447" s="17">
        <v>2.5906259999999999</v>
      </c>
      <c r="Q447" s="17">
        <v>2.0416129999999999</v>
      </c>
      <c r="R447" s="14">
        <v>2.8611000000000001E-3</v>
      </c>
      <c r="S447" s="17">
        <v>3.487886</v>
      </c>
      <c r="T447" s="17">
        <v>3.2344349999999999</v>
      </c>
      <c r="U447" s="17">
        <v>2.1475149999999998</v>
      </c>
      <c r="V447" s="15">
        <v>2.8605000000000002E-3</v>
      </c>
      <c r="W447" s="17">
        <v>3.4871439999999998</v>
      </c>
      <c r="X447" s="17">
        <v>3.169575</v>
      </c>
      <c r="Y447" s="17">
        <v>2.0512670000000002</v>
      </c>
    </row>
    <row r="448" spans="1:25" x14ac:dyDescent="0.25">
      <c r="A448" s="7">
        <v>38047</v>
      </c>
      <c r="B448" s="12">
        <v>2.784E-3</v>
      </c>
      <c r="C448" s="17">
        <v>3.392442</v>
      </c>
      <c r="D448" s="17">
        <v>5.0142910000000001</v>
      </c>
      <c r="E448" s="17">
        <v>0.81643770000000004</v>
      </c>
      <c r="F448" s="13">
        <v>6.6502000000000002E-3</v>
      </c>
      <c r="G448" s="17">
        <v>8.2786580000000001</v>
      </c>
      <c r="H448" s="17">
        <v>1.317051</v>
      </c>
      <c r="I448" s="17">
        <v>-0.7200453</v>
      </c>
      <c r="J448" s="14">
        <v>2.2504999999999999E-3</v>
      </c>
      <c r="K448" s="17">
        <v>2.7343320000000002</v>
      </c>
      <c r="L448" s="17">
        <v>2.8126790000000002</v>
      </c>
      <c r="M448" s="17">
        <v>2.1900040000000001</v>
      </c>
      <c r="N448" s="15">
        <v>2.2902999999999999E-3</v>
      </c>
      <c r="O448" s="17">
        <v>2.7832659999999998</v>
      </c>
      <c r="P448" s="17">
        <v>2.772357</v>
      </c>
      <c r="Q448" s="17">
        <v>2.1435270000000002</v>
      </c>
      <c r="R448" s="14">
        <v>2.055E-3</v>
      </c>
      <c r="S448" s="17">
        <v>2.4940980000000001</v>
      </c>
      <c r="T448" s="17">
        <v>3.153216</v>
      </c>
      <c r="U448" s="17">
        <v>2.238111</v>
      </c>
      <c r="V448" s="15">
        <v>2.0882000000000001E-3</v>
      </c>
      <c r="W448" s="17">
        <v>2.5348700000000002</v>
      </c>
      <c r="X448" s="17">
        <v>3.1513439999999999</v>
      </c>
      <c r="Y448" s="17">
        <v>2.1597569999999999</v>
      </c>
    </row>
    <row r="449" spans="1:25" x14ac:dyDescent="0.25">
      <c r="A449" s="7">
        <v>38078</v>
      </c>
      <c r="B449" s="12">
        <v>-1.2871E-3</v>
      </c>
      <c r="C449" s="17">
        <v>-1.5336639999999999</v>
      </c>
      <c r="D449" s="17">
        <v>1.4450810000000001</v>
      </c>
      <c r="E449" s="17">
        <v>2.041299</v>
      </c>
      <c r="F449" s="13">
        <v>2.1933E-3</v>
      </c>
      <c r="G449" s="17">
        <v>2.663961</v>
      </c>
      <c r="H449" s="17">
        <v>2.293504</v>
      </c>
      <c r="I449" s="17">
        <v>-0.22593730000000001</v>
      </c>
      <c r="J449" s="14">
        <v>2.0909000000000001E-3</v>
      </c>
      <c r="K449" s="17">
        <v>2.5381879999999999</v>
      </c>
      <c r="L449" s="17">
        <v>2.71034</v>
      </c>
      <c r="M449" s="17">
        <v>2.3039130000000001</v>
      </c>
      <c r="N449" s="15">
        <v>2.0249000000000001E-3</v>
      </c>
      <c r="O449" s="17">
        <v>2.457122</v>
      </c>
      <c r="P449" s="17">
        <v>2.6752560000000001</v>
      </c>
      <c r="Q449" s="17">
        <v>2.244615</v>
      </c>
      <c r="R449" s="14">
        <v>1.5773E-3</v>
      </c>
      <c r="S449" s="17">
        <v>1.9092229999999999</v>
      </c>
      <c r="T449" s="17">
        <v>2.628336</v>
      </c>
      <c r="U449" s="17">
        <v>2.3001269999999998</v>
      </c>
      <c r="V449" s="15">
        <v>1.3335E-3</v>
      </c>
      <c r="W449" s="17">
        <v>1.6120490000000001</v>
      </c>
      <c r="X449" s="17">
        <v>2.54183</v>
      </c>
      <c r="Y449" s="17">
        <v>2.1855159999999998</v>
      </c>
    </row>
    <row r="450" spans="1:25" x14ac:dyDescent="0.25">
      <c r="A450" s="7">
        <v>38108</v>
      </c>
      <c r="B450" s="12">
        <v>1.1455999999999999E-2</v>
      </c>
      <c r="C450" s="17">
        <v>14.647360000000001</v>
      </c>
      <c r="D450" s="17">
        <v>5.2883240000000002</v>
      </c>
      <c r="E450" s="17">
        <v>4.1469829999999996</v>
      </c>
      <c r="F450" s="13">
        <v>3.0639E-3</v>
      </c>
      <c r="G450" s="17">
        <v>3.73922</v>
      </c>
      <c r="H450" s="17">
        <v>4.8659800000000004</v>
      </c>
      <c r="I450" s="17">
        <v>-0.37633610000000001</v>
      </c>
      <c r="J450" s="14">
        <v>1.5303000000000001E-3</v>
      </c>
      <c r="K450" s="17">
        <v>1.8518600000000001</v>
      </c>
      <c r="L450" s="17">
        <v>2.3740929999999998</v>
      </c>
      <c r="M450" s="17">
        <v>2.3094730000000001</v>
      </c>
      <c r="N450" s="15">
        <v>1.4402E-3</v>
      </c>
      <c r="O450" s="17">
        <v>1.7419420000000001</v>
      </c>
      <c r="P450" s="17">
        <v>2.3265180000000001</v>
      </c>
      <c r="Q450" s="17">
        <v>2.2487599999999999</v>
      </c>
      <c r="R450" s="14">
        <v>8.1220000000000001E-4</v>
      </c>
      <c r="S450" s="17">
        <v>0.97899230000000004</v>
      </c>
      <c r="T450" s="17">
        <v>1.7921910000000001</v>
      </c>
      <c r="U450" s="17">
        <v>2.2409309999999998</v>
      </c>
      <c r="V450" s="15">
        <v>4.7540000000000001E-4</v>
      </c>
      <c r="W450" s="17">
        <v>0.5720324</v>
      </c>
      <c r="X450" s="17">
        <v>1.5698179999999999</v>
      </c>
      <c r="Y450" s="17">
        <v>2.1087250000000002</v>
      </c>
    </row>
    <row r="451" spans="1:25" x14ac:dyDescent="0.25">
      <c r="A451" s="7">
        <v>38139</v>
      </c>
      <c r="B451" s="12">
        <v>6.3870000000000003E-3</v>
      </c>
      <c r="C451" s="17">
        <v>7.939495</v>
      </c>
      <c r="D451" s="17">
        <v>6.8097120000000002</v>
      </c>
      <c r="E451" s="17">
        <v>4.5824850000000001</v>
      </c>
      <c r="F451" s="13">
        <v>-9.0490000000000004E-4</v>
      </c>
      <c r="G451" s="17">
        <v>-1.0804640000000001</v>
      </c>
      <c r="H451" s="17">
        <v>1.753109</v>
      </c>
      <c r="I451" s="17">
        <v>-0.38957389999999997</v>
      </c>
      <c r="J451" s="14">
        <v>2.2196999999999998E-3</v>
      </c>
      <c r="K451" s="17">
        <v>2.696339</v>
      </c>
      <c r="L451" s="17">
        <v>2.361472</v>
      </c>
      <c r="M451" s="17">
        <v>2.4256950000000002</v>
      </c>
      <c r="N451" s="15">
        <v>2.2658999999999999E-3</v>
      </c>
      <c r="O451" s="17">
        <v>2.7532230000000002</v>
      </c>
      <c r="P451" s="17">
        <v>2.3165469999999999</v>
      </c>
      <c r="Q451" s="17">
        <v>2.3821319999999999</v>
      </c>
      <c r="R451" s="14">
        <v>2.1995000000000001E-3</v>
      </c>
      <c r="S451" s="17">
        <v>2.6715520000000001</v>
      </c>
      <c r="T451" s="17">
        <v>1.850903</v>
      </c>
      <c r="U451" s="17">
        <v>2.3131650000000001</v>
      </c>
      <c r="V451" s="15">
        <v>2.2848999999999999E-3</v>
      </c>
      <c r="W451" s="17">
        <v>2.7765559999999998</v>
      </c>
      <c r="X451" s="17">
        <v>1.649559</v>
      </c>
      <c r="Y451" s="17">
        <v>2.2039059999999999</v>
      </c>
    </row>
    <row r="452" spans="1:25" x14ac:dyDescent="0.25">
      <c r="A452" s="7">
        <v>38169</v>
      </c>
      <c r="B452" s="12">
        <v>-5.9420000000000002E-4</v>
      </c>
      <c r="C452" s="17">
        <v>-0.71070710000000004</v>
      </c>
      <c r="D452" s="17">
        <v>7.1064499999999997</v>
      </c>
      <c r="E452" s="17">
        <v>4.0904199999999999</v>
      </c>
      <c r="F452" s="13">
        <v>-5.5309999999999995E-4</v>
      </c>
      <c r="G452" s="17">
        <v>-0.66166930000000002</v>
      </c>
      <c r="H452" s="17">
        <v>0.64231899999999997</v>
      </c>
      <c r="I452" s="17">
        <v>-0.51089870000000004</v>
      </c>
      <c r="J452" s="14">
        <v>1.4683999999999999E-3</v>
      </c>
      <c r="K452" s="17">
        <v>1.776378</v>
      </c>
      <c r="L452" s="17">
        <v>2.107342</v>
      </c>
      <c r="M452" s="17">
        <v>2.319143</v>
      </c>
      <c r="N452" s="15">
        <v>1.2038000000000001E-3</v>
      </c>
      <c r="O452" s="17">
        <v>1.454129</v>
      </c>
      <c r="P452" s="17">
        <v>1.981579</v>
      </c>
      <c r="Q452" s="17">
        <v>2.2438310000000001</v>
      </c>
      <c r="R452" s="14">
        <v>1.4362999999999999E-3</v>
      </c>
      <c r="S452" s="17">
        <v>1.737282</v>
      </c>
      <c r="T452" s="17">
        <v>1.79359</v>
      </c>
      <c r="U452" s="17">
        <v>2.200364</v>
      </c>
      <c r="V452" s="15">
        <v>9.146E-4</v>
      </c>
      <c r="W452" s="17">
        <v>1.1030549999999999</v>
      </c>
      <c r="X452" s="17">
        <v>1.4795480000000001</v>
      </c>
      <c r="Y452" s="17">
        <v>2.0283030000000002</v>
      </c>
    </row>
    <row r="453" spans="1:25" x14ac:dyDescent="0.25">
      <c r="A453" s="7">
        <v>38200</v>
      </c>
      <c r="B453" s="12">
        <v>-1.2545E-3</v>
      </c>
      <c r="C453" s="17">
        <v>-1.4950810000000001</v>
      </c>
      <c r="D453" s="17">
        <v>1.8232390000000001</v>
      </c>
      <c r="E453" s="17">
        <v>2.9335710000000002</v>
      </c>
      <c r="F453" s="13">
        <v>-3.5660000000000002E-3</v>
      </c>
      <c r="G453" s="17">
        <v>-4.1962440000000001</v>
      </c>
      <c r="H453" s="17">
        <v>-1.992235</v>
      </c>
      <c r="I453" s="17">
        <v>-0.69797050000000005</v>
      </c>
      <c r="J453" s="14">
        <v>1.8066E-3</v>
      </c>
      <c r="K453" s="17">
        <v>2.189622</v>
      </c>
      <c r="L453" s="17">
        <v>2.2200880000000001</v>
      </c>
      <c r="M453" s="17">
        <v>2.336481</v>
      </c>
      <c r="N453" s="15">
        <v>1.6548999999999999E-3</v>
      </c>
      <c r="O453" s="17">
        <v>2.0040300000000002</v>
      </c>
      <c r="P453" s="17">
        <v>2.0690719999999998</v>
      </c>
      <c r="Q453" s="17">
        <v>2.2429640000000002</v>
      </c>
      <c r="R453" s="14">
        <v>1.2729E-3</v>
      </c>
      <c r="S453" s="17">
        <v>1.538197</v>
      </c>
      <c r="T453" s="17">
        <v>1.981149</v>
      </c>
      <c r="U453" s="17">
        <v>2.1853910000000001</v>
      </c>
      <c r="V453" s="15">
        <v>8.5709999999999996E-4</v>
      </c>
      <c r="W453" s="17">
        <v>1.033342</v>
      </c>
      <c r="X453" s="17">
        <v>1.6344689999999999</v>
      </c>
      <c r="Y453" s="17">
        <v>1.970828</v>
      </c>
    </row>
    <row r="454" spans="1:25" x14ac:dyDescent="0.25">
      <c r="A454" s="7">
        <v>38231</v>
      </c>
      <c r="B454" s="12">
        <v>4.9043000000000003E-3</v>
      </c>
      <c r="C454" s="17">
        <v>6.046551</v>
      </c>
      <c r="D454" s="17">
        <v>1.2244969999999999</v>
      </c>
      <c r="E454" s="17">
        <v>2.834406</v>
      </c>
      <c r="F454" s="13">
        <v>7.4203999999999997E-3</v>
      </c>
      <c r="G454" s="17">
        <v>9.2770820000000001</v>
      </c>
      <c r="H454" s="17">
        <v>1.315563</v>
      </c>
      <c r="I454" s="17">
        <v>0.70380379999999998</v>
      </c>
      <c r="J454" s="14">
        <v>2.0087E-3</v>
      </c>
      <c r="K454" s="17">
        <v>2.4372750000000001</v>
      </c>
      <c r="L454" s="17">
        <v>2.134061</v>
      </c>
      <c r="M454" s="17">
        <v>2.3446150000000001</v>
      </c>
      <c r="N454" s="15">
        <v>1.9176E-3</v>
      </c>
      <c r="O454" s="17">
        <v>2.325596</v>
      </c>
      <c r="P454" s="17">
        <v>1.9272830000000001</v>
      </c>
      <c r="Q454" s="17">
        <v>2.2353580000000002</v>
      </c>
      <c r="R454" s="14">
        <v>2.2261E-3</v>
      </c>
      <c r="S454" s="17">
        <v>2.7042359999999999</v>
      </c>
      <c r="T454" s="17">
        <v>1.9919690000000001</v>
      </c>
      <c r="U454" s="17">
        <v>2.2386650000000001</v>
      </c>
      <c r="V454" s="15">
        <v>2.0980999999999999E-3</v>
      </c>
      <c r="W454" s="17">
        <v>2.5469240000000002</v>
      </c>
      <c r="X454" s="17">
        <v>1.558719</v>
      </c>
      <c r="Y454" s="17">
        <v>2.0038879999999999</v>
      </c>
    </row>
    <row r="455" spans="1:25" x14ac:dyDescent="0.25">
      <c r="A455" s="7">
        <v>38261</v>
      </c>
      <c r="B455" s="12">
        <v>1.23407E-2</v>
      </c>
      <c r="C455" s="17">
        <v>15.85646</v>
      </c>
      <c r="D455" s="17">
        <v>6.5675330000000001</v>
      </c>
      <c r="E455" s="17">
        <v>4.8721490000000003</v>
      </c>
      <c r="F455" s="13">
        <v>3.0831999999999999E-3</v>
      </c>
      <c r="G455" s="17">
        <v>3.7631899999999998</v>
      </c>
      <c r="H455" s="17">
        <v>2.7980749999999999</v>
      </c>
      <c r="I455" s="17">
        <v>1.0533619999999999</v>
      </c>
      <c r="J455" s="14">
        <v>2.0768000000000002E-3</v>
      </c>
      <c r="K455" s="17">
        <v>2.520842</v>
      </c>
      <c r="L455" s="17">
        <v>2.3824830000000001</v>
      </c>
      <c r="M455" s="17">
        <v>2.3470930000000001</v>
      </c>
      <c r="N455" s="15">
        <v>2.0282999999999998E-3</v>
      </c>
      <c r="O455" s="17">
        <v>2.4612539999999998</v>
      </c>
      <c r="P455" s="17">
        <v>2.2634470000000002</v>
      </c>
      <c r="Q455" s="17">
        <v>2.2400549999999999</v>
      </c>
      <c r="R455" s="14">
        <v>2.6445000000000001E-3</v>
      </c>
      <c r="S455" s="17">
        <v>3.220008</v>
      </c>
      <c r="T455" s="17">
        <v>2.485061</v>
      </c>
      <c r="U455" s="17">
        <v>2.3100309999999999</v>
      </c>
      <c r="V455" s="15">
        <v>2.6787999999999998E-3</v>
      </c>
      <c r="W455" s="17">
        <v>3.2623609999999998</v>
      </c>
      <c r="X455" s="17">
        <v>2.2766440000000001</v>
      </c>
      <c r="Y455" s="17">
        <v>2.0946470000000001</v>
      </c>
    </row>
    <row r="456" spans="1:25" x14ac:dyDescent="0.25">
      <c r="A456" s="7">
        <v>38292</v>
      </c>
      <c r="B456" s="12">
        <v>1.1240699999999999E-2</v>
      </c>
      <c r="C456" s="17">
        <v>14.354850000000001</v>
      </c>
      <c r="D456" s="17">
        <v>12.00149</v>
      </c>
      <c r="E456" s="17">
        <v>6.1443969999999997</v>
      </c>
      <c r="F456" s="13">
        <v>3.7120999999999999E-3</v>
      </c>
      <c r="G456" s="17">
        <v>4.5466490000000004</v>
      </c>
      <c r="H456" s="17">
        <v>5.8345599999999997</v>
      </c>
      <c r="I456" s="17">
        <v>1.7239359999999999</v>
      </c>
      <c r="J456" s="14">
        <v>1.5311999999999999E-3</v>
      </c>
      <c r="K456" s="17">
        <v>1.8529770000000001</v>
      </c>
      <c r="L456" s="17">
        <v>2.2699319999999998</v>
      </c>
      <c r="M456" s="17">
        <v>2.3876219999999999</v>
      </c>
      <c r="N456" s="15">
        <v>1.5533000000000001E-3</v>
      </c>
      <c r="O456" s="17">
        <v>1.8799300000000001</v>
      </c>
      <c r="P456" s="17">
        <v>2.2219579999999999</v>
      </c>
      <c r="Q456" s="17">
        <v>2.3018670000000001</v>
      </c>
      <c r="R456" s="14">
        <v>1.8274999999999999E-3</v>
      </c>
      <c r="S456" s="17">
        <v>2.215217</v>
      </c>
      <c r="T456" s="17">
        <v>2.7123339999999998</v>
      </c>
      <c r="U456" s="17">
        <v>2.4283999999999999</v>
      </c>
      <c r="V456" s="15">
        <v>1.9377000000000001E-3</v>
      </c>
      <c r="W456" s="17">
        <v>2.3501530000000002</v>
      </c>
      <c r="X456" s="17">
        <v>2.7190660000000002</v>
      </c>
      <c r="Y456" s="17">
        <v>2.270905</v>
      </c>
    </row>
    <row r="457" spans="1:25" x14ac:dyDescent="0.25">
      <c r="A457" s="7">
        <v>38322</v>
      </c>
      <c r="B457" s="12">
        <v>-2.6218999999999999E-3</v>
      </c>
      <c r="C457" s="17">
        <v>-3.1012940000000002</v>
      </c>
      <c r="D457" s="17">
        <v>8.6836640000000003</v>
      </c>
      <c r="E457" s="17">
        <v>5.3967599999999996</v>
      </c>
      <c r="F457" s="13">
        <v>-2.9460000000000001E-4</v>
      </c>
      <c r="G457" s="17">
        <v>-0.35293029999999997</v>
      </c>
      <c r="H457" s="17">
        <v>2.6296050000000002</v>
      </c>
      <c r="I457" s="17">
        <v>1.7524230000000001</v>
      </c>
      <c r="J457" s="14">
        <v>1.8902999999999999E-3</v>
      </c>
      <c r="K457" s="17">
        <v>2.2921149999999999</v>
      </c>
      <c r="L457" s="17">
        <v>2.2216019999999999</v>
      </c>
      <c r="M457" s="17">
        <v>2.38212</v>
      </c>
      <c r="N457" s="15">
        <v>1.9184E-3</v>
      </c>
      <c r="O457" s="17">
        <v>2.3265009999999999</v>
      </c>
      <c r="P457" s="17">
        <v>2.2222599999999999</v>
      </c>
      <c r="Q457" s="17">
        <v>2.3091620000000002</v>
      </c>
      <c r="R457" s="14">
        <v>1.4199E-3</v>
      </c>
      <c r="S457" s="17">
        <v>1.7172559999999999</v>
      </c>
      <c r="T457" s="17">
        <v>2.3822559999999999</v>
      </c>
      <c r="U457" s="17">
        <v>2.3433389999999998</v>
      </c>
      <c r="V457" s="15">
        <v>1.3682E-3</v>
      </c>
      <c r="W457" s="17">
        <v>1.6541950000000001</v>
      </c>
      <c r="X457" s="17">
        <v>2.420121</v>
      </c>
      <c r="Y457" s="17">
        <v>2.1928990000000002</v>
      </c>
    </row>
    <row r="458" spans="1:25" x14ac:dyDescent="0.25">
      <c r="A458" s="7">
        <v>38353</v>
      </c>
      <c r="B458" s="12">
        <v>-7.0460999999999996E-3</v>
      </c>
      <c r="C458" s="17">
        <v>-8.1351940000000003</v>
      </c>
      <c r="D458" s="17">
        <v>0.59442360000000005</v>
      </c>
      <c r="E458" s="17">
        <v>3.8870369999999999</v>
      </c>
      <c r="F458" s="13">
        <v>1.8305000000000001E-3</v>
      </c>
      <c r="G458" s="17">
        <v>2.2188249999999998</v>
      </c>
      <c r="H458" s="17">
        <v>2.117893</v>
      </c>
      <c r="I458" s="17">
        <v>1.9597770000000001</v>
      </c>
      <c r="J458" s="14">
        <v>2.4088999999999998E-3</v>
      </c>
      <c r="K458" s="17">
        <v>2.92923</v>
      </c>
      <c r="L458" s="17">
        <v>2.357154</v>
      </c>
      <c r="M458" s="17">
        <v>2.389106</v>
      </c>
      <c r="N458" s="15">
        <v>2.2235000000000002E-3</v>
      </c>
      <c r="O458" s="17">
        <v>2.7011219999999998</v>
      </c>
      <c r="P458" s="17">
        <v>2.3019669999999999</v>
      </c>
      <c r="Q458" s="17">
        <v>2.3052649999999999</v>
      </c>
      <c r="R458" s="14">
        <v>2.5333E-3</v>
      </c>
      <c r="S458" s="17">
        <v>3.0826560000000001</v>
      </c>
      <c r="T458" s="17">
        <v>2.3368229999999999</v>
      </c>
      <c r="U458" s="17">
        <v>2.3104640000000001</v>
      </c>
      <c r="V458" s="15">
        <v>2.2011000000000001E-3</v>
      </c>
      <c r="W458" s="17">
        <v>2.6735370000000001</v>
      </c>
      <c r="X458" s="17">
        <v>2.2250760000000001</v>
      </c>
      <c r="Y458" s="17">
        <v>2.13001</v>
      </c>
    </row>
    <row r="459" spans="1:25" x14ac:dyDescent="0.25">
      <c r="A459" s="7">
        <v>38384</v>
      </c>
      <c r="B459" s="12">
        <v>7.2237999999999998E-3</v>
      </c>
      <c r="C459" s="17">
        <v>9.0213999999999999</v>
      </c>
      <c r="D459" s="17">
        <v>-0.9944288</v>
      </c>
      <c r="E459" s="17">
        <v>4.4185449999999999</v>
      </c>
      <c r="F459" s="13">
        <v>1.9867000000000001E-3</v>
      </c>
      <c r="G459" s="17">
        <v>2.4102990000000002</v>
      </c>
      <c r="H459" s="17">
        <v>1.417527</v>
      </c>
      <c r="I459" s="17">
        <v>2.4846699999999999</v>
      </c>
      <c r="J459" s="14">
        <v>2.2136999999999999E-3</v>
      </c>
      <c r="K459" s="17">
        <v>2.6889810000000001</v>
      </c>
      <c r="L459" s="17">
        <v>2.6364390000000002</v>
      </c>
      <c r="M459" s="17">
        <v>2.3750119999999999</v>
      </c>
      <c r="N459" s="15">
        <v>2.1229999999999999E-3</v>
      </c>
      <c r="O459" s="17">
        <v>2.5775090000000001</v>
      </c>
      <c r="P459" s="17">
        <v>2.5349249999999999</v>
      </c>
      <c r="Q459" s="17">
        <v>2.2879779999999998</v>
      </c>
      <c r="R459" s="14">
        <v>1.8586E-3</v>
      </c>
      <c r="S459" s="17">
        <v>2.253212</v>
      </c>
      <c r="T459" s="17">
        <v>2.3495010000000001</v>
      </c>
      <c r="U459" s="17">
        <v>2.2081840000000001</v>
      </c>
      <c r="V459" s="15">
        <v>1.6018E-3</v>
      </c>
      <c r="W459" s="17">
        <v>1.9391860000000001</v>
      </c>
      <c r="X459" s="17">
        <v>2.0880709999999998</v>
      </c>
      <c r="Y459" s="17">
        <v>2.001824</v>
      </c>
    </row>
    <row r="460" spans="1:25" x14ac:dyDescent="0.25">
      <c r="A460" s="7">
        <v>38412</v>
      </c>
      <c r="B460" s="12">
        <v>7.3404000000000004E-3</v>
      </c>
      <c r="C460" s="17">
        <v>9.1729389999999995</v>
      </c>
      <c r="D460" s="17">
        <v>3.0208919999999999</v>
      </c>
      <c r="E460" s="17">
        <v>4.8929960000000001</v>
      </c>
      <c r="F460" s="13">
        <v>8.5736000000000007E-3</v>
      </c>
      <c r="G460" s="17">
        <v>10.787610000000001</v>
      </c>
      <c r="H460" s="17">
        <v>5.0643149999999997</v>
      </c>
      <c r="I460" s="17">
        <v>2.6804899999999998</v>
      </c>
      <c r="J460" s="14">
        <v>1.7271999999999999E-3</v>
      </c>
      <c r="K460" s="17">
        <v>2.0923980000000002</v>
      </c>
      <c r="L460" s="17">
        <v>2.5695990000000002</v>
      </c>
      <c r="M460" s="17">
        <v>2.3215509999999999</v>
      </c>
      <c r="N460" s="15">
        <v>1.7546E-3</v>
      </c>
      <c r="O460" s="17">
        <v>2.1259380000000001</v>
      </c>
      <c r="P460" s="17">
        <v>2.4678909999999998</v>
      </c>
      <c r="Q460" s="17">
        <v>2.2333050000000001</v>
      </c>
      <c r="R460" s="14">
        <v>1.6283000000000001E-3</v>
      </c>
      <c r="S460" s="17">
        <v>1.9715670000000001</v>
      </c>
      <c r="T460" s="17">
        <v>2.4347270000000001</v>
      </c>
      <c r="U460" s="17">
        <v>2.16466</v>
      </c>
      <c r="V460" s="15">
        <v>1.6592E-3</v>
      </c>
      <c r="W460" s="17">
        <v>2.0093580000000002</v>
      </c>
      <c r="X460" s="17">
        <v>2.206826</v>
      </c>
      <c r="Y460" s="17">
        <v>1.958156</v>
      </c>
    </row>
    <row r="461" spans="1:25" x14ac:dyDescent="0.25">
      <c r="A461" s="7">
        <v>38443</v>
      </c>
      <c r="B461" s="12">
        <v>5.6486000000000001E-3</v>
      </c>
      <c r="C461" s="17">
        <v>6.9928790000000003</v>
      </c>
      <c r="D461" s="17">
        <v>8.3911639999999998</v>
      </c>
      <c r="E461" s="17">
        <v>5.6214389999999996</v>
      </c>
      <c r="F461" s="13">
        <v>-4.2135000000000002E-3</v>
      </c>
      <c r="G461" s="17">
        <v>-4.9406129999999999</v>
      </c>
      <c r="H461" s="17">
        <v>2.5517970000000001</v>
      </c>
      <c r="I461" s="17">
        <v>2.024079</v>
      </c>
      <c r="J461" s="14">
        <v>2.2742000000000001E-3</v>
      </c>
      <c r="K461" s="17">
        <v>2.7634029999999998</v>
      </c>
      <c r="L461" s="17">
        <v>2.5144869999999999</v>
      </c>
      <c r="M461" s="17">
        <v>2.3402609999999999</v>
      </c>
      <c r="N461" s="15">
        <v>2.3048999999999999E-3</v>
      </c>
      <c r="O461" s="17">
        <v>2.8012739999999998</v>
      </c>
      <c r="P461" s="17">
        <v>2.5011890000000001</v>
      </c>
      <c r="Q461" s="17">
        <v>2.2618770000000001</v>
      </c>
      <c r="R461" s="14">
        <v>2.5650999999999998E-3</v>
      </c>
      <c r="S461" s="17">
        <v>3.1219130000000002</v>
      </c>
      <c r="T461" s="17">
        <v>2.4477289999999998</v>
      </c>
      <c r="U461" s="17">
        <v>2.265422</v>
      </c>
      <c r="V461" s="15">
        <v>2.6909E-3</v>
      </c>
      <c r="W461" s="17">
        <v>3.2773180000000002</v>
      </c>
      <c r="X461" s="17">
        <v>2.4067799999999999</v>
      </c>
      <c r="Y461" s="17">
        <v>2.0963660000000002</v>
      </c>
    </row>
    <row r="462" spans="1:25" x14ac:dyDescent="0.25">
      <c r="A462" s="7">
        <v>38473</v>
      </c>
      <c r="B462" s="12">
        <v>-5.4555999999999997E-3</v>
      </c>
      <c r="C462" s="17">
        <v>-6.3537929999999996</v>
      </c>
      <c r="D462" s="17">
        <v>3.0354540000000001</v>
      </c>
      <c r="E462" s="17">
        <v>3.855442</v>
      </c>
      <c r="F462" s="13">
        <v>-1.6662000000000001E-3</v>
      </c>
      <c r="G462" s="17">
        <v>-1.981233</v>
      </c>
      <c r="H462" s="17">
        <v>1.0644640000000001</v>
      </c>
      <c r="I462" s="17">
        <v>1.542972</v>
      </c>
      <c r="J462" s="14">
        <v>2.202E-3</v>
      </c>
      <c r="K462" s="17">
        <v>2.6746919999999998</v>
      </c>
      <c r="L462" s="17">
        <v>2.5097320000000001</v>
      </c>
      <c r="M462" s="17">
        <v>2.4089049999999999</v>
      </c>
      <c r="N462" s="15">
        <v>2.2141999999999999E-3</v>
      </c>
      <c r="O462" s="17">
        <v>2.6896149999999999</v>
      </c>
      <c r="P462" s="17">
        <v>2.538516</v>
      </c>
      <c r="Q462" s="17">
        <v>2.3409170000000001</v>
      </c>
      <c r="R462" s="14">
        <v>2.4775000000000001E-3</v>
      </c>
      <c r="S462" s="17">
        <v>3.0138739999999999</v>
      </c>
      <c r="T462" s="17">
        <v>2.7011379999999998</v>
      </c>
      <c r="U462" s="17">
        <v>2.4355899999999999</v>
      </c>
      <c r="V462" s="15">
        <v>2.5634999999999998E-3</v>
      </c>
      <c r="W462" s="17">
        <v>3.1199789999999998</v>
      </c>
      <c r="X462" s="17">
        <v>2.8006660000000001</v>
      </c>
      <c r="Y462" s="17">
        <v>2.30945</v>
      </c>
    </row>
    <row r="463" spans="1:25" x14ac:dyDescent="0.25">
      <c r="A463" s="7">
        <v>38504</v>
      </c>
      <c r="B463" s="12">
        <v>-7.5109999999999999E-4</v>
      </c>
      <c r="C463" s="17">
        <v>-0.89757240000000005</v>
      </c>
      <c r="D463" s="17">
        <v>-0.23540259999999999</v>
      </c>
      <c r="E463" s="17">
        <v>3.1188159999999998</v>
      </c>
      <c r="F463" s="13">
        <v>-8.3049999999999997E-4</v>
      </c>
      <c r="G463" s="17">
        <v>-0.99208850000000004</v>
      </c>
      <c r="H463" s="17">
        <v>-2.65252</v>
      </c>
      <c r="I463" s="17">
        <v>1.550529</v>
      </c>
      <c r="J463" s="14">
        <v>1.1035999999999999E-3</v>
      </c>
      <c r="K463" s="17">
        <v>1.3324450000000001</v>
      </c>
      <c r="L463" s="17">
        <v>2.2547450000000002</v>
      </c>
      <c r="M463" s="17">
        <v>2.2948689999999998</v>
      </c>
      <c r="N463" s="15">
        <v>8.9490000000000001E-4</v>
      </c>
      <c r="O463" s="17">
        <v>1.0791809999999999</v>
      </c>
      <c r="P463" s="17">
        <v>2.1869839999999998</v>
      </c>
      <c r="Q463" s="17">
        <v>2.2009249999999998</v>
      </c>
      <c r="R463" s="14">
        <v>5.6840000000000005E-4</v>
      </c>
      <c r="S463" s="17">
        <v>0.68416730000000003</v>
      </c>
      <c r="T463" s="17">
        <v>2.2671030000000001</v>
      </c>
      <c r="U463" s="17">
        <v>2.2688709999999999</v>
      </c>
      <c r="V463" s="15">
        <v>4.1300000000000001E-5</v>
      </c>
      <c r="W463" s="17">
        <v>4.9616599999999997E-2</v>
      </c>
      <c r="X463" s="17">
        <v>2.13809</v>
      </c>
      <c r="Y463" s="17">
        <v>2.0804399999999998</v>
      </c>
    </row>
    <row r="464" spans="1:25" x14ac:dyDescent="0.25">
      <c r="A464" s="7">
        <v>38534</v>
      </c>
      <c r="B464" s="12">
        <v>1.3248100000000001E-2</v>
      </c>
      <c r="C464" s="17">
        <v>17.108809999999998</v>
      </c>
      <c r="D464" s="17">
        <v>2.814575</v>
      </c>
      <c r="E464" s="17">
        <v>4.5470649999999999</v>
      </c>
      <c r="F464" s="13">
        <v>-1.8067999999999999E-3</v>
      </c>
      <c r="G464" s="17">
        <v>-2.1467109999999998</v>
      </c>
      <c r="H464" s="17">
        <v>-1.7079960000000001</v>
      </c>
      <c r="I464" s="17">
        <v>1.4231450000000001</v>
      </c>
      <c r="J464" s="14">
        <v>2.3395E-3</v>
      </c>
      <c r="K464" s="17">
        <v>2.843842</v>
      </c>
      <c r="L464" s="17">
        <v>2.2814179999999999</v>
      </c>
      <c r="M464" s="17">
        <v>2.3838509999999999</v>
      </c>
      <c r="N464" s="15">
        <v>2.3879000000000001E-3</v>
      </c>
      <c r="O464" s="17">
        <v>2.9033989999999998</v>
      </c>
      <c r="P464" s="17">
        <v>2.2208100000000002</v>
      </c>
      <c r="Q464" s="17">
        <v>2.3217970000000001</v>
      </c>
      <c r="R464" s="14">
        <v>2.2607E-3</v>
      </c>
      <c r="S464" s="17">
        <v>2.7468159999999999</v>
      </c>
      <c r="T464" s="17">
        <v>2.142957</v>
      </c>
      <c r="U464" s="17">
        <v>2.353056</v>
      </c>
      <c r="V464" s="15">
        <v>2.3368999999999998E-3</v>
      </c>
      <c r="W464" s="17">
        <v>2.8405849999999999</v>
      </c>
      <c r="X464" s="17">
        <v>1.9939150000000001</v>
      </c>
      <c r="Y464" s="17">
        <v>2.225495</v>
      </c>
    </row>
    <row r="465" spans="1:25" x14ac:dyDescent="0.25">
      <c r="A465" s="7">
        <v>38565</v>
      </c>
      <c r="B465" s="12">
        <v>1.51687E-2</v>
      </c>
      <c r="C465" s="17">
        <v>19.800509999999999</v>
      </c>
      <c r="D465" s="17">
        <v>11.61199</v>
      </c>
      <c r="E465" s="17">
        <v>6.266222</v>
      </c>
      <c r="F465" s="13">
        <v>-2.9179999999999999E-4</v>
      </c>
      <c r="G465" s="17">
        <v>-0.34956379999999998</v>
      </c>
      <c r="H465" s="17">
        <v>-1.165589</v>
      </c>
      <c r="I465" s="17">
        <v>1.7564139999999999</v>
      </c>
      <c r="J465" s="14">
        <v>1.4059999999999999E-3</v>
      </c>
      <c r="K465" s="17">
        <v>1.7002969999999999</v>
      </c>
      <c r="L465" s="17">
        <v>1.9568350000000001</v>
      </c>
      <c r="M465" s="17">
        <v>2.3429060000000002</v>
      </c>
      <c r="N465" s="15">
        <v>1.2338E-3</v>
      </c>
      <c r="O465" s="17">
        <v>1.490664</v>
      </c>
      <c r="P465" s="17">
        <v>1.821426</v>
      </c>
      <c r="Q465" s="17">
        <v>2.2787839999999999</v>
      </c>
      <c r="R465" s="14">
        <v>1.1395000000000001E-3</v>
      </c>
      <c r="S465" s="17">
        <v>1.3759749999999999</v>
      </c>
      <c r="T465" s="17">
        <v>1.5987119999999999</v>
      </c>
      <c r="U465" s="17">
        <v>2.3394189999999999</v>
      </c>
      <c r="V465" s="15">
        <v>7.4399999999999998E-4</v>
      </c>
      <c r="W465" s="17">
        <v>0.89640810000000004</v>
      </c>
      <c r="X465" s="17">
        <v>1.255485</v>
      </c>
      <c r="Y465" s="17">
        <v>2.2139419999999999</v>
      </c>
    </row>
    <row r="466" spans="1:25" x14ac:dyDescent="0.25">
      <c r="A466" s="7">
        <v>38596</v>
      </c>
      <c r="B466" s="12">
        <v>3.4589500000000002E-2</v>
      </c>
      <c r="C466" s="17">
        <v>50.389209999999999</v>
      </c>
      <c r="D466" s="17">
        <v>28.259129999999999</v>
      </c>
      <c r="E466" s="17">
        <v>9.4053559999999994</v>
      </c>
      <c r="F466" s="13">
        <v>-3.9639000000000002E-3</v>
      </c>
      <c r="G466" s="17">
        <v>-4.6543279999999996</v>
      </c>
      <c r="H466" s="17">
        <v>-2.3995380000000002</v>
      </c>
      <c r="I466" s="17">
        <v>0.60651809999999995</v>
      </c>
      <c r="J466" s="14">
        <v>2.3874999999999999E-3</v>
      </c>
      <c r="K466" s="17">
        <v>2.9028969999999998</v>
      </c>
      <c r="L466" s="17">
        <v>2.4808469999999998</v>
      </c>
      <c r="M466" s="17">
        <v>2.3815919999999999</v>
      </c>
      <c r="N466" s="15">
        <v>2.4096E-3</v>
      </c>
      <c r="O466" s="17">
        <v>2.9301590000000002</v>
      </c>
      <c r="P466" s="17">
        <v>2.4391940000000001</v>
      </c>
      <c r="Q466" s="17">
        <v>2.329005</v>
      </c>
      <c r="R466" s="14">
        <v>2.7361999999999998E-3</v>
      </c>
      <c r="S466" s="17">
        <v>3.3333189999999999</v>
      </c>
      <c r="T466" s="17">
        <v>2.4820799999999998</v>
      </c>
      <c r="U466" s="17">
        <v>2.3915099999999998</v>
      </c>
      <c r="V466" s="15">
        <v>2.8586000000000002E-3</v>
      </c>
      <c r="W466" s="17">
        <v>3.484782</v>
      </c>
      <c r="X466" s="17">
        <v>2.4013249999999999</v>
      </c>
      <c r="Y466" s="17">
        <v>2.2915179999999999</v>
      </c>
    </row>
    <row r="467" spans="1:25" x14ac:dyDescent="0.25">
      <c r="A467" s="7">
        <v>38626</v>
      </c>
      <c r="B467" s="12">
        <v>1.3342E-3</v>
      </c>
      <c r="C467" s="17">
        <v>1.612808</v>
      </c>
      <c r="D467" s="17">
        <v>22.332329999999999</v>
      </c>
      <c r="E467" s="17">
        <v>8.2158639999999998</v>
      </c>
      <c r="F467" s="13">
        <v>7.7194000000000004E-3</v>
      </c>
      <c r="G467" s="17">
        <v>9.6669160000000005</v>
      </c>
      <c r="H467" s="17">
        <v>1.3799189999999999</v>
      </c>
      <c r="I467" s="17">
        <v>1.071523</v>
      </c>
      <c r="J467" s="14">
        <v>2.0538000000000002E-3</v>
      </c>
      <c r="K467" s="17">
        <v>2.49254</v>
      </c>
      <c r="L467" s="17">
        <v>2.364026</v>
      </c>
      <c r="M467" s="17">
        <v>2.3792360000000001</v>
      </c>
      <c r="N467" s="15">
        <v>1.9669000000000002E-3</v>
      </c>
      <c r="O467" s="17">
        <v>2.386015</v>
      </c>
      <c r="P467" s="17">
        <v>2.2672219999999998</v>
      </c>
      <c r="Q467" s="17">
        <v>2.3227410000000002</v>
      </c>
      <c r="R467" s="14">
        <v>2.1475000000000001E-3</v>
      </c>
      <c r="S467" s="17">
        <v>2.607701</v>
      </c>
      <c r="T467" s="17">
        <v>2.4358070000000001</v>
      </c>
      <c r="U467" s="17">
        <v>2.3407559999999998</v>
      </c>
      <c r="V467" s="15">
        <v>1.9999000000000002E-3</v>
      </c>
      <c r="W467" s="17">
        <v>2.4264380000000001</v>
      </c>
      <c r="X467" s="17">
        <v>2.2636810000000001</v>
      </c>
      <c r="Y467" s="17">
        <v>2.2222550000000001</v>
      </c>
    </row>
    <row r="468" spans="1:25" x14ac:dyDescent="0.25">
      <c r="A468" s="7">
        <v>38657</v>
      </c>
      <c r="B468" s="12">
        <v>-1.7949699999999999E-2</v>
      </c>
      <c r="C468" s="17">
        <v>-19.535360000000001</v>
      </c>
      <c r="D468" s="17">
        <v>7.1330309999999999</v>
      </c>
      <c r="E468" s="17">
        <v>5.092117</v>
      </c>
      <c r="F468" s="13">
        <v>2.7154000000000002E-3</v>
      </c>
      <c r="G468" s="17">
        <v>3.3076409999999998</v>
      </c>
      <c r="H468" s="17">
        <v>2.6052740000000001</v>
      </c>
      <c r="I468" s="17">
        <v>0.97115839999999998</v>
      </c>
      <c r="J468" s="14">
        <v>2.4586999999999999E-3</v>
      </c>
      <c r="K468" s="17">
        <v>2.9906450000000002</v>
      </c>
      <c r="L468" s="17">
        <v>2.795131</v>
      </c>
      <c r="M468" s="17">
        <v>2.4740470000000001</v>
      </c>
      <c r="N468" s="15">
        <v>2.4903999999999998E-3</v>
      </c>
      <c r="O468" s="17">
        <v>3.0297860000000001</v>
      </c>
      <c r="P468" s="17">
        <v>2.7815970000000001</v>
      </c>
      <c r="Q468" s="17">
        <v>2.418485</v>
      </c>
      <c r="R468" s="14">
        <v>2.8021999999999999E-3</v>
      </c>
      <c r="S468" s="17">
        <v>3.41492</v>
      </c>
      <c r="T468" s="17">
        <v>3.118007</v>
      </c>
      <c r="U468" s="17">
        <v>2.4403199999999998</v>
      </c>
      <c r="V468" s="15">
        <v>2.9421E-3</v>
      </c>
      <c r="W468" s="17">
        <v>3.5881910000000001</v>
      </c>
      <c r="X468" s="17">
        <v>3.1651310000000001</v>
      </c>
      <c r="Y468" s="17">
        <v>2.324729</v>
      </c>
    </row>
    <row r="469" spans="1:25" x14ac:dyDescent="0.25">
      <c r="A469" s="7">
        <v>38687</v>
      </c>
      <c r="B469" s="12">
        <v>-4.7821000000000001E-3</v>
      </c>
      <c r="C469" s="17">
        <v>-5.5899190000000001</v>
      </c>
      <c r="D469" s="17">
        <v>-8.2673459999999999</v>
      </c>
      <c r="E469" s="17">
        <v>4.864503</v>
      </c>
      <c r="F469" s="13">
        <v>-4.73E-4</v>
      </c>
      <c r="G469" s="17">
        <v>-0.56611979999999995</v>
      </c>
      <c r="H469" s="17">
        <v>4.0512940000000004</v>
      </c>
      <c r="I469" s="17">
        <v>0.95313890000000001</v>
      </c>
      <c r="J469" s="14">
        <v>2.3051999999999999E-3</v>
      </c>
      <c r="K469" s="17">
        <v>2.8015659999999998</v>
      </c>
      <c r="L469" s="17">
        <v>2.7613780000000001</v>
      </c>
      <c r="M469" s="17">
        <v>2.5164800000000001</v>
      </c>
      <c r="N469" s="15">
        <v>2.4091E-3</v>
      </c>
      <c r="O469" s="17">
        <v>2.9295469999999999</v>
      </c>
      <c r="P469" s="17">
        <v>2.781393</v>
      </c>
      <c r="Q469" s="17">
        <v>2.468648</v>
      </c>
      <c r="R469" s="14">
        <v>1.9425E-3</v>
      </c>
      <c r="S469" s="17">
        <v>2.3561109999999998</v>
      </c>
      <c r="T469" s="17">
        <v>2.7919200000000002</v>
      </c>
      <c r="U469" s="17">
        <v>2.4937819999999999</v>
      </c>
      <c r="V469" s="15">
        <v>2.0630000000000002E-3</v>
      </c>
      <c r="W469" s="17">
        <v>2.5038689999999999</v>
      </c>
      <c r="X469" s="17">
        <v>2.8381349999999999</v>
      </c>
      <c r="Y469" s="17">
        <v>2.3957310000000001</v>
      </c>
    </row>
    <row r="470" spans="1:25" x14ac:dyDescent="0.25">
      <c r="A470" s="7">
        <v>38718</v>
      </c>
      <c r="B470" s="12">
        <v>1.5311E-2</v>
      </c>
      <c r="C470" s="17">
        <v>20.002199999999998</v>
      </c>
      <c r="D470" s="17">
        <v>-3.0374099999999999</v>
      </c>
      <c r="E470" s="17">
        <v>7.225606</v>
      </c>
      <c r="F470" s="13">
        <v>2.2558999999999999E-3</v>
      </c>
      <c r="G470" s="17">
        <v>2.740971</v>
      </c>
      <c r="H470" s="17">
        <v>1.813062</v>
      </c>
      <c r="I470" s="17">
        <v>0.99601200000000001</v>
      </c>
      <c r="J470" s="14">
        <v>2.1413999999999999E-3</v>
      </c>
      <c r="K470" s="17">
        <v>2.6002209999999999</v>
      </c>
      <c r="L470" s="17">
        <v>2.7973539999999999</v>
      </c>
      <c r="M470" s="17">
        <v>2.4891329999999998</v>
      </c>
      <c r="N470" s="15">
        <v>1.9805999999999999E-3</v>
      </c>
      <c r="O470" s="17">
        <v>2.402771</v>
      </c>
      <c r="P470" s="17">
        <v>2.7869989999999998</v>
      </c>
      <c r="Q470" s="17">
        <v>2.4438089999999999</v>
      </c>
      <c r="R470" s="14">
        <v>2.0108000000000001E-3</v>
      </c>
      <c r="S470" s="17">
        <v>2.4398330000000001</v>
      </c>
      <c r="T470" s="17">
        <v>2.735833</v>
      </c>
      <c r="U470" s="17">
        <v>2.4403670000000002</v>
      </c>
      <c r="V470" s="15">
        <v>1.6689999999999999E-3</v>
      </c>
      <c r="W470" s="17">
        <v>2.0212859999999999</v>
      </c>
      <c r="X470" s="17">
        <v>2.7023630000000001</v>
      </c>
      <c r="Y470" s="17">
        <v>2.3413650000000001</v>
      </c>
    </row>
    <row r="471" spans="1:25" x14ac:dyDescent="0.25">
      <c r="A471" s="7">
        <v>38749</v>
      </c>
      <c r="B471" s="12">
        <v>-4.2582000000000002E-3</v>
      </c>
      <c r="C471" s="17">
        <v>-4.9919010000000004</v>
      </c>
      <c r="D471" s="17">
        <v>2.484</v>
      </c>
      <c r="E471" s="17">
        <v>6.003266</v>
      </c>
      <c r="F471" s="13">
        <v>-6.4119999999999997E-4</v>
      </c>
      <c r="G471" s="17">
        <v>-0.76673190000000002</v>
      </c>
      <c r="H471" s="17">
        <v>0.456594</v>
      </c>
      <c r="I471" s="17">
        <v>0.731128</v>
      </c>
      <c r="J471" s="14">
        <v>2.6811000000000001E-3</v>
      </c>
      <c r="K471" s="17">
        <v>3.2652130000000001</v>
      </c>
      <c r="L471" s="17">
        <v>2.8886229999999999</v>
      </c>
      <c r="M471" s="17">
        <v>2.5369359999999999</v>
      </c>
      <c r="N471" s="15">
        <v>2.6113E-3</v>
      </c>
      <c r="O471" s="17">
        <v>3.1789510000000001</v>
      </c>
      <c r="P471" s="17">
        <v>2.8365800000000001</v>
      </c>
      <c r="Q471" s="17">
        <v>2.4937299999999998</v>
      </c>
      <c r="R471" s="14">
        <v>2.3746000000000001E-3</v>
      </c>
      <c r="S471" s="17">
        <v>2.8869790000000002</v>
      </c>
      <c r="T471" s="17">
        <v>2.5607099999999998</v>
      </c>
      <c r="U471" s="17">
        <v>2.493128</v>
      </c>
      <c r="V471" s="15">
        <v>2.1700000000000001E-3</v>
      </c>
      <c r="W471" s="17">
        <v>2.6352820000000001</v>
      </c>
      <c r="X471" s="17">
        <v>2.3864719999999999</v>
      </c>
      <c r="Y471" s="17">
        <v>2.3994209999999998</v>
      </c>
    </row>
    <row r="472" spans="1:25" x14ac:dyDescent="0.25">
      <c r="A472" s="7">
        <v>38777</v>
      </c>
      <c r="B472" s="12">
        <v>-2.2369999999999999E-4</v>
      </c>
      <c r="C472" s="17">
        <v>-0.26809680000000002</v>
      </c>
      <c r="D472" s="17">
        <v>4.3745570000000003</v>
      </c>
      <c r="E472" s="17">
        <v>5.2072919999999998</v>
      </c>
      <c r="F472" s="13">
        <v>5.8282000000000004E-3</v>
      </c>
      <c r="G472" s="17">
        <v>7.2224700000000004</v>
      </c>
      <c r="H472" s="17">
        <v>3.013843</v>
      </c>
      <c r="I472" s="17">
        <v>0.45693329999999999</v>
      </c>
      <c r="J472" s="14">
        <v>2.5163999999999998E-3</v>
      </c>
      <c r="K472" s="17">
        <v>3.0617779999999999</v>
      </c>
      <c r="L472" s="17">
        <v>2.9753609999999999</v>
      </c>
      <c r="M472" s="17">
        <v>2.617718</v>
      </c>
      <c r="N472" s="15">
        <v>2.5823E-3</v>
      </c>
      <c r="O472" s="17">
        <v>3.143154</v>
      </c>
      <c r="P472" s="17">
        <v>2.9076689999999998</v>
      </c>
      <c r="Q472" s="17">
        <v>2.578417</v>
      </c>
      <c r="R472" s="14">
        <v>1.8745999999999999E-3</v>
      </c>
      <c r="S472" s="17">
        <v>2.272891</v>
      </c>
      <c r="T472" s="17">
        <v>2.5329069999999998</v>
      </c>
      <c r="U472" s="17">
        <v>2.518332</v>
      </c>
      <c r="V472" s="15">
        <v>1.8584999999999999E-3</v>
      </c>
      <c r="W472" s="17">
        <v>2.253123</v>
      </c>
      <c r="X472" s="17">
        <v>2.3029169999999999</v>
      </c>
      <c r="Y472" s="17">
        <v>2.4197899999999999</v>
      </c>
    </row>
    <row r="473" spans="1:25" x14ac:dyDescent="0.25">
      <c r="A473" s="7">
        <v>38808</v>
      </c>
      <c r="B473" s="12">
        <v>9.1158000000000003E-3</v>
      </c>
      <c r="C473" s="17">
        <v>11.504429999999999</v>
      </c>
      <c r="D473" s="17">
        <v>1.8502940000000001</v>
      </c>
      <c r="E473" s="17">
        <v>5.5700219999999998</v>
      </c>
      <c r="F473" s="13">
        <v>1.6482000000000001E-3</v>
      </c>
      <c r="G473" s="17">
        <v>1.9959210000000001</v>
      </c>
      <c r="H473" s="17">
        <v>2.7642289999999998</v>
      </c>
      <c r="I473" s="17">
        <v>1.0482739999999999</v>
      </c>
      <c r="J473" s="14">
        <v>3.1451000000000001E-3</v>
      </c>
      <c r="K473" s="17">
        <v>3.840052</v>
      </c>
      <c r="L473" s="17">
        <v>3.38849</v>
      </c>
      <c r="M473" s="17">
        <v>2.7068850000000002</v>
      </c>
      <c r="N473" s="15">
        <v>3.2932E-3</v>
      </c>
      <c r="O473" s="17">
        <v>4.0242069999999996</v>
      </c>
      <c r="P473" s="17">
        <v>3.4479700000000002</v>
      </c>
      <c r="Q473" s="17">
        <v>2.679557</v>
      </c>
      <c r="R473" s="14">
        <v>2.4507999999999999E-3</v>
      </c>
      <c r="S473" s="17">
        <v>2.9809809999999999</v>
      </c>
      <c r="T473" s="17">
        <v>2.713136</v>
      </c>
      <c r="U473" s="17">
        <v>2.5066489999999999</v>
      </c>
      <c r="V473" s="15">
        <v>2.5829E-3</v>
      </c>
      <c r="W473" s="17">
        <v>3.1438820000000001</v>
      </c>
      <c r="X473" s="17">
        <v>2.6767810000000001</v>
      </c>
      <c r="Y473" s="17">
        <v>2.4087559999999999</v>
      </c>
    </row>
    <row r="474" spans="1:25" x14ac:dyDescent="0.25">
      <c r="A474" s="7">
        <v>38838</v>
      </c>
      <c r="B474" s="12">
        <v>2.0219000000000001E-3</v>
      </c>
      <c r="C474" s="17">
        <v>2.4534210000000001</v>
      </c>
      <c r="D474" s="17">
        <v>4.4441769999999998</v>
      </c>
      <c r="E474" s="17">
        <v>6.3637480000000002</v>
      </c>
      <c r="F474" s="13">
        <v>3.7579999999999997E-4</v>
      </c>
      <c r="G474" s="17">
        <v>0.45188400000000001</v>
      </c>
      <c r="H474" s="17">
        <v>3.1831779999999998</v>
      </c>
      <c r="I474" s="17">
        <v>1.2549589999999999</v>
      </c>
      <c r="J474" s="14">
        <v>3.3917999999999999E-3</v>
      </c>
      <c r="K474" s="17">
        <v>4.1469430000000003</v>
      </c>
      <c r="L474" s="17">
        <v>3.6819169999999999</v>
      </c>
      <c r="M474" s="17">
        <v>2.828811</v>
      </c>
      <c r="N474" s="15">
        <v>3.3576000000000001E-3</v>
      </c>
      <c r="O474" s="17">
        <v>4.1043919999999998</v>
      </c>
      <c r="P474" s="17">
        <v>3.756335</v>
      </c>
      <c r="Q474" s="17">
        <v>2.7967050000000002</v>
      </c>
      <c r="R474" s="14">
        <v>2.6327E-3</v>
      </c>
      <c r="S474" s="17">
        <v>3.2053509999999998</v>
      </c>
      <c r="T474" s="17">
        <v>2.818972</v>
      </c>
      <c r="U474" s="17">
        <v>2.5225140000000001</v>
      </c>
      <c r="V474" s="15">
        <v>2.3955000000000001E-3</v>
      </c>
      <c r="W474" s="17">
        <v>2.9127830000000001</v>
      </c>
      <c r="X474" s="17">
        <v>2.7692359999999998</v>
      </c>
      <c r="Y474" s="17">
        <v>2.3915929999999999</v>
      </c>
    </row>
    <row r="475" spans="1:25" x14ac:dyDescent="0.25">
      <c r="A475" s="7">
        <v>38869</v>
      </c>
      <c r="B475" s="12">
        <v>8.5249999999999996E-4</v>
      </c>
      <c r="C475" s="17">
        <v>1.027836</v>
      </c>
      <c r="D475" s="17">
        <v>4.8946199999999997</v>
      </c>
      <c r="E475" s="17">
        <v>6.5344410000000002</v>
      </c>
      <c r="F475" s="13">
        <v>1.128E-4</v>
      </c>
      <c r="G475" s="17">
        <v>0.13546079999999999</v>
      </c>
      <c r="H475" s="17">
        <v>0.85782460000000005</v>
      </c>
      <c r="I475" s="17">
        <v>1.3505560000000001</v>
      </c>
      <c r="J475" s="14">
        <v>2.9364999999999999E-3</v>
      </c>
      <c r="K475" s="17">
        <v>3.5813259999999998</v>
      </c>
      <c r="L475" s="17">
        <v>3.8558490000000001</v>
      </c>
      <c r="M475" s="17">
        <v>3.0170780000000001</v>
      </c>
      <c r="N475" s="15">
        <v>2.9673999999999998E-3</v>
      </c>
      <c r="O475" s="17">
        <v>3.6196030000000001</v>
      </c>
      <c r="P475" s="17">
        <v>3.9158499999999998</v>
      </c>
      <c r="Q475" s="17">
        <v>3.009563</v>
      </c>
      <c r="R475" s="14">
        <v>2.1031999999999999E-3</v>
      </c>
      <c r="S475" s="17">
        <v>2.5532089999999998</v>
      </c>
      <c r="T475" s="17">
        <v>2.9128250000000002</v>
      </c>
      <c r="U475" s="17">
        <v>2.6797780000000002</v>
      </c>
      <c r="V475" s="15">
        <v>1.9758000000000002E-3</v>
      </c>
      <c r="W475" s="17">
        <v>2.3968780000000001</v>
      </c>
      <c r="X475" s="17">
        <v>2.8173729999999999</v>
      </c>
      <c r="Y475" s="17">
        <v>2.5896560000000002</v>
      </c>
    </row>
    <row r="476" spans="1:25" x14ac:dyDescent="0.25">
      <c r="A476" s="7">
        <v>38899</v>
      </c>
      <c r="B476" s="12">
        <v>1.03613E-2</v>
      </c>
      <c r="C476" s="17">
        <v>13.167149999999999</v>
      </c>
      <c r="D476" s="17">
        <v>5.4134349999999998</v>
      </c>
      <c r="E476" s="17">
        <v>6.2309169999999998</v>
      </c>
      <c r="F476" s="13">
        <v>-2.5533000000000001E-3</v>
      </c>
      <c r="G476" s="17">
        <v>-3.021245</v>
      </c>
      <c r="H476" s="17">
        <v>-0.82378490000000004</v>
      </c>
      <c r="I476" s="17">
        <v>1.2747630000000001</v>
      </c>
      <c r="J476" s="14">
        <v>2.9554999999999998E-3</v>
      </c>
      <c r="K476" s="17">
        <v>3.6047980000000002</v>
      </c>
      <c r="L476" s="17">
        <v>3.7773599999999998</v>
      </c>
      <c r="M476" s="17">
        <v>3.080384</v>
      </c>
      <c r="N476" s="15">
        <v>3.0523999999999998E-3</v>
      </c>
      <c r="O476" s="17">
        <v>3.7250619999999999</v>
      </c>
      <c r="P476" s="17">
        <v>3.816144</v>
      </c>
      <c r="Q476" s="17">
        <v>3.0778569999999998</v>
      </c>
      <c r="R476" s="14">
        <v>2.2036E-3</v>
      </c>
      <c r="S476" s="17">
        <v>2.6765949999999998</v>
      </c>
      <c r="T476" s="17">
        <v>2.8113299999999999</v>
      </c>
      <c r="U476" s="17">
        <v>2.6739280000000001</v>
      </c>
      <c r="V476" s="15">
        <v>2.2233999999999999E-3</v>
      </c>
      <c r="W476" s="17">
        <v>2.7009639999999999</v>
      </c>
      <c r="X476" s="17">
        <v>2.6699899999999999</v>
      </c>
      <c r="Y476" s="17">
        <v>2.5780419999999999</v>
      </c>
    </row>
    <row r="477" spans="1:25" x14ac:dyDescent="0.25">
      <c r="A477" s="7">
        <v>38930</v>
      </c>
      <c r="B477" s="12">
        <v>7.1875999999999997E-3</v>
      </c>
      <c r="C477" s="17">
        <v>8.9743320000000004</v>
      </c>
      <c r="D477" s="17">
        <v>7.6040330000000003</v>
      </c>
      <c r="E477" s="17">
        <v>5.3957410000000001</v>
      </c>
      <c r="F477" s="13">
        <v>1.9344E-3</v>
      </c>
      <c r="G477" s="17">
        <v>2.3461799999999999</v>
      </c>
      <c r="H477" s="17">
        <v>-0.20424970000000001</v>
      </c>
      <c r="I477" s="17">
        <v>1.5002869999999999</v>
      </c>
      <c r="J477" s="14">
        <v>2.5322999999999999E-3</v>
      </c>
      <c r="K477" s="17">
        <v>3.0814360000000001</v>
      </c>
      <c r="L477" s="17">
        <v>3.4222380000000001</v>
      </c>
      <c r="M477" s="17">
        <v>3.1963210000000002</v>
      </c>
      <c r="N477" s="15">
        <v>2.5718999999999998E-3</v>
      </c>
      <c r="O477" s="17">
        <v>3.1303010000000002</v>
      </c>
      <c r="P477" s="17">
        <v>3.4913310000000002</v>
      </c>
      <c r="Q477" s="17">
        <v>3.2156129999999998</v>
      </c>
      <c r="R477" s="14">
        <v>1.7030999999999999E-3</v>
      </c>
      <c r="S477" s="17">
        <v>2.062999</v>
      </c>
      <c r="T477" s="17">
        <v>2.4305910000000002</v>
      </c>
      <c r="U477" s="17">
        <v>2.7317339999999999</v>
      </c>
      <c r="V477" s="15">
        <v>1.5937E-3</v>
      </c>
      <c r="W477" s="17">
        <v>1.9292849999999999</v>
      </c>
      <c r="X477" s="17">
        <v>2.3418830000000002</v>
      </c>
      <c r="Y477" s="17">
        <v>2.6651419999999999</v>
      </c>
    </row>
    <row r="478" spans="1:25" x14ac:dyDescent="0.25">
      <c r="A478" s="7">
        <v>38961</v>
      </c>
      <c r="B478" s="12">
        <v>-1.7324900000000001E-2</v>
      </c>
      <c r="C478" s="17">
        <v>-18.918990000000001</v>
      </c>
      <c r="D478" s="17">
        <v>-2.7821999999999999E-3</v>
      </c>
      <c r="E478" s="17">
        <v>0.1071122</v>
      </c>
      <c r="F478" s="13">
        <v>6.3800000000000006E-5</v>
      </c>
      <c r="G478" s="17">
        <v>7.6579700000000001E-2</v>
      </c>
      <c r="H478" s="17">
        <v>-0.22381390000000001</v>
      </c>
      <c r="I478" s="17">
        <v>1.910725</v>
      </c>
      <c r="J478" s="14">
        <v>2.2721E-3</v>
      </c>
      <c r="K478" s="17">
        <v>2.7608549999999998</v>
      </c>
      <c r="L478" s="17">
        <v>3.1484429999999999</v>
      </c>
      <c r="M478" s="17">
        <v>3.1844420000000002</v>
      </c>
      <c r="N478" s="15">
        <v>2.3793999999999998E-3</v>
      </c>
      <c r="O478" s="17">
        <v>2.892925</v>
      </c>
      <c r="P478" s="17">
        <v>3.248837</v>
      </c>
      <c r="Q478" s="17">
        <v>3.2125010000000001</v>
      </c>
      <c r="R478" s="14">
        <v>1.6417000000000001E-3</v>
      </c>
      <c r="S478" s="17">
        <v>1.9879849999999999</v>
      </c>
      <c r="T478" s="17">
        <v>2.2420620000000002</v>
      </c>
      <c r="U478" s="17">
        <v>2.6196039999999998</v>
      </c>
      <c r="V478" s="15">
        <v>1.7094E-3</v>
      </c>
      <c r="W478" s="17">
        <v>2.0706389999999999</v>
      </c>
      <c r="X478" s="17">
        <v>2.2330800000000002</v>
      </c>
      <c r="Y478" s="17">
        <v>2.5474909999999999</v>
      </c>
    </row>
    <row r="479" spans="1:25" x14ac:dyDescent="0.25">
      <c r="A479" s="7">
        <v>38991</v>
      </c>
      <c r="B479" s="12">
        <v>-1.9104699999999999E-2</v>
      </c>
      <c r="C479" s="17">
        <v>-20.663699999999999</v>
      </c>
      <c r="D479" s="17">
        <v>-11.16752</v>
      </c>
      <c r="E479" s="17">
        <v>-1.9362360000000001</v>
      </c>
      <c r="F479" s="13">
        <v>-7.5549999999999999E-4</v>
      </c>
      <c r="G479" s="17">
        <v>-0.90282280000000004</v>
      </c>
      <c r="H479" s="17">
        <v>0.4974693</v>
      </c>
      <c r="I479" s="17">
        <v>1.0536559999999999</v>
      </c>
      <c r="J479" s="14">
        <v>2.6483000000000001E-3</v>
      </c>
      <c r="K479" s="17">
        <v>3.2247059999999999</v>
      </c>
      <c r="L479" s="17">
        <v>3.0221499999999999</v>
      </c>
      <c r="M479" s="17">
        <v>3.2456680000000002</v>
      </c>
      <c r="N479" s="15">
        <v>2.6178999999999998E-3</v>
      </c>
      <c r="O479" s="17">
        <v>3.1871079999999998</v>
      </c>
      <c r="P479" s="17">
        <v>3.070033</v>
      </c>
      <c r="Q479" s="17">
        <v>3.2795570000000001</v>
      </c>
      <c r="R479" s="14">
        <v>2.0143000000000001E-3</v>
      </c>
      <c r="S479" s="17">
        <v>2.4441329999999999</v>
      </c>
      <c r="T479" s="17">
        <v>2.164844</v>
      </c>
      <c r="U479" s="17">
        <v>2.6059619999999999</v>
      </c>
      <c r="V479" s="15">
        <v>1.812E-3</v>
      </c>
      <c r="W479" s="17">
        <v>2.1961620000000002</v>
      </c>
      <c r="X479" s="17">
        <v>2.0653039999999998</v>
      </c>
      <c r="Y479" s="17">
        <v>2.5282589999999998</v>
      </c>
    </row>
    <row r="480" spans="1:25" x14ac:dyDescent="0.25">
      <c r="A480" s="7">
        <v>39022</v>
      </c>
      <c r="B480" s="12">
        <v>-1.2087000000000001E-3</v>
      </c>
      <c r="C480" s="17">
        <v>-1.440812</v>
      </c>
      <c r="D480" s="17">
        <v>-14.092829999999999</v>
      </c>
      <c r="E480" s="17">
        <v>-0.26454719999999998</v>
      </c>
      <c r="F480" s="13">
        <v>-1.9132000000000001E-3</v>
      </c>
      <c r="G480" s="17">
        <v>-2.271827</v>
      </c>
      <c r="H480" s="17">
        <v>-1.0373829999999999</v>
      </c>
      <c r="I480" s="17">
        <v>0.58718219999999999</v>
      </c>
      <c r="J480" s="14">
        <v>1.4348E-3</v>
      </c>
      <c r="K480" s="17">
        <v>1.735363</v>
      </c>
      <c r="L480" s="17">
        <v>2.5717509999999999</v>
      </c>
      <c r="M480" s="17">
        <v>3.140212</v>
      </c>
      <c r="N480" s="15">
        <v>1.3584000000000001E-3</v>
      </c>
      <c r="O480" s="17">
        <v>1.6423030000000001</v>
      </c>
      <c r="P480" s="17">
        <v>2.57192</v>
      </c>
      <c r="Q480" s="17">
        <v>3.1629320000000001</v>
      </c>
      <c r="R480" s="14">
        <v>8.4099999999999998E-5</v>
      </c>
      <c r="S480" s="17">
        <v>0.1009615</v>
      </c>
      <c r="T480" s="17">
        <v>1.5059389999999999</v>
      </c>
      <c r="U480" s="17">
        <v>2.3278509999999999</v>
      </c>
      <c r="V480" s="15">
        <v>-3.6999999999999999E-4</v>
      </c>
      <c r="W480" s="17">
        <v>-0.44304130000000003</v>
      </c>
      <c r="X480" s="17">
        <v>1.2672490000000001</v>
      </c>
      <c r="Y480" s="17">
        <v>2.1896779999999998</v>
      </c>
    </row>
    <row r="481" spans="1:25" x14ac:dyDescent="0.25">
      <c r="A481" s="7">
        <v>39052</v>
      </c>
      <c r="B481" s="12">
        <v>1.3181500000000001E-2</v>
      </c>
      <c r="C481" s="17">
        <v>17.016480000000001</v>
      </c>
      <c r="D481" s="17">
        <v>-2.9180030000000001</v>
      </c>
      <c r="E481" s="17">
        <v>1.5356650000000001</v>
      </c>
      <c r="F481" s="13">
        <v>7.6690000000000005E-4</v>
      </c>
      <c r="G481" s="17">
        <v>0.9241163</v>
      </c>
      <c r="H481" s="17">
        <v>-0.75880000000000003</v>
      </c>
      <c r="I481" s="17">
        <v>0.71195419999999998</v>
      </c>
      <c r="J481" s="14">
        <v>1.9599999999999999E-3</v>
      </c>
      <c r="K481" s="17">
        <v>2.3775550000000001</v>
      </c>
      <c r="L481" s="17">
        <v>2.4440599999999999</v>
      </c>
      <c r="M481" s="17">
        <v>3.1046939999999998</v>
      </c>
      <c r="N481" s="15">
        <v>1.923E-3</v>
      </c>
      <c r="O481" s="17">
        <v>2.3322240000000001</v>
      </c>
      <c r="P481" s="17">
        <v>2.3852630000000001</v>
      </c>
      <c r="Q481" s="17">
        <v>3.1129090000000001</v>
      </c>
      <c r="R481" s="14">
        <v>9.9189999999999999E-4</v>
      </c>
      <c r="S481" s="17">
        <v>1.196761</v>
      </c>
      <c r="T481" s="17">
        <v>1.2427619999999999</v>
      </c>
      <c r="U481" s="17">
        <v>2.2307600000000001</v>
      </c>
      <c r="V481" s="15">
        <v>6.9990000000000004E-4</v>
      </c>
      <c r="W481" s="17">
        <v>0.84307169999999998</v>
      </c>
      <c r="X481" s="17">
        <v>0.85964240000000003</v>
      </c>
      <c r="Y481" s="17">
        <v>2.0506669999999998</v>
      </c>
    </row>
    <row r="482" spans="1:25" x14ac:dyDescent="0.25">
      <c r="A482" s="7">
        <v>39083</v>
      </c>
      <c r="B482" s="12">
        <v>-7.2429999999999999E-4</v>
      </c>
      <c r="C482" s="17">
        <v>-0.86572130000000003</v>
      </c>
      <c r="D482" s="17">
        <v>4.5657209999999999</v>
      </c>
      <c r="E482" s="17">
        <v>-6.7940100000000003E-2</v>
      </c>
      <c r="F482" s="13">
        <v>2.1023000000000001E-3</v>
      </c>
      <c r="G482" s="17">
        <v>2.5521120000000002</v>
      </c>
      <c r="H482" s="17">
        <v>0.38136930000000002</v>
      </c>
      <c r="I482" s="17">
        <v>0.69651370000000001</v>
      </c>
      <c r="J482" s="14">
        <v>2.6532999999999999E-3</v>
      </c>
      <c r="K482" s="17">
        <v>3.2308340000000002</v>
      </c>
      <c r="L482" s="17">
        <v>2.4460869999999999</v>
      </c>
      <c r="M482" s="17">
        <v>3.1573549999999999</v>
      </c>
      <c r="N482" s="15">
        <v>2.3555E-3</v>
      </c>
      <c r="O482" s="17">
        <v>2.8634559999999998</v>
      </c>
      <c r="P482" s="17">
        <v>2.278105</v>
      </c>
      <c r="Q482" s="17">
        <v>3.1514859999999998</v>
      </c>
      <c r="R482" s="14">
        <v>2.6565E-3</v>
      </c>
      <c r="S482" s="17">
        <v>3.2347769999999998</v>
      </c>
      <c r="T482" s="17">
        <v>1.5025520000000001</v>
      </c>
      <c r="U482" s="17">
        <v>2.2966359999999999</v>
      </c>
      <c r="V482" s="15">
        <v>2.0720000000000001E-3</v>
      </c>
      <c r="W482" s="17">
        <v>2.514964</v>
      </c>
      <c r="X482" s="17">
        <v>0.96441100000000002</v>
      </c>
      <c r="Y482" s="17">
        <v>2.0917279999999998</v>
      </c>
    </row>
    <row r="483" spans="1:25" x14ac:dyDescent="0.25">
      <c r="A483" s="7">
        <v>39114</v>
      </c>
      <c r="B483" s="12">
        <v>6.2147000000000001E-3</v>
      </c>
      <c r="C483" s="17">
        <v>7.7179089999999997</v>
      </c>
      <c r="D483" s="17">
        <v>7.7092330000000002</v>
      </c>
      <c r="E483" s="17">
        <v>0.98311890000000002</v>
      </c>
      <c r="F483" s="13">
        <v>1.7742999999999999E-3</v>
      </c>
      <c r="G483" s="17">
        <v>2.1500149999999998</v>
      </c>
      <c r="H483" s="17">
        <v>1.8730560000000001</v>
      </c>
      <c r="I483" s="17">
        <v>0.93989840000000002</v>
      </c>
      <c r="J483" s="14">
        <v>2.8343000000000001E-3</v>
      </c>
      <c r="K483" s="17">
        <v>3.454707</v>
      </c>
      <c r="L483" s="17">
        <v>3.0199850000000001</v>
      </c>
      <c r="M483" s="17">
        <v>3.1731159999999998</v>
      </c>
      <c r="N483" s="15">
        <v>2.7431999999999999E-3</v>
      </c>
      <c r="O483" s="17">
        <v>3.3419530000000002</v>
      </c>
      <c r="P483" s="17">
        <v>2.8450510000000002</v>
      </c>
      <c r="Q483" s="17">
        <v>3.1650559999999999</v>
      </c>
      <c r="R483" s="14">
        <v>2.6721000000000002E-3</v>
      </c>
      <c r="S483" s="17">
        <v>3.2540580000000001</v>
      </c>
      <c r="T483" s="17">
        <v>2.557302</v>
      </c>
      <c r="U483" s="17">
        <v>2.3270010000000001</v>
      </c>
      <c r="V483" s="15">
        <v>2.4561000000000001E-3</v>
      </c>
      <c r="W483" s="17">
        <v>2.9874040000000002</v>
      </c>
      <c r="X483" s="17">
        <v>2.1109879999999999</v>
      </c>
      <c r="Y483" s="17">
        <v>2.12087</v>
      </c>
    </row>
    <row r="484" spans="1:25" x14ac:dyDescent="0.25">
      <c r="A484" s="7">
        <v>39142</v>
      </c>
      <c r="B484" s="12">
        <v>1.2444800000000001E-2</v>
      </c>
      <c r="C484" s="17">
        <v>15.99959</v>
      </c>
      <c r="D484" s="17">
        <v>7.3963200000000002</v>
      </c>
      <c r="E484" s="17">
        <v>2.2627120000000001</v>
      </c>
      <c r="F484" s="13">
        <v>-1.6352999999999999E-3</v>
      </c>
      <c r="G484" s="17">
        <v>-1.944774</v>
      </c>
      <c r="H484" s="17">
        <v>0.89847390000000005</v>
      </c>
      <c r="I484" s="17">
        <v>0.19089929999999999</v>
      </c>
      <c r="J484" s="14">
        <v>2.0133999999999998E-3</v>
      </c>
      <c r="K484" s="17">
        <v>2.4429820000000002</v>
      </c>
      <c r="L484" s="17">
        <v>3.0419260000000001</v>
      </c>
      <c r="M484" s="17">
        <v>3.1213519999999999</v>
      </c>
      <c r="N484" s="15">
        <v>2.0642E-3</v>
      </c>
      <c r="O484" s="17">
        <v>2.5053030000000001</v>
      </c>
      <c r="P484" s="17">
        <v>2.903</v>
      </c>
      <c r="Q484" s="17">
        <v>3.111739</v>
      </c>
      <c r="R484" s="14">
        <v>1.5742E-3</v>
      </c>
      <c r="S484" s="17">
        <v>1.9054660000000001</v>
      </c>
      <c r="T484" s="17">
        <v>2.796157</v>
      </c>
      <c r="U484" s="17">
        <v>2.2963149999999999</v>
      </c>
      <c r="V484" s="15">
        <v>1.5739E-3</v>
      </c>
      <c r="W484" s="17">
        <v>1.905098</v>
      </c>
      <c r="X484" s="17">
        <v>2.468197</v>
      </c>
      <c r="Y484" s="17">
        <v>2.0918600000000001</v>
      </c>
    </row>
    <row r="485" spans="1:25" x14ac:dyDescent="0.25">
      <c r="A485" s="7">
        <v>39173</v>
      </c>
      <c r="B485" s="12">
        <v>5.4533000000000003E-3</v>
      </c>
      <c r="C485" s="17">
        <v>6.7438250000000002</v>
      </c>
      <c r="D485" s="17">
        <v>10.076779999999999</v>
      </c>
      <c r="E485" s="17">
        <v>1.891556</v>
      </c>
      <c r="F485" s="13">
        <v>6.7319999999999999E-4</v>
      </c>
      <c r="G485" s="17">
        <v>0.81081899999999996</v>
      </c>
      <c r="H485" s="17">
        <v>0.32413920000000002</v>
      </c>
      <c r="I485" s="17">
        <v>9.3368099999999996E-2</v>
      </c>
      <c r="J485" s="14">
        <v>1.8748E-3</v>
      </c>
      <c r="K485" s="17">
        <v>2.2731599999999998</v>
      </c>
      <c r="L485" s="17">
        <v>2.7222949999999999</v>
      </c>
      <c r="M485" s="17">
        <v>2.9907759999999999</v>
      </c>
      <c r="N485" s="15">
        <v>1.7156999999999999E-3</v>
      </c>
      <c r="O485" s="17">
        <v>2.0784120000000001</v>
      </c>
      <c r="P485" s="17">
        <v>2.6405500000000002</v>
      </c>
      <c r="Q485" s="17">
        <v>2.9496169999999999</v>
      </c>
      <c r="R485" s="14">
        <v>1.9273999999999999E-3</v>
      </c>
      <c r="S485" s="17">
        <v>2.337558</v>
      </c>
      <c r="T485" s="17">
        <v>2.497487</v>
      </c>
      <c r="U485" s="17">
        <v>2.2429000000000001</v>
      </c>
      <c r="V485" s="15">
        <v>1.6264000000000001E-3</v>
      </c>
      <c r="W485" s="17">
        <v>1.969258</v>
      </c>
      <c r="X485" s="17">
        <v>2.2860550000000002</v>
      </c>
      <c r="Y485" s="17">
        <v>1.994464</v>
      </c>
    </row>
    <row r="486" spans="1:25" x14ac:dyDescent="0.25">
      <c r="A486" s="7">
        <v>39203</v>
      </c>
      <c r="B486" s="12">
        <v>9.4176999999999993E-3</v>
      </c>
      <c r="C486" s="17">
        <v>11.90545</v>
      </c>
      <c r="D486" s="17">
        <v>11.485099999999999</v>
      </c>
      <c r="E486" s="17">
        <v>2.6436120000000001</v>
      </c>
      <c r="F486" s="13">
        <v>7.1029999999999997E-4</v>
      </c>
      <c r="G486" s="17">
        <v>0.85566379999999997</v>
      </c>
      <c r="H486" s="17">
        <v>-0.1014018</v>
      </c>
      <c r="I486" s="17">
        <v>0.12683469999999999</v>
      </c>
      <c r="J486" s="14">
        <v>1.689E-3</v>
      </c>
      <c r="K486" s="17">
        <v>2.0457269999999999</v>
      </c>
      <c r="L486" s="17">
        <v>2.2538269999999998</v>
      </c>
      <c r="M486" s="17">
        <v>2.8159960000000002</v>
      </c>
      <c r="N486" s="15">
        <v>1.5942E-3</v>
      </c>
      <c r="O486" s="17">
        <v>1.929848</v>
      </c>
      <c r="P486" s="17">
        <v>2.1708970000000001</v>
      </c>
      <c r="Q486" s="17">
        <v>2.7686769999999998</v>
      </c>
      <c r="R486" s="14">
        <v>2.0313000000000002E-3</v>
      </c>
      <c r="S486" s="17">
        <v>2.464969</v>
      </c>
      <c r="T486" s="17">
        <v>2.2357170000000002</v>
      </c>
      <c r="U486" s="17">
        <v>2.181575</v>
      </c>
      <c r="V486" s="15">
        <v>1.9229E-3</v>
      </c>
      <c r="W486" s="17">
        <v>2.332058</v>
      </c>
      <c r="X486" s="17">
        <v>2.068632</v>
      </c>
      <c r="Y486" s="17">
        <v>1.946377</v>
      </c>
    </row>
    <row r="487" spans="1:25" x14ac:dyDescent="0.25">
      <c r="A487" s="7">
        <v>39234</v>
      </c>
      <c r="B487" s="12">
        <v>3.1410000000000001E-3</v>
      </c>
      <c r="C487" s="17">
        <v>3.8349709999999999</v>
      </c>
      <c r="D487" s="17">
        <v>7.4432700000000001</v>
      </c>
      <c r="E487" s="17">
        <v>2.8783069999999999</v>
      </c>
      <c r="F487" s="13">
        <v>7.5420000000000001E-4</v>
      </c>
      <c r="G487" s="17">
        <v>0.90882660000000004</v>
      </c>
      <c r="H487" s="17">
        <v>0.85842850000000004</v>
      </c>
      <c r="I487" s="17">
        <v>0.19104930000000001</v>
      </c>
      <c r="J487" s="14">
        <v>1.8844000000000001E-3</v>
      </c>
      <c r="K487" s="17">
        <v>2.284815</v>
      </c>
      <c r="L487" s="17">
        <v>2.2011750000000001</v>
      </c>
      <c r="M487" s="17">
        <v>2.708132</v>
      </c>
      <c r="N487" s="15">
        <v>1.6997E-3</v>
      </c>
      <c r="O487" s="17">
        <v>2.0588329999999999</v>
      </c>
      <c r="P487" s="17">
        <v>2.0223429999999998</v>
      </c>
      <c r="Q487" s="17">
        <v>2.638782</v>
      </c>
      <c r="R487" s="14">
        <v>1.7403E-3</v>
      </c>
      <c r="S487" s="17">
        <v>2.1084109999999998</v>
      </c>
      <c r="T487" s="17">
        <v>2.3035399999999999</v>
      </c>
      <c r="U487" s="17">
        <v>2.1445690000000002</v>
      </c>
      <c r="V487" s="15">
        <v>1.3442E-3</v>
      </c>
      <c r="W487" s="17">
        <v>1.6250720000000001</v>
      </c>
      <c r="X487" s="17">
        <v>1.9750540000000001</v>
      </c>
      <c r="Y487" s="17">
        <v>1.8821209999999999</v>
      </c>
    </row>
    <row r="488" spans="1:25" x14ac:dyDescent="0.25">
      <c r="A488" s="7">
        <v>39264</v>
      </c>
      <c r="B488" s="12">
        <v>8.2399999999999997E-4</v>
      </c>
      <c r="C488" s="17">
        <v>0.9932415</v>
      </c>
      <c r="D488" s="17">
        <v>5.4781250000000004</v>
      </c>
      <c r="E488" s="17">
        <v>1.9071849999999999</v>
      </c>
      <c r="F488" s="13">
        <v>1.0759999999999999E-3</v>
      </c>
      <c r="G488" s="17">
        <v>1.2988489999999999</v>
      </c>
      <c r="H488" s="17">
        <v>1.02092</v>
      </c>
      <c r="I488" s="17">
        <v>0.55559740000000002</v>
      </c>
      <c r="J488" s="14">
        <v>2.2612000000000001E-3</v>
      </c>
      <c r="K488" s="17">
        <v>2.7473909999999999</v>
      </c>
      <c r="L488" s="17">
        <v>2.3588969999999998</v>
      </c>
      <c r="M488" s="17">
        <v>2.6370290000000001</v>
      </c>
      <c r="N488" s="15">
        <v>2.0048000000000002E-3</v>
      </c>
      <c r="O488" s="17">
        <v>2.4324309999999998</v>
      </c>
      <c r="P488" s="17">
        <v>2.1401479999999999</v>
      </c>
      <c r="Q488" s="17">
        <v>2.531577</v>
      </c>
      <c r="R488" s="14">
        <v>2.4451999999999998E-3</v>
      </c>
      <c r="S488" s="17">
        <v>2.9740229999999999</v>
      </c>
      <c r="T488" s="17">
        <v>2.5151859999999999</v>
      </c>
      <c r="U488" s="17">
        <v>2.1691940000000001</v>
      </c>
      <c r="V488" s="15">
        <v>1.983E-3</v>
      </c>
      <c r="W488" s="17">
        <v>2.4057360000000001</v>
      </c>
      <c r="X488" s="17">
        <v>2.1203479999999999</v>
      </c>
      <c r="Y488" s="17">
        <v>1.8576820000000001</v>
      </c>
    </row>
    <row r="489" spans="1:25" x14ac:dyDescent="0.25">
      <c r="A489" s="7">
        <v>39295</v>
      </c>
      <c r="B489" s="12">
        <v>-3.5411000000000002E-3</v>
      </c>
      <c r="C489" s="17">
        <v>-4.1674749999999996</v>
      </c>
      <c r="D489" s="17">
        <v>0.16506960000000001</v>
      </c>
      <c r="E489" s="17">
        <v>0.82166450000000002</v>
      </c>
      <c r="F489" s="13">
        <v>4.9120000000000001E-4</v>
      </c>
      <c r="G489" s="17">
        <v>0.59108170000000004</v>
      </c>
      <c r="H489" s="17">
        <v>0.93250409999999995</v>
      </c>
      <c r="I489" s="17">
        <v>0.41075610000000001</v>
      </c>
      <c r="J489" s="14">
        <v>2.0601E-3</v>
      </c>
      <c r="K489" s="17">
        <v>2.500283</v>
      </c>
      <c r="L489" s="17">
        <v>2.510656</v>
      </c>
      <c r="M489" s="17">
        <v>2.5886840000000002</v>
      </c>
      <c r="N489" s="15">
        <v>1.8373E-3</v>
      </c>
      <c r="O489" s="17">
        <v>2.2272029999999998</v>
      </c>
      <c r="P489" s="17">
        <v>2.2393749999999999</v>
      </c>
      <c r="Q489" s="17">
        <v>2.4564530000000002</v>
      </c>
      <c r="R489" s="14">
        <v>1.6198E-3</v>
      </c>
      <c r="S489" s="17">
        <v>1.961111</v>
      </c>
      <c r="T489" s="17">
        <v>2.3468749999999998</v>
      </c>
      <c r="U489" s="17">
        <v>2.1606900000000002</v>
      </c>
      <c r="V489" s="15">
        <v>1.0805000000000001E-3</v>
      </c>
      <c r="W489" s="17">
        <v>1.3043389999999999</v>
      </c>
      <c r="X489" s="17">
        <v>1.7773330000000001</v>
      </c>
      <c r="Y489" s="17">
        <v>1.805493</v>
      </c>
    </row>
    <row r="490" spans="1:25" x14ac:dyDescent="0.25">
      <c r="A490" s="7">
        <v>39326</v>
      </c>
      <c r="B490" s="12">
        <v>7.6809000000000001E-3</v>
      </c>
      <c r="C490" s="17">
        <v>9.6165710000000004</v>
      </c>
      <c r="D490" s="17">
        <v>1.99068</v>
      </c>
      <c r="E490" s="17">
        <v>3.3872420000000001</v>
      </c>
      <c r="F490" s="13">
        <v>3.7320000000000002E-4</v>
      </c>
      <c r="G490" s="17">
        <v>0.44879439999999998</v>
      </c>
      <c r="H490" s="17">
        <v>0.77889039999999998</v>
      </c>
      <c r="I490" s="17">
        <v>0.44182460000000001</v>
      </c>
      <c r="J490" s="14">
        <v>2.7252000000000001E-3</v>
      </c>
      <c r="K490" s="17">
        <v>3.3197619999999999</v>
      </c>
      <c r="L490" s="17">
        <v>2.8552399999999998</v>
      </c>
      <c r="M490" s="17">
        <v>2.6350660000000001</v>
      </c>
      <c r="N490" s="15">
        <v>2.5389000000000002E-3</v>
      </c>
      <c r="O490" s="17">
        <v>3.08955</v>
      </c>
      <c r="P490" s="17">
        <v>2.5824029999999998</v>
      </c>
      <c r="Q490" s="17">
        <v>2.4727549999999998</v>
      </c>
      <c r="R490" s="14">
        <v>2.7171999999999999E-3</v>
      </c>
      <c r="S490" s="17">
        <v>3.30985</v>
      </c>
      <c r="T490" s="17">
        <v>2.7467259999999998</v>
      </c>
      <c r="U490" s="17">
        <v>2.2703820000000001</v>
      </c>
      <c r="V490" s="15">
        <v>2.3484999999999999E-3</v>
      </c>
      <c r="W490" s="17">
        <v>2.8548689999999999</v>
      </c>
      <c r="X490" s="17">
        <v>2.1862339999999998</v>
      </c>
      <c r="Y490" s="17">
        <v>1.8704480000000001</v>
      </c>
    </row>
    <row r="491" spans="1:25" x14ac:dyDescent="0.25">
      <c r="A491" s="7">
        <v>39356</v>
      </c>
      <c r="B491" s="12">
        <v>3.7683999999999999E-3</v>
      </c>
      <c r="C491" s="17">
        <v>4.617038</v>
      </c>
      <c r="D491" s="17">
        <v>3.1962359999999999</v>
      </c>
      <c r="E491" s="17">
        <v>5.798089</v>
      </c>
      <c r="F491" s="13">
        <v>9.7799999999999992E-4</v>
      </c>
      <c r="G491" s="17">
        <v>1.1799440000000001</v>
      </c>
      <c r="H491" s="17">
        <v>0.73944330000000003</v>
      </c>
      <c r="I491" s="17">
        <v>0.61607129999999999</v>
      </c>
      <c r="J491" s="14">
        <v>2.8192E-3</v>
      </c>
      <c r="K491" s="17">
        <v>3.4359709999999999</v>
      </c>
      <c r="L491" s="17">
        <v>3.0844960000000001</v>
      </c>
      <c r="M491" s="17">
        <v>2.6525539999999999</v>
      </c>
      <c r="N491" s="15">
        <v>2.8784000000000001E-3</v>
      </c>
      <c r="O491" s="17">
        <v>3.5092500000000002</v>
      </c>
      <c r="P491" s="17">
        <v>2.9406159999999999</v>
      </c>
      <c r="Q491" s="17">
        <v>2.4993759999999998</v>
      </c>
      <c r="R491" s="14">
        <v>2.9486999999999998E-3</v>
      </c>
      <c r="S491" s="17">
        <v>3.5964299999999998</v>
      </c>
      <c r="T491" s="17">
        <v>2.9533209999999999</v>
      </c>
      <c r="U491" s="17">
        <v>2.3657530000000002</v>
      </c>
      <c r="V491" s="15">
        <v>3.0950999999999999E-3</v>
      </c>
      <c r="W491" s="17">
        <v>3.77806</v>
      </c>
      <c r="X491" s="17">
        <v>2.6406710000000002</v>
      </c>
      <c r="Y491" s="17">
        <v>2.0009290000000002</v>
      </c>
    </row>
    <row r="492" spans="1:25" x14ac:dyDescent="0.25">
      <c r="A492" s="7">
        <v>39387</v>
      </c>
      <c r="B492" s="12">
        <v>1.87698E-2</v>
      </c>
      <c r="C492" s="17">
        <v>25.000769999999999</v>
      </c>
      <c r="D492" s="17">
        <v>12.7536</v>
      </c>
      <c r="E492" s="17">
        <v>7.9143299999999996</v>
      </c>
      <c r="F492" s="13">
        <v>2.1965000000000001E-3</v>
      </c>
      <c r="G492" s="17">
        <v>2.6678449999999998</v>
      </c>
      <c r="H492" s="17">
        <v>1.428002</v>
      </c>
      <c r="I492" s="17">
        <v>1.030362</v>
      </c>
      <c r="J492" s="14">
        <v>2.8422999999999999E-3</v>
      </c>
      <c r="K492" s="17">
        <v>3.4646210000000002</v>
      </c>
      <c r="L492" s="17">
        <v>3.406765</v>
      </c>
      <c r="M492" s="17">
        <v>2.7968380000000002</v>
      </c>
      <c r="N492" s="15">
        <v>2.8782E-3</v>
      </c>
      <c r="O492" s="17">
        <v>3.5090919999999999</v>
      </c>
      <c r="P492" s="17">
        <v>3.3691080000000002</v>
      </c>
      <c r="Q492" s="17">
        <v>2.6549480000000001</v>
      </c>
      <c r="R492" s="14">
        <v>2.4618000000000001E-3</v>
      </c>
      <c r="S492" s="17">
        <v>2.9945390000000001</v>
      </c>
      <c r="T492" s="17">
        <v>3.2999800000000001</v>
      </c>
      <c r="U492" s="17">
        <v>2.6091319999999998</v>
      </c>
      <c r="V492" s="15">
        <v>2.4448E-3</v>
      </c>
      <c r="W492" s="17">
        <v>2.973579</v>
      </c>
      <c r="X492" s="17">
        <v>3.2013560000000001</v>
      </c>
      <c r="Y492" s="17">
        <v>2.2881469999999999</v>
      </c>
    </row>
    <row r="493" spans="1:25" x14ac:dyDescent="0.25">
      <c r="A493" s="7">
        <v>39417</v>
      </c>
      <c r="B493" s="12">
        <v>4.1729000000000002E-3</v>
      </c>
      <c r="C493" s="17">
        <v>5.1239590000000002</v>
      </c>
      <c r="D493" s="17">
        <v>11.19167</v>
      </c>
      <c r="E493" s="17">
        <v>6.954815</v>
      </c>
      <c r="F493" s="13">
        <v>2.7138000000000002E-3</v>
      </c>
      <c r="G493" s="17">
        <v>3.3056350000000001</v>
      </c>
      <c r="H493" s="17">
        <v>2.3805900000000002</v>
      </c>
      <c r="I493" s="17">
        <v>1.226915</v>
      </c>
      <c r="J493" s="14">
        <v>2.3007000000000001E-3</v>
      </c>
      <c r="K493" s="17">
        <v>2.7960289999999999</v>
      </c>
      <c r="L493" s="17">
        <v>3.2317450000000001</v>
      </c>
      <c r="M493" s="17">
        <v>2.831788</v>
      </c>
      <c r="N493" s="15">
        <v>2.3933000000000001E-3</v>
      </c>
      <c r="O493" s="17">
        <v>2.9100100000000002</v>
      </c>
      <c r="P493" s="17">
        <v>3.3090639999999998</v>
      </c>
      <c r="Q493" s="17">
        <v>2.703125</v>
      </c>
      <c r="R493" s="14">
        <v>1.9368E-3</v>
      </c>
      <c r="S493" s="17">
        <v>2.3490190000000002</v>
      </c>
      <c r="T493" s="17">
        <v>2.9787360000000001</v>
      </c>
      <c r="U493" s="17">
        <v>2.7059899999999999</v>
      </c>
      <c r="V493" s="15">
        <v>2.0338000000000001E-3</v>
      </c>
      <c r="W493" s="17">
        <v>2.468105</v>
      </c>
      <c r="X493" s="17">
        <v>3.0718380000000001</v>
      </c>
      <c r="Y493" s="17">
        <v>2.4245030000000001</v>
      </c>
    </row>
    <row r="494" spans="1:25" x14ac:dyDescent="0.25">
      <c r="A494" s="7">
        <v>39448</v>
      </c>
      <c r="B494" s="12">
        <v>4.4171999999999996E-3</v>
      </c>
      <c r="C494" s="17">
        <v>5.4313060000000002</v>
      </c>
      <c r="D494" s="17">
        <v>11.47941</v>
      </c>
      <c r="E494" s="17">
        <v>7.5051209999999999</v>
      </c>
      <c r="F494" s="13">
        <v>2.8671E-3</v>
      </c>
      <c r="G494" s="17">
        <v>3.495349</v>
      </c>
      <c r="H494" s="17">
        <v>3.1556679999999999</v>
      </c>
      <c r="I494" s="17">
        <v>1.3041769999999999</v>
      </c>
      <c r="J494" s="14">
        <v>2.8741000000000001E-3</v>
      </c>
      <c r="K494" s="17">
        <v>3.5039600000000002</v>
      </c>
      <c r="L494" s="17">
        <v>3.2543579999999999</v>
      </c>
      <c r="M494" s="17">
        <v>2.8544330000000002</v>
      </c>
      <c r="N494" s="15">
        <v>2.709E-3</v>
      </c>
      <c r="O494" s="17">
        <v>3.2997169999999998</v>
      </c>
      <c r="P494" s="17">
        <v>3.2393079999999999</v>
      </c>
      <c r="Q494" s="17">
        <v>2.7393519999999998</v>
      </c>
      <c r="R494" s="14">
        <v>3.5793999999999999E-3</v>
      </c>
      <c r="S494" s="17">
        <v>4.3808660000000001</v>
      </c>
      <c r="T494" s="17">
        <v>3.2380019999999998</v>
      </c>
      <c r="U494" s="17">
        <v>2.8005279999999999</v>
      </c>
      <c r="V494" s="15">
        <v>3.4193000000000001E-3</v>
      </c>
      <c r="W494" s="17">
        <v>4.1811600000000002</v>
      </c>
      <c r="X494" s="17">
        <v>3.2051180000000001</v>
      </c>
      <c r="Y494" s="17">
        <v>2.5622069999999999</v>
      </c>
    </row>
    <row r="495" spans="1:25" x14ac:dyDescent="0.25">
      <c r="A495" s="7">
        <v>39479</v>
      </c>
      <c r="B495" s="12">
        <v>3.7932999999999999E-3</v>
      </c>
      <c r="C495" s="17">
        <v>4.6481269999999997</v>
      </c>
      <c r="D495" s="17">
        <v>5.0673029999999999</v>
      </c>
      <c r="E495" s="17">
        <v>7.2464149999999998</v>
      </c>
      <c r="F495" s="13">
        <v>-2.3841000000000001E-3</v>
      </c>
      <c r="G495" s="17">
        <v>-2.8237549999999998</v>
      </c>
      <c r="H495" s="17">
        <v>1.2826340000000001</v>
      </c>
      <c r="I495" s="17">
        <v>0.88365879999999997</v>
      </c>
      <c r="J495" s="14">
        <v>1.7921E-3</v>
      </c>
      <c r="K495" s="17">
        <v>2.1718600000000001</v>
      </c>
      <c r="L495" s="17">
        <v>2.8225099999999999</v>
      </c>
      <c r="M495" s="17">
        <v>2.7475399999999999</v>
      </c>
      <c r="N495" s="15">
        <v>1.5345000000000001E-3</v>
      </c>
      <c r="O495" s="17">
        <v>1.8570089999999999</v>
      </c>
      <c r="P495" s="17">
        <v>2.6871</v>
      </c>
      <c r="Q495" s="17">
        <v>2.6155110000000001</v>
      </c>
      <c r="R495" s="14">
        <v>1.7164000000000001E-3</v>
      </c>
      <c r="S495" s="17">
        <v>2.0792169999999999</v>
      </c>
      <c r="T495" s="17">
        <v>2.931263</v>
      </c>
      <c r="U495" s="17">
        <v>2.7025420000000002</v>
      </c>
      <c r="V495" s="15">
        <v>1.1914E-3</v>
      </c>
      <c r="W495" s="17">
        <v>1.43906</v>
      </c>
      <c r="X495" s="17">
        <v>2.6898930000000001</v>
      </c>
      <c r="Y495" s="17">
        <v>2.432817</v>
      </c>
    </row>
    <row r="496" spans="1:25" x14ac:dyDescent="0.25">
      <c r="A496" s="7">
        <v>39508</v>
      </c>
      <c r="B496" s="12">
        <v>5.2979999999999998E-3</v>
      </c>
      <c r="C496" s="17">
        <v>6.5461900000000002</v>
      </c>
      <c r="D496" s="17">
        <v>5.5390030000000001</v>
      </c>
      <c r="E496" s="17">
        <v>6.4893660000000004</v>
      </c>
      <c r="F496" s="13">
        <v>1.916E-4</v>
      </c>
      <c r="G496" s="17">
        <v>0.23020060000000001</v>
      </c>
      <c r="H496" s="17">
        <v>0.2674221</v>
      </c>
      <c r="I496" s="17">
        <v>1.068265</v>
      </c>
      <c r="J496" s="14">
        <v>2.7777000000000001E-3</v>
      </c>
      <c r="K496" s="17">
        <v>3.384687</v>
      </c>
      <c r="L496" s="17">
        <v>3.0184060000000001</v>
      </c>
      <c r="M496" s="17">
        <v>2.8259189999999998</v>
      </c>
      <c r="N496" s="15">
        <v>2.7694E-3</v>
      </c>
      <c r="O496" s="17">
        <v>3.3743919999999998</v>
      </c>
      <c r="P496" s="17">
        <v>2.8413270000000002</v>
      </c>
      <c r="Q496" s="17">
        <v>2.6877330000000001</v>
      </c>
      <c r="R496" s="14">
        <v>3.3576000000000001E-3</v>
      </c>
      <c r="S496" s="17">
        <v>4.1044080000000003</v>
      </c>
      <c r="T496" s="17">
        <v>3.5163890000000002</v>
      </c>
      <c r="U496" s="17">
        <v>2.8854190000000002</v>
      </c>
      <c r="V496" s="15">
        <v>3.4775000000000001E-3</v>
      </c>
      <c r="W496" s="17">
        <v>4.2537120000000002</v>
      </c>
      <c r="X496" s="17">
        <v>3.282953</v>
      </c>
      <c r="Y496" s="17">
        <v>2.6275010000000001</v>
      </c>
    </row>
    <row r="497" spans="1:25" x14ac:dyDescent="0.25">
      <c r="A497" s="7">
        <v>39539</v>
      </c>
      <c r="B497" s="12">
        <v>2.8132000000000001E-3</v>
      </c>
      <c r="C497" s="17">
        <v>3.4286050000000001</v>
      </c>
      <c r="D497" s="17">
        <v>4.8664779999999999</v>
      </c>
      <c r="E497" s="17">
        <v>6.2097530000000001</v>
      </c>
      <c r="F497" s="13">
        <v>-5.4869999999999997E-3</v>
      </c>
      <c r="G497" s="17">
        <v>-6.3892670000000003</v>
      </c>
      <c r="H497" s="17">
        <v>-3.0320710000000002</v>
      </c>
      <c r="I497" s="17">
        <v>0.4460865</v>
      </c>
      <c r="J497" s="14">
        <v>2.2185999999999998E-3</v>
      </c>
      <c r="K497" s="17">
        <v>2.6950029999999998</v>
      </c>
      <c r="L497" s="17">
        <v>2.749317</v>
      </c>
      <c r="M497" s="17">
        <v>2.8611960000000001</v>
      </c>
      <c r="N497" s="15">
        <v>2.1078999999999998E-3</v>
      </c>
      <c r="O497" s="17">
        <v>2.5590600000000001</v>
      </c>
      <c r="P497" s="17">
        <v>2.594948</v>
      </c>
      <c r="Q497" s="17">
        <v>2.7279390000000001</v>
      </c>
      <c r="R497" s="14">
        <v>2.1069999999999999E-3</v>
      </c>
      <c r="S497" s="17">
        <v>2.5578590000000001</v>
      </c>
      <c r="T497" s="17">
        <v>2.9102100000000002</v>
      </c>
      <c r="U497" s="17">
        <v>2.9038569999999999</v>
      </c>
      <c r="V497" s="15">
        <v>1.8630000000000001E-3</v>
      </c>
      <c r="W497" s="17">
        <v>2.25867</v>
      </c>
      <c r="X497" s="17">
        <v>2.6436989999999998</v>
      </c>
      <c r="Y497" s="17">
        <v>2.651742</v>
      </c>
    </row>
    <row r="498" spans="1:25" x14ac:dyDescent="0.25">
      <c r="A498" s="7">
        <v>39569</v>
      </c>
      <c r="B498" s="12">
        <v>1.30691E-2</v>
      </c>
      <c r="C498" s="17">
        <v>16.86073</v>
      </c>
      <c r="D498" s="17">
        <v>8.7967010000000005</v>
      </c>
      <c r="E498" s="17">
        <v>6.5939389999999998</v>
      </c>
      <c r="F498" s="13">
        <v>-4.7169999999999997E-4</v>
      </c>
      <c r="G498" s="17">
        <v>-0.56461629999999996</v>
      </c>
      <c r="H498" s="17">
        <v>-2.2863880000000001</v>
      </c>
      <c r="I498" s="17">
        <v>0.32744269999999998</v>
      </c>
      <c r="J498" s="14">
        <v>2.3330999999999998E-3</v>
      </c>
      <c r="K498" s="17">
        <v>2.8359839999999998</v>
      </c>
      <c r="L498" s="17">
        <v>2.9714619999999998</v>
      </c>
      <c r="M498" s="17">
        <v>2.927343</v>
      </c>
      <c r="N498" s="15">
        <v>2.1817999999999998E-3</v>
      </c>
      <c r="O498" s="17">
        <v>2.6498050000000002</v>
      </c>
      <c r="P498" s="17">
        <v>2.8604400000000001</v>
      </c>
      <c r="Q498" s="17">
        <v>2.7882099999999999</v>
      </c>
      <c r="R498" s="14">
        <v>3.2958000000000002E-3</v>
      </c>
      <c r="S498" s="17">
        <v>4.0274270000000003</v>
      </c>
      <c r="T498" s="17">
        <v>3.5607790000000001</v>
      </c>
      <c r="U498" s="17">
        <v>3.0337149999999999</v>
      </c>
      <c r="V498" s="15">
        <v>3.2241000000000001E-3</v>
      </c>
      <c r="W498" s="17">
        <v>3.9382700000000002</v>
      </c>
      <c r="X498" s="17">
        <v>3.479832</v>
      </c>
      <c r="Y498" s="17">
        <v>2.7850549999999998</v>
      </c>
    </row>
    <row r="499" spans="1:25" x14ac:dyDescent="0.25">
      <c r="A499" s="7">
        <v>39600</v>
      </c>
      <c r="B499" s="12">
        <v>2.51001E-2</v>
      </c>
      <c r="C499" s="17">
        <v>34.646569999999997</v>
      </c>
      <c r="D499" s="17">
        <v>17.625509999999998</v>
      </c>
      <c r="E499" s="17">
        <v>8.9273199999999999</v>
      </c>
      <c r="F499" s="13">
        <v>-1.1391000000000001E-3</v>
      </c>
      <c r="G499" s="17">
        <v>-1.3583719999999999</v>
      </c>
      <c r="H499" s="17">
        <v>-2.8053689999999998</v>
      </c>
      <c r="I499" s="17">
        <v>0.13763539999999999</v>
      </c>
      <c r="J499" s="14">
        <v>3.2217000000000001E-3</v>
      </c>
      <c r="K499" s="17">
        <v>3.9352339999999999</v>
      </c>
      <c r="L499" s="17">
        <v>3.153921</v>
      </c>
      <c r="M499" s="17">
        <v>3.0647289999999998</v>
      </c>
      <c r="N499" s="15">
        <v>3.0753E-3</v>
      </c>
      <c r="O499" s="17">
        <v>3.7534809999999998</v>
      </c>
      <c r="P499" s="17">
        <v>2.986021</v>
      </c>
      <c r="Q499" s="17">
        <v>2.9293689999999999</v>
      </c>
      <c r="R499" s="14">
        <v>3.7128999999999999E-3</v>
      </c>
      <c r="S499" s="17">
        <v>4.5475529999999997</v>
      </c>
      <c r="T499" s="17">
        <v>3.7075140000000002</v>
      </c>
      <c r="U499" s="17">
        <v>3.2366069999999998</v>
      </c>
      <c r="V499" s="15">
        <v>3.5406000000000001E-3</v>
      </c>
      <c r="W499" s="17">
        <v>4.3324579999999999</v>
      </c>
      <c r="X499" s="17">
        <v>3.5058790000000002</v>
      </c>
      <c r="Y499" s="17">
        <v>3.0105059999999999</v>
      </c>
    </row>
    <row r="500" spans="1:25" x14ac:dyDescent="0.25">
      <c r="A500" s="7">
        <v>39630</v>
      </c>
      <c r="B500" s="12">
        <v>1.5344999999999999E-2</v>
      </c>
      <c r="C500" s="17">
        <v>20.050419999999999</v>
      </c>
      <c r="D500" s="17">
        <v>23.616330000000001</v>
      </c>
      <c r="E500" s="17">
        <v>10.507759999999999</v>
      </c>
      <c r="F500" s="13">
        <v>1.5717000000000001E-3</v>
      </c>
      <c r="G500" s="17">
        <v>1.902393</v>
      </c>
      <c r="H500" s="17">
        <v>-1.64569E-2</v>
      </c>
      <c r="I500" s="17">
        <v>0.18721889999999999</v>
      </c>
      <c r="J500" s="14">
        <v>3.0565000000000002E-3</v>
      </c>
      <c r="K500" s="17">
        <v>3.730064</v>
      </c>
      <c r="L500" s="17">
        <v>3.4993249999999998</v>
      </c>
      <c r="M500" s="17">
        <v>3.1465130000000001</v>
      </c>
      <c r="N500" s="15">
        <v>2.7242E-3</v>
      </c>
      <c r="O500" s="17">
        <v>3.3185250000000002</v>
      </c>
      <c r="P500" s="17">
        <v>3.2396050000000001</v>
      </c>
      <c r="Q500" s="17">
        <v>3.0032760000000001</v>
      </c>
      <c r="R500" s="14">
        <v>4.0277000000000004E-3</v>
      </c>
      <c r="S500" s="17">
        <v>4.9417749999999998</v>
      </c>
      <c r="T500" s="17">
        <v>4.5049140000000003</v>
      </c>
      <c r="U500" s="17">
        <v>3.3995820000000001</v>
      </c>
      <c r="V500" s="15">
        <v>3.6032E-3</v>
      </c>
      <c r="W500" s="17">
        <v>4.4105679999999996</v>
      </c>
      <c r="X500" s="17">
        <v>4.2268929999999996</v>
      </c>
      <c r="Y500" s="17">
        <v>3.177073</v>
      </c>
    </row>
    <row r="501" spans="1:25" x14ac:dyDescent="0.25">
      <c r="A501" s="7">
        <v>39661</v>
      </c>
      <c r="B501" s="12">
        <v>-9.4964000000000003E-3</v>
      </c>
      <c r="C501" s="17">
        <v>-10.818910000000001</v>
      </c>
      <c r="D501" s="17">
        <v>12.965</v>
      </c>
      <c r="E501" s="17">
        <v>9.8473070000000007</v>
      </c>
      <c r="F501" s="13">
        <v>-5.1000000000000004E-4</v>
      </c>
      <c r="G501" s="17">
        <v>-0.61026259999999999</v>
      </c>
      <c r="H501" s="17">
        <v>-3.1758599999999998E-2</v>
      </c>
      <c r="I501" s="17">
        <v>8.6958900000000006E-2</v>
      </c>
      <c r="J501" s="14">
        <v>2.6113999999999998E-3</v>
      </c>
      <c r="K501" s="17">
        <v>3.1791</v>
      </c>
      <c r="L501" s="17">
        <v>3.6143070000000002</v>
      </c>
      <c r="M501" s="17">
        <v>3.2032660000000002</v>
      </c>
      <c r="N501" s="15">
        <v>2.5249999999999999E-3</v>
      </c>
      <c r="O501" s="17">
        <v>3.0724749999999998</v>
      </c>
      <c r="P501" s="17">
        <v>3.3811110000000002</v>
      </c>
      <c r="Q501" s="17">
        <v>3.0739830000000001</v>
      </c>
      <c r="R501" s="14">
        <v>3.2366999999999999E-3</v>
      </c>
      <c r="S501" s="17">
        <v>3.9539610000000001</v>
      </c>
      <c r="T501" s="17">
        <v>4.4803069999999998</v>
      </c>
      <c r="U501" s="17">
        <v>3.5665049999999998</v>
      </c>
      <c r="V501" s="15">
        <v>3.2146000000000002E-3</v>
      </c>
      <c r="W501" s="17">
        <v>3.9264139999999998</v>
      </c>
      <c r="X501" s="17">
        <v>4.2229299999999999</v>
      </c>
      <c r="Y501" s="17">
        <v>3.3970210000000001</v>
      </c>
    </row>
    <row r="502" spans="1:25" x14ac:dyDescent="0.25">
      <c r="A502" s="7">
        <v>39692</v>
      </c>
      <c r="B502" s="12">
        <v>-2.9827E-3</v>
      </c>
      <c r="C502" s="17">
        <v>-3.5210469999999998</v>
      </c>
      <c r="D502" s="17">
        <v>1.0856889999999999</v>
      </c>
      <c r="E502" s="17">
        <v>8.6848749999999999</v>
      </c>
      <c r="F502" s="13">
        <v>-2.8146999999999998E-3</v>
      </c>
      <c r="G502" s="17">
        <v>-3.325882</v>
      </c>
      <c r="H502" s="17">
        <v>-0.70088450000000002</v>
      </c>
      <c r="I502" s="17">
        <v>-0.2319959</v>
      </c>
      <c r="J502" s="14">
        <v>2.7629999999999998E-3</v>
      </c>
      <c r="K502" s="17">
        <v>3.3663949999999998</v>
      </c>
      <c r="L502" s="17">
        <v>3.4249339999999999</v>
      </c>
      <c r="M502" s="17">
        <v>3.207147</v>
      </c>
      <c r="N502" s="15">
        <v>2.4688000000000002E-3</v>
      </c>
      <c r="O502" s="17">
        <v>3.0031620000000001</v>
      </c>
      <c r="P502" s="17">
        <v>3.1312989999999998</v>
      </c>
      <c r="Q502" s="17">
        <v>3.0667819999999999</v>
      </c>
      <c r="R502" s="14">
        <v>2.957E-3</v>
      </c>
      <c r="S502" s="17">
        <v>3.6066479999999999</v>
      </c>
      <c r="T502" s="17">
        <v>4.1659290000000002</v>
      </c>
      <c r="U502" s="17">
        <v>3.5912679999999999</v>
      </c>
      <c r="V502" s="15">
        <v>2.4255000000000001E-3</v>
      </c>
      <c r="W502" s="17">
        <v>2.9496929999999999</v>
      </c>
      <c r="X502" s="17">
        <v>3.760443</v>
      </c>
      <c r="Y502" s="17">
        <v>3.4049610000000001</v>
      </c>
    </row>
    <row r="503" spans="1:25" x14ac:dyDescent="0.25">
      <c r="A503" s="7">
        <v>39722</v>
      </c>
      <c r="B503" s="12">
        <v>-2.9138299999999999E-2</v>
      </c>
      <c r="C503" s="17">
        <v>-29.87247</v>
      </c>
      <c r="D503" s="17">
        <v>-15.49846</v>
      </c>
      <c r="E503" s="17">
        <v>5.1218399999999997</v>
      </c>
      <c r="F503" s="13">
        <v>-4.4209999999999996E-3</v>
      </c>
      <c r="G503" s="17">
        <v>-5.1780629999999999</v>
      </c>
      <c r="H503" s="17">
        <v>-3.056165</v>
      </c>
      <c r="I503" s="17">
        <v>-0.77011609999999997</v>
      </c>
      <c r="J503" s="14">
        <v>1.7780999999999999E-3</v>
      </c>
      <c r="K503" s="17">
        <v>2.1546669999999999</v>
      </c>
      <c r="L503" s="17">
        <v>2.8986730000000001</v>
      </c>
      <c r="M503" s="17">
        <v>3.0999979999999998</v>
      </c>
      <c r="N503" s="15">
        <v>1.4356E-3</v>
      </c>
      <c r="O503" s="17">
        <v>1.73641</v>
      </c>
      <c r="P503" s="17">
        <v>2.6021719999999999</v>
      </c>
      <c r="Q503" s="17">
        <v>2.9185089999999998</v>
      </c>
      <c r="R503" s="14">
        <v>1.8277E-3</v>
      </c>
      <c r="S503" s="17">
        <v>2.2153879999999999</v>
      </c>
      <c r="T503" s="17">
        <v>3.255925</v>
      </c>
      <c r="U503" s="17">
        <v>3.4754770000000001</v>
      </c>
      <c r="V503" s="15">
        <v>1.1672E-3</v>
      </c>
      <c r="W503" s="17">
        <v>1.4097150000000001</v>
      </c>
      <c r="X503" s="17">
        <v>2.7567089999999999</v>
      </c>
      <c r="Y503" s="17">
        <v>3.2062210000000002</v>
      </c>
    </row>
    <row r="504" spans="1:25" x14ac:dyDescent="0.25">
      <c r="A504" s="7">
        <v>39753</v>
      </c>
      <c r="B504" s="12">
        <v>-5.7342299999999999E-2</v>
      </c>
      <c r="C504" s="17">
        <v>-50.76793</v>
      </c>
      <c r="D504" s="17">
        <v>-30.680340000000001</v>
      </c>
      <c r="E504" s="17">
        <v>-2.7317930000000001</v>
      </c>
      <c r="F504" s="13">
        <v>-2.8316000000000001E-3</v>
      </c>
      <c r="G504" s="17">
        <v>-3.3454790000000001</v>
      </c>
      <c r="H504" s="17">
        <v>-3.9537520000000002</v>
      </c>
      <c r="I504" s="17">
        <v>-1.2679560000000001</v>
      </c>
      <c r="J504" s="14">
        <v>1.6719E-3</v>
      </c>
      <c r="K504" s="17">
        <v>2.024813</v>
      </c>
      <c r="L504" s="17">
        <v>2.5135160000000001</v>
      </c>
      <c r="M504" s="17">
        <v>2.9796670000000001</v>
      </c>
      <c r="N504" s="15">
        <v>1.4376E-3</v>
      </c>
      <c r="O504" s="17">
        <v>1.738885</v>
      </c>
      <c r="P504" s="17">
        <v>2.1577480000000002</v>
      </c>
      <c r="Q504" s="17">
        <v>2.7706710000000001</v>
      </c>
      <c r="R504" s="14">
        <v>9.9559999999999991E-4</v>
      </c>
      <c r="S504" s="17">
        <v>1.201338</v>
      </c>
      <c r="T504" s="17">
        <v>2.3363809999999998</v>
      </c>
      <c r="U504" s="17">
        <v>3.3241350000000001</v>
      </c>
      <c r="V504" s="15">
        <v>3.7520000000000001E-4</v>
      </c>
      <c r="W504" s="17">
        <v>0.45119110000000001</v>
      </c>
      <c r="X504" s="17">
        <v>1.59833</v>
      </c>
      <c r="Y504" s="17">
        <v>2.993144</v>
      </c>
    </row>
    <row r="505" spans="1:25" x14ac:dyDescent="0.25">
      <c r="A505" s="7">
        <v>39783</v>
      </c>
      <c r="B505" s="12">
        <v>-2.4079099999999999E-2</v>
      </c>
      <c r="C505" s="17">
        <v>-25.359300000000001</v>
      </c>
      <c r="D505" s="17">
        <v>-36.363819999999997</v>
      </c>
      <c r="E505" s="17">
        <v>-5.4683859999999997</v>
      </c>
      <c r="F505" s="13">
        <v>-4.2645000000000001E-3</v>
      </c>
      <c r="G505" s="17">
        <v>-4.9990940000000004</v>
      </c>
      <c r="H505" s="17">
        <v>-4.5110950000000001</v>
      </c>
      <c r="I505" s="17">
        <v>-1.9550780000000001</v>
      </c>
      <c r="J505" s="14">
        <v>1.1864E-3</v>
      </c>
      <c r="K505" s="17">
        <v>1.433044</v>
      </c>
      <c r="L505" s="17">
        <v>1.870357</v>
      </c>
      <c r="M505" s="17">
        <v>2.8651849999999999</v>
      </c>
      <c r="N505" s="15">
        <v>9.4930000000000004E-4</v>
      </c>
      <c r="O505" s="17">
        <v>1.145105</v>
      </c>
      <c r="P505" s="17">
        <v>1.539749</v>
      </c>
      <c r="Q505" s="17">
        <v>2.6226280000000002</v>
      </c>
      <c r="R505" s="14">
        <v>1.31E-3</v>
      </c>
      <c r="S505" s="17">
        <v>1.583331</v>
      </c>
      <c r="T505" s="17">
        <v>1.665826</v>
      </c>
      <c r="U505" s="17">
        <v>3.2594970000000001</v>
      </c>
      <c r="V505" s="15">
        <v>8.7339999999999998E-4</v>
      </c>
      <c r="W505" s="17">
        <v>1.0530919999999999</v>
      </c>
      <c r="X505" s="17">
        <v>0.970557</v>
      </c>
      <c r="Y505" s="17">
        <v>2.8738649999999999</v>
      </c>
    </row>
    <row r="506" spans="1:25" x14ac:dyDescent="0.25">
      <c r="A506" s="7">
        <v>39814</v>
      </c>
      <c r="B506" s="12">
        <v>2.7507999999999999E-3</v>
      </c>
      <c r="C506" s="17">
        <v>3.351388</v>
      </c>
      <c r="D506" s="17">
        <v>-27.581969999999998</v>
      </c>
      <c r="E506" s="17">
        <v>-5.625216</v>
      </c>
      <c r="F506" s="13">
        <v>1.5927999999999999E-3</v>
      </c>
      <c r="G506" s="17">
        <v>1.9281539999999999</v>
      </c>
      <c r="H506" s="17">
        <v>-2.1829200000000002</v>
      </c>
      <c r="I506" s="17">
        <v>-2.0796670000000002</v>
      </c>
      <c r="J506" s="14">
        <v>2.0604E-3</v>
      </c>
      <c r="K506" s="17">
        <v>2.5007359999999998</v>
      </c>
      <c r="L506" s="17">
        <v>1.9852620000000001</v>
      </c>
      <c r="M506" s="17">
        <v>2.7817280000000002</v>
      </c>
      <c r="N506" s="15">
        <v>1.9869000000000002E-3</v>
      </c>
      <c r="O506" s="17">
        <v>2.4104540000000001</v>
      </c>
      <c r="P506" s="17">
        <v>1.7635019999999999</v>
      </c>
      <c r="Q506" s="17">
        <v>2.5487160000000002</v>
      </c>
      <c r="R506" s="14">
        <v>1.9597E-3</v>
      </c>
      <c r="S506" s="17">
        <v>2.377205</v>
      </c>
      <c r="T506" s="17">
        <v>1.7194469999999999</v>
      </c>
      <c r="U506" s="17">
        <v>3.092848</v>
      </c>
      <c r="V506" s="15">
        <v>1.7910000000000001E-3</v>
      </c>
      <c r="W506" s="17">
        <v>2.1705079999999999</v>
      </c>
      <c r="X506" s="17">
        <v>1.2224280000000001</v>
      </c>
      <c r="Y506" s="17">
        <v>2.7069320000000001</v>
      </c>
    </row>
    <row r="507" spans="1:25" x14ac:dyDescent="0.25">
      <c r="A507" s="7">
        <v>39845</v>
      </c>
      <c r="B507" s="12">
        <v>6.6445000000000002E-3</v>
      </c>
      <c r="C507" s="17">
        <v>8.2713459999999994</v>
      </c>
      <c r="D507" s="17">
        <v>-5.8250979999999997</v>
      </c>
      <c r="E507" s="17">
        <v>-5.357151</v>
      </c>
      <c r="F507" s="13">
        <v>4.7662E-3</v>
      </c>
      <c r="G507" s="17">
        <v>5.8717740000000003</v>
      </c>
      <c r="H507" s="17">
        <v>0.832538</v>
      </c>
      <c r="I507" s="17">
        <v>-1.3778300000000001</v>
      </c>
      <c r="J507" s="14">
        <v>1.6972000000000001E-3</v>
      </c>
      <c r="K507" s="17">
        <v>2.0557690000000002</v>
      </c>
      <c r="L507" s="17">
        <v>1.995576</v>
      </c>
      <c r="M507" s="17">
        <v>2.7719909999999999</v>
      </c>
      <c r="N507" s="15">
        <v>1.5996999999999999E-3</v>
      </c>
      <c r="O507" s="17">
        <v>1.936571</v>
      </c>
      <c r="P507" s="17">
        <v>1.8293710000000001</v>
      </c>
      <c r="Q507" s="17">
        <v>2.5553889999999999</v>
      </c>
      <c r="R507" s="14">
        <v>1.8506E-3</v>
      </c>
      <c r="S507" s="17">
        <v>2.243433</v>
      </c>
      <c r="T507" s="17">
        <v>2.067399</v>
      </c>
      <c r="U507" s="17">
        <v>3.1066579999999999</v>
      </c>
      <c r="V507" s="15">
        <v>1.6955E-3</v>
      </c>
      <c r="W507" s="17">
        <v>2.0537369999999999</v>
      </c>
      <c r="X507" s="17">
        <v>1.757873</v>
      </c>
      <c r="Y507" s="17">
        <v>2.758651</v>
      </c>
    </row>
    <row r="508" spans="1:25" x14ac:dyDescent="0.25">
      <c r="A508" s="7">
        <v>39873</v>
      </c>
      <c r="B508" s="12">
        <v>-5.7822999999999998E-3</v>
      </c>
      <c r="C508" s="17">
        <v>-6.7223040000000003</v>
      </c>
      <c r="D508" s="17">
        <v>1.4384380000000001</v>
      </c>
      <c r="E508" s="17">
        <v>-6.4002980000000003</v>
      </c>
      <c r="F508" s="13">
        <v>4.4305000000000004E-3</v>
      </c>
      <c r="G508" s="17">
        <v>5.448105</v>
      </c>
      <c r="H508" s="17">
        <v>4.4009320000000001</v>
      </c>
      <c r="I508" s="17">
        <v>-0.95986199999999999</v>
      </c>
      <c r="J508" s="14">
        <v>1.6431E-3</v>
      </c>
      <c r="K508" s="17">
        <v>1.989684</v>
      </c>
      <c r="L508" s="17">
        <v>2.1818110000000002</v>
      </c>
      <c r="M508" s="17">
        <v>2.6557080000000002</v>
      </c>
      <c r="N508" s="15">
        <v>1.6915999999999999E-3</v>
      </c>
      <c r="O508" s="17">
        <v>2.048953</v>
      </c>
      <c r="P508" s="17">
        <v>2.131793</v>
      </c>
      <c r="Q508" s="17">
        <v>2.4451610000000001</v>
      </c>
      <c r="R508" s="14">
        <v>1.3583E-3</v>
      </c>
      <c r="S508" s="17">
        <v>1.642134</v>
      </c>
      <c r="T508" s="17">
        <v>2.0870899999999999</v>
      </c>
      <c r="U508" s="17">
        <v>2.9011990000000001</v>
      </c>
      <c r="V508" s="15">
        <v>1.3852999999999999E-3</v>
      </c>
      <c r="W508" s="17">
        <v>1.675044</v>
      </c>
      <c r="X508" s="17">
        <v>1.96621</v>
      </c>
      <c r="Y508" s="17">
        <v>2.5444040000000001</v>
      </c>
    </row>
    <row r="509" spans="1:25" x14ac:dyDescent="0.25">
      <c r="A509" s="7">
        <v>39904</v>
      </c>
      <c r="B509" s="12">
        <v>-1.5589999999999999E-4</v>
      </c>
      <c r="C509" s="17">
        <v>-0.18694769999999999</v>
      </c>
      <c r="D509" s="17">
        <v>0.26735560000000003</v>
      </c>
      <c r="E509" s="17">
        <v>-6.6774310000000003</v>
      </c>
      <c r="F509" s="13">
        <v>5.8401E-3</v>
      </c>
      <c r="G509" s="17">
        <v>7.2376329999999998</v>
      </c>
      <c r="H509" s="17">
        <v>6.1830990000000003</v>
      </c>
      <c r="I509" s="17">
        <v>0.16816120000000001</v>
      </c>
      <c r="J509" s="14">
        <v>1.4663E-3</v>
      </c>
      <c r="K509" s="17">
        <v>1.7737799999999999</v>
      </c>
      <c r="L509" s="17">
        <v>1.939673</v>
      </c>
      <c r="M509" s="17">
        <v>2.5786519999999999</v>
      </c>
      <c r="N509" s="15">
        <v>1.3221000000000001E-3</v>
      </c>
      <c r="O509" s="17">
        <v>1.59815</v>
      </c>
      <c r="P509" s="17">
        <v>1.8610439999999999</v>
      </c>
      <c r="Q509" s="17">
        <v>2.3648289999999998</v>
      </c>
      <c r="R509" s="14">
        <v>1.4296999999999999E-3</v>
      </c>
      <c r="S509" s="17">
        <v>1.72919</v>
      </c>
      <c r="T509" s="17">
        <v>1.8712409999999999</v>
      </c>
      <c r="U509" s="17">
        <v>2.8316539999999999</v>
      </c>
      <c r="V509" s="15">
        <v>1.1375000000000001E-3</v>
      </c>
      <c r="W509" s="17">
        <v>1.3735850000000001</v>
      </c>
      <c r="X509" s="17">
        <v>1.7004079999999999</v>
      </c>
      <c r="Y509" s="17">
        <v>2.4701460000000002</v>
      </c>
    </row>
    <row r="510" spans="1:25" x14ac:dyDescent="0.25">
      <c r="A510" s="7">
        <v>39934</v>
      </c>
      <c r="B510" s="12">
        <v>5.0199999999999995E-4</v>
      </c>
      <c r="C510" s="17">
        <v>0.60404259999999999</v>
      </c>
      <c r="D510" s="17">
        <v>-2.1576529999999998</v>
      </c>
      <c r="E510" s="17">
        <v>-7.8350929999999996</v>
      </c>
      <c r="F510" s="13">
        <v>-1.4016E-3</v>
      </c>
      <c r="G510" s="17">
        <v>-1.669006</v>
      </c>
      <c r="H510" s="17">
        <v>3.599774</v>
      </c>
      <c r="I510" s="17">
        <v>7.4975100000000003E-2</v>
      </c>
      <c r="J510" s="14">
        <v>1.2333999999999999E-3</v>
      </c>
      <c r="K510" s="17">
        <v>1.490202</v>
      </c>
      <c r="L510" s="17">
        <v>1.7510159999999999</v>
      </c>
      <c r="M510" s="17">
        <v>2.466107</v>
      </c>
      <c r="N510" s="15">
        <v>1.3081E-3</v>
      </c>
      <c r="O510" s="17">
        <v>1.5810489999999999</v>
      </c>
      <c r="P510" s="17">
        <v>1.7424869999999999</v>
      </c>
      <c r="Q510" s="17">
        <v>2.2755869999999998</v>
      </c>
      <c r="R510" s="14">
        <v>1.114E-3</v>
      </c>
      <c r="S510" s="17">
        <v>1.3450599999999999</v>
      </c>
      <c r="T510" s="17">
        <v>1.571995</v>
      </c>
      <c r="U510" s="17">
        <v>2.6080369999999999</v>
      </c>
      <c r="V510" s="15">
        <v>1.2321999999999999E-3</v>
      </c>
      <c r="W510" s="17">
        <v>1.4886900000000001</v>
      </c>
      <c r="X510" s="17">
        <v>1.512364</v>
      </c>
      <c r="Y510" s="17">
        <v>2.2666909999999998</v>
      </c>
    </row>
    <row r="511" spans="1:25" x14ac:dyDescent="0.25">
      <c r="A511" s="7">
        <v>39965</v>
      </c>
      <c r="B511" s="12">
        <v>2.0046000000000001E-2</v>
      </c>
      <c r="C511" s="17">
        <v>26.892790000000002</v>
      </c>
      <c r="D511" s="17">
        <v>8.4126359999999991</v>
      </c>
      <c r="E511" s="17">
        <v>-8.2895000000000003</v>
      </c>
      <c r="F511" s="13">
        <v>4.0099999999999999E-5</v>
      </c>
      <c r="G511" s="17">
        <v>4.8103800000000002E-2</v>
      </c>
      <c r="H511" s="17">
        <v>1.8002480000000001</v>
      </c>
      <c r="I511" s="17">
        <v>0.19311439999999999</v>
      </c>
      <c r="J511" s="14">
        <v>1.1815E-3</v>
      </c>
      <c r="K511" s="17">
        <v>1.427006</v>
      </c>
      <c r="L511" s="17">
        <v>1.56355</v>
      </c>
      <c r="M511" s="17">
        <v>2.2577280000000002</v>
      </c>
      <c r="N511" s="15">
        <v>1.2158E-3</v>
      </c>
      <c r="O511" s="17">
        <v>1.468788</v>
      </c>
      <c r="P511" s="17">
        <v>1.5493129999999999</v>
      </c>
      <c r="Q511" s="17">
        <v>2.0859860000000001</v>
      </c>
      <c r="R511" s="14">
        <v>1.7677000000000001E-3</v>
      </c>
      <c r="S511" s="17">
        <v>2.1420210000000002</v>
      </c>
      <c r="T511" s="17">
        <v>1.738237</v>
      </c>
      <c r="U511" s="17">
        <v>2.409189</v>
      </c>
      <c r="V511" s="15">
        <v>1.9759999999999999E-3</v>
      </c>
      <c r="W511" s="17">
        <v>2.3971490000000002</v>
      </c>
      <c r="X511" s="17">
        <v>1.752113</v>
      </c>
      <c r="Y511" s="17">
        <v>2.1072479999999998</v>
      </c>
    </row>
    <row r="512" spans="1:25" x14ac:dyDescent="0.25">
      <c r="A512" s="7">
        <v>39995</v>
      </c>
      <c r="B512" s="12">
        <v>-3.1944E-3</v>
      </c>
      <c r="C512" s="17">
        <v>-3.7666879999999998</v>
      </c>
      <c r="D512" s="17">
        <v>7.1007720000000001</v>
      </c>
      <c r="E512" s="17">
        <v>-9.964067</v>
      </c>
      <c r="F512" s="13">
        <v>-8.696E-4</v>
      </c>
      <c r="G512" s="17">
        <v>-1.0386010000000001</v>
      </c>
      <c r="H512" s="17">
        <v>-0.88903489999999996</v>
      </c>
      <c r="I512" s="17">
        <v>-5.1104999999999998E-2</v>
      </c>
      <c r="J512" s="14">
        <v>1.0139000000000001E-3</v>
      </c>
      <c r="K512" s="17">
        <v>1.2235009999999999</v>
      </c>
      <c r="L512" s="17">
        <v>1.380172</v>
      </c>
      <c r="M512" s="17">
        <v>2.049496</v>
      </c>
      <c r="N512" s="15">
        <v>1.0204000000000001E-3</v>
      </c>
      <c r="O512" s="17">
        <v>1.2313730000000001</v>
      </c>
      <c r="P512" s="17">
        <v>1.426965</v>
      </c>
      <c r="Q512" s="17">
        <v>1.91252</v>
      </c>
      <c r="R512" s="14">
        <v>1.9635999999999998E-3</v>
      </c>
      <c r="S512" s="17">
        <v>2.3819349999999999</v>
      </c>
      <c r="T512" s="17">
        <v>1.9553739999999999</v>
      </c>
      <c r="U512" s="17">
        <v>2.1986530000000002</v>
      </c>
      <c r="V512" s="15">
        <v>2.2039999999999998E-3</v>
      </c>
      <c r="W512" s="17">
        <v>2.6771050000000001</v>
      </c>
      <c r="X512" s="17">
        <v>2.1863869999999999</v>
      </c>
      <c r="Y512" s="17">
        <v>1.964893</v>
      </c>
    </row>
    <row r="513" spans="1:25" x14ac:dyDescent="0.25">
      <c r="A513" s="7">
        <v>40026</v>
      </c>
      <c r="B513" s="1">
        <v>6.8293E-3</v>
      </c>
      <c r="C513" s="17">
        <v>8.5100820000000006</v>
      </c>
      <c r="D513" s="17">
        <v>9.8358600000000003</v>
      </c>
      <c r="E513" s="17">
        <v>-8.4800760000000004</v>
      </c>
      <c r="F513" s="1">
        <v>1.0189000000000001E-3</v>
      </c>
      <c r="G513" s="17">
        <v>1.2296069999999999</v>
      </c>
      <c r="H513" s="17">
        <v>7.5418100000000002E-2</v>
      </c>
      <c r="I513" s="17">
        <v>0.10178710000000001</v>
      </c>
      <c r="J513" s="1">
        <v>1.0175E-3</v>
      </c>
      <c r="K513" s="17">
        <v>1.227897</v>
      </c>
      <c r="L513" s="17">
        <v>1.2927569999999999</v>
      </c>
      <c r="M513" s="17">
        <v>1.887265</v>
      </c>
      <c r="N513" s="1">
        <v>9.6230000000000003E-4</v>
      </c>
      <c r="O513" s="17">
        <v>1.1608529999999999</v>
      </c>
      <c r="P513" s="17">
        <v>1.2869189999999999</v>
      </c>
      <c r="Q513" s="17">
        <v>1.7536560000000001</v>
      </c>
      <c r="R513" s="1">
        <v>1.3419E-3</v>
      </c>
      <c r="S513" s="17">
        <v>1.622263</v>
      </c>
      <c r="T513" s="17">
        <v>2.0482469999999999</v>
      </c>
      <c r="U513" s="17">
        <v>2.0056340000000001</v>
      </c>
      <c r="V513" s="1">
        <v>1.3110999999999999E-3</v>
      </c>
      <c r="W513" s="17">
        <v>1.5847329999999999</v>
      </c>
      <c r="X513" s="17">
        <v>2.2186110000000001</v>
      </c>
      <c r="Y513" s="17">
        <v>1.7714300000000001</v>
      </c>
    </row>
    <row r="514" spans="1:25" x14ac:dyDescent="0.25">
      <c r="A514" s="7">
        <v>40057</v>
      </c>
      <c r="B514" s="1">
        <v>3.8040999999999999E-3</v>
      </c>
      <c r="C514" s="17">
        <v>4.6616850000000003</v>
      </c>
      <c r="D514" s="17">
        <v>3.0056579999999999</v>
      </c>
      <c r="E514" s="17">
        <v>-7.8570919999999997</v>
      </c>
      <c r="F514" s="1">
        <v>6.4206999999999997E-3</v>
      </c>
      <c r="G514" s="17">
        <v>7.9828539999999997</v>
      </c>
      <c r="H514" s="17">
        <v>2.6540430000000002</v>
      </c>
      <c r="I514" s="17">
        <v>1.0288820000000001</v>
      </c>
      <c r="J514" s="1">
        <v>1.0792E-3</v>
      </c>
      <c r="K514" s="17">
        <v>1.302705</v>
      </c>
      <c r="L514" s="17">
        <v>1.2513609999999999</v>
      </c>
      <c r="M514" s="17">
        <v>1.71618</v>
      </c>
      <c r="N514" s="1">
        <v>1.0188E-3</v>
      </c>
      <c r="O514" s="17">
        <v>1.2293970000000001</v>
      </c>
      <c r="P514" s="17">
        <v>1.2072020000000001</v>
      </c>
      <c r="Q514" s="17">
        <v>1.6064700000000001</v>
      </c>
      <c r="R514" s="1">
        <v>2.5030999999999999E-3</v>
      </c>
      <c r="S514" s="17">
        <v>3.0454080000000001</v>
      </c>
      <c r="T514" s="17">
        <v>2.3482159999999999</v>
      </c>
      <c r="U514" s="17">
        <v>1.959471</v>
      </c>
      <c r="V514" s="1">
        <v>2.7255999999999999E-3</v>
      </c>
      <c r="W514" s="17">
        <v>3.3201429999999998</v>
      </c>
      <c r="X514" s="17">
        <v>2.5248210000000002</v>
      </c>
      <c r="Y514" s="17">
        <v>1.8018970000000001</v>
      </c>
    </row>
    <row r="515" spans="1:25" x14ac:dyDescent="0.25">
      <c r="A515" s="7">
        <v>40087</v>
      </c>
      <c r="B515" s="1">
        <v>8.3288000000000008E-3</v>
      </c>
      <c r="C515" s="17">
        <v>10.465400000000001</v>
      </c>
      <c r="D515" s="17">
        <v>7.8519579999999998</v>
      </c>
      <c r="E515" s="17">
        <v>-4.3011489999999997</v>
      </c>
      <c r="F515" s="1">
        <v>1.19399E-2</v>
      </c>
      <c r="G515" s="17">
        <v>15.307270000000001</v>
      </c>
      <c r="H515" s="17">
        <v>8.020543</v>
      </c>
      <c r="I515" s="17">
        <v>2.6891449999999999</v>
      </c>
      <c r="J515" s="1">
        <v>5.6150000000000004E-4</v>
      </c>
      <c r="K515" s="17">
        <v>0.67586559999999996</v>
      </c>
      <c r="L515" s="17">
        <v>1.0684359999999999</v>
      </c>
      <c r="M515" s="17">
        <v>1.592654</v>
      </c>
      <c r="N515" s="1">
        <v>4.8440000000000001E-4</v>
      </c>
      <c r="O515" s="17">
        <v>0.58284999999999998</v>
      </c>
      <c r="P515" s="17">
        <v>0.99061630000000001</v>
      </c>
      <c r="Q515" s="17">
        <v>1.50996</v>
      </c>
      <c r="R515" s="1">
        <v>1.2899999999999999E-3</v>
      </c>
      <c r="S515" s="17">
        <v>1.5590360000000001</v>
      </c>
      <c r="T515" s="17">
        <v>2.0732689999999998</v>
      </c>
      <c r="U515" s="17">
        <v>1.9047510000000001</v>
      </c>
      <c r="V515" s="1">
        <v>1.3133000000000001E-3</v>
      </c>
      <c r="W515" s="17">
        <v>1.5873600000000001</v>
      </c>
      <c r="X515" s="17">
        <v>2.1608200000000002</v>
      </c>
      <c r="Y515" s="17">
        <v>1.816746</v>
      </c>
    </row>
    <row r="516" spans="1:25" x14ac:dyDescent="0.25">
      <c r="A516" s="7">
        <v>40118</v>
      </c>
      <c r="B516" s="1">
        <v>9.1225000000000004E-3</v>
      </c>
      <c r="C516" s="17">
        <v>11.51329</v>
      </c>
      <c r="D516" s="17">
        <v>8.8379159999999999</v>
      </c>
      <c r="E516" s="17">
        <v>2.446377</v>
      </c>
      <c r="F516" s="1">
        <v>3.7214000000000001E-3</v>
      </c>
      <c r="G516" s="17">
        <v>4.5582649999999996</v>
      </c>
      <c r="H516" s="17">
        <v>9.1917840000000002</v>
      </c>
      <c r="I516" s="17">
        <v>3.3639790000000001</v>
      </c>
      <c r="J516" s="1">
        <v>2.6479999999999999E-4</v>
      </c>
      <c r="K516" s="17">
        <v>0.31827680000000003</v>
      </c>
      <c r="L516" s="17">
        <v>0.76479509999999995</v>
      </c>
      <c r="M516" s="17">
        <v>1.449948</v>
      </c>
      <c r="N516" s="33">
        <v>4.71E-5</v>
      </c>
      <c r="O516" s="17">
        <v>5.6546100000000002E-2</v>
      </c>
      <c r="P516" s="17">
        <v>0.62178829999999996</v>
      </c>
      <c r="Q516" s="17">
        <v>1.3690089999999999</v>
      </c>
      <c r="R516" s="1">
        <v>1.2306999999999999E-3</v>
      </c>
      <c r="S516" s="17">
        <v>1.486874</v>
      </c>
      <c r="T516" s="17">
        <v>2.0279189999999998</v>
      </c>
      <c r="U516" s="17">
        <v>1.9286799999999999</v>
      </c>
      <c r="V516" s="33">
        <v>1.0355E-3</v>
      </c>
      <c r="W516" s="17">
        <v>1.249682</v>
      </c>
      <c r="X516" s="17">
        <v>2.0483790000000002</v>
      </c>
      <c r="Y516" s="17">
        <v>1.883947</v>
      </c>
    </row>
    <row r="517" spans="1:25" x14ac:dyDescent="0.25">
      <c r="A517" s="7">
        <v>40148</v>
      </c>
      <c r="B517" s="1">
        <v>1.3502E-3</v>
      </c>
      <c r="C517" s="17">
        <v>1.632379</v>
      </c>
      <c r="D517" s="17">
        <v>7.7775590000000001</v>
      </c>
      <c r="E517" s="17">
        <v>5.115793</v>
      </c>
      <c r="F517" s="1">
        <v>5.2817999999999997E-3</v>
      </c>
      <c r="G517" s="17">
        <v>6.5255609999999997</v>
      </c>
      <c r="H517" s="17">
        <v>8.6983540000000001</v>
      </c>
      <c r="I517" s="17">
        <v>4.3549509999999998</v>
      </c>
      <c r="J517" s="1">
        <v>4.4870000000000001E-4</v>
      </c>
      <c r="K517" s="17">
        <v>0.53979549999999998</v>
      </c>
      <c r="L517" s="17">
        <v>0.51120449999999995</v>
      </c>
      <c r="M517" s="17">
        <v>1.3751960000000001</v>
      </c>
      <c r="N517" s="1">
        <v>4.4729999999999998E-4</v>
      </c>
      <c r="O517" s="17">
        <v>0.53812219999999999</v>
      </c>
      <c r="P517" s="17">
        <v>0.39222309999999999</v>
      </c>
      <c r="Q517" s="17">
        <v>1.3181750000000001</v>
      </c>
      <c r="R517" s="1">
        <v>7.3479999999999997E-4</v>
      </c>
      <c r="S517" s="17">
        <v>0.88532290000000002</v>
      </c>
      <c r="T517" s="17">
        <v>1.30996</v>
      </c>
      <c r="U517" s="17">
        <v>1.870131</v>
      </c>
      <c r="V517" s="1">
        <v>7.9230000000000001E-4</v>
      </c>
      <c r="W517" s="17">
        <v>0.95495160000000001</v>
      </c>
      <c r="X517" s="17">
        <v>1.263668</v>
      </c>
      <c r="Y517" s="17">
        <v>1.8756980000000001</v>
      </c>
    </row>
    <row r="518" spans="1:25" x14ac:dyDescent="0.25">
      <c r="A518" s="7">
        <v>40179</v>
      </c>
      <c r="B518" s="1">
        <v>5.3788000000000004E-3</v>
      </c>
      <c r="C518" s="17">
        <v>6.6489669999999998</v>
      </c>
      <c r="D518" s="17">
        <v>6.5217919999999996</v>
      </c>
      <c r="E518" s="17">
        <v>5.3912769999999997</v>
      </c>
      <c r="F518" s="1">
        <v>-1.4610999999999999E-3</v>
      </c>
      <c r="G518" s="17">
        <v>-1.7393190000000001</v>
      </c>
      <c r="H518" s="17">
        <v>3.053795</v>
      </c>
      <c r="I518" s="17">
        <v>4.0367699999999997</v>
      </c>
      <c r="J518" s="1">
        <v>3.8729999999999998E-4</v>
      </c>
      <c r="K518" s="17">
        <v>0.46577689999999999</v>
      </c>
      <c r="L518" s="17">
        <v>0.44124079999999999</v>
      </c>
      <c r="M518" s="17">
        <v>1.205932</v>
      </c>
      <c r="N518" s="1">
        <v>3.994E-4</v>
      </c>
      <c r="O518" s="17">
        <v>0.4802825</v>
      </c>
      <c r="P518" s="17">
        <v>0.35808709999999999</v>
      </c>
      <c r="Q518" s="17">
        <v>1.1576519999999999</v>
      </c>
      <c r="R518" s="1">
        <v>1.1387999999999999E-3</v>
      </c>
      <c r="S518" s="17">
        <v>1.3751</v>
      </c>
      <c r="T518" s="17">
        <v>1.2487619999999999</v>
      </c>
      <c r="U518" s="17">
        <v>1.7866599999999999</v>
      </c>
      <c r="V518" s="1">
        <v>1.3204E-3</v>
      </c>
      <c r="W518" s="17">
        <v>1.596039</v>
      </c>
      <c r="X518" s="17">
        <v>1.2665519999999999</v>
      </c>
      <c r="Y518" s="17">
        <v>1.8278399999999999</v>
      </c>
    </row>
    <row r="519" spans="1:25" x14ac:dyDescent="0.25">
      <c r="A519" s="7">
        <v>40210</v>
      </c>
      <c r="B519" s="1">
        <v>-4.0914000000000002E-3</v>
      </c>
      <c r="C519" s="17">
        <v>-4.8006859999999998</v>
      </c>
      <c r="D519" s="17">
        <v>1.051056</v>
      </c>
      <c r="E519" s="17">
        <v>4.2672749999999997</v>
      </c>
      <c r="F519" s="1">
        <v>1.8297999999999999E-3</v>
      </c>
      <c r="G519" s="17">
        <v>2.2180179999999998</v>
      </c>
      <c r="H519" s="17">
        <v>2.2791290000000002</v>
      </c>
      <c r="I519" s="17">
        <v>3.7327279999999998</v>
      </c>
      <c r="J519" s="1">
        <v>4.194E-4</v>
      </c>
      <c r="K519" s="17">
        <v>0.50447589999999998</v>
      </c>
      <c r="L519" s="17">
        <v>0.50334480000000004</v>
      </c>
      <c r="M519" s="17">
        <v>1.076832</v>
      </c>
      <c r="N519" s="1">
        <v>4.2959999999999998E-4</v>
      </c>
      <c r="O519" s="17">
        <v>0.51674540000000002</v>
      </c>
      <c r="P519" s="17">
        <v>0.51171390000000005</v>
      </c>
      <c r="Q519" s="17">
        <v>1.0394810000000001</v>
      </c>
      <c r="R519" s="1">
        <v>7.8339999999999996E-4</v>
      </c>
      <c r="S519" s="17">
        <v>0.94409980000000004</v>
      </c>
      <c r="T519" s="17">
        <v>1.067939</v>
      </c>
      <c r="U519" s="17">
        <v>1.6782330000000001</v>
      </c>
      <c r="V519" s="1">
        <v>8.7969999999999997E-4</v>
      </c>
      <c r="W519" s="17">
        <v>1.0607789999999999</v>
      </c>
      <c r="X519" s="17">
        <v>1.2035340000000001</v>
      </c>
      <c r="Y519" s="17">
        <v>1.7449060000000001</v>
      </c>
    </row>
    <row r="520" spans="1:25" x14ac:dyDescent="0.25">
      <c r="A520" s="7">
        <v>40238</v>
      </c>
      <c r="B520" s="1">
        <v>-9.1700000000000006E-5</v>
      </c>
      <c r="C520" s="17">
        <v>-0.1099595</v>
      </c>
      <c r="D520" s="17">
        <v>0.47026639999999997</v>
      </c>
      <c r="E520" s="17">
        <v>4.8640730000000003</v>
      </c>
      <c r="F520" s="1">
        <v>-1.562E-4</v>
      </c>
      <c r="G520" s="17">
        <v>-0.18730640000000001</v>
      </c>
      <c r="H520" s="17">
        <v>8.3926200000000006E-2</v>
      </c>
      <c r="I520" s="17">
        <v>3.2590319999999999</v>
      </c>
      <c r="J520" s="1">
        <v>4.4220000000000001E-4</v>
      </c>
      <c r="K520" s="17">
        <v>0.53196019999999999</v>
      </c>
      <c r="L520" s="17">
        <v>0.50073400000000001</v>
      </c>
      <c r="M520" s="17">
        <v>0.95564649999999995</v>
      </c>
      <c r="N520" s="1">
        <v>5.084E-4</v>
      </c>
      <c r="O520" s="17">
        <v>0.61180540000000005</v>
      </c>
      <c r="P520" s="17">
        <v>0.53626249999999998</v>
      </c>
      <c r="Q520" s="17">
        <v>0.92013069999999997</v>
      </c>
      <c r="R520" s="1">
        <v>1.2084000000000001E-3</v>
      </c>
      <c r="S520" s="17">
        <v>1.4597599999999999</v>
      </c>
      <c r="T520" s="17">
        <v>1.259401</v>
      </c>
      <c r="U520" s="17">
        <v>1.6630180000000001</v>
      </c>
      <c r="V520" s="1">
        <v>1.4982000000000001E-3</v>
      </c>
      <c r="W520" s="17">
        <v>1.812775</v>
      </c>
      <c r="X520" s="17">
        <v>1.4893719999999999</v>
      </c>
      <c r="Y520" s="17">
        <v>1.7563850000000001</v>
      </c>
    </row>
    <row r="521" spans="1:25" x14ac:dyDescent="0.25">
      <c r="A521" s="7">
        <v>40269</v>
      </c>
      <c r="B521" s="1">
        <v>-1.0267E-3</v>
      </c>
      <c r="C521" s="17">
        <v>-1.225117</v>
      </c>
      <c r="D521" s="17">
        <v>-2.0658460000000001</v>
      </c>
      <c r="E521" s="17">
        <v>4.7727440000000003</v>
      </c>
      <c r="F521" s="1">
        <v>-2.6763999999999998E-3</v>
      </c>
      <c r="G521" s="17">
        <v>-3.1648230000000002</v>
      </c>
      <c r="H521" s="17">
        <v>-0.40241830000000001</v>
      </c>
      <c r="I521" s="17">
        <v>2.384735</v>
      </c>
      <c r="J521" s="1">
        <v>8.7169999999999999E-4</v>
      </c>
      <c r="K521" s="17">
        <v>1.0510139999999999</v>
      </c>
      <c r="L521" s="17">
        <v>0.69550319999999999</v>
      </c>
      <c r="M521" s="17">
        <v>0.89570490000000003</v>
      </c>
      <c r="N521" s="1">
        <v>8.4259999999999999E-4</v>
      </c>
      <c r="O521" s="17">
        <v>1.015771</v>
      </c>
      <c r="P521" s="17">
        <v>0.71454189999999995</v>
      </c>
      <c r="Q521" s="17">
        <v>0.87179580000000001</v>
      </c>
      <c r="R521" s="1">
        <v>1.5012999999999999E-3</v>
      </c>
      <c r="S521" s="17">
        <v>1.8165359999999999</v>
      </c>
      <c r="T521" s="17">
        <v>1.406166</v>
      </c>
      <c r="U521" s="17">
        <v>1.6702889999999999</v>
      </c>
      <c r="V521" s="1">
        <v>1.5769E-3</v>
      </c>
      <c r="W521" s="17">
        <v>1.908766</v>
      </c>
      <c r="X521" s="17">
        <v>1.5933980000000001</v>
      </c>
      <c r="Y521" s="17">
        <v>1.8010440000000001</v>
      </c>
    </row>
    <row r="522" spans="1:25" x14ac:dyDescent="0.25">
      <c r="A522" s="7">
        <v>40299</v>
      </c>
      <c r="B522" s="1">
        <v>-3.2350999999999999E-3</v>
      </c>
      <c r="C522" s="17">
        <v>-3.8137789999999998</v>
      </c>
      <c r="D522" s="17">
        <v>-1.7285889999999999</v>
      </c>
      <c r="E522" s="17">
        <v>4.3813969999999998</v>
      </c>
      <c r="F522" s="1">
        <v>1.6933E-3</v>
      </c>
      <c r="G522" s="17">
        <v>2.050964</v>
      </c>
      <c r="H522" s="17">
        <v>-0.45670490000000002</v>
      </c>
      <c r="I522" s="17">
        <v>2.7020469999999999</v>
      </c>
      <c r="J522" s="1">
        <v>7.2499999999999995E-4</v>
      </c>
      <c r="K522" s="17">
        <v>0.87342470000000005</v>
      </c>
      <c r="L522" s="17">
        <v>0.8185694</v>
      </c>
      <c r="M522" s="17">
        <v>0.84446500000000002</v>
      </c>
      <c r="N522" s="1">
        <v>6.8179999999999998E-4</v>
      </c>
      <c r="O522" s="17">
        <v>0.82119600000000004</v>
      </c>
      <c r="P522" s="17">
        <v>0.81612260000000003</v>
      </c>
      <c r="Q522" s="17">
        <v>0.80870019999999998</v>
      </c>
      <c r="R522" s="1">
        <v>9.3300000000000002E-4</v>
      </c>
      <c r="S522" s="17">
        <v>1.1253649999999999</v>
      </c>
      <c r="T522" s="17">
        <v>1.466828</v>
      </c>
      <c r="U522" s="17">
        <v>1.651904</v>
      </c>
      <c r="V522" s="1">
        <v>8.9269999999999996E-4</v>
      </c>
      <c r="W522" s="17">
        <v>1.076568</v>
      </c>
      <c r="X522" s="17">
        <v>1.5986880000000001</v>
      </c>
      <c r="Y522" s="17">
        <v>1.7665299999999999</v>
      </c>
    </row>
    <row r="523" spans="1:25" x14ac:dyDescent="0.25">
      <c r="A523" s="7">
        <v>40330</v>
      </c>
      <c r="B523" s="32">
        <v>-2.5462000000000002E-3</v>
      </c>
      <c r="C523" s="17">
        <v>-3.0130650000000001</v>
      </c>
      <c r="D523" s="17">
        <v>-2.6899850000000001</v>
      </c>
      <c r="E523" s="17">
        <v>2.0695329999999998</v>
      </c>
      <c r="F523" s="1">
        <v>1.5945E-3</v>
      </c>
      <c r="G523" s="17">
        <v>1.9302090000000001</v>
      </c>
      <c r="H523" s="17">
        <v>0.24230850000000001</v>
      </c>
      <c r="I523" s="17">
        <v>2.8616779999999999</v>
      </c>
      <c r="J523" s="1">
        <v>1.0287E-3</v>
      </c>
      <c r="K523" s="17">
        <v>1.2414909999999999</v>
      </c>
      <c r="L523" s="17">
        <v>1.0551980000000001</v>
      </c>
      <c r="M523" s="17">
        <v>0.82908130000000002</v>
      </c>
      <c r="N523" s="1">
        <v>1.0267E-3</v>
      </c>
      <c r="O523" s="17">
        <v>1.2389779999999999</v>
      </c>
      <c r="P523" s="17">
        <v>1.0251710000000001</v>
      </c>
      <c r="Q523" s="17">
        <v>0.78965419999999997</v>
      </c>
      <c r="R523" s="1">
        <v>1.2218999999999999E-3</v>
      </c>
      <c r="S523" s="17">
        <v>1.476145</v>
      </c>
      <c r="T523" s="17">
        <v>1.4722900000000001</v>
      </c>
      <c r="U523" s="17">
        <v>1.5965149999999999</v>
      </c>
      <c r="V523" s="1">
        <v>1.2584E-3</v>
      </c>
      <c r="W523" s="17">
        <v>1.520543</v>
      </c>
      <c r="X523" s="17">
        <v>1.50139</v>
      </c>
      <c r="Y523" s="17">
        <v>1.693643</v>
      </c>
    </row>
    <row r="524" spans="1:25" x14ac:dyDescent="0.25">
      <c r="A524" s="7">
        <v>40360</v>
      </c>
      <c r="B524" s="1">
        <v>4.4481E-3</v>
      </c>
      <c r="C524" s="17">
        <v>5.4702999999999999</v>
      </c>
      <c r="D524" s="17">
        <v>-0.5391669</v>
      </c>
      <c r="E524" s="17">
        <v>2.8521070000000002</v>
      </c>
      <c r="F524" s="1">
        <v>1.4584000000000001E-3</v>
      </c>
      <c r="G524" s="17">
        <v>1.764189</v>
      </c>
      <c r="H524" s="17">
        <v>1.9150529999999999</v>
      </c>
      <c r="I524" s="17">
        <v>3.1013540000000002</v>
      </c>
      <c r="J524" s="1">
        <v>6.4539999999999997E-4</v>
      </c>
      <c r="K524" s="17">
        <v>0.77728209999999998</v>
      </c>
      <c r="L524" s="17">
        <v>0.9638679</v>
      </c>
      <c r="M524" s="17">
        <v>0.79196619999999995</v>
      </c>
      <c r="N524" s="1">
        <v>6.8079999999999996E-4</v>
      </c>
      <c r="O524" s="17">
        <v>0.81999869999999997</v>
      </c>
      <c r="P524" s="17">
        <v>0.95986499999999997</v>
      </c>
      <c r="Q524" s="17">
        <v>0.75545879999999999</v>
      </c>
      <c r="R524" s="1">
        <v>8.3869999999999995E-4</v>
      </c>
      <c r="S524" s="17">
        <v>1.011083</v>
      </c>
      <c r="T524" s="17">
        <v>1.204005</v>
      </c>
      <c r="U524" s="17">
        <v>1.4824520000000001</v>
      </c>
      <c r="V524" s="1">
        <v>9.4780000000000005E-4</v>
      </c>
      <c r="W524" s="17">
        <v>1.1433549999999999</v>
      </c>
      <c r="X524" s="17">
        <v>1.2466330000000001</v>
      </c>
      <c r="Y524" s="17">
        <v>1.5661799999999999</v>
      </c>
    </row>
    <row r="525" spans="1:25" x14ac:dyDescent="0.25">
      <c r="A525" s="7">
        <v>40391</v>
      </c>
      <c r="B525" s="1">
        <v>3.8387E-3</v>
      </c>
      <c r="C525" s="17">
        <v>4.7049329999999996</v>
      </c>
      <c r="D525" s="17">
        <v>2.3144209999999998</v>
      </c>
      <c r="E525" s="17">
        <v>2.5466030000000002</v>
      </c>
      <c r="F525" s="1">
        <v>2.3314E-3</v>
      </c>
      <c r="G525" s="17">
        <v>2.8338320000000001</v>
      </c>
      <c r="H525" s="17">
        <v>2.174998</v>
      </c>
      <c r="I525" s="17">
        <v>3.236532</v>
      </c>
      <c r="J525" s="1">
        <v>5.2890000000000001E-4</v>
      </c>
      <c r="K525" s="17">
        <v>0.6365364</v>
      </c>
      <c r="L525" s="17">
        <v>0.88477240000000001</v>
      </c>
      <c r="M525" s="17">
        <v>0.7427665</v>
      </c>
      <c r="N525" s="1">
        <v>2.8499999999999999E-4</v>
      </c>
      <c r="O525" s="17">
        <v>0.34256409999999998</v>
      </c>
      <c r="P525" s="17">
        <v>0.79984809999999995</v>
      </c>
      <c r="Q525" s="17">
        <v>0.68728820000000002</v>
      </c>
      <c r="R525" s="1">
        <v>1.0411000000000001E-3</v>
      </c>
      <c r="S525" s="17">
        <v>1.2564660000000001</v>
      </c>
      <c r="T525" s="17">
        <v>1.2477199999999999</v>
      </c>
      <c r="U525" s="17">
        <v>1.4519599999999999</v>
      </c>
      <c r="V525" s="1">
        <v>6.7500000000000004E-4</v>
      </c>
      <c r="W525" s="17">
        <v>0.81303999999999998</v>
      </c>
      <c r="X525" s="17">
        <v>1.158566</v>
      </c>
      <c r="Y525" s="17">
        <v>1.5016590000000001</v>
      </c>
    </row>
    <row r="526" spans="1:25" x14ac:dyDescent="0.25">
      <c r="A526" s="7">
        <v>40422</v>
      </c>
      <c r="B526" s="1">
        <v>2.2171000000000001E-3</v>
      </c>
      <c r="C526" s="17">
        <v>2.6932330000000002</v>
      </c>
      <c r="D526" s="17">
        <v>4.2828879999999998</v>
      </c>
      <c r="E526" s="17">
        <v>2.3844780000000001</v>
      </c>
      <c r="F526" s="1">
        <v>-2.03E-4</v>
      </c>
      <c r="G526" s="17">
        <v>-0.2433456</v>
      </c>
      <c r="H526" s="17">
        <v>1.4435150000000001</v>
      </c>
      <c r="I526" s="17">
        <v>2.5570840000000001</v>
      </c>
      <c r="J526" s="1">
        <v>9.0680000000000003E-4</v>
      </c>
      <c r="K526" s="17">
        <v>1.09361</v>
      </c>
      <c r="L526" s="17">
        <v>0.83562840000000005</v>
      </c>
      <c r="M526" s="17">
        <v>0.72542180000000001</v>
      </c>
      <c r="N526" s="1">
        <v>7.0430000000000004E-4</v>
      </c>
      <c r="O526" s="17">
        <v>0.84842070000000003</v>
      </c>
      <c r="P526" s="17">
        <v>0.67006010000000005</v>
      </c>
      <c r="Q526" s="17">
        <v>0.65565569999999995</v>
      </c>
      <c r="R526" s="1">
        <v>1.0529999999999999E-3</v>
      </c>
      <c r="S526" s="17">
        <v>1.270985</v>
      </c>
      <c r="T526" s="17">
        <v>1.179441</v>
      </c>
      <c r="U526" s="17">
        <v>1.3052170000000001</v>
      </c>
      <c r="V526" s="1">
        <v>6.9079999999999999E-4</v>
      </c>
      <c r="W526" s="17">
        <v>0.83209310000000003</v>
      </c>
      <c r="X526" s="17">
        <v>0.92938240000000005</v>
      </c>
      <c r="Y526" s="17">
        <v>1.295687</v>
      </c>
    </row>
    <row r="527" spans="1:25" x14ac:dyDescent="0.25">
      <c r="A527" s="7">
        <v>40452</v>
      </c>
      <c r="B527" s="1">
        <v>9.8393999999999999E-3</v>
      </c>
      <c r="C527" s="17">
        <v>12.467700000000001</v>
      </c>
      <c r="D527" s="17">
        <v>6.5398949999999996</v>
      </c>
      <c r="E527" s="17">
        <v>2.5378599999999998</v>
      </c>
      <c r="F527" s="1">
        <v>-4.774E-4</v>
      </c>
      <c r="G527" s="17">
        <v>-0.57136710000000002</v>
      </c>
      <c r="H527" s="17">
        <v>0.66143580000000002</v>
      </c>
      <c r="I527" s="17">
        <v>1.298627</v>
      </c>
      <c r="J527" s="1">
        <v>6.7060000000000004E-4</v>
      </c>
      <c r="K527" s="17">
        <v>0.8077472</v>
      </c>
      <c r="L527" s="17">
        <v>0.84578830000000005</v>
      </c>
      <c r="M527" s="17">
        <v>0.73641069999999997</v>
      </c>
      <c r="N527" s="1">
        <v>6.2189999999999999E-4</v>
      </c>
      <c r="O527" s="17">
        <v>0.74884899999999999</v>
      </c>
      <c r="P527" s="17">
        <v>0.64637330000000004</v>
      </c>
      <c r="Q527" s="17">
        <v>0.66948850000000004</v>
      </c>
      <c r="R527" s="1">
        <v>8.1349999999999999E-4</v>
      </c>
      <c r="S527" s="17">
        <v>0.9806125</v>
      </c>
      <c r="T527" s="17">
        <v>1.1692659999999999</v>
      </c>
      <c r="U527" s="17">
        <v>1.257009</v>
      </c>
      <c r="V527" s="1">
        <v>7.4899999999999999E-4</v>
      </c>
      <c r="W527" s="17">
        <v>0.90255929999999995</v>
      </c>
      <c r="X527" s="17">
        <v>0.84922339999999996</v>
      </c>
      <c r="Y527" s="17">
        <v>1.2386079999999999</v>
      </c>
    </row>
    <row r="528" spans="1:25" x14ac:dyDescent="0.25">
      <c r="A528" s="7">
        <v>40483</v>
      </c>
      <c r="B528" s="1">
        <v>4.4381999999999998E-3</v>
      </c>
      <c r="C528" s="17">
        <v>5.4577340000000003</v>
      </c>
      <c r="D528" s="17">
        <v>6.7946160000000004</v>
      </c>
      <c r="E528" s="17">
        <v>2.0618799999999999</v>
      </c>
      <c r="F528" s="1">
        <v>9.7100000000000002E-5</v>
      </c>
      <c r="G528" s="17">
        <v>0.11658200000000001</v>
      </c>
      <c r="H528" s="17">
        <v>-0.2331058</v>
      </c>
      <c r="I528" s="17">
        <v>0.93284860000000003</v>
      </c>
      <c r="J528" s="1">
        <v>1.4794999999999999E-3</v>
      </c>
      <c r="K528" s="17">
        <v>1.7898639999999999</v>
      </c>
      <c r="L528" s="17">
        <v>1.229568</v>
      </c>
      <c r="M528" s="17">
        <v>0.85873379999999999</v>
      </c>
      <c r="N528" s="1">
        <v>1.5311999999999999E-3</v>
      </c>
      <c r="O528" s="17">
        <v>1.85304</v>
      </c>
      <c r="P528" s="17">
        <v>1.1488769999999999</v>
      </c>
      <c r="Q528" s="17">
        <v>0.8188879</v>
      </c>
      <c r="R528" s="1">
        <v>1.6122E-3</v>
      </c>
      <c r="S528" s="17">
        <v>1.9518990000000001</v>
      </c>
      <c r="T528" s="17">
        <v>1.4003490000000001</v>
      </c>
      <c r="U528" s="17">
        <v>1.295593</v>
      </c>
      <c r="V528" s="1">
        <v>1.7405999999999999E-3</v>
      </c>
      <c r="W528" s="17">
        <v>2.1088689999999999</v>
      </c>
      <c r="X528" s="17">
        <v>1.2794829999999999</v>
      </c>
      <c r="Y528" s="17">
        <v>1.309922</v>
      </c>
    </row>
    <row r="529" spans="1:25" x14ac:dyDescent="0.25">
      <c r="A529" s="7">
        <v>40513</v>
      </c>
      <c r="B529" s="1">
        <v>1.29747E-2</v>
      </c>
      <c r="C529" s="17">
        <v>16.730219999999999</v>
      </c>
      <c r="D529" s="17">
        <v>11.454219999999999</v>
      </c>
      <c r="E529" s="17">
        <v>3.246696</v>
      </c>
      <c r="F529" s="1">
        <v>2.6955999999999998E-3</v>
      </c>
      <c r="G529" s="17">
        <v>3.283093</v>
      </c>
      <c r="H529" s="17">
        <v>0.92890760000000006</v>
      </c>
      <c r="I529" s="17">
        <v>0.67318630000000002</v>
      </c>
      <c r="J529" s="1">
        <v>5.3600000000000002E-4</v>
      </c>
      <c r="K529" s="17">
        <v>0.64511569999999996</v>
      </c>
      <c r="L529" s="17">
        <v>1.079647</v>
      </c>
      <c r="M529" s="17">
        <v>0.86753420000000003</v>
      </c>
      <c r="N529" s="1">
        <v>5.1800000000000001E-4</v>
      </c>
      <c r="O529" s="17">
        <v>0.62333419999999995</v>
      </c>
      <c r="P529" s="17">
        <v>1.0735680000000001</v>
      </c>
      <c r="Q529" s="17">
        <v>0.82600589999999996</v>
      </c>
      <c r="R529" s="1">
        <v>2.0320000000000001E-4</v>
      </c>
      <c r="S529" s="17">
        <v>0.244117</v>
      </c>
      <c r="T529" s="17">
        <v>1.0564579999999999</v>
      </c>
      <c r="U529" s="17">
        <v>1.241784</v>
      </c>
      <c r="V529" s="1">
        <v>9.7999999999999997E-5</v>
      </c>
      <c r="W529" s="17">
        <v>0.1177159</v>
      </c>
      <c r="X529" s="17">
        <v>1.0397339999999999</v>
      </c>
      <c r="Y529" s="17">
        <v>1.2396400000000001</v>
      </c>
    </row>
    <row r="530" spans="1:25" x14ac:dyDescent="0.25">
      <c r="A530" s="7">
        <v>40544</v>
      </c>
      <c r="B530" s="1">
        <v>6.1555000000000004E-3</v>
      </c>
      <c r="C530" s="17">
        <v>7.6418290000000004</v>
      </c>
      <c r="D530" s="17">
        <v>9.8367299999999993</v>
      </c>
      <c r="E530" s="17">
        <v>3.3264559999999999</v>
      </c>
      <c r="F530" s="1">
        <v>1.8429E-3</v>
      </c>
      <c r="G530" s="17">
        <v>2.2340300000000002</v>
      </c>
      <c r="H530" s="17">
        <v>1.8693599999999999</v>
      </c>
      <c r="I530" s="17">
        <v>1.0062990000000001</v>
      </c>
      <c r="J530" s="1">
        <v>1.5916999999999999E-3</v>
      </c>
      <c r="K530" s="17">
        <v>1.926906</v>
      </c>
      <c r="L530" s="17">
        <v>1.4523299999999999</v>
      </c>
      <c r="M530" s="17">
        <v>0.98897449999999998</v>
      </c>
      <c r="N530" s="1">
        <v>1.5708E-3</v>
      </c>
      <c r="O530" s="17">
        <v>1.9013409999999999</v>
      </c>
      <c r="P530" s="17">
        <v>1.4575100000000001</v>
      </c>
      <c r="Q530" s="17">
        <v>0.94407160000000001</v>
      </c>
      <c r="R530" s="1">
        <v>1.9312000000000001E-3</v>
      </c>
      <c r="S530" s="17">
        <v>2.3422719999999999</v>
      </c>
      <c r="T530" s="17">
        <v>1.508659</v>
      </c>
      <c r="U530" s="17">
        <v>1.3219259999999999</v>
      </c>
      <c r="V530" s="1">
        <v>1.9621999999999999E-3</v>
      </c>
      <c r="W530" s="17">
        <v>2.380163</v>
      </c>
      <c r="X530" s="17">
        <v>1.5305500000000001</v>
      </c>
      <c r="Y530" s="17">
        <v>1.3045249999999999</v>
      </c>
    </row>
    <row r="531" spans="1:25" x14ac:dyDescent="0.25">
      <c r="A531" s="7">
        <v>40575</v>
      </c>
      <c r="B531" s="1">
        <v>6.6810000000000003E-3</v>
      </c>
      <c r="C531" s="17">
        <v>8.3185029999999998</v>
      </c>
      <c r="D531" s="17">
        <v>10.821070000000001</v>
      </c>
      <c r="E531" s="17">
        <v>4.4441059999999997</v>
      </c>
      <c r="F531" s="1">
        <v>1.7738999999999999E-3</v>
      </c>
      <c r="G531" s="17">
        <v>2.1495190000000002</v>
      </c>
      <c r="H531" s="17">
        <v>2.5542539999999998</v>
      </c>
      <c r="I531" s="17">
        <v>1.000656</v>
      </c>
      <c r="J531" s="1">
        <v>2.0596999999999998E-3</v>
      </c>
      <c r="K531" s="17">
        <v>2.4997940000000001</v>
      </c>
      <c r="L531" s="17">
        <v>1.6876420000000001</v>
      </c>
      <c r="M531" s="17">
        <v>1.1545510000000001</v>
      </c>
      <c r="N531" s="1">
        <v>2.0967E-3</v>
      </c>
      <c r="O531" s="17">
        <v>2.5451999999999999</v>
      </c>
      <c r="P531" s="17">
        <v>1.6868160000000001</v>
      </c>
      <c r="Q531" s="17">
        <v>1.1122780000000001</v>
      </c>
      <c r="R531" s="1">
        <v>2.4502999999999999E-3</v>
      </c>
      <c r="S531" s="17">
        <v>2.9803169999999999</v>
      </c>
      <c r="T531" s="17">
        <v>1.8488329999999999</v>
      </c>
      <c r="U531" s="17">
        <v>1.490691</v>
      </c>
      <c r="V531" s="1">
        <v>2.6045E-3</v>
      </c>
      <c r="W531" s="17">
        <v>3.1705070000000002</v>
      </c>
      <c r="X531" s="17">
        <v>1.8812120000000001</v>
      </c>
      <c r="Y531" s="17">
        <v>1.479095</v>
      </c>
    </row>
    <row r="532" spans="1:25" x14ac:dyDescent="0.25">
      <c r="A532" s="7">
        <v>40603</v>
      </c>
      <c r="B532" s="1">
        <v>1.44192E-2</v>
      </c>
      <c r="C532" s="17">
        <v>18.743369999999999</v>
      </c>
      <c r="D532" s="17">
        <v>11.45452</v>
      </c>
      <c r="E532" s="17">
        <v>5.9598170000000001</v>
      </c>
      <c r="F532" s="1">
        <v>2.9047999999999999E-3</v>
      </c>
      <c r="G532" s="17">
        <v>3.5419610000000001</v>
      </c>
      <c r="H532" s="17">
        <v>2.6398630000000001</v>
      </c>
      <c r="I532" s="17">
        <v>1.3098669999999999</v>
      </c>
      <c r="J532" s="1">
        <v>1.3331E-3</v>
      </c>
      <c r="K532" s="17">
        <v>1.611502</v>
      </c>
      <c r="L532" s="17">
        <v>2.0120719999999999</v>
      </c>
      <c r="M532" s="17">
        <v>1.2446280000000001</v>
      </c>
      <c r="N532" s="1">
        <v>1.1861E-3</v>
      </c>
      <c r="O532" s="17">
        <v>1.4326239999999999</v>
      </c>
      <c r="P532" s="17">
        <v>1.9587019999999999</v>
      </c>
      <c r="Q532" s="17">
        <v>1.1807639999999999</v>
      </c>
      <c r="R532" s="1">
        <v>1.6720000000000001E-3</v>
      </c>
      <c r="S532" s="17">
        <v>2.0249359999999998</v>
      </c>
      <c r="T532" s="17">
        <v>2.4484050000000002</v>
      </c>
      <c r="U532" s="17">
        <v>1.5376840000000001</v>
      </c>
      <c r="V532" s="1">
        <v>1.4580999999999999E-3</v>
      </c>
      <c r="W532" s="17">
        <v>1.76376</v>
      </c>
      <c r="X532" s="17">
        <v>2.4365260000000002</v>
      </c>
      <c r="Y532" s="17">
        <v>1.475023</v>
      </c>
    </row>
    <row r="533" spans="1:25" x14ac:dyDescent="0.25">
      <c r="A533" s="7">
        <v>40634</v>
      </c>
      <c r="B533" s="1">
        <v>1.3186E-2</v>
      </c>
      <c r="C533" s="17">
        <v>17.022760000000002</v>
      </c>
      <c r="D533" s="17">
        <v>14.602510000000001</v>
      </c>
      <c r="E533" s="17">
        <v>7.4673439999999998</v>
      </c>
      <c r="F533" s="1">
        <v>3.6597999999999999E-3</v>
      </c>
      <c r="G533" s="17">
        <v>4.4812320000000003</v>
      </c>
      <c r="H533" s="17">
        <v>3.38646</v>
      </c>
      <c r="I533" s="17">
        <v>1.953508</v>
      </c>
      <c r="J533" s="1">
        <v>1.4936000000000001E-3</v>
      </c>
      <c r="K533" s="17">
        <v>1.8071379999999999</v>
      </c>
      <c r="L533" s="17">
        <v>1.9721</v>
      </c>
      <c r="M533" s="17">
        <v>1.3075429999999999</v>
      </c>
      <c r="N533" s="1">
        <v>1.2855E-3</v>
      </c>
      <c r="O533" s="17">
        <v>1.5535639999999999</v>
      </c>
      <c r="P533" s="17">
        <v>1.842579</v>
      </c>
      <c r="Q533" s="17">
        <v>1.225544</v>
      </c>
      <c r="R533" s="1">
        <v>1.9178999999999999E-3</v>
      </c>
      <c r="S533" s="17">
        <v>2.325939</v>
      </c>
      <c r="T533" s="17">
        <v>2.442955</v>
      </c>
      <c r="U533" s="17">
        <v>1.5799209999999999</v>
      </c>
      <c r="V533" s="1">
        <v>1.6035999999999999E-3</v>
      </c>
      <c r="W533" s="17">
        <v>1.9414279999999999</v>
      </c>
      <c r="X533" s="17">
        <v>2.2899910000000001</v>
      </c>
      <c r="Y533" s="17">
        <v>1.477733</v>
      </c>
    </row>
    <row r="534" spans="1:25" x14ac:dyDescent="0.25">
      <c r="A534" s="7">
        <v>40664</v>
      </c>
      <c r="B534" s="1">
        <v>9.3574999999999995E-3</v>
      </c>
      <c r="C534" s="17">
        <v>11.825290000000001</v>
      </c>
      <c r="D534" s="17">
        <v>15.826140000000001</v>
      </c>
      <c r="E534" s="17">
        <v>8.8250270000000004</v>
      </c>
      <c r="F534" s="1">
        <v>8.0906999999999993E-3</v>
      </c>
      <c r="G534" s="17">
        <v>10.15272</v>
      </c>
      <c r="H534" s="17">
        <v>6.0189009999999996</v>
      </c>
      <c r="I534" s="17">
        <v>2.604644</v>
      </c>
      <c r="J534" s="1">
        <v>1.4099E-3</v>
      </c>
      <c r="K534" s="17">
        <v>1.7050110000000001</v>
      </c>
      <c r="L534" s="17">
        <v>1.7078519999999999</v>
      </c>
      <c r="M534" s="17">
        <v>1.376879</v>
      </c>
      <c r="N534" s="1">
        <v>1.3434E-3</v>
      </c>
      <c r="O534" s="17">
        <v>1.6240250000000001</v>
      </c>
      <c r="P534" s="17">
        <v>1.536707</v>
      </c>
      <c r="Q534" s="17">
        <v>1.2924709999999999</v>
      </c>
      <c r="R534" s="1">
        <v>1.5081999999999999E-3</v>
      </c>
      <c r="S534" s="17">
        <v>1.824883</v>
      </c>
      <c r="T534" s="17">
        <v>2.0583779999999998</v>
      </c>
      <c r="U534" s="17">
        <v>1.6382909999999999</v>
      </c>
      <c r="V534" s="1">
        <v>1.4E-3</v>
      </c>
      <c r="W534" s="17">
        <v>1.6929959999999999</v>
      </c>
      <c r="X534" s="17">
        <v>1.7993410000000001</v>
      </c>
      <c r="Y534" s="17">
        <v>1.529163</v>
      </c>
    </row>
    <row r="535" spans="1:25" x14ac:dyDescent="0.25">
      <c r="A535" s="7">
        <v>40695</v>
      </c>
      <c r="B535" s="1">
        <v>-2.0658E-3</v>
      </c>
      <c r="C535" s="17">
        <v>-2.4510149999999999</v>
      </c>
      <c r="D535" s="17">
        <v>8.4786760000000001</v>
      </c>
      <c r="E535" s="17">
        <v>8.8774409999999992</v>
      </c>
      <c r="F535" s="1">
        <v>7.9285999999999992E-3</v>
      </c>
      <c r="G535" s="17">
        <v>9.9404120000000002</v>
      </c>
      <c r="H535" s="17">
        <v>8.1592389999999995</v>
      </c>
      <c r="I535" s="17">
        <v>3.2535249999999998</v>
      </c>
      <c r="J535" s="1">
        <v>1.3841999999999999E-3</v>
      </c>
      <c r="K535" s="17">
        <v>1.673781</v>
      </c>
      <c r="L535" s="17">
        <v>1.7286269999999999</v>
      </c>
      <c r="M535" s="17">
        <v>1.4128810000000001</v>
      </c>
      <c r="N535" s="1">
        <v>1.2750000000000001E-3</v>
      </c>
      <c r="O535" s="17">
        <v>1.5407930000000001</v>
      </c>
      <c r="P535" s="17">
        <v>1.5727869999999999</v>
      </c>
      <c r="Q535" s="17">
        <v>1.317601</v>
      </c>
      <c r="R535" s="1">
        <v>1.1375999999999999E-3</v>
      </c>
      <c r="S535" s="17">
        <v>1.3736679999999999</v>
      </c>
      <c r="T535" s="17">
        <v>1.840754</v>
      </c>
      <c r="U535" s="17">
        <v>1.629734</v>
      </c>
      <c r="V535" s="1">
        <v>8.7359999999999998E-4</v>
      </c>
      <c r="W535" s="17">
        <v>1.053412</v>
      </c>
      <c r="X535" s="17">
        <v>1.561922</v>
      </c>
      <c r="Y535" s="17">
        <v>1.4901489999999999</v>
      </c>
    </row>
    <row r="536" spans="1:25" x14ac:dyDescent="0.25">
      <c r="A536" s="7">
        <v>40725</v>
      </c>
      <c r="B536" s="1">
        <v>4.2250999999999999E-3</v>
      </c>
      <c r="C536" s="17">
        <v>5.1896310000000003</v>
      </c>
      <c r="D536" s="17">
        <v>4.6916169999999999</v>
      </c>
      <c r="E536" s="17">
        <v>8.8532679999999999</v>
      </c>
      <c r="F536" s="1">
        <v>4.2840999999999999E-3</v>
      </c>
      <c r="G536" s="17">
        <v>5.2637460000000003</v>
      </c>
      <c r="H536" s="17">
        <v>8.4285879999999995</v>
      </c>
      <c r="I536" s="17">
        <v>3.5448590000000002</v>
      </c>
      <c r="J536" s="1">
        <v>1.7022000000000001E-3</v>
      </c>
      <c r="K536" s="17">
        <v>2.0618949999999998</v>
      </c>
      <c r="L536" s="17">
        <v>1.81341</v>
      </c>
      <c r="M536" s="17">
        <v>1.5199830000000001</v>
      </c>
      <c r="N536" s="1">
        <v>1.7156000000000001E-3</v>
      </c>
      <c r="O536" s="17">
        <v>2.0782620000000001</v>
      </c>
      <c r="P536" s="17">
        <v>1.7474190000000001</v>
      </c>
      <c r="Q536" s="17">
        <v>1.4223760000000001</v>
      </c>
      <c r="R536" s="1">
        <v>1.3465E-3</v>
      </c>
      <c r="S536" s="17">
        <v>1.627764</v>
      </c>
      <c r="T536" s="17">
        <v>1.608603</v>
      </c>
      <c r="U536" s="17">
        <v>1.681295</v>
      </c>
      <c r="V536" s="1">
        <v>1.2971E-3</v>
      </c>
      <c r="W536" s="17">
        <v>1.567685</v>
      </c>
      <c r="X536" s="17">
        <v>1.4376530000000001</v>
      </c>
      <c r="Y536" s="17">
        <v>1.525563</v>
      </c>
    </row>
    <row r="537" spans="1:25" x14ac:dyDescent="0.25">
      <c r="A537" s="7">
        <v>40756</v>
      </c>
      <c r="B537" s="1">
        <v>3.1868E-3</v>
      </c>
      <c r="C537" s="17">
        <v>3.891956</v>
      </c>
      <c r="D537" s="17">
        <v>2.1549</v>
      </c>
      <c r="E537" s="17">
        <v>8.7825830000000007</v>
      </c>
      <c r="F537" s="1">
        <v>4.0071999999999998E-3</v>
      </c>
      <c r="G537" s="17">
        <v>4.9161080000000004</v>
      </c>
      <c r="H537" s="17">
        <v>6.6824019999999997</v>
      </c>
      <c r="I537" s="17">
        <v>3.717981</v>
      </c>
      <c r="J537" s="1">
        <v>2.3904E-3</v>
      </c>
      <c r="K537" s="17">
        <v>2.9064399999999999</v>
      </c>
      <c r="L537" s="17">
        <v>2.212745</v>
      </c>
      <c r="M537" s="17">
        <v>1.7088570000000001</v>
      </c>
      <c r="N537" s="1">
        <v>2.2369E-3</v>
      </c>
      <c r="O537" s="17">
        <v>2.7176089999999999</v>
      </c>
      <c r="P537" s="17">
        <v>2.1110890000000002</v>
      </c>
      <c r="Q537" s="17">
        <v>1.620288</v>
      </c>
      <c r="R537" s="1">
        <v>2.6524000000000001E-3</v>
      </c>
      <c r="S537" s="17">
        <v>3.2296960000000001</v>
      </c>
      <c r="T537" s="17">
        <v>2.073747</v>
      </c>
      <c r="U537" s="17">
        <v>1.844964</v>
      </c>
      <c r="V537" s="1">
        <v>2.4101000000000001E-3</v>
      </c>
      <c r="W537" s="17">
        <v>2.9307599999999998</v>
      </c>
      <c r="X537" s="17">
        <v>1.8475470000000001</v>
      </c>
      <c r="Y537" s="17">
        <v>1.7015990000000001</v>
      </c>
    </row>
    <row r="538" spans="1:25" x14ac:dyDescent="0.25">
      <c r="A538" s="7">
        <v>40787</v>
      </c>
      <c r="B538" s="1">
        <v>4.3436000000000004E-3</v>
      </c>
      <c r="C538" s="17">
        <v>5.338635</v>
      </c>
      <c r="D538" s="17">
        <v>4.8047209999999998</v>
      </c>
      <c r="E538" s="17">
        <v>9.0133930000000007</v>
      </c>
      <c r="F538" s="1">
        <v>-2.1216E-3</v>
      </c>
      <c r="G538" s="17">
        <v>-2.5163790000000001</v>
      </c>
      <c r="H538" s="17">
        <v>2.4906429999999999</v>
      </c>
      <c r="I538" s="17">
        <v>3.5189530000000002</v>
      </c>
      <c r="J538" s="1">
        <v>1.5499999999999999E-3</v>
      </c>
      <c r="K538" s="17">
        <v>1.875928</v>
      </c>
      <c r="L538" s="17">
        <v>2.28044</v>
      </c>
      <c r="M538" s="17">
        <v>1.774216</v>
      </c>
      <c r="N538" s="1">
        <v>1.4997000000000001E-3</v>
      </c>
      <c r="O538" s="17">
        <v>1.814505</v>
      </c>
      <c r="P538" s="17">
        <v>2.2027559999999999</v>
      </c>
      <c r="Q538" s="17">
        <v>1.701057</v>
      </c>
      <c r="R538" s="1">
        <v>1.5759999999999999E-3</v>
      </c>
      <c r="S538" s="17">
        <v>1.907651</v>
      </c>
      <c r="T538" s="17">
        <v>2.2526570000000001</v>
      </c>
      <c r="U538" s="17">
        <v>1.8981669999999999</v>
      </c>
      <c r="V538" s="1">
        <v>1.4838E-3</v>
      </c>
      <c r="W538" s="17">
        <v>1.795169</v>
      </c>
      <c r="X538" s="17">
        <v>2.0961349999999999</v>
      </c>
      <c r="Y538" s="17">
        <v>1.782195</v>
      </c>
    </row>
    <row r="539" spans="1:25" x14ac:dyDescent="0.25">
      <c r="A539" s="7">
        <v>40817</v>
      </c>
      <c r="B539" s="1">
        <v>-3.3021999999999999E-3</v>
      </c>
      <c r="C539" s="17">
        <v>-3.8914469999999999</v>
      </c>
      <c r="D539" s="17">
        <v>1.6975640000000001</v>
      </c>
      <c r="E539" s="17">
        <v>7.5947399999999998</v>
      </c>
      <c r="F539" s="1">
        <v>3.388E-4</v>
      </c>
      <c r="G539" s="17">
        <v>0.40728839999999999</v>
      </c>
      <c r="H539" s="17">
        <v>0.88958950000000003</v>
      </c>
      <c r="I539" s="17">
        <v>3.6034820000000001</v>
      </c>
      <c r="J539" s="1">
        <v>1.9204999999999999E-3</v>
      </c>
      <c r="K539" s="17">
        <v>2.329135</v>
      </c>
      <c r="L539" s="17">
        <v>2.3696320000000002</v>
      </c>
      <c r="M539" s="17">
        <v>1.9013359999999999</v>
      </c>
      <c r="N539" s="1">
        <v>1.9425E-3</v>
      </c>
      <c r="O539" s="17">
        <v>2.3560300000000001</v>
      </c>
      <c r="P539" s="17">
        <v>2.2953739999999998</v>
      </c>
      <c r="Q539" s="17">
        <v>1.8352759999999999</v>
      </c>
      <c r="R539" s="1">
        <v>1.8395E-3</v>
      </c>
      <c r="S539" s="17">
        <v>2.2299150000000001</v>
      </c>
      <c r="T539" s="17">
        <v>2.4542109999999999</v>
      </c>
      <c r="U539" s="17">
        <v>2.0026299999999999</v>
      </c>
      <c r="V539" s="1">
        <v>1.8649000000000001E-3</v>
      </c>
      <c r="W539" s="17">
        <v>2.2610209999999999</v>
      </c>
      <c r="X539" s="17">
        <v>2.3279230000000002</v>
      </c>
      <c r="Y539" s="17">
        <v>1.895688</v>
      </c>
    </row>
    <row r="540" spans="1:25" x14ac:dyDescent="0.25">
      <c r="A540" s="7">
        <v>40848</v>
      </c>
      <c r="B540" s="1">
        <v>8.6810000000000001E-4</v>
      </c>
      <c r="C540" s="17">
        <v>1.0466819999999999</v>
      </c>
      <c r="D540" s="17">
        <v>0.7605653</v>
      </c>
      <c r="E540" s="17">
        <v>7.2123160000000004</v>
      </c>
      <c r="F540" s="1">
        <v>1.8193E-3</v>
      </c>
      <c r="G540" s="17">
        <v>2.2050860000000001</v>
      </c>
      <c r="H540" s="17">
        <v>1.30029E-2</v>
      </c>
      <c r="I540" s="17">
        <v>3.7818860000000001</v>
      </c>
      <c r="J540" s="1">
        <v>1.9864000000000001E-3</v>
      </c>
      <c r="K540" s="17">
        <v>2.4099210000000002</v>
      </c>
      <c r="L540" s="17">
        <v>2.2047240000000001</v>
      </c>
      <c r="M540" s="17">
        <v>1.9529209999999999</v>
      </c>
      <c r="N540" s="1">
        <v>1.9572999999999999E-3</v>
      </c>
      <c r="O540" s="17">
        <v>2.374269</v>
      </c>
      <c r="P540" s="17">
        <v>2.1812710000000002</v>
      </c>
      <c r="Q540" s="17">
        <v>1.878603</v>
      </c>
      <c r="R540" s="1">
        <v>2.2972999999999999E-3</v>
      </c>
      <c r="S540" s="17">
        <v>2.79189</v>
      </c>
      <c r="T540" s="17">
        <v>2.3091659999999998</v>
      </c>
      <c r="U540" s="17">
        <v>2.0724010000000002</v>
      </c>
      <c r="V540" s="1">
        <v>2.3067999999999999E-3</v>
      </c>
      <c r="W540" s="17">
        <v>2.8036110000000001</v>
      </c>
      <c r="X540" s="17">
        <v>2.2857699999999999</v>
      </c>
      <c r="Y540" s="17">
        <v>1.9532830000000001</v>
      </c>
    </row>
    <row r="541" spans="1:25" x14ac:dyDescent="0.25">
      <c r="A541" s="7">
        <v>40878</v>
      </c>
      <c r="B541" s="1">
        <v>-4.9754999999999999E-3</v>
      </c>
      <c r="C541" s="17">
        <v>-5.8098869999999998</v>
      </c>
      <c r="D541" s="17">
        <v>-2.9274429999999998</v>
      </c>
      <c r="E541" s="17">
        <v>5.312481</v>
      </c>
      <c r="F541" s="1">
        <v>-8.3600000000000005E-4</v>
      </c>
      <c r="G541" s="17">
        <v>-0.99856480000000003</v>
      </c>
      <c r="H541" s="17">
        <v>0.52939749999999997</v>
      </c>
      <c r="I541" s="17">
        <v>3.4163600000000001</v>
      </c>
      <c r="J541" s="1">
        <v>2.0187999999999998E-3</v>
      </c>
      <c r="K541" s="17">
        <v>2.449605</v>
      </c>
      <c r="L541" s="17">
        <v>2.3962080000000001</v>
      </c>
      <c r="M541" s="17">
        <v>2.1040109999999999</v>
      </c>
      <c r="N541" s="1">
        <v>2.0747999999999999E-3</v>
      </c>
      <c r="O541" s="17">
        <v>2.5183179999999998</v>
      </c>
      <c r="P541" s="17">
        <v>2.4161800000000002</v>
      </c>
      <c r="Q541" s="17">
        <v>2.0371250000000001</v>
      </c>
      <c r="R541" s="1">
        <v>2.0906000000000002E-3</v>
      </c>
      <c r="S541" s="17">
        <v>2.5378069999999999</v>
      </c>
      <c r="T541" s="17">
        <v>2.5196130000000001</v>
      </c>
      <c r="U541" s="17">
        <v>2.2650160000000001</v>
      </c>
      <c r="V541" s="1">
        <v>2.2127000000000002E-3</v>
      </c>
      <c r="W541" s="17">
        <v>2.687821</v>
      </c>
      <c r="X541" s="17">
        <v>2.583885</v>
      </c>
      <c r="Y541" s="17">
        <v>2.1688610000000001</v>
      </c>
    </row>
    <row r="542" spans="1:25" x14ac:dyDescent="0.25">
      <c r="A542" s="7">
        <v>40909</v>
      </c>
      <c r="B542" s="1">
        <v>2.4921000000000001E-3</v>
      </c>
      <c r="C542" s="17">
        <v>3.0318260000000001</v>
      </c>
      <c r="D542" s="17">
        <v>-0.65036930000000004</v>
      </c>
      <c r="E542" s="17">
        <v>4.9290419999999999</v>
      </c>
      <c r="F542" s="1">
        <v>6.043E-4</v>
      </c>
      <c r="G542" s="17">
        <v>0.7276222</v>
      </c>
      <c r="H542" s="17">
        <v>0.63619179999999997</v>
      </c>
      <c r="I542" s="17">
        <v>3.2885080000000002</v>
      </c>
      <c r="J542" s="1">
        <v>2.4144000000000001E-3</v>
      </c>
      <c r="K542" s="17">
        <v>2.9360569999999999</v>
      </c>
      <c r="L542" s="17">
        <v>2.598249</v>
      </c>
      <c r="M542" s="17">
        <v>2.1878730000000002</v>
      </c>
      <c r="N542" s="1">
        <v>2.2415E-3</v>
      </c>
      <c r="O542" s="17">
        <v>2.7232029999999998</v>
      </c>
      <c r="P542" s="17">
        <v>2.538497</v>
      </c>
      <c r="Q542" s="17">
        <v>2.1054520000000001</v>
      </c>
      <c r="R542" s="1">
        <v>2.8100999999999998E-3</v>
      </c>
      <c r="S542" s="17">
        <v>3.424769</v>
      </c>
      <c r="T542" s="17">
        <v>2.9174799999999999</v>
      </c>
      <c r="U542" s="17">
        <v>2.3547220000000002</v>
      </c>
      <c r="V542" s="1">
        <v>2.5558999999999998E-3</v>
      </c>
      <c r="W542" s="17">
        <v>3.1105930000000002</v>
      </c>
      <c r="X542" s="17">
        <v>2.8671869999999999</v>
      </c>
      <c r="Y542" s="17">
        <v>2.229406</v>
      </c>
    </row>
    <row r="543" spans="1:25" x14ac:dyDescent="0.25">
      <c r="A543" s="7">
        <v>40940</v>
      </c>
      <c r="B543" s="1">
        <v>3.9399999999999999E-3</v>
      </c>
      <c r="C543" s="17">
        <v>4.8317839999999999</v>
      </c>
      <c r="D543" s="17">
        <v>0.57496650000000005</v>
      </c>
      <c r="E543" s="17">
        <v>4.6433340000000003</v>
      </c>
      <c r="F543" s="1">
        <v>-5.7200000000000003E-4</v>
      </c>
      <c r="G543" s="17">
        <v>-0.68421940000000003</v>
      </c>
      <c r="H543" s="17">
        <v>-0.32120539999999997</v>
      </c>
      <c r="I543" s="17">
        <v>3.0466389999999999</v>
      </c>
      <c r="J543" s="1">
        <v>1.2338E-3</v>
      </c>
      <c r="K543" s="17">
        <v>1.490704</v>
      </c>
      <c r="L543" s="17">
        <v>2.2903570000000002</v>
      </c>
      <c r="M543" s="17">
        <v>2.1036570000000001</v>
      </c>
      <c r="N543" s="1">
        <v>1.2122999999999999E-3</v>
      </c>
      <c r="O543" s="17">
        <v>1.464442</v>
      </c>
      <c r="P543" s="17">
        <v>2.2338300000000002</v>
      </c>
      <c r="Q543" s="17">
        <v>2.015339</v>
      </c>
      <c r="R543" s="1">
        <v>1.0361000000000001E-3</v>
      </c>
      <c r="S543" s="17">
        <v>1.2503930000000001</v>
      </c>
      <c r="T543" s="17">
        <v>2.4004270000000001</v>
      </c>
      <c r="U543" s="17">
        <v>2.2103229999999998</v>
      </c>
      <c r="V543" s="1">
        <v>9.5509999999999996E-4</v>
      </c>
      <c r="W543" s="17">
        <v>1.15222</v>
      </c>
      <c r="X543" s="17">
        <v>2.3134070000000002</v>
      </c>
      <c r="Y543" s="17">
        <v>2.0612370000000002</v>
      </c>
    </row>
    <row r="544" spans="1:25" x14ac:dyDescent="0.25">
      <c r="A544" s="7">
        <v>40969</v>
      </c>
      <c r="B544" s="1">
        <v>3.8018000000000001E-3</v>
      </c>
      <c r="C544" s="17">
        <v>4.6587319999999997</v>
      </c>
      <c r="D544" s="17">
        <v>4.1709480000000001</v>
      </c>
      <c r="E544" s="17">
        <v>3.5480860000000001</v>
      </c>
      <c r="F544" s="1">
        <v>3.5696999999999999E-3</v>
      </c>
      <c r="G544" s="17">
        <v>4.3687459999999998</v>
      </c>
      <c r="H544" s="17">
        <v>1.4485330000000001</v>
      </c>
      <c r="I544" s="17">
        <v>3.1149589999999998</v>
      </c>
      <c r="J544" s="1">
        <v>2.0571000000000001E-3</v>
      </c>
      <c r="K544" s="17">
        <v>2.4966159999999999</v>
      </c>
      <c r="L544" s="17">
        <v>2.306</v>
      </c>
      <c r="M544" s="17">
        <v>2.1774800000000001</v>
      </c>
      <c r="N544" s="1">
        <v>2.1029999999999998E-3</v>
      </c>
      <c r="O544" s="17">
        <v>2.552943</v>
      </c>
      <c r="P544" s="17">
        <v>2.2453379999999998</v>
      </c>
      <c r="Q544" s="17">
        <v>2.1087630000000002</v>
      </c>
      <c r="R544" s="1">
        <v>2.0487000000000001E-3</v>
      </c>
      <c r="S544" s="17">
        <v>2.4863339999999998</v>
      </c>
      <c r="T544" s="17">
        <v>2.383289</v>
      </c>
      <c r="U544" s="17">
        <v>2.2487629999999998</v>
      </c>
      <c r="V544" s="1">
        <v>2.1354E-3</v>
      </c>
      <c r="W544" s="17">
        <v>2.5927310000000001</v>
      </c>
      <c r="X544" s="17">
        <v>2.2818160000000001</v>
      </c>
      <c r="Y544" s="17">
        <v>2.1302620000000001</v>
      </c>
    </row>
    <row r="545" spans="1:25" x14ac:dyDescent="0.25">
      <c r="A545" s="7">
        <v>41000</v>
      </c>
      <c r="B545" s="1">
        <v>1.9054E-3</v>
      </c>
      <c r="C545" s="17">
        <v>2.3105519999999999</v>
      </c>
      <c r="D545" s="17">
        <v>3.927295</v>
      </c>
      <c r="E545" s="17">
        <v>2.395197</v>
      </c>
      <c r="F545" s="1">
        <v>4.2119000000000002E-3</v>
      </c>
      <c r="G545" s="17">
        <v>5.1730049999999999</v>
      </c>
      <c r="H545" s="17">
        <v>2.9195009999999999</v>
      </c>
      <c r="I545" s="17">
        <v>3.171681</v>
      </c>
      <c r="J545" s="1">
        <v>1.9981999999999999E-3</v>
      </c>
      <c r="K545" s="17">
        <v>2.4243969999999999</v>
      </c>
      <c r="L545" s="17">
        <v>2.136209</v>
      </c>
      <c r="M545" s="17">
        <v>2.2289620000000001</v>
      </c>
      <c r="N545" s="1">
        <v>1.9591000000000001E-3</v>
      </c>
      <c r="O545" s="17">
        <v>2.3763649999999998</v>
      </c>
      <c r="P545" s="17">
        <v>2.130134</v>
      </c>
      <c r="Q545" s="17">
        <v>2.1774499999999999</v>
      </c>
      <c r="R545" s="1">
        <v>1.874E-3</v>
      </c>
      <c r="S545" s="17">
        <v>2.2721019999999998</v>
      </c>
      <c r="T545" s="17">
        <v>2.0015139999999998</v>
      </c>
      <c r="U545" s="17">
        <v>2.244278</v>
      </c>
      <c r="V545" s="1">
        <v>1.7738999999999999E-3</v>
      </c>
      <c r="W545" s="17">
        <v>2.1495250000000001</v>
      </c>
      <c r="X545" s="17">
        <v>1.9630430000000001</v>
      </c>
      <c r="Y545" s="17">
        <v>2.1476199999999999</v>
      </c>
    </row>
    <row r="546" spans="1:25" x14ac:dyDescent="0.25">
      <c r="A546" s="7">
        <v>41030</v>
      </c>
      <c r="B546" s="1">
        <v>-8.0801999999999992E-3</v>
      </c>
      <c r="C546" s="17">
        <v>-9.2767769999999992</v>
      </c>
      <c r="D546" s="17">
        <v>-0.96133270000000004</v>
      </c>
      <c r="E546" s="17">
        <v>0.62621110000000002</v>
      </c>
      <c r="F546" s="1">
        <v>2.4521E-3</v>
      </c>
      <c r="G546" s="17">
        <v>2.9825279999999998</v>
      </c>
      <c r="H546" s="17">
        <v>4.1708239999999996</v>
      </c>
      <c r="I546" s="17">
        <v>2.5946069999999999</v>
      </c>
      <c r="J546" s="1">
        <v>1.6965999999999999E-3</v>
      </c>
      <c r="K546" s="17">
        <v>2.0549750000000002</v>
      </c>
      <c r="L546" s="17">
        <v>2.3251460000000002</v>
      </c>
      <c r="M546" s="17">
        <v>2.2582300000000002</v>
      </c>
      <c r="N546" s="1">
        <v>1.6329999999999999E-3</v>
      </c>
      <c r="O546" s="17">
        <v>1.97732</v>
      </c>
      <c r="P546" s="17">
        <v>2.3019259999999999</v>
      </c>
      <c r="Q546" s="17">
        <v>2.2070050000000001</v>
      </c>
      <c r="R546" s="1">
        <v>1.7895999999999999E-3</v>
      </c>
      <c r="S546" s="17">
        <v>2.1687280000000002</v>
      </c>
      <c r="T546" s="17">
        <v>2.3089689999999998</v>
      </c>
      <c r="U546" s="17">
        <v>2.2730060000000001</v>
      </c>
      <c r="V546" s="1">
        <v>1.6857E-3</v>
      </c>
      <c r="W546" s="17">
        <v>2.04175</v>
      </c>
      <c r="X546" s="17">
        <v>2.2610579999999998</v>
      </c>
      <c r="Y546" s="17">
        <v>2.1767669999999999</v>
      </c>
    </row>
    <row r="547" spans="1:25" x14ac:dyDescent="0.25">
      <c r="A547" s="7">
        <v>41061</v>
      </c>
      <c r="B547" s="1">
        <v>-5.3959999999999998E-3</v>
      </c>
      <c r="C547" s="17">
        <v>-6.2864909999999998</v>
      </c>
      <c r="D547" s="17">
        <v>-4.5416990000000004</v>
      </c>
      <c r="E547" s="17">
        <v>0.29041020000000001</v>
      </c>
      <c r="F547" s="1">
        <v>1.4208999999999999E-3</v>
      </c>
      <c r="G547" s="17">
        <v>1.718445</v>
      </c>
      <c r="H547" s="17">
        <v>3.2814939999999999</v>
      </c>
      <c r="I547" s="17">
        <v>1.932199</v>
      </c>
      <c r="J547" s="1">
        <v>2.1137E-3</v>
      </c>
      <c r="K547" s="17">
        <v>2.5661070000000001</v>
      </c>
      <c r="L547" s="17">
        <v>2.3482660000000002</v>
      </c>
      <c r="M547" s="17">
        <v>2.332719</v>
      </c>
      <c r="N547" s="1">
        <v>2.0644999999999999E-3</v>
      </c>
      <c r="O547" s="17">
        <v>2.5056669999999999</v>
      </c>
      <c r="P547" s="17">
        <v>2.286203</v>
      </c>
      <c r="Q547" s="17">
        <v>2.287588</v>
      </c>
      <c r="R547" s="1">
        <v>2.7915000000000001E-3</v>
      </c>
      <c r="S547" s="17">
        <v>3.4017400000000002</v>
      </c>
      <c r="T547" s="17">
        <v>2.6126740000000002</v>
      </c>
      <c r="U547" s="17">
        <v>2.441967</v>
      </c>
      <c r="V547" s="1">
        <v>2.8318000000000002E-3</v>
      </c>
      <c r="W547" s="17">
        <v>3.4516269999999998</v>
      </c>
      <c r="X547" s="17">
        <v>2.5456379999999998</v>
      </c>
      <c r="Y547" s="17">
        <v>2.376674</v>
      </c>
    </row>
    <row r="548" spans="1:25" x14ac:dyDescent="0.25">
      <c r="A548" s="7">
        <v>41091</v>
      </c>
      <c r="B548" s="1">
        <v>-4.5652000000000002E-3</v>
      </c>
      <c r="C548" s="17">
        <v>-5.342746</v>
      </c>
      <c r="D548" s="17">
        <v>-6.983886</v>
      </c>
      <c r="E548" s="17">
        <v>-0.58746339999999997</v>
      </c>
      <c r="F548" s="1">
        <v>-2.3384E-3</v>
      </c>
      <c r="G548" s="17">
        <v>-2.77027</v>
      </c>
      <c r="H548" s="17">
        <v>0.61300339999999998</v>
      </c>
      <c r="I548" s="17">
        <v>1.2600370000000001</v>
      </c>
      <c r="J548" s="1">
        <v>1.6149999999999999E-3</v>
      </c>
      <c r="K548" s="17">
        <v>1.955301</v>
      </c>
      <c r="L548" s="17">
        <v>2.1917779999999998</v>
      </c>
      <c r="M548" s="17">
        <v>2.3238080000000001</v>
      </c>
      <c r="N548" s="1">
        <v>1.6142999999999999E-3</v>
      </c>
      <c r="O548" s="17">
        <v>1.9544649999999999</v>
      </c>
      <c r="P548" s="17">
        <v>2.1455000000000002</v>
      </c>
      <c r="Q548" s="17">
        <v>2.2772450000000002</v>
      </c>
      <c r="R548" s="1">
        <v>1.3565000000000001E-3</v>
      </c>
      <c r="S548" s="17">
        <v>1.6399550000000001</v>
      </c>
      <c r="T548" s="17">
        <v>2.40082</v>
      </c>
      <c r="U548" s="17">
        <v>2.4429910000000001</v>
      </c>
      <c r="V548" s="1">
        <v>1.3036E-3</v>
      </c>
      <c r="W548" s="17">
        <v>1.5756349999999999</v>
      </c>
      <c r="X548" s="17">
        <v>2.3532389999999999</v>
      </c>
      <c r="Y548" s="17">
        <v>2.3773420000000001</v>
      </c>
    </row>
    <row r="549" spans="1:25" x14ac:dyDescent="0.25">
      <c r="A549" s="7">
        <v>41122</v>
      </c>
      <c r="B549" s="1">
        <v>1.35768E-2</v>
      </c>
      <c r="C549" s="17">
        <v>17.565550000000002</v>
      </c>
      <c r="D549" s="17">
        <v>1.409521</v>
      </c>
      <c r="E549" s="17">
        <v>0.4421505</v>
      </c>
      <c r="F549" s="1">
        <v>-1.9001000000000001E-3</v>
      </c>
      <c r="G549" s="17">
        <v>-2.2564220000000001</v>
      </c>
      <c r="H549" s="17">
        <v>-1.1229100000000001</v>
      </c>
      <c r="I549" s="17">
        <v>0.66424819999999996</v>
      </c>
      <c r="J549" s="1">
        <v>1.2733E-3</v>
      </c>
      <c r="K549" s="17">
        <v>1.53874</v>
      </c>
      <c r="L549" s="17">
        <v>2.0191780000000001</v>
      </c>
      <c r="M549" s="17">
        <v>2.2097829999999998</v>
      </c>
      <c r="N549" s="1">
        <v>1.1473E-3</v>
      </c>
      <c r="O549" s="17">
        <v>1.3854649999999999</v>
      </c>
      <c r="P549" s="17">
        <v>1.947506</v>
      </c>
      <c r="Q549" s="17">
        <v>2.1660460000000001</v>
      </c>
      <c r="R549" s="1">
        <v>7.9199999999999995E-4</v>
      </c>
      <c r="S549" s="17">
        <v>0.95451839999999999</v>
      </c>
      <c r="T549" s="17">
        <v>1.993546</v>
      </c>
      <c r="U549" s="17">
        <v>2.25291</v>
      </c>
      <c r="V549" s="1">
        <v>4.5350000000000002E-4</v>
      </c>
      <c r="W549" s="17">
        <v>0.54555880000000001</v>
      </c>
      <c r="X549" s="17">
        <v>1.8505210000000001</v>
      </c>
      <c r="Y549" s="17">
        <v>2.1775120000000001</v>
      </c>
    </row>
    <row r="550" spans="1:25" x14ac:dyDescent="0.25">
      <c r="A550" s="7">
        <v>41153</v>
      </c>
      <c r="B550" s="1">
        <v>1.1481399999999999E-2</v>
      </c>
      <c r="C550" s="17">
        <v>14.68191</v>
      </c>
      <c r="D550" s="17">
        <v>8.4699989999999996</v>
      </c>
      <c r="E550" s="17">
        <v>1.1559900000000001</v>
      </c>
      <c r="F550" s="1">
        <v>7.0700000000000001E-6</v>
      </c>
      <c r="G550" s="17">
        <v>8.4808999999999996E-3</v>
      </c>
      <c r="H550" s="17">
        <v>-1.6801109999999999</v>
      </c>
      <c r="I550" s="17">
        <v>0.87898080000000001</v>
      </c>
      <c r="J550" s="1">
        <v>1.9478E-3</v>
      </c>
      <c r="K550" s="17">
        <v>2.3625729999999998</v>
      </c>
      <c r="L550" s="17">
        <v>1.9516500000000001</v>
      </c>
      <c r="M550" s="17">
        <v>2.2503799999999998</v>
      </c>
      <c r="N550" s="1">
        <v>1.9302E-3</v>
      </c>
      <c r="O550" s="17">
        <v>2.3410280000000001</v>
      </c>
      <c r="P550" s="17">
        <v>1.8928970000000001</v>
      </c>
      <c r="Q550" s="17">
        <v>2.2099709999999999</v>
      </c>
      <c r="R550" s="1">
        <v>1.5766E-3</v>
      </c>
      <c r="S550" s="17">
        <v>1.908423</v>
      </c>
      <c r="T550" s="17">
        <v>1.50017</v>
      </c>
      <c r="U550" s="17">
        <v>2.2529750000000002</v>
      </c>
      <c r="V550" s="1">
        <v>1.4686E-3</v>
      </c>
      <c r="W550" s="17">
        <v>1.7766729999999999</v>
      </c>
      <c r="X550" s="17">
        <v>1.2978499999999999</v>
      </c>
      <c r="Y550" s="17">
        <v>2.1759650000000001</v>
      </c>
    </row>
    <row r="551" spans="1:25" x14ac:dyDescent="0.25">
      <c r="A551" s="7">
        <v>41183</v>
      </c>
      <c r="B551" s="1">
        <v>3.9081999999999997E-3</v>
      </c>
      <c r="C551" s="17">
        <v>4.7920309999999997</v>
      </c>
      <c r="D551" s="17">
        <v>12.210739999999999</v>
      </c>
      <c r="E551" s="17">
        <v>1.887785</v>
      </c>
      <c r="F551" s="1">
        <v>1.1976999999999999E-3</v>
      </c>
      <c r="G551" s="17">
        <v>1.4467760000000001</v>
      </c>
      <c r="H551" s="17">
        <v>-0.27873710000000002</v>
      </c>
      <c r="I551" s="17">
        <v>0.96560140000000005</v>
      </c>
      <c r="J551" s="1">
        <v>1.7403E-3</v>
      </c>
      <c r="K551" s="17">
        <v>2.1084830000000001</v>
      </c>
      <c r="L551" s="17">
        <v>2.0026830000000002</v>
      </c>
      <c r="M551" s="17">
        <v>2.231989</v>
      </c>
      <c r="N551" s="1">
        <v>1.8546000000000001E-3</v>
      </c>
      <c r="O551" s="17">
        <v>2.2483300000000002</v>
      </c>
      <c r="P551" s="17">
        <v>1.9906980000000001</v>
      </c>
      <c r="Q551" s="17">
        <v>2.2010040000000002</v>
      </c>
      <c r="R551" s="1">
        <v>1.4567E-3</v>
      </c>
      <c r="S551" s="17">
        <v>1.7620549999999999</v>
      </c>
      <c r="T551" s="17">
        <v>1.5407979999999999</v>
      </c>
      <c r="U551" s="17">
        <v>2.2138960000000001</v>
      </c>
      <c r="V551" s="1">
        <v>1.6201E-3</v>
      </c>
      <c r="W551" s="17">
        <v>1.9615370000000001</v>
      </c>
      <c r="X551" s="17">
        <v>1.42597</v>
      </c>
      <c r="Y551" s="17">
        <v>2.150995</v>
      </c>
    </row>
    <row r="552" spans="1:25" x14ac:dyDescent="0.25">
      <c r="A552" s="7">
        <v>41214</v>
      </c>
      <c r="B552" s="1">
        <v>-9.9243000000000005E-3</v>
      </c>
      <c r="C552" s="17">
        <v>-11.280139999999999</v>
      </c>
      <c r="D552" s="17">
        <v>2.1601089999999998</v>
      </c>
      <c r="E552" s="17">
        <v>0.78912850000000001</v>
      </c>
      <c r="F552" s="1">
        <v>-7.6170000000000003E-4</v>
      </c>
      <c r="G552" s="17">
        <v>-0.9102131</v>
      </c>
      <c r="H552" s="17">
        <v>0.17699290000000001</v>
      </c>
      <c r="I552" s="17">
        <v>0.70548730000000004</v>
      </c>
      <c r="J552" s="1">
        <v>1.6969000000000001E-3</v>
      </c>
      <c r="K552" s="17">
        <v>2.0553789999999998</v>
      </c>
      <c r="L552" s="17">
        <v>2.1753900000000002</v>
      </c>
      <c r="M552" s="17">
        <v>2.202448</v>
      </c>
      <c r="N552" s="1">
        <v>1.7304E-3</v>
      </c>
      <c r="O552" s="17">
        <v>2.0963120000000002</v>
      </c>
      <c r="P552" s="17">
        <v>2.228507</v>
      </c>
      <c r="Q552" s="17">
        <v>2.177851</v>
      </c>
      <c r="R552" s="1">
        <v>1.7126999999999999E-3</v>
      </c>
      <c r="S552" s="17">
        <v>2.0747140000000002</v>
      </c>
      <c r="T552" s="17">
        <v>1.914984</v>
      </c>
      <c r="U552" s="17">
        <v>2.1542759999999999</v>
      </c>
      <c r="V552" s="1">
        <v>1.7803999999999999E-3</v>
      </c>
      <c r="W552" s="17">
        <v>2.1574840000000002</v>
      </c>
      <c r="X552" s="17">
        <v>1.9651130000000001</v>
      </c>
      <c r="Y552" s="17">
        <v>2.0973380000000001</v>
      </c>
    </row>
    <row r="553" spans="1:25" x14ac:dyDescent="0.25">
      <c r="A553" s="7">
        <v>41244</v>
      </c>
      <c r="B553" s="1">
        <v>-3.8287E-3</v>
      </c>
      <c r="C553" s="17">
        <v>-4.4989619999999997</v>
      </c>
      <c r="D553" s="17">
        <v>-3.8862019999999999</v>
      </c>
      <c r="E553" s="17">
        <v>0.90528690000000001</v>
      </c>
      <c r="F553" s="1">
        <v>8.6799999999999996E-5</v>
      </c>
      <c r="G553" s="17">
        <v>0.1041889</v>
      </c>
      <c r="H553" s="17">
        <v>0.20893919999999999</v>
      </c>
      <c r="I553" s="17">
        <v>0.79849139999999996</v>
      </c>
      <c r="J553" s="1">
        <v>1.2279000000000001E-3</v>
      </c>
      <c r="K553" s="17">
        <v>1.483433</v>
      </c>
      <c r="L553" s="17">
        <v>1.8820380000000001</v>
      </c>
      <c r="M553" s="17">
        <v>2.1217779999999999</v>
      </c>
      <c r="N553" s="1">
        <v>1.2063E-3</v>
      </c>
      <c r="O553" s="17">
        <v>1.4571730000000001</v>
      </c>
      <c r="P553" s="17">
        <v>1.9333610000000001</v>
      </c>
      <c r="Q553" s="17">
        <v>2.089296</v>
      </c>
      <c r="R553" s="1">
        <v>9.7150000000000003E-4</v>
      </c>
      <c r="S553" s="17">
        <v>1.1720489999999999</v>
      </c>
      <c r="T553" s="17">
        <v>1.668917</v>
      </c>
      <c r="U553" s="17">
        <v>2.0401910000000001</v>
      </c>
      <c r="V553" s="1">
        <v>8.786E-4</v>
      </c>
      <c r="W553" s="17">
        <v>1.0594859999999999</v>
      </c>
      <c r="X553" s="17">
        <v>1.7250430000000001</v>
      </c>
      <c r="Y553" s="17">
        <v>1.9614339999999999</v>
      </c>
    </row>
    <row r="554" spans="1:25" x14ac:dyDescent="0.25">
      <c r="A554" s="7">
        <v>41275</v>
      </c>
      <c r="B554" s="1">
        <v>-1.1478E-3</v>
      </c>
      <c r="C554" s="17">
        <v>-1.3687069999999999</v>
      </c>
      <c r="D554" s="17">
        <v>-5.8078820000000002</v>
      </c>
      <c r="E554" s="17">
        <v>0.53891610000000001</v>
      </c>
      <c r="F554" s="1">
        <v>3.8663999999999999E-3</v>
      </c>
      <c r="G554" s="17">
        <v>4.739573</v>
      </c>
      <c r="H554" s="17">
        <v>1.281622</v>
      </c>
      <c r="I554" s="17">
        <v>1.1270990000000001</v>
      </c>
      <c r="J554" s="1">
        <v>1.9153E-3</v>
      </c>
      <c r="K554" s="17">
        <v>2.3227069999999999</v>
      </c>
      <c r="L554" s="17">
        <v>1.953238</v>
      </c>
      <c r="M554" s="17">
        <v>2.0709309999999999</v>
      </c>
      <c r="N554" s="1">
        <v>1.9705E-3</v>
      </c>
      <c r="O554" s="17">
        <v>2.3904079999999999</v>
      </c>
      <c r="P554" s="17">
        <v>1.980553</v>
      </c>
      <c r="Q554" s="17">
        <v>2.061693</v>
      </c>
      <c r="R554" s="1">
        <v>1.9905999999999999E-3</v>
      </c>
      <c r="S554" s="17">
        <v>2.4150960000000001</v>
      </c>
      <c r="T554" s="17">
        <v>1.885934</v>
      </c>
      <c r="U554" s="17">
        <v>1.956804</v>
      </c>
      <c r="V554" s="1">
        <v>2.1121999999999998E-3</v>
      </c>
      <c r="W554" s="17">
        <v>2.564308</v>
      </c>
      <c r="X554" s="17">
        <v>1.9251069999999999</v>
      </c>
      <c r="Y554" s="17">
        <v>1.9163079999999999</v>
      </c>
    </row>
    <row r="555" spans="1:25" x14ac:dyDescent="0.25">
      <c r="A555" s="7">
        <v>41306</v>
      </c>
      <c r="B555" s="1">
        <v>1.34717E-2</v>
      </c>
      <c r="C555" s="17">
        <v>17.4193</v>
      </c>
      <c r="D555" s="17">
        <v>3.4159280000000001</v>
      </c>
      <c r="E555" s="17">
        <v>1.4934639999999999</v>
      </c>
      <c r="F555" s="1">
        <v>6.9870000000000002E-4</v>
      </c>
      <c r="G555" s="17">
        <v>0.84169550000000004</v>
      </c>
      <c r="H555" s="17">
        <v>1.8750249999999999</v>
      </c>
      <c r="I555" s="17">
        <v>1.2556750000000001</v>
      </c>
      <c r="J555" s="1">
        <v>1.9818000000000001E-3</v>
      </c>
      <c r="K555" s="17">
        <v>2.4042690000000002</v>
      </c>
      <c r="L555" s="17">
        <v>2.069286</v>
      </c>
      <c r="M555" s="17">
        <v>2.1471830000000001</v>
      </c>
      <c r="N555" s="1">
        <v>2.0684000000000002E-3</v>
      </c>
      <c r="O555" s="17">
        <v>2.510567</v>
      </c>
      <c r="P555" s="17">
        <v>2.1182949999999998</v>
      </c>
      <c r="Q555" s="17">
        <v>2.1489720000000001</v>
      </c>
      <c r="R555" s="1">
        <v>1.761E-3</v>
      </c>
      <c r="S555" s="17">
        <v>2.133756</v>
      </c>
      <c r="T555" s="17">
        <v>1.905575</v>
      </c>
      <c r="U555" s="17">
        <v>2.0306359999999999</v>
      </c>
      <c r="V555" s="1">
        <v>1.8839E-3</v>
      </c>
      <c r="W555" s="17">
        <v>2.284265</v>
      </c>
      <c r="X555" s="17">
        <v>1.9672540000000001</v>
      </c>
      <c r="Y555" s="17">
        <v>2.0108730000000001</v>
      </c>
    </row>
    <row r="556" spans="1:25" x14ac:dyDescent="0.25">
      <c r="A556" s="7">
        <v>41334</v>
      </c>
      <c r="B556" s="1">
        <v>-1.0559199999999999E-2</v>
      </c>
      <c r="C556" s="17">
        <v>-11.96044</v>
      </c>
      <c r="D556" s="17">
        <v>0.64928450000000004</v>
      </c>
      <c r="E556" s="17">
        <v>4.1441499999999999E-2</v>
      </c>
      <c r="F556" s="1">
        <v>-7.2389999999999998E-4</v>
      </c>
      <c r="G556" s="17">
        <v>-0.86518300000000004</v>
      </c>
      <c r="H556" s="17">
        <v>1.545118</v>
      </c>
      <c r="I556" s="17">
        <v>0.8224745</v>
      </c>
      <c r="J556" s="1">
        <v>1.5311000000000001E-3</v>
      </c>
      <c r="K556" s="17">
        <v>1.852814</v>
      </c>
      <c r="L556" s="17">
        <v>2.192974</v>
      </c>
      <c r="M556" s="17">
        <v>2.0935609999999998</v>
      </c>
      <c r="N556" s="1">
        <v>1.4802999999999999E-3</v>
      </c>
      <c r="O556" s="17">
        <v>1.790953</v>
      </c>
      <c r="P556" s="17">
        <v>2.2301579999999999</v>
      </c>
      <c r="Q556" s="17">
        <v>2.0855060000000001</v>
      </c>
      <c r="R556" s="1">
        <v>1.4093E-3</v>
      </c>
      <c r="S556" s="17">
        <v>1.7043550000000001</v>
      </c>
      <c r="T556" s="17">
        <v>2.0839840000000001</v>
      </c>
      <c r="U556" s="17">
        <v>1.965533</v>
      </c>
      <c r="V556" s="1">
        <v>1.2872000000000001E-3</v>
      </c>
      <c r="W556" s="17">
        <v>1.5556559999999999</v>
      </c>
      <c r="X556" s="17">
        <v>2.1338569999999999</v>
      </c>
      <c r="Y556" s="17">
        <v>1.9245399999999999</v>
      </c>
    </row>
    <row r="557" spans="1:25" x14ac:dyDescent="0.25">
      <c r="A557" s="7">
        <v>41365</v>
      </c>
      <c r="B557" s="1">
        <v>-6.5868000000000003E-3</v>
      </c>
      <c r="C557" s="17">
        <v>-7.6240040000000002</v>
      </c>
      <c r="D557" s="17">
        <v>-1.525112</v>
      </c>
      <c r="E557" s="17">
        <v>-0.80651090000000003</v>
      </c>
      <c r="F557" s="1">
        <v>1.1826E-3</v>
      </c>
      <c r="G557" s="17">
        <v>1.4284269999999999</v>
      </c>
      <c r="H557" s="17">
        <v>0.46358680000000002</v>
      </c>
      <c r="I557" s="17">
        <v>0.51833879999999999</v>
      </c>
      <c r="J557" s="1">
        <v>7.3749999999999998E-4</v>
      </c>
      <c r="K557" s="17">
        <v>0.88862359999999996</v>
      </c>
      <c r="L557" s="17">
        <v>1.7133039999999999</v>
      </c>
      <c r="M557" s="17">
        <v>1.9651080000000001</v>
      </c>
      <c r="N557" s="1">
        <v>4.751E-4</v>
      </c>
      <c r="O557" s="17">
        <v>0.5716</v>
      </c>
      <c r="P557" s="17">
        <v>1.6212169999999999</v>
      </c>
      <c r="Q557" s="17">
        <v>1.9343109999999999</v>
      </c>
      <c r="R557" s="1">
        <v>-1.19E-5</v>
      </c>
      <c r="S557" s="17">
        <v>-1.43272E-2</v>
      </c>
      <c r="T557" s="17">
        <v>1.2703260000000001</v>
      </c>
      <c r="U557" s="17">
        <v>1.7735939999999999</v>
      </c>
      <c r="V557" s="1">
        <v>-6.6790000000000003E-4</v>
      </c>
      <c r="W557" s="17">
        <v>-0.79854519999999996</v>
      </c>
      <c r="X557" s="17">
        <v>1.0051829999999999</v>
      </c>
      <c r="Y557" s="17">
        <v>1.676105</v>
      </c>
    </row>
    <row r="558" spans="1:25" x14ac:dyDescent="0.25">
      <c r="A558" s="7">
        <v>41395</v>
      </c>
      <c r="B558" s="1">
        <v>2.1489E-3</v>
      </c>
      <c r="C558" s="17">
        <v>2.609378</v>
      </c>
      <c r="D558" s="17">
        <v>-5.8526680000000004</v>
      </c>
      <c r="E558" s="17">
        <v>0.21641949999999999</v>
      </c>
      <c r="F558" s="1">
        <v>4.3000000000000002E-5</v>
      </c>
      <c r="G558" s="17">
        <v>5.1618200000000003E-2</v>
      </c>
      <c r="H558" s="17">
        <v>0.20052690000000001</v>
      </c>
      <c r="I558" s="17">
        <v>0.2767732</v>
      </c>
      <c r="J558" s="1">
        <v>1.5336E-3</v>
      </c>
      <c r="K558" s="17">
        <v>1.8559060000000001</v>
      </c>
      <c r="L558" s="17">
        <v>1.531425</v>
      </c>
      <c r="M558" s="17">
        <v>1.9485189999999999</v>
      </c>
      <c r="N558" s="1">
        <v>1.5516E-3</v>
      </c>
      <c r="O558" s="17">
        <v>1.877856</v>
      </c>
      <c r="P558" s="17">
        <v>1.4117120000000001</v>
      </c>
      <c r="Q558" s="17">
        <v>1.9260219999999999</v>
      </c>
      <c r="R558" s="1">
        <v>9.4430000000000002E-4</v>
      </c>
      <c r="S558" s="17">
        <v>1.1390819999999999</v>
      </c>
      <c r="T558" s="17">
        <v>0.94049819999999995</v>
      </c>
      <c r="U558" s="17">
        <v>1.6877249999999999</v>
      </c>
      <c r="V558" s="1">
        <v>8.6089999999999995E-4</v>
      </c>
      <c r="W558" s="17">
        <v>1.0379400000000001</v>
      </c>
      <c r="X558" s="17">
        <v>0.59325919999999999</v>
      </c>
      <c r="Y558" s="17">
        <v>1.5923750000000001</v>
      </c>
    </row>
    <row r="559" spans="1:25" x14ac:dyDescent="0.25">
      <c r="A559" s="7">
        <v>41426</v>
      </c>
      <c r="B559" s="1">
        <v>6.5161999999999998E-3</v>
      </c>
      <c r="C559" s="17">
        <v>8.1058710000000005</v>
      </c>
      <c r="D559" s="17">
        <v>0.81654800000000005</v>
      </c>
      <c r="E559" s="17">
        <v>1.4166989999999999</v>
      </c>
      <c r="F559" s="1">
        <v>8.5780000000000003E-4</v>
      </c>
      <c r="G559" s="17">
        <v>1.0342180000000001</v>
      </c>
      <c r="H559" s="17">
        <v>0.83642289999999997</v>
      </c>
      <c r="I559" s="17">
        <v>0.22038840000000001</v>
      </c>
      <c r="J559" s="1">
        <v>1.6703E-3</v>
      </c>
      <c r="K559" s="17">
        <v>2.0229059999999999</v>
      </c>
      <c r="L559" s="17">
        <v>1.587912</v>
      </c>
      <c r="M559" s="17">
        <v>1.9034150000000001</v>
      </c>
      <c r="N559" s="1">
        <v>1.6942000000000001E-3</v>
      </c>
      <c r="O559" s="17">
        <v>2.0521370000000001</v>
      </c>
      <c r="P559" s="17">
        <v>1.4983740000000001</v>
      </c>
      <c r="Q559" s="17">
        <v>1.8883650000000001</v>
      </c>
      <c r="R559" s="1">
        <v>1.3548E-3</v>
      </c>
      <c r="S559" s="17">
        <v>1.6379870000000001</v>
      </c>
      <c r="T559" s="17">
        <v>0.91853689999999999</v>
      </c>
      <c r="U559" s="17">
        <v>1.5420389999999999</v>
      </c>
      <c r="V559" s="1">
        <v>1.3378000000000001E-3</v>
      </c>
      <c r="W559" s="17">
        <v>1.6171720000000001</v>
      </c>
      <c r="X559" s="17">
        <v>0.61356619999999995</v>
      </c>
      <c r="Y559" s="17">
        <v>1.4410179999999999</v>
      </c>
    </row>
    <row r="560" spans="1:25" x14ac:dyDescent="0.25">
      <c r="A560" s="7">
        <v>41456</v>
      </c>
      <c r="B560" s="1">
        <v>2.0151000000000001E-3</v>
      </c>
      <c r="C560" s="17">
        <v>2.4451200000000002</v>
      </c>
      <c r="D560" s="17">
        <v>4.3540239999999999</v>
      </c>
      <c r="E560" s="17">
        <v>2.0871119999999999</v>
      </c>
      <c r="F560" s="1">
        <v>2.6291999999999999E-3</v>
      </c>
      <c r="G560" s="17">
        <v>3.2010160000000001</v>
      </c>
      <c r="H560" s="17">
        <v>1.4204479999999999</v>
      </c>
      <c r="I560" s="17">
        <v>0.71940599999999999</v>
      </c>
      <c r="J560" s="1">
        <v>1.4352E-3</v>
      </c>
      <c r="K560" s="17">
        <v>1.7358450000000001</v>
      </c>
      <c r="L560" s="17">
        <v>1.8714850000000001</v>
      </c>
      <c r="M560" s="17">
        <v>1.8851180000000001</v>
      </c>
      <c r="N560" s="1">
        <v>1.4047E-3</v>
      </c>
      <c r="O560" s="17">
        <v>1.6987460000000001</v>
      </c>
      <c r="P560" s="17">
        <v>1.876144</v>
      </c>
      <c r="Q560" s="17">
        <v>1.8670439999999999</v>
      </c>
      <c r="R560" s="1">
        <v>1.2516000000000001E-3</v>
      </c>
      <c r="S560" s="17">
        <v>1.5123310000000001</v>
      </c>
      <c r="T560" s="17">
        <v>1.4295789999999999</v>
      </c>
      <c r="U560" s="17">
        <v>1.5314080000000001</v>
      </c>
      <c r="V560" s="1">
        <v>1.1559000000000001E-3</v>
      </c>
      <c r="W560" s="17">
        <v>1.3959919999999999</v>
      </c>
      <c r="X560" s="17">
        <v>1.350087</v>
      </c>
      <c r="Y560" s="17">
        <v>1.4260550000000001</v>
      </c>
    </row>
    <row r="561" spans="1:25" x14ac:dyDescent="0.25">
      <c r="A561" s="7">
        <v>41487</v>
      </c>
      <c r="B561" s="1">
        <v>-8.943E-4</v>
      </c>
      <c r="C561" s="17">
        <v>-1.067847</v>
      </c>
      <c r="D561" s="17">
        <v>3.092247</v>
      </c>
      <c r="E561" s="17">
        <v>0.62958939999999997</v>
      </c>
      <c r="F561" s="1">
        <v>7.1049999999999998E-4</v>
      </c>
      <c r="G561" s="17">
        <v>0.85592000000000001</v>
      </c>
      <c r="H561" s="17">
        <v>1.691492</v>
      </c>
      <c r="I561" s="17">
        <v>0.98284139999999998</v>
      </c>
      <c r="J561" s="1">
        <v>1.5292000000000001E-3</v>
      </c>
      <c r="K561" s="17">
        <v>1.8505069999999999</v>
      </c>
      <c r="L561" s="17">
        <v>1.869685</v>
      </c>
      <c r="M561" s="17">
        <v>1.911151</v>
      </c>
      <c r="N561" s="1">
        <v>1.5058999999999999E-3</v>
      </c>
      <c r="O561" s="17">
        <v>1.8221579999999999</v>
      </c>
      <c r="P561" s="17">
        <v>1.857575</v>
      </c>
      <c r="Q561" s="17">
        <v>1.9035359999999999</v>
      </c>
      <c r="R561" s="1">
        <v>7.8779999999999996E-4</v>
      </c>
      <c r="S561" s="17">
        <v>0.94950460000000003</v>
      </c>
      <c r="T561" s="17">
        <v>1.3661650000000001</v>
      </c>
      <c r="U561" s="17">
        <v>1.530988</v>
      </c>
      <c r="V561" s="1">
        <v>5.9400000000000002E-4</v>
      </c>
      <c r="W561" s="17">
        <v>0.71518899999999996</v>
      </c>
      <c r="X561" s="17">
        <v>1.242056</v>
      </c>
      <c r="Y561" s="17">
        <v>1.440304</v>
      </c>
    </row>
    <row r="562" spans="1:25" x14ac:dyDescent="0.25">
      <c r="A562" s="7">
        <v>41518</v>
      </c>
      <c r="B562" s="1">
        <v>7.7689999999999996E-4</v>
      </c>
      <c r="C562" s="17">
        <v>0.93622139999999998</v>
      </c>
      <c r="D562" s="17">
        <v>0.76087400000000005</v>
      </c>
      <c r="E562" s="17">
        <v>-0.43537900000000002</v>
      </c>
      <c r="F562" s="1">
        <v>-4.5649999999999998E-4</v>
      </c>
      <c r="G562" s="17">
        <v>-0.54640540000000004</v>
      </c>
      <c r="H562" s="17">
        <v>1.1584000000000001</v>
      </c>
      <c r="I562" s="17">
        <v>0.93603119999999995</v>
      </c>
      <c r="J562" s="1">
        <v>1.6119000000000001E-3</v>
      </c>
      <c r="K562" s="17">
        <v>1.95146</v>
      </c>
      <c r="L562" s="17">
        <v>1.845899</v>
      </c>
      <c r="M562" s="17">
        <v>1.8769800000000001</v>
      </c>
      <c r="N562" s="1">
        <v>1.6975E-3</v>
      </c>
      <c r="O562" s="17">
        <v>2.05613</v>
      </c>
      <c r="P562" s="17">
        <v>1.858903</v>
      </c>
      <c r="Q562" s="17">
        <v>1.879866</v>
      </c>
      <c r="R562" s="1">
        <v>1.1483000000000001E-3</v>
      </c>
      <c r="S562" s="17">
        <v>1.386673</v>
      </c>
      <c r="T562" s="17">
        <v>1.2825489999999999</v>
      </c>
      <c r="U562" s="17">
        <v>1.487568</v>
      </c>
      <c r="V562" s="1">
        <v>1.2209E-3</v>
      </c>
      <c r="W562" s="17">
        <v>1.474926</v>
      </c>
      <c r="X562" s="17">
        <v>1.194793</v>
      </c>
      <c r="Y562" s="17">
        <v>1.4152070000000001</v>
      </c>
    </row>
    <row r="563" spans="1:25" x14ac:dyDescent="0.25">
      <c r="A563" s="7">
        <v>41548</v>
      </c>
      <c r="B563" s="1">
        <v>-3.4764000000000001E-3</v>
      </c>
      <c r="C563" s="17">
        <v>-4.092816</v>
      </c>
      <c r="D563" s="17">
        <v>-1.4298960000000001</v>
      </c>
      <c r="E563" s="17">
        <v>-1.1677649999999999</v>
      </c>
      <c r="F563" s="1">
        <v>-2.1838999999999999E-3</v>
      </c>
      <c r="G563" s="17">
        <v>-2.5894529999999998</v>
      </c>
      <c r="H563" s="17">
        <v>-0.77008480000000001</v>
      </c>
      <c r="I563" s="17">
        <v>0.59510969999999996</v>
      </c>
      <c r="J563" s="1">
        <v>1.7136E-3</v>
      </c>
      <c r="K563" s="17">
        <v>2.075771</v>
      </c>
      <c r="L563" s="17">
        <v>1.9592039999999999</v>
      </c>
      <c r="M563" s="17">
        <v>1.8742589999999999</v>
      </c>
      <c r="N563" s="1">
        <v>1.7528000000000001E-3</v>
      </c>
      <c r="O563" s="17">
        <v>2.1237900000000001</v>
      </c>
      <c r="P563" s="17">
        <v>2.0006110000000001</v>
      </c>
      <c r="Q563" s="17">
        <v>1.8695189999999999</v>
      </c>
      <c r="R563" s="1">
        <v>1.439E-3</v>
      </c>
      <c r="S563" s="17">
        <v>1.7405459999999999</v>
      </c>
      <c r="T563" s="17">
        <v>1.3583909999999999</v>
      </c>
      <c r="U563" s="17">
        <v>1.4857800000000001</v>
      </c>
      <c r="V563" s="1">
        <v>1.4599000000000001E-3</v>
      </c>
      <c r="W563" s="17">
        <v>1.765976</v>
      </c>
      <c r="X563" s="17">
        <v>1.3177270000000001</v>
      </c>
      <c r="Y563" s="17">
        <v>1.3989830000000001</v>
      </c>
    </row>
    <row r="564" spans="1:25" x14ac:dyDescent="0.25">
      <c r="A564" s="7">
        <v>41579</v>
      </c>
      <c r="B564" s="1">
        <v>-9.6829999999999996E-4</v>
      </c>
      <c r="C564" s="17">
        <v>-1.1557539999999999</v>
      </c>
      <c r="D564" s="17">
        <v>-1.4591000000000001</v>
      </c>
      <c r="E564" s="17">
        <v>-0.27374850000000001</v>
      </c>
      <c r="F564" s="1">
        <v>8.3750000000000003E-4</v>
      </c>
      <c r="G564" s="17">
        <v>1.009655</v>
      </c>
      <c r="H564" s="17">
        <v>-0.71969170000000005</v>
      </c>
      <c r="I564" s="17">
        <v>0.75610440000000001</v>
      </c>
      <c r="J564" s="1">
        <v>1.9471E-3</v>
      </c>
      <c r="K564" s="17">
        <v>2.3617629999999998</v>
      </c>
      <c r="L564" s="17">
        <v>2.1295199999999999</v>
      </c>
      <c r="M564" s="17">
        <v>1.8997109999999999</v>
      </c>
      <c r="N564" s="1">
        <v>1.8938E-3</v>
      </c>
      <c r="O564" s="17">
        <v>2.2963399999999998</v>
      </c>
      <c r="P564" s="17">
        <v>2.158703</v>
      </c>
      <c r="Q564" s="17">
        <v>1.886136</v>
      </c>
      <c r="R564" s="1">
        <v>1.5158000000000001E-3</v>
      </c>
      <c r="S564" s="17">
        <v>1.8342540000000001</v>
      </c>
      <c r="T564" s="17">
        <v>1.6536409999999999</v>
      </c>
      <c r="U564" s="17">
        <v>1.465835</v>
      </c>
      <c r="V564" s="1">
        <v>1.3258E-3</v>
      </c>
      <c r="W564" s="17">
        <v>1.602598</v>
      </c>
      <c r="X564" s="17">
        <v>1.61443</v>
      </c>
      <c r="Y564" s="17">
        <v>1.3529709999999999</v>
      </c>
    </row>
    <row r="565" spans="1:25" x14ac:dyDescent="0.25">
      <c r="A565" s="7">
        <v>41609</v>
      </c>
      <c r="B565" s="1">
        <v>5.4349000000000003E-3</v>
      </c>
      <c r="C565" s="17">
        <v>6.7203850000000003</v>
      </c>
      <c r="D565" s="17">
        <v>0.3883471</v>
      </c>
      <c r="E565" s="17">
        <v>0.6536286</v>
      </c>
      <c r="F565" s="1">
        <v>1.2275000000000001E-3</v>
      </c>
      <c r="G565" s="17">
        <v>1.483034</v>
      </c>
      <c r="H565" s="17">
        <v>-4.89326E-2</v>
      </c>
      <c r="I565" s="17">
        <v>0.87103269999999999</v>
      </c>
      <c r="J565" s="1">
        <v>1.0192000000000001E-3</v>
      </c>
      <c r="K565" s="17">
        <v>1.2298720000000001</v>
      </c>
      <c r="L565" s="17">
        <v>1.8879999999999999</v>
      </c>
      <c r="M565" s="17">
        <v>1.8784700000000001</v>
      </c>
      <c r="N565" s="1">
        <v>9.8039999999999998E-4</v>
      </c>
      <c r="O565" s="17">
        <v>1.182801</v>
      </c>
      <c r="P565" s="17">
        <v>1.866466</v>
      </c>
      <c r="Q565" s="17">
        <v>1.8631470000000001</v>
      </c>
      <c r="R565" s="1">
        <v>-1.9029999999999999E-4</v>
      </c>
      <c r="S565" s="17">
        <v>-0.22811229999999999</v>
      </c>
      <c r="T565" s="17">
        <v>1.1110720000000001</v>
      </c>
      <c r="U565" s="17">
        <v>1.348068</v>
      </c>
      <c r="V565" s="1">
        <v>-5.0549999999999998E-4</v>
      </c>
      <c r="W565" s="17">
        <v>-0.60488419999999998</v>
      </c>
      <c r="X565" s="17">
        <v>0.91540929999999998</v>
      </c>
      <c r="Y565" s="17">
        <v>1.2128099999999999</v>
      </c>
    </row>
    <row r="566" spans="1:25" x14ac:dyDescent="0.25">
      <c r="A566" s="7">
        <v>41640</v>
      </c>
      <c r="B566" s="1">
        <v>1.9348E-3</v>
      </c>
      <c r="C566" s="17">
        <v>2.346635</v>
      </c>
      <c r="D566" s="17">
        <v>2.5866340000000001</v>
      </c>
      <c r="E566" s="17">
        <v>0.96426149999999999</v>
      </c>
      <c r="F566" s="1">
        <v>-8.9490000000000001E-4</v>
      </c>
      <c r="G566" s="17">
        <v>-1.068557</v>
      </c>
      <c r="H566" s="17">
        <v>0.46857080000000001</v>
      </c>
      <c r="I566" s="17">
        <v>0.39261400000000002</v>
      </c>
      <c r="J566" s="1">
        <v>1.5102E-3</v>
      </c>
      <c r="K566" s="17">
        <v>1.8273820000000001</v>
      </c>
      <c r="L566" s="17">
        <v>1.8052889999999999</v>
      </c>
      <c r="M566" s="17">
        <v>1.8372809999999999</v>
      </c>
      <c r="N566" s="1">
        <v>1.6225E-3</v>
      </c>
      <c r="O566" s="17">
        <v>1.964418</v>
      </c>
      <c r="P566" s="17">
        <v>1.8134479999999999</v>
      </c>
      <c r="Q566" s="17">
        <v>1.827763</v>
      </c>
      <c r="R566" s="1">
        <v>1.0065E-3</v>
      </c>
      <c r="S566" s="17">
        <v>1.2144950000000001</v>
      </c>
      <c r="T566" s="17">
        <v>0.93650480000000003</v>
      </c>
      <c r="U566" s="17">
        <v>1.248524</v>
      </c>
      <c r="V566" s="1">
        <v>1.1225E-3</v>
      </c>
      <c r="W566" s="17">
        <v>1.355399</v>
      </c>
      <c r="X566" s="17">
        <v>0.77951119999999996</v>
      </c>
      <c r="Y566" s="17">
        <v>1.112854</v>
      </c>
    </row>
    <row r="567" spans="1:25" x14ac:dyDescent="0.25">
      <c r="A567" s="7">
        <v>41671</v>
      </c>
      <c r="B567" s="1">
        <v>-2.6790000000000001E-4</v>
      </c>
      <c r="C567" s="17">
        <v>-0.32098199999999999</v>
      </c>
      <c r="D567" s="17">
        <v>2.8746179999999999</v>
      </c>
      <c r="E567" s="17">
        <v>-0.4045048</v>
      </c>
      <c r="F567" s="1">
        <v>-4.9430000000000003E-4</v>
      </c>
      <c r="G567" s="17">
        <v>-0.59154229999999997</v>
      </c>
      <c r="H567" s="17">
        <v>-6.5132499999999996E-2</v>
      </c>
      <c r="I567" s="17">
        <v>0.2729278</v>
      </c>
      <c r="J567" s="1">
        <v>1.6788E-3</v>
      </c>
      <c r="K567" s="17">
        <v>2.0332819999999998</v>
      </c>
      <c r="L567" s="17">
        <v>1.6962740000000001</v>
      </c>
      <c r="M567" s="17">
        <v>1.8064849999999999</v>
      </c>
      <c r="N567" s="1">
        <v>1.6501E-3</v>
      </c>
      <c r="O567" s="17">
        <v>1.9981910000000001</v>
      </c>
      <c r="P567" s="17">
        <v>1.7144379999999999</v>
      </c>
      <c r="Q567" s="17">
        <v>1.7852520000000001</v>
      </c>
      <c r="R567" s="1">
        <v>1.4201999999999999E-3</v>
      </c>
      <c r="S567" s="17">
        <v>1.717652</v>
      </c>
      <c r="T567" s="17">
        <v>0.89796549999999997</v>
      </c>
      <c r="U567" s="17">
        <v>1.2140850000000001</v>
      </c>
      <c r="V567" s="1">
        <v>1.3133999999999999E-3</v>
      </c>
      <c r="W567" s="17">
        <v>1.587477</v>
      </c>
      <c r="X567" s="17">
        <v>0.77451130000000001</v>
      </c>
      <c r="Y567" s="17">
        <v>1.0552729999999999</v>
      </c>
    </row>
    <row r="568" spans="1:25" x14ac:dyDescent="0.25">
      <c r="A568" s="7">
        <v>41699</v>
      </c>
      <c r="B568" s="1">
        <v>2.0742E-3</v>
      </c>
      <c r="C568" s="17">
        <v>2.517639</v>
      </c>
      <c r="D568" s="17">
        <v>1.50606</v>
      </c>
      <c r="E568" s="17">
        <v>0.86715140000000002</v>
      </c>
      <c r="F568" s="1">
        <v>2.6955999999999998E-3</v>
      </c>
      <c r="G568" s="17">
        <v>3.2830889999999999</v>
      </c>
      <c r="H568" s="17">
        <v>0.52227290000000004</v>
      </c>
      <c r="I568" s="17">
        <v>0.61605370000000004</v>
      </c>
      <c r="J568" s="1">
        <v>2.0072000000000002E-3</v>
      </c>
      <c r="K568" s="17">
        <v>2.435384</v>
      </c>
      <c r="L568" s="17">
        <v>2.0983700000000001</v>
      </c>
      <c r="M568" s="17">
        <v>1.854884</v>
      </c>
      <c r="N568" s="1">
        <v>1.9285000000000001E-3</v>
      </c>
      <c r="O568" s="17">
        <v>2.338886</v>
      </c>
      <c r="P568" s="17">
        <v>2.1003590000000001</v>
      </c>
      <c r="Q568" s="17">
        <v>1.8307979999999999</v>
      </c>
      <c r="R568" s="1">
        <v>1.4622000000000001E-3</v>
      </c>
      <c r="S568" s="17">
        <v>1.76884</v>
      </c>
      <c r="T568" s="17">
        <v>1.5666869999999999</v>
      </c>
      <c r="U568" s="17">
        <v>1.2194309999999999</v>
      </c>
      <c r="V568" s="1">
        <v>1.2018E-3</v>
      </c>
      <c r="W568" s="17">
        <v>1.451743</v>
      </c>
      <c r="X568" s="17">
        <v>1.464828</v>
      </c>
      <c r="Y568" s="17">
        <v>1.0466519999999999</v>
      </c>
    </row>
    <row r="569" spans="1:25" x14ac:dyDescent="0.25">
      <c r="A569" s="7">
        <v>41730</v>
      </c>
      <c r="B569" s="1">
        <v>2.7487000000000002E-3</v>
      </c>
      <c r="C569" s="17">
        <v>3.3487650000000002</v>
      </c>
      <c r="D569" s="17">
        <v>1.8362849999999999</v>
      </c>
      <c r="E569" s="17">
        <v>1.81504</v>
      </c>
      <c r="F569" s="1">
        <v>1.6194E-3</v>
      </c>
      <c r="G569" s="17">
        <v>1.9606790000000001</v>
      </c>
      <c r="H569" s="17">
        <v>1.5379579999999999</v>
      </c>
      <c r="I569" s="17">
        <v>0.65994730000000001</v>
      </c>
      <c r="J569" s="1">
        <v>2.4870999999999999E-3</v>
      </c>
      <c r="K569" s="17">
        <v>3.0257360000000002</v>
      </c>
      <c r="L569" s="17">
        <v>2.4973239999999999</v>
      </c>
      <c r="M569" s="17">
        <v>2.0329600000000001</v>
      </c>
      <c r="N569" s="1">
        <v>2.4908E-3</v>
      </c>
      <c r="O569" s="17">
        <v>3.0303070000000001</v>
      </c>
      <c r="P569" s="17">
        <v>2.4548960000000002</v>
      </c>
      <c r="Q569" s="17">
        <v>2.0359669999999999</v>
      </c>
      <c r="R569" s="1">
        <v>2.6760999999999998E-3</v>
      </c>
      <c r="S569" s="17">
        <v>3.259058</v>
      </c>
      <c r="T569" s="17">
        <v>2.2460260000000001</v>
      </c>
      <c r="U569" s="17">
        <v>1.49152</v>
      </c>
      <c r="V569" s="1">
        <v>2.7209999999999999E-3</v>
      </c>
      <c r="W569" s="17">
        <v>3.3145180000000001</v>
      </c>
      <c r="X569" s="17">
        <v>2.1144059999999998</v>
      </c>
      <c r="Y569" s="17">
        <v>1.389319</v>
      </c>
    </row>
    <row r="570" spans="1:25" x14ac:dyDescent="0.25">
      <c r="A570" s="7">
        <v>41760</v>
      </c>
      <c r="B570" s="1">
        <v>6.0660000000000002E-3</v>
      </c>
      <c r="C570" s="17">
        <v>7.5270580000000002</v>
      </c>
      <c r="D570" s="17">
        <v>4.4416890000000002</v>
      </c>
      <c r="E570" s="17">
        <v>2.213006</v>
      </c>
      <c r="F570" s="1">
        <v>2.8202000000000001E-3</v>
      </c>
      <c r="G570" s="17">
        <v>3.4372780000000001</v>
      </c>
      <c r="H570" s="17">
        <v>2.8915410000000001</v>
      </c>
      <c r="I570" s="17">
        <v>0.93949150000000003</v>
      </c>
      <c r="J570" s="1">
        <v>2.3681000000000002E-3</v>
      </c>
      <c r="K570" s="17">
        <v>2.8789739999999999</v>
      </c>
      <c r="L570" s="17">
        <v>2.779725</v>
      </c>
      <c r="M570" s="17">
        <v>2.1179730000000001</v>
      </c>
      <c r="N570" s="1">
        <v>2.4581999999999998E-3</v>
      </c>
      <c r="O570" s="17">
        <v>2.9900859999999998</v>
      </c>
      <c r="P570" s="17">
        <v>2.7859370000000001</v>
      </c>
      <c r="Q570" s="17">
        <v>2.1283349999999999</v>
      </c>
      <c r="R570" s="1">
        <v>2.2168000000000001E-3</v>
      </c>
      <c r="S570" s="17">
        <v>2.6927949999999998</v>
      </c>
      <c r="T570" s="17">
        <v>2.5717240000000001</v>
      </c>
      <c r="U570" s="17">
        <v>1.6205419999999999</v>
      </c>
      <c r="V570" s="1">
        <v>2.3606999999999999E-3</v>
      </c>
      <c r="W570" s="17">
        <v>2.869869</v>
      </c>
      <c r="X570" s="17">
        <v>2.5422910000000001</v>
      </c>
      <c r="Y570" s="17">
        <v>1.5412520000000001</v>
      </c>
    </row>
    <row r="571" spans="1:25" x14ac:dyDescent="0.25">
      <c r="A571" s="7">
        <v>41791</v>
      </c>
      <c r="B571" s="1">
        <v>4.3743000000000002E-3</v>
      </c>
      <c r="C571" s="17">
        <v>5.3773600000000004</v>
      </c>
      <c r="D571" s="17">
        <v>5.4039260000000002</v>
      </c>
      <c r="E571" s="17">
        <v>1.9954970000000001</v>
      </c>
      <c r="F571" s="1">
        <v>-1.5152E-3</v>
      </c>
      <c r="G571" s="17">
        <v>-1.8032060000000001</v>
      </c>
      <c r="H571" s="17">
        <v>1.1740269999999999</v>
      </c>
      <c r="I571" s="17">
        <v>0.70016480000000003</v>
      </c>
      <c r="J571" s="1">
        <v>1.8668999999999999E-3</v>
      </c>
      <c r="K571" s="17">
        <v>2.2634569999999998</v>
      </c>
      <c r="L571" s="17">
        <v>2.722191</v>
      </c>
      <c r="M571" s="17">
        <v>2.1380159999999999</v>
      </c>
      <c r="N571" s="1">
        <v>1.8956000000000001E-3</v>
      </c>
      <c r="O571" s="17">
        <v>2.298575</v>
      </c>
      <c r="P571" s="17">
        <v>2.77244</v>
      </c>
      <c r="Q571" s="17">
        <v>2.1488640000000001</v>
      </c>
      <c r="R571" s="1">
        <v>1.5719E-3</v>
      </c>
      <c r="S571" s="17">
        <v>1.902703</v>
      </c>
      <c r="T571" s="17">
        <v>2.6166770000000001</v>
      </c>
      <c r="U571" s="17">
        <v>1.642571</v>
      </c>
      <c r="V571" s="1">
        <v>1.5685E-3</v>
      </c>
      <c r="W571" s="17">
        <v>1.898493</v>
      </c>
      <c r="X571" s="17">
        <v>2.6925889999999999</v>
      </c>
      <c r="Y571" s="17">
        <v>1.564649</v>
      </c>
    </row>
    <row r="572" spans="1:25" x14ac:dyDescent="0.25">
      <c r="A572" s="7">
        <v>41821</v>
      </c>
      <c r="B572" s="1">
        <v>3.591E-4</v>
      </c>
      <c r="C572" s="17">
        <v>0.43176399999999998</v>
      </c>
      <c r="D572" s="17">
        <v>4.4027779999999996</v>
      </c>
      <c r="E572" s="17">
        <v>1.8269299999999999</v>
      </c>
      <c r="F572" s="1">
        <v>8.7399999999999999E-4</v>
      </c>
      <c r="G572" s="17">
        <v>1.053796</v>
      </c>
      <c r="H572" s="17">
        <v>0.87317120000000004</v>
      </c>
      <c r="I572" s="17">
        <v>0.52387830000000002</v>
      </c>
      <c r="J572" s="1">
        <v>1.0725999999999999E-3</v>
      </c>
      <c r="K572" s="17">
        <v>1.294786</v>
      </c>
      <c r="L572" s="17">
        <v>2.143656</v>
      </c>
      <c r="M572" s="17">
        <v>2.1010420000000001</v>
      </c>
      <c r="N572" s="1">
        <v>9.2469999999999998E-4</v>
      </c>
      <c r="O572" s="17">
        <v>1.115318</v>
      </c>
      <c r="P572" s="17">
        <v>2.1317210000000002</v>
      </c>
      <c r="Q572" s="17">
        <v>2.099901</v>
      </c>
      <c r="R572" s="1">
        <v>-7.3899999999999994E-5</v>
      </c>
      <c r="S572" s="17">
        <v>-8.8619000000000003E-2</v>
      </c>
      <c r="T572" s="17">
        <v>1.495522</v>
      </c>
      <c r="U572" s="17">
        <v>1.5080119999999999</v>
      </c>
      <c r="V572" s="1">
        <v>-5.8810000000000004E-4</v>
      </c>
      <c r="W572" s="17">
        <v>-0.70340599999999998</v>
      </c>
      <c r="X572" s="17">
        <v>1.343702</v>
      </c>
      <c r="Y572" s="17">
        <v>1.3877219999999999</v>
      </c>
    </row>
    <row r="573" spans="1:25" x14ac:dyDescent="0.25">
      <c r="K573" s="34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536"/>
  <sheetViews>
    <sheetView topLeftCell="A17" workbookViewId="0">
      <selection activeCell="A17" sqref="A1:XFD1048576"/>
    </sheetView>
  </sheetViews>
  <sheetFormatPr defaultRowHeight="15" x14ac:dyDescent="0.25"/>
  <cols>
    <col min="1" max="1" width="9.140625" style="18"/>
    <col min="2" max="2" width="9.7109375" style="18" bestFit="1" customWidth="1"/>
    <col min="3" max="16384" width="9.140625" style="18"/>
  </cols>
  <sheetData>
    <row r="2" spans="1:18" x14ac:dyDescent="0.25">
      <c r="A2" s="19"/>
      <c r="D2" s="20"/>
      <c r="E2" s="20"/>
      <c r="F2" s="20"/>
      <c r="H2" s="20"/>
      <c r="I2" s="20"/>
      <c r="J2" s="20"/>
      <c r="L2" s="20"/>
      <c r="M2" s="20"/>
      <c r="N2" s="20"/>
      <c r="P2" s="20"/>
      <c r="Q2" s="20"/>
      <c r="R2" s="20"/>
    </row>
    <row r="3" spans="1:18" x14ac:dyDescent="0.25">
      <c r="A3" s="21"/>
      <c r="C3" s="22"/>
      <c r="D3" s="20"/>
      <c r="E3" s="23"/>
      <c r="F3" s="20"/>
      <c r="H3" s="20"/>
      <c r="I3" s="20"/>
      <c r="J3" s="20"/>
      <c r="L3" s="20"/>
      <c r="M3" s="20"/>
      <c r="N3" s="20"/>
      <c r="P3" s="20"/>
      <c r="Q3" s="20"/>
      <c r="R3" s="20"/>
    </row>
    <row r="4" spans="1:18" x14ac:dyDescent="0.25">
      <c r="A4" s="21"/>
      <c r="C4" s="22"/>
      <c r="D4" s="20"/>
      <c r="E4" s="23"/>
      <c r="F4" s="20"/>
      <c r="H4" s="20"/>
      <c r="I4" s="20"/>
      <c r="J4" s="20"/>
      <c r="L4" s="20"/>
      <c r="M4" s="20"/>
      <c r="N4" s="20"/>
      <c r="P4" s="20"/>
      <c r="Q4" s="20"/>
      <c r="R4" s="20"/>
    </row>
    <row r="5" spans="1:18" x14ac:dyDescent="0.25">
      <c r="B5" s="24"/>
      <c r="C5" s="22"/>
      <c r="D5" s="20"/>
      <c r="E5" s="23"/>
      <c r="F5" s="20"/>
      <c r="H5" s="20"/>
      <c r="I5" s="20"/>
      <c r="J5" s="20"/>
      <c r="L5" s="20"/>
      <c r="M5" s="20"/>
      <c r="N5" s="20"/>
      <c r="P5" s="20"/>
      <c r="Q5" s="20"/>
      <c r="R5" s="20"/>
    </row>
    <row r="6" spans="1:18" x14ac:dyDescent="0.25">
      <c r="B6" s="24"/>
      <c r="C6" s="22"/>
      <c r="D6" s="20"/>
      <c r="E6" s="23"/>
      <c r="F6" s="20"/>
      <c r="H6" s="20"/>
      <c r="I6" s="20"/>
      <c r="J6" s="20"/>
      <c r="L6" s="20"/>
      <c r="M6" s="20"/>
      <c r="N6" s="20"/>
      <c r="P6" s="20"/>
      <c r="Q6" s="20"/>
      <c r="R6" s="20"/>
    </row>
    <row r="7" spans="1:18" x14ac:dyDescent="0.25">
      <c r="B7" s="24"/>
      <c r="C7" s="22"/>
      <c r="D7" s="20"/>
      <c r="E7" s="23"/>
      <c r="F7" s="20"/>
      <c r="H7" s="20"/>
      <c r="I7" s="20"/>
      <c r="J7" s="20"/>
      <c r="L7" s="20"/>
      <c r="M7" s="20"/>
      <c r="N7" s="20"/>
      <c r="P7" s="20"/>
      <c r="Q7" s="20"/>
      <c r="R7" s="20"/>
    </row>
    <row r="8" spans="1:18" x14ac:dyDescent="0.25">
      <c r="B8" s="24"/>
      <c r="C8" s="22"/>
      <c r="D8" s="20"/>
      <c r="E8" s="23"/>
      <c r="F8" s="20"/>
      <c r="H8" s="20"/>
      <c r="I8" s="20"/>
      <c r="J8" s="20"/>
      <c r="L8" s="20"/>
      <c r="M8" s="20"/>
      <c r="N8" s="20"/>
      <c r="P8" s="20"/>
      <c r="Q8" s="20"/>
      <c r="R8" s="20"/>
    </row>
    <row r="9" spans="1:18" x14ac:dyDescent="0.25">
      <c r="B9" s="24"/>
      <c r="C9" s="22"/>
      <c r="D9" s="20"/>
      <c r="E9" s="23"/>
      <c r="F9" s="20"/>
      <c r="H9" s="20"/>
      <c r="I9" s="20"/>
      <c r="J9" s="20"/>
      <c r="L9" s="20"/>
      <c r="M9" s="20"/>
      <c r="N9" s="20"/>
      <c r="P9" s="20"/>
      <c r="Q9" s="20"/>
      <c r="R9" s="20"/>
    </row>
    <row r="10" spans="1:18" x14ac:dyDescent="0.25">
      <c r="B10" s="24"/>
      <c r="C10" s="22"/>
      <c r="D10" s="20"/>
      <c r="E10" s="23"/>
      <c r="F10" s="20"/>
      <c r="H10" s="20"/>
      <c r="I10" s="20"/>
      <c r="J10" s="20"/>
      <c r="L10" s="20"/>
      <c r="M10" s="20"/>
      <c r="N10" s="20"/>
      <c r="P10" s="20"/>
      <c r="Q10" s="20"/>
      <c r="R10" s="20"/>
    </row>
    <row r="11" spans="1:18" x14ac:dyDescent="0.25">
      <c r="B11" s="24"/>
      <c r="C11" s="22"/>
      <c r="D11" s="20"/>
      <c r="E11" s="23"/>
      <c r="F11" s="20"/>
      <c r="H11" s="20"/>
      <c r="I11" s="20"/>
      <c r="J11" s="20"/>
      <c r="L11" s="20"/>
      <c r="M11" s="20"/>
      <c r="N11" s="20"/>
      <c r="P11" s="20"/>
      <c r="Q11" s="20"/>
      <c r="R11" s="20"/>
    </row>
    <row r="12" spans="1:18" x14ac:dyDescent="0.25">
      <c r="B12" s="24"/>
      <c r="C12" s="22"/>
      <c r="D12" s="20"/>
      <c r="E12" s="23"/>
      <c r="F12" s="20"/>
      <c r="H12" s="20"/>
      <c r="I12" s="20"/>
      <c r="J12" s="20"/>
      <c r="L12" s="20"/>
      <c r="M12" s="20"/>
      <c r="N12" s="20"/>
      <c r="P12" s="20"/>
      <c r="Q12" s="20"/>
      <c r="R12" s="20"/>
    </row>
    <row r="13" spans="1:18" x14ac:dyDescent="0.25">
      <c r="B13" s="24"/>
      <c r="C13" s="22"/>
      <c r="D13" s="20"/>
      <c r="E13" s="23"/>
      <c r="F13" s="20"/>
      <c r="H13" s="20"/>
      <c r="I13" s="20"/>
      <c r="J13" s="20"/>
      <c r="L13" s="20"/>
      <c r="M13" s="20"/>
      <c r="N13" s="20"/>
      <c r="P13" s="20"/>
      <c r="Q13" s="20"/>
      <c r="R13" s="20"/>
    </row>
    <row r="14" spans="1:18" x14ac:dyDescent="0.25">
      <c r="B14" s="24"/>
      <c r="C14" s="22"/>
      <c r="D14" s="20"/>
      <c r="E14" s="23"/>
      <c r="F14" s="20"/>
      <c r="H14" s="20"/>
      <c r="I14" s="20"/>
      <c r="J14" s="20"/>
      <c r="L14" s="20"/>
      <c r="M14" s="20"/>
      <c r="N14" s="20"/>
      <c r="P14" s="20"/>
      <c r="Q14" s="20"/>
      <c r="R14" s="20"/>
    </row>
    <row r="15" spans="1:18" x14ac:dyDescent="0.25">
      <c r="B15" s="24"/>
      <c r="C15" s="22"/>
      <c r="D15" s="20"/>
      <c r="E15" s="23"/>
      <c r="F15" s="20"/>
      <c r="H15" s="20"/>
      <c r="I15" s="20"/>
      <c r="J15" s="20"/>
      <c r="L15" s="20"/>
      <c r="M15" s="20"/>
      <c r="N15" s="20"/>
      <c r="P15" s="20"/>
      <c r="Q15" s="20"/>
      <c r="R15" s="20"/>
    </row>
    <row r="16" spans="1:18" x14ac:dyDescent="0.25">
      <c r="B16" s="24"/>
      <c r="C16" s="22"/>
      <c r="D16" s="20"/>
      <c r="E16" s="23"/>
      <c r="F16" s="20"/>
      <c r="H16" s="20"/>
      <c r="I16" s="20"/>
      <c r="J16" s="20"/>
      <c r="L16" s="20"/>
      <c r="M16" s="20"/>
      <c r="N16" s="20"/>
      <c r="P16" s="20"/>
      <c r="Q16" s="20"/>
      <c r="R16" s="20"/>
    </row>
    <row r="17" spans="2:18" x14ac:dyDescent="0.25">
      <c r="B17" s="24"/>
      <c r="C17" s="22"/>
      <c r="D17" s="25"/>
      <c r="E17" s="23"/>
      <c r="F17" s="25"/>
      <c r="H17" s="20"/>
      <c r="I17" s="20"/>
      <c r="J17" s="20"/>
      <c r="L17" s="20"/>
      <c r="M17" s="20"/>
      <c r="N17" s="20"/>
      <c r="P17" s="20"/>
      <c r="Q17" s="20"/>
      <c r="R17" s="20"/>
    </row>
    <row r="18" spans="2:18" x14ac:dyDescent="0.25">
      <c r="B18" s="24"/>
      <c r="C18" s="22"/>
      <c r="D18" s="25"/>
      <c r="E18" s="23"/>
      <c r="F18" s="25"/>
      <c r="H18" s="20"/>
      <c r="I18" s="20"/>
      <c r="J18" s="20"/>
      <c r="L18" s="20"/>
      <c r="M18" s="20"/>
      <c r="N18" s="20"/>
      <c r="P18" s="20"/>
      <c r="Q18" s="20"/>
      <c r="R18" s="20"/>
    </row>
    <row r="19" spans="2:18" x14ac:dyDescent="0.25">
      <c r="B19" s="24"/>
      <c r="C19" s="22"/>
      <c r="D19" s="25"/>
      <c r="E19" s="23"/>
      <c r="F19" s="25"/>
      <c r="H19" s="20"/>
      <c r="I19" s="20"/>
      <c r="J19" s="20"/>
      <c r="L19" s="20"/>
      <c r="M19" s="20"/>
      <c r="N19" s="20"/>
      <c r="P19" s="20"/>
      <c r="Q19" s="20"/>
      <c r="R19" s="20"/>
    </row>
    <row r="20" spans="2:18" x14ac:dyDescent="0.25">
      <c r="B20" s="24"/>
      <c r="C20" s="22"/>
      <c r="D20" s="25"/>
      <c r="E20" s="23"/>
      <c r="F20" s="25"/>
      <c r="H20" s="20"/>
      <c r="I20" s="20"/>
      <c r="J20" s="20"/>
      <c r="L20" s="20"/>
      <c r="M20" s="20"/>
      <c r="N20" s="20"/>
      <c r="P20" s="20"/>
      <c r="Q20" s="20"/>
      <c r="R20" s="20"/>
    </row>
    <row r="21" spans="2:18" x14ac:dyDescent="0.25">
      <c r="B21" s="24"/>
      <c r="C21" s="22"/>
      <c r="D21" s="25"/>
      <c r="E21" s="23"/>
      <c r="F21" s="25"/>
      <c r="H21" s="20"/>
      <c r="I21" s="20"/>
      <c r="J21" s="20"/>
      <c r="L21" s="20"/>
      <c r="M21" s="20"/>
      <c r="N21" s="20"/>
      <c r="P21" s="20"/>
      <c r="Q21" s="20"/>
      <c r="R21" s="20"/>
    </row>
    <row r="22" spans="2:18" x14ac:dyDescent="0.25">
      <c r="B22" s="24"/>
      <c r="C22" s="22"/>
      <c r="D22" s="25"/>
      <c r="E22" s="23"/>
      <c r="F22" s="25"/>
      <c r="H22" s="20"/>
      <c r="I22" s="20"/>
      <c r="J22" s="20"/>
      <c r="L22" s="20"/>
      <c r="M22" s="20"/>
      <c r="N22" s="20"/>
      <c r="P22" s="20"/>
      <c r="Q22" s="20"/>
      <c r="R22" s="20"/>
    </row>
    <row r="23" spans="2:18" x14ac:dyDescent="0.25">
      <c r="B23" s="24"/>
      <c r="C23" s="22"/>
      <c r="D23" s="25"/>
      <c r="E23" s="23"/>
      <c r="F23" s="25"/>
      <c r="H23" s="20"/>
      <c r="I23" s="20"/>
      <c r="J23" s="20"/>
      <c r="L23" s="20"/>
      <c r="M23" s="20"/>
      <c r="N23" s="20"/>
      <c r="P23" s="20"/>
      <c r="Q23" s="20"/>
      <c r="R23" s="20"/>
    </row>
    <row r="24" spans="2:18" x14ac:dyDescent="0.25">
      <c r="B24" s="24"/>
      <c r="C24" s="22"/>
      <c r="D24" s="25"/>
      <c r="E24" s="23"/>
      <c r="F24" s="25"/>
      <c r="H24" s="20"/>
      <c r="I24" s="20"/>
      <c r="J24" s="20"/>
      <c r="L24" s="20"/>
      <c r="M24" s="20"/>
      <c r="N24" s="20"/>
      <c r="P24" s="20"/>
      <c r="Q24" s="20"/>
      <c r="R24" s="20"/>
    </row>
    <row r="25" spans="2:18" x14ac:dyDescent="0.25">
      <c r="B25" s="24"/>
      <c r="C25" s="22"/>
      <c r="D25" s="25"/>
      <c r="E25" s="23"/>
      <c r="F25" s="25"/>
      <c r="H25" s="20"/>
      <c r="I25" s="20"/>
      <c r="J25" s="20"/>
      <c r="L25" s="20"/>
      <c r="M25" s="20"/>
      <c r="N25" s="20"/>
      <c r="P25" s="20"/>
      <c r="Q25" s="20"/>
      <c r="R25" s="20"/>
    </row>
    <row r="26" spans="2:18" x14ac:dyDescent="0.25">
      <c r="B26" s="24"/>
      <c r="C26" s="22"/>
      <c r="D26" s="25"/>
      <c r="E26" s="23"/>
      <c r="F26" s="25"/>
      <c r="H26" s="20"/>
      <c r="I26" s="20"/>
      <c r="J26" s="20"/>
      <c r="L26" s="20"/>
      <c r="M26" s="20"/>
      <c r="N26" s="20"/>
      <c r="P26" s="20"/>
      <c r="Q26" s="20"/>
      <c r="R26" s="20"/>
    </row>
    <row r="27" spans="2:18" x14ac:dyDescent="0.25">
      <c r="B27" s="24"/>
      <c r="C27" s="22"/>
      <c r="D27" s="25"/>
      <c r="E27" s="23"/>
      <c r="F27" s="25"/>
      <c r="H27" s="20"/>
      <c r="I27" s="20"/>
      <c r="J27" s="20"/>
      <c r="L27" s="20"/>
      <c r="M27" s="20"/>
      <c r="N27" s="20"/>
      <c r="P27" s="20"/>
      <c r="Q27" s="20"/>
      <c r="R27" s="20"/>
    </row>
    <row r="28" spans="2:18" x14ac:dyDescent="0.25">
      <c r="B28" s="24"/>
      <c r="C28" s="22"/>
      <c r="D28" s="25"/>
      <c r="E28" s="23"/>
      <c r="F28" s="25"/>
      <c r="H28" s="20"/>
      <c r="I28" s="20"/>
      <c r="J28" s="20"/>
      <c r="L28" s="20"/>
      <c r="M28" s="20"/>
      <c r="N28" s="20"/>
      <c r="P28" s="20"/>
      <c r="Q28" s="20"/>
      <c r="R28" s="20"/>
    </row>
    <row r="29" spans="2:18" x14ac:dyDescent="0.25">
      <c r="B29" s="24"/>
      <c r="C29" s="22"/>
      <c r="D29" s="25"/>
      <c r="E29" s="23"/>
      <c r="F29" s="25"/>
      <c r="H29" s="20"/>
      <c r="I29" s="20"/>
      <c r="J29" s="20"/>
      <c r="L29" s="20"/>
      <c r="M29" s="20"/>
      <c r="N29" s="20"/>
      <c r="P29" s="20"/>
      <c r="Q29" s="20"/>
      <c r="R29" s="20"/>
    </row>
    <row r="30" spans="2:18" x14ac:dyDescent="0.25">
      <c r="B30" s="24"/>
      <c r="C30" s="22"/>
      <c r="D30" s="25"/>
      <c r="E30" s="23"/>
      <c r="F30" s="25"/>
      <c r="H30" s="20"/>
      <c r="I30" s="20"/>
      <c r="J30" s="20"/>
      <c r="L30" s="20"/>
      <c r="M30" s="20"/>
      <c r="N30" s="20"/>
      <c r="P30" s="20"/>
      <c r="Q30" s="20"/>
      <c r="R30" s="20"/>
    </row>
    <row r="31" spans="2:18" x14ac:dyDescent="0.25">
      <c r="B31" s="24"/>
      <c r="C31" s="22"/>
      <c r="D31" s="25"/>
      <c r="E31" s="23"/>
      <c r="F31" s="25"/>
      <c r="H31" s="20"/>
      <c r="I31" s="20"/>
      <c r="J31" s="20"/>
      <c r="L31" s="20"/>
      <c r="M31" s="20"/>
      <c r="N31" s="20"/>
      <c r="P31" s="20"/>
      <c r="Q31" s="20"/>
      <c r="R31" s="20"/>
    </row>
    <row r="32" spans="2:18" x14ac:dyDescent="0.25">
      <c r="B32" s="24"/>
      <c r="C32" s="22"/>
      <c r="D32" s="25"/>
      <c r="E32" s="23"/>
      <c r="F32" s="25"/>
      <c r="H32" s="20"/>
      <c r="I32" s="20"/>
      <c r="J32" s="20"/>
      <c r="L32" s="20"/>
      <c r="M32" s="20"/>
      <c r="N32" s="20"/>
      <c r="P32" s="20"/>
      <c r="Q32" s="20"/>
      <c r="R32" s="20"/>
    </row>
    <row r="33" spans="2:18" x14ac:dyDescent="0.25">
      <c r="B33" s="24"/>
      <c r="C33" s="22"/>
      <c r="D33" s="25"/>
      <c r="E33" s="23"/>
      <c r="F33" s="25"/>
      <c r="H33" s="20"/>
      <c r="I33" s="20"/>
      <c r="J33" s="20"/>
      <c r="L33" s="20"/>
      <c r="M33" s="20"/>
      <c r="N33" s="20"/>
      <c r="P33" s="20"/>
      <c r="Q33" s="20"/>
      <c r="R33" s="20"/>
    </row>
    <row r="34" spans="2:18" x14ac:dyDescent="0.25">
      <c r="B34" s="24"/>
      <c r="C34" s="22"/>
      <c r="D34" s="25"/>
      <c r="E34" s="23"/>
      <c r="F34" s="25"/>
      <c r="H34" s="20"/>
      <c r="I34" s="20"/>
      <c r="J34" s="20"/>
      <c r="L34" s="20"/>
      <c r="M34" s="20"/>
      <c r="N34" s="20"/>
      <c r="P34" s="20"/>
      <c r="Q34" s="20"/>
      <c r="R34" s="20"/>
    </row>
    <row r="35" spans="2:18" x14ac:dyDescent="0.25">
      <c r="B35" s="24"/>
      <c r="C35" s="22"/>
      <c r="D35" s="25"/>
      <c r="E35" s="23"/>
      <c r="F35" s="25"/>
      <c r="H35" s="20"/>
      <c r="I35" s="20"/>
      <c r="J35" s="20"/>
      <c r="L35" s="20"/>
      <c r="M35" s="20"/>
      <c r="N35" s="20"/>
      <c r="P35" s="20"/>
      <c r="Q35" s="20"/>
      <c r="R35" s="20"/>
    </row>
    <row r="36" spans="2:18" x14ac:dyDescent="0.25">
      <c r="B36" s="24"/>
      <c r="C36" s="22"/>
      <c r="D36" s="25"/>
      <c r="E36" s="23"/>
      <c r="F36" s="25"/>
      <c r="H36" s="20"/>
      <c r="I36" s="20"/>
      <c r="J36" s="20"/>
      <c r="L36" s="20"/>
      <c r="M36" s="20"/>
      <c r="N36" s="20"/>
      <c r="P36" s="20"/>
      <c r="Q36" s="20"/>
      <c r="R36" s="20"/>
    </row>
    <row r="37" spans="2:18" x14ac:dyDescent="0.25">
      <c r="B37" s="24"/>
      <c r="C37" s="22"/>
      <c r="D37" s="25"/>
      <c r="E37" s="23"/>
      <c r="F37" s="25"/>
      <c r="H37" s="20"/>
      <c r="I37" s="20"/>
      <c r="J37" s="20"/>
      <c r="L37" s="20"/>
      <c r="M37" s="20"/>
      <c r="N37" s="20"/>
      <c r="P37" s="20"/>
      <c r="Q37" s="20"/>
      <c r="R37" s="20"/>
    </row>
    <row r="38" spans="2:18" x14ac:dyDescent="0.25">
      <c r="B38" s="24"/>
      <c r="C38" s="22"/>
      <c r="D38" s="25"/>
      <c r="E38" s="23"/>
      <c r="F38" s="25"/>
      <c r="H38" s="20"/>
      <c r="I38" s="20"/>
      <c r="J38" s="20"/>
      <c r="L38" s="20"/>
      <c r="M38" s="20"/>
      <c r="N38" s="20"/>
      <c r="P38" s="20"/>
      <c r="Q38" s="20"/>
      <c r="R38" s="20"/>
    </row>
    <row r="39" spans="2:18" x14ac:dyDescent="0.25">
      <c r="B39" s="24"/>
      <c r="C39" s="22"/>
      <c r="D39" s="25"/>
      <c r="E39" s="23"/>
      <c r="F39" s="25"/>
      <c r="H39" s="20"/>
      <c r="I39" s="20"/>
      <c r="J39" s="20"/>
      <c r="L39" s="20"/>
      <c r="M39" s="20"/>
      <c r="N39" s="20"/>
      <c r="P39" s="20"/>
      <c r="Q39" s="20"/>
      <c r="R39" s="20"/>
    </row>
    <row r="40" spans="2:18" x14ac:dyDescent="0.25">
      <c r="B40" s="24"/>
      <c r="C40" s="22"/>
      <c r="D40" s="25"/>
      <c r="E40" s="23"/>
      <c r="F40" s="25"/>
      <c r="H40" s="20"/>
      <c r="I40" s="20"/>
      <c r="J40" s="20"/>
      <c r="L40" s="20"/>
      <c r="M40" s="20"/>
      <c r="N40" s="20"/>
      <c r="P40" s="20"/>
      <c r="Q40" s="20"/>
      <c r="R40" s="20"/>
    </row>
    <row r="41" spans="2:18" x14ac:dyDescent="0.25">
      <c r="B41" s="24"/>
      <c r="C41" s="22"/>
      <c r="D41" s="25"/>
      <c r="E41" s="23"/>
      <c r="F41" s="25"/>
      <c r="H41" s="20"/>
      <c r="I41" s="20"/>
      <c r="J41" s="20"/>
      <c r="L41" s="20"/>
      <c r="M41" s="20"/>
      <c r="N41" s="20"/>
      <c r="P41" s="20"/>
      <c r="Q41" s="20"/>
      <c r="R41" s="20"/>
    </row>
    <row r="42" spans="2:18" x14ac:dyDescent="0.25">
      <c r="B42" s="24"/>
      <c r="C42" s="22"/>
      <c r="D42" s="25"/>
      <c r="E42" s="23"/>
      <c r="F42" s="25"/>
      <c r="H42" s="20"/>
      <c r="I42" s="20"/>
      <c r="J42" s="20"/>
      <c r="L42" s="20"/>
      <c r="M42" s="20"/>
      <c r="N42" s="20"/>
      <c r="P42" s="20"/>
      <c r="Q42" s="20"/>
      <c r="R42" s="20"/>
    </row>
    <row r="43" spans="2:18" x14ac:dyDescent="0.25">
      <c r="B43" s="24"/>
      <c r="C43" s="22"/>
      <c r="D43" s="25"/>
      <c r="E43" s="23"/>
      <c r="F43" s="25"/>
      <c r="H43" s="20"/>
      <c r="I43" s="20"/>
      <c r="J43" s="20"/>
      <c r="L43" s="20"/>
      <c r="M43" s="20"/>
      <c r="N43" s="20"/>
      <c r="P43" s="20"/>
      <c r="Q43" s="20"/>
      <c r="R43" s="20"/>
    </row>
    <row r="44" spans="2:18" x14ac:dyDescent="0.25">
      <c r="B44" s="24"/>
      <c r="C44" s="22"/>
      <c r="D44" s="25"/>
      <c r="E44" s="23"/>
      <c r="F44" s="25"/>
      <c r="H44" s="20"/>
      <c r="I44" s="20"/>
      <c r="J44" s="20"/>
      <c r="L44" s="20"/>
      <c r="M44" s="20"/>
      <c r="N44" s="20"/>
      <c r="P44" s="20"/>
      <c r="Q44" s="20"/>
      <c r="R44" s="20"/>
    </row>
    <row r="45" spans="2:18" x14ac:dyDescent="0.25">
      <c r="B45" s="24"/>
      <c r="C45" s="22"/>
      <c r="D45" s="25"/>
      <c r="E45" s="23"/>
      <c r="F45" s="25"/>
      <c r="H45" s="20"/>
      <c r="I45" s="20"/>
      <c r="J45" s="20"/>
      <c r="L45" s="20"/>
      <c r="M45" s="20"/>
      <c r="N45" s="20"/>
      <c r="P45" s="20"/>
      <c r="Q45" s="20"/>
      <c r="R45" s="20"/>
    </row>
    <row r="46" spans="2:18" x14ac:dyDescent="0.25">
      <c r="B46" s="24"/>
      <c r="C46" s="22"/>
      <c r="D46" s="25"/>
      <c r="E46" s="23"/>
      <c r="F46" s="25"/>
      <c r="H46" s="20"/>
      <c r="I46" s="20"/>
      <c r="J46" s="20"/>
      <c r="L46" s="20"/>
      <c r="M46" s="20"/>
      <c r="N46" s="20"/>
      <c r="P46" s="20"/>
      <c r="Q46" s="20"/>
      <c r="R46" s="20"/>
    </row>
    <row r="47" spans="2:18" x14ac:dyDescent="0.25">
      <c r="B47" s="24"/>
      <c r="C47" s="22"/>
      <c r="D47" s="25"/>
      <c r="E47" s="23"/>
      <c r="F47" s="25"/>
      <c r="H47" s="20"/>
      <c r="I47" s="20"/>
      <c r="J47" s="20"/>
      <c r="L47" s="20"/>
      <c r="M47" s="20"/>
      <c r="N47" s="20"/>
      <c r="P47" s="20"/>
      <c r="Q47" s="20"/>
      <c r="R47" s="20"/>
    </row>
    <row r="48" spans="2:18" x14ac:dyDescent="0.25">
      <c r="B48" s="24"/>
      <c r="C48" s="22"/>
      <c r="D48" s="25"/>
      <c r="E48" s="23"/>
      <c r="F48" s="25"/>
      <c r="H48" s="20"/>
      <c r="I48" s="20"/>
      <c r="J48" s="20"/>
      <c r="L48" s="20"/>
      <c r="M48" s="20"/>
      <c r="N48" s="20"/>
      <c r="P48" s="20"/>
      <c r="Q48" s="20"/>
      <c r="R48" s="20"/>
    </row>
    <row r="49" spans="2:18" x14ac:dyDescent="0.25">
      <c r="B49" s="24"/>
      <c r="C49" s="22"/>
      <c r="D49" s="25"/>
      <c r="E49" s="23"/>
      <c r="F49" s="25"/>
      <c r="H49" s="20"/>
      <c r="I49" s="20"/>
      <c r="J49" s="20"/>
      <c r="L49" s="20"/>
      <c r="M49" s="20"/>
      <c r="N49" s="20"/>
      <c r="P49" s="20"/>
      <c r="Q49" s="20"/>
      <c r="R49" s="20"/>
    </row>
    <row r="50" spans="2:18" x14ac:dyDescent="0.25">
      <c r="B50" s="24"/>
      <c r="C50" s="22"/>
      <c r="D50" s="25"/>
      <c r="E50" s="23"/>
      <c r="F50" s="25"/>
      <c r="H50" s="20"/>
      <c r="I50" s="20"/>
      <c r="J50" s="20"/>
      <c r="L50" s="20"/>
      <c r="M50" s="20"/>
      <c r="N50" s="20"/>
      <c r="P50" s="20"/>
      <c r="Q50" s="20"/>
      <c r="R50" s="20"/>
    </row>
    <row r="51" spans="2:18" x14ac:dyDescent="0.25">
      <c r="B51" s="24"/>
      <c r="C51" s="22"/>
      <c r="D51" s="25"/>
      <c r="E51" s="23"/>
      <c r="F51" s="25"/>
      <c r="H51" s="20"/>
      <c r="I51" s="20"/>
      <c r="J51" s="20"/>
      <c r="L51" s="20"/>
      <c r="M51" s="20"/>
      <c r="N51" s="20"/>
      <c r="P51" s="20"/>
      <c r="Q51" s="20"/>
      <c r="R51" s="20"/>
    </row>
    <row r="52" spans="2:18" x14ac:dyDescent="0.25">
      <c r="B52" s="24"/>
      <c r="C52" s="22"/>
      <c r="D52" s="25"/>
      <c r="E52" s="23"/>
      <c r="F52" s="25"/>
      <c r="H52" s="20"/>
      <c r="I52" s="20"/>
      <c r="J52" s="20"/>
      <c r="L52" s="20"/>
      <c r="M52" s="20"/>
      <c r="N52" s="20"/>
      <c r="P52" s="20"/>
      <c r="Q52" s="20"/>
      <c r="R52" s="20"/>
    </row>
    <row r="53" spans="2:18" x14ac:dyDescent="0.25">
      <c r="B53" s="24"/>
      <c r="C53" s="22"/>
      <c r="D53" s="25"/>
      <c r="E53" s="23"/>
      <c r="F53" s="25"/>
      <c r="H53" s="20"/>
      <c r="I53" s="20"/>
      <c r="J53" s="20"/>
      <c r="L53" s="20"/>
      <c r="M53" s="20"/>
      <c r="N53" s="20"/>
      <c r="P53" s="20"/>
      <c r="Q53" s="20"/>
      <c r="R53" s="20"/>
    </row>
    <row r="54" spans="2:18" x14ac:dyDescent="0.25">
      <c r="B54" s="24"/>
      <c r="C54" s="22"/>
      <c r="D54" s="25"/>
      <c r="E54" s="23"/>
      <c r="F54" s="25"/>
      <c r="H54" s="20"/>
      <c r="I54" s="20"/>
      <c r="J54" s="20"/>
      <c r="L54" s="20"/>
      <c r="M54" s="20"/>
      <c r="N54" s="20"/>
      <c r="P54" s="20"/>
      <c r="Q54" s="20"/>
      <c r="R54" s="20"/>
    </row>
    <row r="55" spans="2:18" x14ac:dyDescent="0.25">
      <c r="B55" s="24"/>
      <c r="C55" s="22"/>
      <c r="D55" s="25"/>
      <c r="E55" s="23"/>
      <c r="F55" s="25"/>
      <c r="H55" s="20"/>
      <c r="I55" s="20"/>
      <c r="J55" s="20"/>
      <c r="L55" s="20"/>
      <c r="M55" s="20"/>
      <c r="N55" s="20"/>
      <c r="P55" s="20"/>
      <c r="Q55" s="20"/>
      <c r="R55" s="20"/>
    </row>
    <row r="56" spans="2:18" x14ac:dyDescent="0.25">
      <c r="B56" s="24"/>
      <c r="C56" s="22"/>
      <c r="D56" s="25"/>
      <c r="E56" s="23"/>
      <c r="F56" s="25"/>
      <c r="H56" s="20"/>
      <c r="I56" s="20"/>
      <c r="J56" s="20"/>
      <c r="L56" s="20"/>
      <c r="M56" s="20"/>
      <c r="N56" s="20"/>
      <c r="P56" s="20"/>
      <c r="Q56" s="20"/>
      <c r="R56" s="20"/>
    </row>
    <row r="57" spans="2:18" x14ac:dyDescent="0.25">
      <c r="B57" s="24"/>
      <c r="C57" s="22"/>
      <c r="D57" s="25"/>
      <c r="E57" s="23"/>
      <c r="F57" s="25"/>
      <c r="H57" s="20"/>
      <c r="I57" s="20"/>
      <c r="J57" s="20"/>
      <c r="L57" s="20"/>
      <c r="M57" s="20"/>
      <c r="N57" s="20"/>
      <c r="P57" s="20"/>
      <c r="Q57" s="20"/>
      <c r="R57" s="20"/>
    </row>
    <row r="58" spans="2:18" x14ac:dyDescent="0.25">
      <c r="B58" s="24"/>
      <c r="C58" s="22"/>
      <c r="D58" s="25"/>
      <c r="E58" s="23"/>
      <c r="F58" s="25"/>
      <c r="H58" s="20"/>
      <c r="I58" s="20"/>
      <c r="J58" s="20"/>
      <c r="L58" s="20"/>
      <c r="M58" s="20"/>
      <c r="N58" s="20"/>
      <c r="P58" s="20"/>
      <c r="Q58" s="20"/>
      <c r="R58" s="20"/>
    </row>
    <row r="59" spans="2:18" x14ac:dyDescent="0.25">
      <c r="B59" s="24"/>
      <c r="C59" s="22"/>
      <c r="D59" s="25"/>
      <c r="E59" s="23"/>
      <c r="F59" s="25"/>
      <c r="H59" s="20"/>
      <c r="I59" s="20"/>
      <c r="J59" s="20"/>
      <c r="L59" s="20"/>
      <c r="M59" s="20"/>
      <c r="N59" s="20"/>
      <c r="P59" s="20"/>
      <c r="Q59" s="20"/>
      <c r="R59" s="20"/>
    </row>
    <row r="60" spans="2:18" x14ac:dyDescent="0.25">
      <c r="B60" s="24"/>
      <c r="C60" s="22"/>
      <c r="D60" s="25"/>
      <c r="E60" s="23"/>
      <c r="F60" s="25"/>
      <c r="H60" s="20"/>
      <c r="I60" s="20"/>
      <c r="J60" s="20"/>
      <c r="L60" s="20"/>
      <c r="M60" s="20"/>
      <c r="N60" s="20"/>
      <c r="P60" s="20"/>
      <c r="Q60" s="20"/>
      <c r="R60" s="20"/>
    </row>
    <row r="61" spans="2:18" x14ac:dyDescent="0.25">
      <c r="B61" s="24"/>
      <c r="C61" s="22"/>
      <c r="D61" s="25"/>
      <c r="E61" s="23"/>
      <c r="F61" s="25"/>
      <c r="H61" s="20"/>
      <c r="I61" s="20"/>
      <c r="J61" s="20"/>
      <c r="L61" s="20"/>
      <c r="M61" s="20"/>
      <c r="N61" s="20"/>
      <c r="P61" s="20"/>
      <c r="Q61" s="20"/>
      <c r="R61" s="20"/>
    </row>
    <row r="62" spans="2:18" x14ac:dyDescent="0.25">
      <c r="B62" s="24"/>
      <c r="C62" s="22"/>
      <c r="D62" s="25"/>
      <c r="E62" s="23"/>
      <c r="F62" s="25"/>
      <c r="H62" s="20"/>
      <c r="I62" s="20"/>
      <c r="J62" s="20"/>
      <c r="L62" s="20"/>
      <c r="M62" s="20"/>
      <c r="N62" s="20"/>
      <c r="P62" s="20"/>
      <c r="Q62" s="20"/>
      <c r="R62" s="20"/>
    </row>
    <row r="63" spans="2:18" x14ac:dyDescent="0.25">
      <c r="B63" s="24"/>
      <c r="C63" s="22"/>
      <c r="D63" s="25"/>
      <c r="E63" s="23"/>
      <c r="F63" s="25"/>
      <c r="H63" s="20"/>
      <c r="I63" s="20"/>
      <c r="J63" s="20"/>
      <c r="L63" s="20"/>
      <c r="M63" s="20"/>
      <c r="N63" s="20"/>
      <c r="P63" s="20"/>
      <c r="Q63" s="20"/>
      <c r="R63" s="20"/>
    </row>
    <row r="64" spans="2:18" x14ac:dyDescent="0.25">
      <c r="B64" s="24"/>
      <c r="C64" s="22"/>
      <c r="D64" s="25"/>
      <c r="E64" s="23"/>
      <c r="F64" s="25"/>
      <c r="H64" s="20"/>
      <c r="I64" s="20"/>
      <c r="J64" s="20"/>
      <c r="L64" s="20"/>
      <c r="M64" s="20"/>
      <c r="N64" s="20"/>
      <c r="P64" s="20"/>
      <c r="Q64" s="20"/>
      <c r="R64" s="20"/>
    </row>
    <row r="65" spans="2:18" x14ac:dyDescent="0.25">
      <c r="B65" s="24"/>
      <c r="C65" s="22"/>
      <c r="D65" s="25"/>
      <c r="E65" s="23"/>
      <c r="F65" s="25"/>
      <c r="H65" s="20"/>
      <c r="I65" s="20"/>
      <c r="J65" s="20"/>
      <c r="L65" s="20"/>
      <c r="M65" s="20"/>
      <c r="N65" s="20"/>
      <c r="P65" s="20"/>
      <c r="Q65" s="20"/>
      <c r="R65" s="20"/>
    </row>
    <row r="66" spans="2:18" x14ac:dyDescent="0.25">
      <c r="B66" s="24"/>
      <c r="C66" s="22"/>
      <c r="D66" s="25"/>
      <c r="E66" s="23"/>
      <c r="F66" s="25"/>
      <c r="H66" s="20"/>
      <c r="I66" s="20"/>
      <c r="J66" s="20"/>
      <c r="L66" s="20"/>
      <c r="M66" s="20"/>
      <c r="N66" s="20"/>
      <c r="P66" s="20"/>
      <c r="Q66" s="20"/>
      <c r="R66" s="20"/>
    </row>
    <row r="67" spans="2:18" x14ac:dyDescent="0.25">
      <c r="B67" s="24"/>
      <c r="C67" s="22"/>
      <c r="D67" s="25"/>
      <c r="E67" s="23"/>
      <c r="F67" s="25"/>
      <c r="H67" s="20"/>
      <c r="I67" s="20"/>
      <c r="J67" s="20"/>
      <c r="L67" s="20"/>
      <c r="M67" s="20"/>
      <c r="N67" s="20"/>
      <c r="P67" s="20"/>
      <c r="Q67" s="20"/>
      <c r="R67" s="20"/>
    </row>
    <row r="68" spans="2:18" x14ac:dyDescent="0.25">
      <c r="B68" s="24"/>
      <c r="C68" s="22"/>
      <c r="D68" s="25"/>
      <c r="E68" s="23"/>
      <c r="F68" s="25"/>
      <c r="H68" s="20"/>
      <c r="I68" s="20"/>
      <c r="J68" s="20"/>
      <c r="L68" s="20"/>
      <c r="M68" s="20"/>
      <c r="N68" s="20"/>
      <c r="P68" s="20"/>
      <c r="Q68" s="20"/>
      <c r="R68" s="20"/>
    </row>
    <row r="69" spans="2:18" x14ac:dyDescent="0.25">
      <c r="B69" s="24"/>
      <c r="C69" s="22"/>
      <c r="D69" s="25"/>
      <c r="E69" s="23"/>
      <c r="F69" s="25"/>
      <c r="H69" s="20"/>
      <c r="I69" s="20"/>
      <c r="J69" s="20"/>
      <c r="L69" s="20"/>
      <c r="M69" s="20"/>
      <c r="N69" s="20"/>
      <c r="P69" s="20"/>
      <c r="Q69" s="20"/>
      <c r="R69" s="20"/>
    </row>
    <row r="70" spans="2:18" x14ac:dyDescent="0.25">
      <c r="B70" s="24"/>
      <c r="C70" s="22"/>
      <c r="D70" s="25"/>
      <c r="E70" s="23"/>
      <c r="F70" s="25"/>
      <c r="H70" s="20"/>
      <c r="I70" s="20"/>
      <c r="J70" s="20"/>
      <c r="L70" s="20"/>
      <c r="M70" s="20"/>
      <c r="N70" s="20"/>
      <c r="P70" s="20"/>
      <c r="Q70" s="20"/>
      <c r="R70" s="20"/>
    </row>
    <row r="71" spans="2:18" x14ac:dyDescent="0.25">
      <c r="B71" s="24"/>
      <c r="C71" s="22"/>
      <c r="D71" s="25"/>
      <c r="E71" s="23"/>
      <c r="F71" s="25"/>
      <c r="H71" s="20"/>
      <c r="I71" s="20"/>
      <c r="J71" s="20"/>
      <c r="L71" s="20"/>
      <c r="M71" s="20"/>
      <c r="N71" s="20"/>
      <c r="P71" s="20"/>
      <c r="Q71" s="20"/>
      <c r="R71" s="20"/>
    </row>
    <row r="72" spans="2:18" x14ac:dyDescent="0.25">
      <c r="B72" s="24"/>
      <c r="C72" s="22"/>
      <c r="D72" s="25"/>
      <c r="E72" s="23"/>
      <c r="F72" s="25"/>
      <c r="H72" s="20"/>
      <c r="I72" s="20"/>
      <c r="J72" s="20"/>
      <c r="L72" s="20"/>
      <c r="M72" s="20"/>
      <c r="N72" s="20"/>
      <c r="P72" s="20"/>
      <c r="Q72" s="20"/>
      <c r="R72" s="20"/>
    </row>
    <row r="73" spans="2:18" x14ac:dyDescent="0.25">
      <c r="B73" s="24"/>
      <c r="C73" s="22"/>
      <c r="D73" s="25"/>
      <c r="E73" s="23"/>
      <c r="F73" s="25"/>
      <c r="H73" s="20"/>
      <c r="I73" s="20"/>
      <c r="J73" s="20"/>
      <c r="L73" s="20"/>
      <c r="M73" s="20"/>
      <c r="N73" s="20"/>
      <c r="P73" s="20"/>
      <c r="Q73" s="20"/>
      <c r="R73" s="20"/>
    </row>
    <row r="74" spans="2:18" x14ac:dyDescent="0.25">
      <c r="B74" s="24"/>
      <c r="C74" s="22"/>
      <c r="D74" s="25"/>
      <c r="E74" s="23"/>
      <c r="F74" s="25"/>
      <c r="H74" s="20"/>
      <c r="I74" s="20"/>
      <c r="J74" s="20"/>
      <c r="L74" s="20"/>
      <c r="M74" s="20"/>
      <c r="N74" s="20"/>
      <c r="P74" s="20"/>
      <c r="Q74" s="20"/>
      <c r="R74" s="20"/>
    </row>
    <row r="75" spans="2:18" x14ac:dyDescent="0.25">
      <c r="B75" s="24"/>
      <c r="C75" s="22"/>
      <c r="D75" s="25"/>
      <c r="E75" s="23"/>
      <c r="F75" s="25"/>
      <c r="H75" s="20"/>
      <c r="I75" s="20"/>
      <c r="J75" s="20"/>
      <c r="L75" s="20"/>
      <c r="M75" s="20"/>
      <c r="N75" s="20"/>
      <c r="P75" s="20"/>
      <c r="Q75" s="20"/>
      <c r="R75" s="20"/>
    </row>
    <row r="76" spans="2:18" x14ac:dyDescent="0.25">
      <c r="B76" s="24"/>
      <c r="C76" s="22"/>
      <c r="D76" s="25"/>
      <c r="E76" s="23"/>
      <c r="F76" s="25"/>
      <c r="H76" s="20"/>
      <c r="I76" s="20"/>
      <c r="J76" s="20"/>
      <c r="L76" s="20"/>
      <c r="M76" s="20"/>
      <c r="N76" s="20"/>
      <c r="P76" s="20"/>
      <c r="Q76" s="20"/>
      <c r="R76" s="20"/>
    </row>
    <row r="77" spans="2:18" x14ac:dyDescent="0.25">
      <c r="B77" s="24"/>
      <c r="C77" s="22"/>
      <c r="D77" s="25"/>
      <c r="E77" s="23"/>
      <c r="F77" s="25"/>
      <c r="H77" s="20"/>
      <c r="I77" s="20"/>
      <c r="J77" s="20"/>
      <c r="L77" s="20"/>
      <c r="M77" s="20"/>
      <c r="N77" s="20"/>
      <c r="P77" s="20"/>
      <c r="Q77" s="20"/>
      <c r="R77" s="20"/>
    </row>
    <row r="78" spans="2:18" x14ac:dyDescent="0.25">
      <c r="B78" s="24"/>
      <c r="C78" s="22"/>
      <c r="D78" s="25"/>
      <c r="E78" s="23"/>
      <c r="F78" s="25"/>
      <c r="H78" s="20"/>
      <c r="I78" s="20"/>
      <c r="J78" s="20"/>
      <c r="L78" s="20"/>
      <c r="M78" s="20"/>
      <c r="N78" s="20"/>
      <c r="P78" s="20"/>
      <c r="Q78" s="20"/>
      <c r="R78" s="20"/>
    </row>
    <row r="79" spans="2:18" x14ac:dyDescent="0.25">
      <c r="B79" s="24"/>
      <c r="C79" s="22"/>
      <c r="D79" s="25"/>
      <c r="E79" s="23"/>
      <c r="F79" s="25"/>
      <c r="H79" s="20"/>
      <c r="I79" s="20"/>
      <c r="J79" s="20"/>
      <c r="L79" s="20"/>
      <c r="M79" s="20"/>
      <c r="N79" s="20"/>
      <c r="P79" s="20"/>
      <c r="Q79" s="20"/>
      <c r="R79" s="20"/>
    </row>
    <row r="80" spans="2:18" x14ac:dyDescent="0.25">
      <c r="B80" s="24"/>
      <c r="C80" s="22"/>
      <c r="D80" s="25"/>
      <c r="E80" s="23"/>
      <c r="F80" s="25"/>
      <c r="H80" s="20"/>
      <c r="I80" s="20"/>
      <c r="J80" s="20"/>
      <c r="L80" s="20"/>
      <c r="M80" s="20"/>
      <c r="N80" s="20"/>
      <c r="P80" s="20"/>
      <c r="Q80" s="20"/>
      <c r="R80" s="20"/>
    </row>
    <row r="81" spans="2:18" x14ac:dyDescent="0.25">
      <c r="B81" s="24"/>
      <c r="C81" s="22"/>
      <c r="D81" s="25"/>
      <c r="E81" s="23"/>
      <c r="F81" s="25"/>
      <c r="H81" s="20"/>
      <c r="I81" s="20"/>
      <c r="J81" s="20"/>
      <c r="L81" s="20"/>
      <c r="M81" s="20"/>
      <c r="N81" s="20"/>
      <c r="P81" s="20"/>
      <c r="Q81" s="20"/>
      <c r="R81" s="20"/>
    </row>
    <row r="82" spans="2:18" x14ac:dyDescent="0.25">
      <c r="B82" s="24"/>
      <c r="C82" s="22"/>
      <c r="D82" s="25"/>
      <c r="E82" s="23"/>
      <c r="F82" s="25"/>
      <c r="H82" s="20"/>
      <c r="I82" s="20"/>
      <c r="J82" s="20"/>
      <c r="L82" s="20"/>
      <c r="M82" s="20"/>
      <c r="N82" s="20"/>
      <c r="P82" s="20"/>
      <c r="Q82" s="20"/>
      <c r="R82" s="20"/>
    </row>
    <row r="83" spans="2:18" x14ac:dyDescent="0.25">
      <c r="B83" s="24"/>
      <c r="C83" s="22"/>
      <c r="D83" s="25"/>
      <c r="E83" s="23"/>
      <c r="F83" s="25"/>
      <c r="H83" s="20"/>
      <c r="I83" s="20"/>
      <c r="J83" s="20"/>
      <c r="L83" s="20"/>
      <c r="M83" s="20"/>
      <c r="N83" s="20"/>
      <c r="P83" s="20"/>
      <c r="Q83" s="20"/>
      <c r="R83" s="20"/>
    </row>
    <row r="84" spans="2:18" x14ac:dyDescent="0.25">
      <c r="B84" s="24"/>
      <c r="C84" s="22"/>
      <c r="D84" s="25"/>
      <c r="E84" s="23"/>
      <c r="F84" s="25"/>
      <c r="H84" s="20"/>
      <c r="I84" s="20"/>
      <c r="J84" s="20"/>
      <c r="L84" s="20"/>
      <c r="M84" s="20"/>
      <c r="N84" s="20"/>
      <c r="P84" s="20"/>
      <c r="Q84" s="20"/>
      <c r="R84" s="20"/>
    </row>
    <row r="85" spans="2:18" x14ac:dyDescent="0.25">
      <c r="B85" s="24"/>
      <c r="C85" s="22"/>
      <c r="D85" s="25"/>
      <c r="E85" s="23"/>
      <c r="F85" s="25"/>
      <c r="H85" s="20"/>
      <c r="I85" s="20"/>
      <c r="J85" s="20"/>
      <c r="L85" s="20"/>
      <c r="M85" s="20"/>
      <c r="N85" s="20"/>
      <c r="P85" s="20"/>
      <c r="Q85" s="20"/>
      <c r="R85" s="20"/>
    </row>
    <row r="86" spans="2:18" x14ac:dyDescent="0.25">
      <c r="B86" s="24"/>
      <c r="C86" s="22"/>
      <c r="D86" s="25"/>
      <c r="E86" s="23"/>
      <c r="F86" s="25"/>
      <c r="H86" s="20"/>
      <c r="I86" s="20"/>
      <c r="J86" s="20"/>
      <c r="L86" s="20"/>
      <c r="M86" s="20"/>
      <c r="N86" s="20"/>
      <c r="P86" s="20"/>
      <c r="Q86" s="20"/>
      <c r="R86" s="20"/>
    </row>
    <row r="87" spans="2:18" x14ac:dyDescent="0.25">
      <c r="B87" s="24"/>
      <c r="C87" s="22"/>
      <c r="D87" s="25"/>
      <c r="E87" s="23"/>
      <c r="F87" s="25"/>
      <c r="H87" s="20"/>
      <c r="I87" s="20"/>
      <c r="J87" s="20"/>
      <c r="L87" s="20"/>
      <c r="M87" s="20"/>
      <c r="N87" s="20"/>
      <c r="P87" s="20"/>
      <c r="Q87" s="20"/>
      <c r="R87" s="20"/>
    </row>
    <row r="88" spans="2:18" x14ac:dyDescent="0.25">
      <c r="B88" s="24"/>
      <c r="C88" s="22"/>
      <c r="D88" s="25"/>
      <c r="E88" s="23"/>
      <c r="F88" s="25"/>
      <c r="H88" s="20"/>
      <c r="I88" s="20"/>
      <c r="J88" s="20"/>
      <c r="L88" s="20"/>
      <c r="M88" s="20"/>
      <c r="N88" s="20"/>
      <c r="P88" s="20"/>
      <c r="Q88" s="20"/>
      <c r="R88" s="20"/>
    </row>
    <row r="89" spans="2:18" x14ac:dyDescent="0.25">
      <c r="B89" s="24"/>
      <c r="C89" s="22"/>
      <c r="D89" s="25"/>
      <c r="E89" s="23"/>
      <c r="F89" s="25"/>
      <c r="H89" s="20"/>
      <c r="I89" s="20"/>
      <c r="J89" s="20"/>
      <c r="L89" s="20"/>
      <c r="M89" s="20"/>
      <c r="N89" s="20"/>
      <c r="P89" s="20"/>
      <c r="Q89" s="20"/>
      <c r="R89" s="20"/>
    </row>
    <row r="90" spans="2:18" x14ac:dyDescent="0.25">
      <c r="B90" s="24"/>
      <c r="C90" s="22"/>
      <c r="D90" s="25"/>
      <c r="E90" s="23"/>
      <c r="F90" s="25"/>
      <c r="H90" s="20"/>
      <c r="I90" s="20"/>
      <c r="J90" s="20"/>
      <c r="L90" s="20"/>
      <c r="M90" s="20"/>
      <c r="N90" s="20"/>
      <c r="P90" s="20"/>
      <c r="Q90" s="20"/>
      <c r="R90" s="20"/>
    </row>
    <row r="91" spans="2:18" x14ac:dyDescent="0.25">
      <c r="B91" s="24"/>
      <c r="C91" s="22"/>
      <c r="D91" s="25"/>
      <c r="E91" s="23"/>
      <c r="F91" s="25"/>
      <c r="H91" s="20"/>
      <c r="I91" s="20"/>
      <c r="J91" s="20"/>
      <c r="L91" s="20"/>
      <c r="M91" s="20"/>
      <c r="N91" s="20"/>
      <c r="P91" s="20"/>
      <c r="Q91" s="20"/>
      <c r="R91" s="20"/>
    </row>
    <row r="92" spans="2:18" x14ac:dyDescent="0.25">
      <c r="B92" s="24"/>
      <c r="C92" s="22"/>
      <c r="D92" s="25"/>
      <c r="E92" s="23"/>
      <c r="F92" s="25"/>
      <c r="H92" s="20"/>
      <c r="I92" s="20"/>
      <c r="J92" s="20"/>
      <c r="L92" s="20"/>
      <c r="M92" s="20"/>
      <c r="N92" s="20"/>
      <c r="P92" s="20"/>
      <c r="Q92" s="20"/>
      <c r="R92" s="20"/>
    </row>
    <row r="93" spans="2:18" x14ac:dyDescent="0.25">
      <c r="B93" s="24"/>
      <c r="C93" s="22"/>
      <c r="D93" s="25"/>
      <c r="E93" s="23"/>
      <c r="F93" s="25"/>
      <c r="H93" s="20"/>
      <c r="I93" s="20"/>
      <c r="J93" s="20"/>
      <c r="L93" s="20"/>
      <c r="M93" s="20"/>
      <c r="N93" s="20"/>
      <c r="P93" s="20"/>
      <c r="Q93" s="20"/>
      <c r="R93" s="20"/>
    </row>
    <row r="94" spans="2:18" x14ac:dyDescent="0.25">
      <c r="B94" s="24"/>
      <c r="C94" s="22"/>
      <c r="D94" s="25"/>
      <c r="E94" s="23"/>
      <c r="F94" s="25"/>
      <c r="H94" s="20"/>
      <c r="I94" s="20"/>
      <c r="J94" s="20"/>
      <c r="L94" s="20"/>
      <c r="M94" s="20"/>
      <c r="N94" s="20"/>
      <c r="P94" s="20"/>
      <c r="Q94" s="20"/>
      <c r="R94" s="20"/>
    </row>
    <row r="95" spans="2:18" x14ac:dyDescent="0.25">
      <c r="B95" s="24"/>
      <c r="C95" s="22"/>
      <c r="D95" s="25"/>
      <c r="E95" s="23"/>
      <c r="F95" s="25"/>
      <c r="H95" s="20"/>
      <c r="I95" s="20"/>
      <c r="J95" s="20"/>
      <c r="L95" s="20"/>
      <c r="M95" s="20"/>
      <c r="N95" s="20"/>
      <c r="P95" s="20"/>
      <c r="Q95" s="20"/>
      <c r="R95" s="20"/>
    </row>
    <row r="96" spans="2:18" x14ac:dyDescent="0.25">
      <c r="B96" s="24"/>
      <c r="C96" s="22"/>
      <c r="D96" s="25"/>
      <c r="E96" s="23"/>
      <c r="F96" s="25"/>
      <c r="H96" s="20"/>
      <c r="I96" s="20"/>
      <c r="J96" s="20"/>
      <c r="L96" s="20"/>
      <c r="M96" s="20"/>
      <c r="N96" s="20"/>
      <c r="P96" s="20"/>
      <c r="Q96" s="20"/>
      <c r="R96" s="20"/>
    </row>
    <row r="97" spans="2:18" x14ac:dyDescent="0.25">
      <c r="B97" s="24"/>
      <c r="C97" s="22"/>
      <c r="D97" s="25"/>
      <c r="E97" s="23"/>
      <c r="F97" s="25"/>
      <c r="H97" s="20"/>
      <c r="I97" s="20"/>
      <c r="J97" s="20"/>
      <c r="L97" s="20"/>
      <c r="M97" s="20"/>
      <c r="N97" s="20"/>
      <c r="P97" s="20"/>
      <c r="Q97" s="20"/>
      <c r="R97" s="20"/>
    </row>
    <row r="98" spans="2:18" x14ac:dyDescent="0.25">
      <c r="B98" s="24"/>
      <c r="C98" s="22"/>
      <c r="D98" s="25"/>
      <c r="E98" s="23"/>
      <c r="F98" s="25"/>
      <c r="H98" s="20"/>
      <c r="I98" s="20"/>
      <c r="J98" s="20"/>
      <c r="L98" s="20"/>
      <c r="M98" s="20"/>
      <c r="N98" s="20"/>
      <c r="P98" s="20"/>
      <c r="Q98" s="20"/>
      <c r="R98" s="20"/>
    </row>
    <row r="99" spans="2:18" x14ac:dyDescent="0.25">
      <c r="B99" s="24"/>
      <c r="C99" s="22"/>
      <c r="D99" s="25"/>
      <c r="E99" s="23"/>
      <c r="F99" s="25"/>
      <c r="H99" s="20"/>
      <c r="I99" s="20"/>
      <c r="J99" s="20"/>
      <c r="L99" s="20"/>
      <c r="M99" s="20"/>
      <c r="N99" s="20"/>
      <c r="P99" s="20"/>
      <c r="Q99" s="20"/>
      <c r="R99" s="20"/>
    </row>
    <row r="100" spans="2:18" x14ac:dyDescent="0.25">
      <c r="B100" s="24"/>
      <c r="C100" s="22"/>
      <c r="D100" s="25"/>
      <c r="E100" s="23"/>
      <c r="F100" s="25"/>
      <c r="H100" s="20"/>
      <c r="I100" s="20"/>
      <c r="J100" s="20"/>
      <c r="L100" s="20"/>
      <c r="M100" s="20"/>
      <c r="N100" s="20"/>
      <c r="P100" s="20"/>
      <c r="Q100" s="20"/>
      <c r="R100" s="20"/>
    </row>
    <row r="101" spans="2:18" x14ac:dyDescent="0.25">
      <c r="B101" s="24"/>
      <c r="C101" s="22"/>
      <c r="D101" s="25"/>
      <c r="E101" s="23"/>
      <c r="F101" s="25"/>
      <c r="H101" s="20"/>
      <c r="I101" s="20"/>
      <c r="J101" s="20"/>
      <c r="L101" s="20"/>
      <c r="M101" s="20"/>
      <c r="N101" s="20"/>
      <c r="P101" s="20"/>
      <c r="Q101" s="20"/>
      <c r="R101" s="20"/>
    </row>
    <row r="102" spans="2:18" x14ac:dyDescent="0.25">
      <c r="B102" s="24"/>
      <c r="C102" s="22"/>
      <c r="D102" s="25"/>
      <c r="E102" s="23"/>
      <c r="F102" s="25"/>
      <c r="H102" s="20"/>
      <c r="I102" s="20"/>
      <c r="J102" s="20"/>
      <c r="L102" s="20"/>
      <c r="M102" s="20"/>
      <c r="N102" s="20"/>
      <c r="P102" s="20"/>
      <c r="Q102" s="20"/>
      <c r="R102" s="20"/>
    </row>
    <row r="103" spans="2:18" x14ac:dyDescent="0.25">
      <c r="B103" s="24"/>
      <c r="C103" s="22"/>
      <c r="D103" s="25"/>
      <c r="E103" s="23"/>
      <c r="F103" s="25"/>
      <c r="H103" s="20"/>
      <c r="I103" s="20"/>
      <c r="J103" s="20"/>
      <c r="L103" s="20"/>
      <c r="M103" s="20"/>
      <c r="N103" s="20"/>
      <c r="P103" s="20"/>
      <c r="Q103" s="20"/>
      <c r="R103" s="20"/>
    </row>
    <row r="104" spans="2:18" x14ac:dyDescent="0.25">
      <c r="B104" s="24"/>
      <c r="C104" s="22"/>
      <c r="D104" s="25"/>
      <c r="E104" s="23"/>
      <c r="F104" s="25"/>
      <c r="H104" s="20"/>
      <c r="I104" s="20"/>
      <c r="J104" s="20"/>
      <c r="L104" s="20"/>
      <c r="M104" s="20"/>
      <c r="N104" s="20"/>
      <c r="P104" s="20"/>
      <c r="Q104" s="20"/>
      <c r="R104" s="20"/>
    </row>
    <row r="105" spans="2:18" x14ac:dyDescent="0.25">
      <c r="B105" s="24"/>
      <c r="C105" s="22"/>
      <c r="D105" s="25"/>
      <c r="E105" s="23"/>
      <c r="F105" s="25"/>
      <c r="H105" s="20"/>
      <c r="I105" s="20"/>
      <c r="J105" s="20"/>
      <c r="L105" s="20"/>
      <c r="M105" s="20"/>
      <c r="N105" s="20"/>
      <c r="P105" s="20"/>
      <c r="Q105" s="20"/>
      <c r="R105" s="20"/>
    </row>
    <row r="106" spans="2:18" x14ac:dyDescent="0.25">
      <c r="B106" s="24"/>
      <c r="C106" s="22"/>
      <c r="D106" s="25"/>
      <c r="E106" s="23"/>
      <c r="F106" s="25"/>
      <c r="H106" s="20"/>
      <c r="I106" s="20"/>
      <c r="J106" s="20"/>
      <c r="L106" s="20"/>
      <c r="M106" s="20"/>
      <c r="N106" s="20"/>
      <c r="P106" s="20"/>
      <c r="Q106" s="20"/>
      <c r="R106" s="20"/>
    </row>
    <row r="107" spans="2:18" x14ac:dyDescent="0.25">
      <c r="B107" s="24"/>
      <c r="C107" s="22"/>
      <c r="D107" s="25"/>
      <c r="E107" s="23"/>
      <c r="F107" s="25"/>
      <c r="H107" s="20"/>
      <c r="I107" s="20"/>
      <c r="J107" s="20"/>
      <c r="L107" s="20"/>
      <c r="M107" s="20"/>
      <c r="N107" s="20"/>
      <c r="P107" s="20"/>
      <c r="Q107" s="20"/>
      <c r="R107" s="20"/>
    </row>
    <row r="108" spans="2:18" x14ac:dyDescent="0.25">
      <c r="B108" s="24"/>
      <c r="C108" s="22"/>
      <c r="D108" s="25"/>
      <c r="E108" s="23"/>
      <c r="F108" s="25"/>
      <c r="H108" s="20"/>
      <c r="I108" s="20"/>
      <c r="J108" s="20"/>
      <c r="L108" s="20"/>
      <c r="M108" s="20"/>
      <c r="N108" s="20"/>
      <c r="P108" s="20"/>
      <c r="Q108" s="20"/>
      <c r="R108" s="20"/>
    </row>
    <row r="109" spans="2:18" x14ac:dyDescent="0.25">
      <c r="B109" s="24"/>
      <c r="C109" s="22"/>
      <c r="D109" s="25"/>
      <c r="E109" s="23"/>
      <c r="F109" s="25"/>
      <c r="H109" s="20"/>
      <c r="I109" s="20"/>
      <c r="J109" s="20"/>
      <c r="L109" s="20"/>
      <c r="M109" s="20"/>
      <c r="N109" s="20"/>
      <c r="P109" s="20"/>
      <c r="Q109" s="20"/>
      <c r="R109" s="20"/>
    </row>
    <row r="110" spans="2:18" x14ac:dyDescent="0.25">
      <c r="B110" s="24"/>
      <c r="C110" s="22"/>
      <c r="D110" s="25"/>
      <c r="E110" s="23"/>
      <c r="F110" s="25"/>
      <c r="H110" s="20"/>
      <c r="I110" s="20"/>
      <c r="J110" s="20"/>
      <c r="L110" s="20"/>
      <c r="M110" s="20"/>
      <c r="N110" s="20"/>
      <c r="P110" s="20"/>
      <c r="Q110" s="20"/>
      <c r="R110" s="20"/>
    </row>
    <row r="111" spans="2:18" x14ac:dyDescent="0.25">
      <c r="B111" s="24"/>
      <c r="C111" s="22"/>
      <c r="D111" s="25"/>
      <c r="E111" s="23"/>
      <c r="F111" s="25"/>
      <c r="H111" s="20"/>
      <c r="I111" s="20"/>
      <c r="J111" s="20"/>
      <c r="L111" s="20"/>
      <c r="M111" s="20"/>
      <c r="N111" s="20"/>
      <c r="P111" s="20"/>
      <c r="Q111" s="20"/>
      <c r="R111" s="20"/>
    </row>
    <row r="112" spans="2:18" x14ac:dyDescent="0.25">
      <c r="B112" s="24"/>
      <c r="C112" s="22"/>
      <c r="D112" s="25"/>
      <c r="E112" s="23"/>
      <c r="F112" s="25"/>
      <c r="H112" s="20"/>
      <c r="I112" s="20"/>
      <c r="J112" s="20"/>
      <c r="L112" s="20"/>
      <c r="M112" s="20"/>
      <c r="N112" s="20"/>
      <c r="P112" s="20"/>
      <c r="Q112" s="20"/>
      <c r="R112" s="20"/>
    </row>
    <row r="113" spans="2:18" x14ac:dyDescent="0.25">
      <c r="B113" s="24"/>
      <c r="C113" s="22"/>
      <c r="D113" s="25"/>
      <c r="E113" s="23"/>
      <c r="F113" s="25"/>
      <c r="H113" s="20"/>
      <c r="I113" s="20"/>
      <c r="J113" s="20"/>
      <c r="L113" s="20"/>
      <c r="M113" s="20"/>
      <c r="N113" s="20"/>
      <c r="P113" s="20"/>
      <c r="Q113" s="20"/>
      <c r="R113" s="20"/>
    </row>
    <row r="114" spans="2:18" x14ac:dyDescent="0.25">
      <c r="B114" s="24"/>
      <c r="C114" s="22"/>
      <c r="D114" s="25"/>
      <c r="E114" s="23"/>
      <c r="F114" s="25"/>
      <c r="H114" s="20"/>
      <c r="I114" s="20"/>
      <c r="J114" s="20"/>
      <c r="L114" s="20"/>
      <c r="M114" s="20"/>
      <c r="N114" s="20"/>
      <c r="P114" s="20"/>
      <c r="Q114" s="20"/>
      <c r="R114" s="20"/>
    </row>
    <row r="115" spans="2:18" x14ac:dyDescent="0.25">
      <c r="B115" s="24"/>
      <c r="C115" s="22"/>
      <c r="D115" s="25"/>
      <c r="E115" s="23"/>
      <c r="F115" s="25"/>
      <c r="H115" s="20"/>
      <c r="I115" s="20"/>
      <c r="J115" s="20"/>
      <c r="L115" s="20"/>
      <c r="M115" s="20"/>
      <c r="N115" s="20"/>
      <c r="P115" s="20"/>
      <c r="Q115" s="20"/>
      <c r="R115" s="20"/>
    </row>
    <row r="116" spans="2:18" x14ac:dyDescent="0.25">
      <c r="B116" s="24"/>
      <c r="C116" s="22"/>
      <c r="D116" s="25"/>
      <c r="E116" s="23"/>
      <c r="F116" s="25"/>
      <c r="H116" s="20"/>
      <c r="I116" s="20"/>
      <c r="J116" s="20"/>
      <c r="L116" s="20"/>
      <c r="M116" s="20"/>
      <c r="N116" s="20"/>
      <c r="P116" s="20"/>
      <c r="Q116" s="20"/>
      <c r="R116" s="20"/>
    </row>
    <row r="117" spans="2:18" x14ac:dyDescent="0.25">
      <c r="B117" s="24"/>
      <c r="C117" s="22"/>
      <c r="D117" s="25"/>
      <c r="E117" s="23"/>
      <c r="F117" s="25"/>
      <c r="H117" s="20"/>
      <c r="I117" s="20"/>
      <c r="J117" s="20"/>
      <c r="L117" s="20"/>
      <c r="M117" s="20"/>
      <c r="N117" s="20"/>
      <c r="P117" s="20"/>
      <c r="Q117" s="20"/>
      <c r="R117" s="20"/>
    </row>
    <row r="118" spans="2:18" x14ac:dyDescent="0.25">
      <c r="B118" s="24"/>
      <c r="C118" s="22"/>
      <c r="D118" s="25"/>
      <c r="E118" s="23"/>
      <c r="F118" s="25"/>
      <c r="H118" s="20"/>
      <c r="I118" s="20"/>
      <c r="J118" s="20"/>
      <c r="L118" s="20"/>
      <c r="M118" s="20"/>
      <c r="N118" s="20"/>
      <c r="P118" s="20"/>
      <c r="Q118" s="20"/>
      <c r="R118" s="20"/>
    </row>
    <row r="119" spans="2:18" x14ac:dyDescent="0.25">
      <c r="B119" s="24"/>
      <c r="C119" s="22"/>
      <c r="D119" s="25"/>
      <c r="E119" s="23"/>
      <c r="F119" s="25"/>
      <c r="H119" s="20"/>
      <c r="I119" s="20"/>
      <c r="J119" s="20"/>
      <c r="L119" s="20"/>
      <c r="M119" s="20"/>
      <c r="N119" s="20"/>
      <c r="P119" s="20"/>
      <c r="Q119" s="20"/>
      <c r="R119" s="20"/>
    </row>
    <row r="120" spans="2:18" x14ac:dyDescent="0.25">
      <c r="B120" s="24"/>
      <c r="C120" s="22"/>
      <c r="D120" s="25"/>
      <c r="E120" s="23"/>
      <c r="F120" s="25"/>
      <c r="H120" s="20"/>
      <c r="I120" s="20"/>
      <c r="J120" s="20"/>
      <c r="L120" s="20"/>
      <c r="M120" s="20"/>
      <c r="N120" s="20"/>
      <c r="P120" s="20"/>
      <c r="Q120" s="20"/>
      <c r="R120" s="20"/>
    </row>
    <row r="121" spans="2:18" x14ac:dyDescent="0.25">
      <c r="B121" s="24"/>
      <c r="C121" s="22"/>
      <c r="D121" s="25"/>
      <c r="E121" s="23"/>
      <c r="F121" s="25"/>
      <c r="H121" s="20"/>
      <c r="I121" s="20"/>
      <c r="J121" s="20"/>
      <c r="L121" s="20"/>
      <c r="M121" s="20"/>
      <c r="N121" s="20"/>
      <c r="P121" s="20"/>
      <c r="Q121" s="20"/>
      <c r="R121" s="20"/>
    </row>
    <row r="122" spans="2:18" x14ac:dyDescent="0.25">
      <c r="B122" s="24"/>
      <c r="C122" s="22"/>
      <c r="D122" s="25"/>
      <c r="E122" s="23"/>
      <c r="F122" s="25"/>
      <c r="H122" s="20"/>
      <c r="I122" s="20"/>
      <c r="J122" s="20"/>
      <c r="L122" s="20"/>
      <c r="M122" s="20"/>
      <c r="N122" s="20"/>
      <c r="P122" s="20"/>
      <c r="Q122" s="20"/>
      <c r="R122" s="20"/>
    </row>
    <row r="123" spans="2:18" x14ac:dyDescent="0.25">
      <c r="B123" s="24"/>
      <c r="C123" s="22"/>
      <c r="D123" s="25"/>
      <c r="E123" s="23"/>
      <c r="F123" s="25"/>
      <c r="H123" s="20"/>
      <c r="I123" s="20"/>
      <c r="J123" s="20"/>
      <c r="L123" s="20"/>
      <c r="M123" s="20"/>
      <c r="N123" s="20"/>
      <c r="P123" s="20"/>
      <c r="Q123" s="20"/>
      <c r="R123" s="20"/>
    </row>
    <row r="124" spans="2:18" x14ac:dyDescent="0.25">
      <c r="B124" s="24"/>
      <c r="C124" s="22"/>
      <c r="D124" s="25"/>
      <c r="E124" s="23"/>
      <c r="F124" s="25"/>
      <c r="H124" s="20"/>
      <c r="I124" s="20"/>
      <c r="J124" s="20"/>
      <c r="L124" s="20"/>
      <c r="M124" s="20"/>
      <c r="N124" s="20"/>
      <c r="P124" s="20"/>
      <c r="Q124" s="20"/>
      <c r="R124" s="20"/>
    </row>
    <row r="125" spans="2:18" x14ac:dyDescent="0.25">
      <c r="B125" s="24"/>
      <c r="C125" s="22"/>
      <c r="D125" s="25"/>
      <c r="E125" s="23"/>
      <c r="F125" s="25"/>
      <c r="H125" s="20"/>
      <c r="I125" s="20"/>
      <c r="J125" s="20"/>
      <c r="L125" s="20"/>
      <c r="M125" s="20"/>
      <c r="N125" s="20"/>
      <c r="P125" s="20"/>
      <c r="Q125" s="20"/>
      <c r="R125" s="20"/>
    </row>
    <row r="126" spans="2:18" x14ac:dyDescent="0.25">
      <c r="B126" s="24"/>
      <c r="C126" s="22"/>
      <c r="D126" s="25"/>
      <c r="E126" s="23"/>
      <c r="F126" s="25"/>
      <c r="H126" s="20"/>
      <c r="I126" s="20"/>
      <c r="J126" s="20"/>
      <c r="L126" s="20"/>
      <c r="M126" s="20"/>
      <c r="N126" s="20"/>
      <c r="P126" s="20"/>
      <c r="Q126" s="20"/>
      <c r="R126" s="20"/>
    </row>
    <row r="127" spans="2:18" x14ac:dyDescent="0.25">
      <c r="B127" s="24"/>
      <c r="C127" s="22"/>
      <c r="D127" s="25"/>
      <c r="E127" s="23"/>
      <c r="F127" s="25"/>
      <c r="H127" s="20"/>
      <c r="I127" s="20"/>
      <c r="J127" s="20"/>
      <c r="L127" s="20"/>
      <c r="M127" s="20"/>
      <c r="N127" s="20"/>
      <c r="P127" s="20"/>
      <c r="Q127" s="20"/>
      <c r="R127" s="20"/>
    </row>
    <row r="128" spans="2:18" x14ac:dyDescent="0.25">
      <c r="B128" s="24"/>
      <c r="C128" s="22"/>
      <c r="D128" s="25"/>
      <c r="E128" s="23"/>
      <c r="F128" s="25"/>
      <c r="H128" s="20"/>
      <c r="I128" s="20"/>
      <c r="J128" s="20"/>
      <c r="L128" s="20"/>
      <c r="M128" s="20"/>
      <c r="N128" s="20"/>
      <c r="P128" s="20"/>
      <c r="Q128" s="20"/>
      <c r="R128" s="20"/>
    </row>
    <row r="129" spans="2:18" x14ac:dyDescent="0.25">
      <c r="B129" s="24"/>
      <c r="C129" s="22"/>
      <c r="D129" s="25"/>
      <c r="E129" s="23"/>
      <c r="F129" s="25"/>
      <c r="H129" s="20"/>
      <c r="I129" s="20"/>
      <c r="J129" s="20"/>
      <c r="L129" s="20"/>
      <c r="M129" s="20"/>
      <c r="N129" s="20"/>
      <c r="P129" s="20"/>
      <c r="Q129" s="20"/>
      <c r="R129" s="20"/>
    </row>
    <row r="130" spans="2:18" x14ac:dyDescent="0.25">
      <c r="B130" s="24"/>
      <c r="C130" s="22"/>
      <c r="D130" s="25"/>
      <c r="E130" s="23"/>
      <c r="F130" s="25"/>
      <c r="H130" s="20"/>
      <c r="I130" s="20"/>
      <c r="J130" s="20"/>
      <c r="L130" s="20"/>
      <c r="M130" s="20"/>
      <c r="N130" s="20"/>
      <c r="P130" s="20"/>
      <c r="Q130" s="20"/>
      <c r="R130" s="20"/>
    </row>
    <row r="131" spans="2:18" x14ac:dyDescent="0.25">
      <c r="B131" s="24"/>
      <c r="C131" s="22"/>
      <c r="D131" s="25"/>
      <c r="E131" s="23"/>
      <c r="F131" s="25"/>
      <c r="H131" s="20"/>
      <c r="I131" s="20"/>
      <c r="J131" s="20"/>
      <c r="L131" s="20"/>
      <c r="M131" s="20"/>
      <c r="N131" s="20"/>
      <c r="P131" s="20"/>
      <c r="Q131" s="20"/>
      <c r="R131" s="20"/>
    </row>
    <row r="132" spans="2:18" x14ac:dyDescent="0.25">
      <c r="B132" s="24"/>
      <c r="C132" s="22"/>
      <c r="D132" s="25"/>
      <c r="E132" s="23"/>
      <c r="F132" s="25"/>
      <c r="H132" s="20"/>
      <c r="I132" s="20"/>
      <c r="J132" s="20"/>
      <c r="L132" s="20"/>
      <c r="M132" s="20"/>
      <c r="N132" s="20"/>
      <c r="P132" s="20"/>
      <c r="Q132" s="20"/>
      <c r="R132" s="20"/>
    </row>
    <row r="133" spans="2:18" x14ac:dyDescent="0.25">
      <c r="B133" s="24"/>
      <c r="C133" s="22"/>
      <c r="D133" s="25"/>
      <c r="E133" s="23"/>
      <c r="F133" s="25"/>
      <c r="H133" s="20"/>
      <c r="I133" s="20"/>
      <c r="J133" s="20"/>
      <c r="L133" s="20"/>
      <c r="M133" s="20"/>
      <c r="N133" s="20"/>
      <c r="P133" s="20"/>
      <c r="Q133" s="20"/>
      <c r="R133" s="20"/>
    </row>
    <row r="134" spans="2:18" x14ac:dyDescent="0.25">
      <c r="B134" s="24"/>
      <c r="C134" s="22"/>
      <c r="D134" s="25"/>
      <c r="E134" s="23"/>
      <c r="F134" s="25"/>
      <c r="H134" s="20"/>
      <c r="I134" s="20"/>
      <c r="J134" s="20"/>
      <c r="L134" s="20"/>
      <c r="M134" s="20"/>
      <c r="N134" s="20"/>
      <c r="P134" s="20"/>
      <c r="Q134" s="20"/>
      <c r="R134" s="20"/>
    </row>
    <row r="135" spans="2:18" x14ac:dyDescent="0.25">
      <c r="B135" s="24"/>
      <c r="C135" s="22"/>
      <c r="D135" s="25"/>
      <c r="E135" s="23"/>
      <c r="F135" s="25"/>
      <c r="H135" s="20"/>
      <c r="I135" s="20"/>
      <c r="J135" s="20"/>
      <c r="L135" s="20"/>
      <c r="M135" s="20"/>
      <c r="N135" s="20"/>
      <c r="P135" s="20"/>
      <c r="Q135" s="20"/>
      <c r="R135" s="20"/>
    </row>
    <row r="136" spans="2:18" x14ac:dyDescent="0.25">
      <c r="B136" s="24"/>
      <c r="C136" s="22"/>
      <c r="D136" s="25"/>
      <c r="E136" s="23"/>
      <c r="F136" s="25"/>
      <c r="H136" s="20"/>
      <c r="I136" s="20"/>
      <c r="J136" s="20"/>
      <c r="L136" s="20"/>
      <c r="M136" s="20"/>
      <c r="N136" s="20"/>
      <c r="P136" s="20"/>
      <c r="Q136" s="20"/>
      <c r="R136" s="20"/>
    </row>
    <row r="137" spans="2:18" x14ac:dyDescent="0.25">
      <c r="B137" s="24"/>
      <c r="C137" s="22"/>
      <c r="D137" s="25"/>
      <c r="E137" s="23"/>
      <c r="F137" s="25"/>
      <c r="H137" s="20"/>
      <c r="I137" s="20"/>
      <c r="J137" s="20"/>
      <c r="L137" s="20"/>
      <c r="M137" s="20"/>
      <c r="N137" s="20"/>
      <c r="P137" s="20"/>
      <c r="Q137" s="20"/>
      <c r="R137" s="20"/>
    </row>
    <row r="138" spans="2:18" x14ac:dyDescent="0.25">
      <c r="B138" s="24"/>
      <c r="C138" s="22"/>
      <c r="D138" s="25"/>
      <c r="E138" s="23"/>
      <c r="F138" s="25"/>
      <c r="H138" s="20"/>
      <c r="I138" s="20"/>
      <c r="J138" s="20"/>
      <c r="L138" s="20"/>
      <c r="M138" s="20"/>
      <c r="N138" s="20"/>
      <c r="P138" s="20"/>
      <c r="Q138" s="20"/>
      <c r="R138" s="20"/>
    </row>
    <row r="139" spans="2:18" x14ac:dyDescent="0.25">
      <c r="B139" s="24"/>
      <c r="C139" s="22"/>
      <c r="D139" s="25"/>
      <c r="E139" s="23"/>
      <c r="F139" s="25"/>
      <c r="H139" s="20"/>
      <c r="I139" s="20"/>
      <c r="J139" s="20"/>
      <c r="L139" s="20"/>
      <c r="M139" s="20"/>
      <c r="N139" s="20"/>
      <c r="P139" s="20"/>
      <c r="Q139" s="20"/>
      <c r="R139" s="20"/>
    </row>
    <row r="140" spans="2:18" x14ac:dyDescent="0.25">
      <c r="B140" s="24"/>
      <c r="C140" s="22"/>
      <c r="D140" s="25"/>
      <c r="E140" s="23"/>
      <c r="F140" s="25"/>
      <c r="H140" s="20"/>
      <c r="I140" s="20"/>
      <c r="J140" s="20"/>
      <c r="L140" s="20"/>
      <c r="M140" s="20"/>
      <c r="N140" s="20"/>
      <c r="P140" s="20"/>
      <c r="Q140" s="20"/>
      <c r="R140" s="20"/>
    </row>
    <row r="141" spans="2:18" x14ac:dyDescent="0.25">
      <c r="B141" s="24"/>
      <c r="C141" s="22"/>
      <c r="D141" s="25"/>
      <c r="E141" s="23"/>
      <c r="F141" s="25"/>
      <c r="H141" s="20"/>
      <c r="I141" s="20"/>
      <c r="J141" s="20"/>
      <c r="L141" s="20"/>
      <c r="M141" s="20"/>
      <c r="N141" s="20"/>
      <c r="P141" s="20"/>
      <c r="Q141" s="20"/>
      <c r="R141" s="20"/>
    </row>
    <row r="142" spans="2:18" x14ac:dyDescent="0.25">
      <c r="B142" s="24"/>
      <c r="C142" s="22"/>
      <c r="D142" s="25"/>
      <c r="E142" s="23"/>
      <c r="F142" s="25"/>
      <c r="H142" s="20"/>
      <c r="I142" s="20"/>
      <c r="J142" s="20"/>
      <c r="L142" s="20"/>
      <c r="M142" s="20"/>
      <c r="N142" s="20"/>
      <c r="P142" s="20"/>
      <c r="Q142" s="20"/>
      <c r="R142" s="20"/>
    </row>
    <row r="143" spans="2:18" x14ac:dyDescent="0.25">
      <c r="B143" s="24"/>
      <c r="C143" s="22"/>
      <c r="D143" s="25"/>
      <c r="E143" s="23"/>
      <c r="F143" s="25"/>
      <c r="H143" s="20"/>
      <c r="I143" s="20"/>
      <c r="J143" s="20"/>
      <c r="L143" s="20"/>
      <c r="M143" s="20"/>
      <c r="N143" s="20"/>
      <c r="P143" s="20"/>
      <c r="Q143" s="20"/>
      <c r="R143" s="20"/>
    </row>
    <row r="144" spans="2:18" x14ac:dyDescent="0.25">
      <c r="B144" s="24"/>
      <c r="C144" s="22"/>
      <c r="D144" s="25"/>
      <c r="E144" s="23"/>
      <c r="F144" s="25"/>
      <c r="H144" s="20"/>
      <c r="I144" s="20"/>
      <c r="J144" s="20"/>
      <c r="L144" s="20"/>
      <c r="M144" s="20"/>
      <c r="N144" s="20"/>
      <c r="P144" s="20"/>
      <c r="Q144" s="20"/>
      <c r="R144" s="20"/>
    </row>
    <row r="145" spans="2:18" x14ac:dyDescent="0.25">
      <c r="B145" s="24"/>
      <c r="C145" s="22"/>
      <c r="D145" s="25"/>
      <c r="E145" s="23"/>
      <c r="F145" s="25"/>
      <c r="H145" s="20"/>
      <c r="I145" s="20"/>
      <c r="J145" s="20"/>
      <c r="L145" s="20"/>
      <c r="M145" s="20"/>
      <c r="N145" s="20"/>
      <c r="P145" s="20"/>
      <c r="Q145" s="20"/>
      <c r="R145" s="20"/>
    </row>
    <row r="146" spans="2:18" x14ac:dyDescent="0.25">
      <c r="B146" s="24"/>
      <c r="C146" s="22"/>
      <c r="D146" s="25"/>
      <c r="E146" s="23"/>
      <c r="F146" s="25"/>
      <c r="H146" s="20"/>
      <c r="I146" s="20"/>
      <c r="J146" s="20"/>
      <c r="L146" s="20"/>
      <c r="M146" s="20"/>
      <c r="N146" s="20"/>
      <c r="P146" s="20"/>
      <c r="Q146" s="20"/>
      <c r="R146" s="20"/>
    </row>
    <row r="147" spans="2:18" x14ac:dyDescent="0.25">
      <c r="B147" s="24"/>
      <c r="C147" s="22"/>
      <c r="D147" s="25"/>
      <c r="E147" s="23"/>
      <c r="F147" s="25"/>
      <c r="H147" s="20"/>
      <c r="I147" s="20"/>
      <c r="J147" s="20"/>
      <c r="L147" s="20"/>
      <c r="M147" s="20"/>
      <c r="N147" s="20"/>
      <c r="P147" s="20"/>
      <c r="Q147" s="20"/>
      <c r="R147" s="20"/>
    </row>
    <row r="148" spans="2:18" x14ac:dyDescent="0.25">
      <c r="B148" s="24"/>
      <c r="C148" s="22"/>
      <c r="D148" s="25"/>
      <c r="E148" s="23"/>
      <c r="F148" s="25"/>
      <c r="H148" s="20"/>
      <c r="I148" s="20"/>
      <c r="J148" s="20"/>
      <c r="L148" s="20"/>
      <c r="M148" s="20"/>
      <c r="N148" s="20"/>
      <c r="P148" s="20"/>
      <c r="Q148" s="20"/>
      <c r="R148" s="20"/>
    </row>
    <row r="149" spans="2:18" x14ac:dyDescent="0.25">
      <c r="B149" s="24"/>
      <c r="C149" s="22"/>
      <c r="D149" s="25"/>
      <c r="E149" s="23"/>
      <c r="F149" s="25"/>
      <c r="H149" s="20"/>
      <c r="I149" s="20"/>
      <c r="J149" s="20"/>
      <c r="L149" s="20"/>
      <c r="M149" s="20"/>
      <c r="N149" s="20"/>
      <c r="P149" s="20"/>
      <c r="Q149" s="20"/>
      <c r="R149" s="20"/>
    </row>
    <row r="150" spans="2:18" x14ac:dyDescent="0.25">
      <c r="B150" s="24"/>
      <c r="C150" s="22"/>
      <c r="D150" s="25"/>
      <c r="E150" s="23"/>
      <c r="F150" s="25"/>
      <c r="H150" s="20"/>
      <c r="I150" s="20"/>
      <c r="J150" s="20"/>
      <c r="L150" s="20"/>
      <c r="M150" s="20"/>
      <c r="N150" s="20"/>
      <c r="P150" s="20"/>
      <c r="Q150" s="20"/>
      <c r="R150" s="20"/>
    </row>
    <row r="151" spans="2:18" x14ac:dyDescent="0.25">
      <c r="B151" s="24"/>
      <c r="C151" s="22"/>
      <c r="D151" s="25"/>
      <c r="E151" s="23"/>
      <c r="F151" s="25"/>
      <c r="H151" s="20"/>
      <c r="I151" s="20"/>
      <c r="J151" s="20"/>
      <c r="L151" s="20"/>
      <c r="M151" s="20"/>
      <c r="N151" s="20"/>
      <c r="P151" s="20"/>
      <c r="Q151" s="20"/>
      <c r="R151" s="20"/>
    </row>
    <row r="152" spans="2:18" x14ac:dyDescent="0.25">
      <c r="B152" s="24"/>
      <c r="C152" s="22"/>
      <c r="D152" s="25"/>
      <c r="E152" s="23"/>
      <c r="F152" s="25"/>
      <c r="H152" s="20"/>
      <c r="I152" s="20"/>
      <c r="J152" s="20"/>
      <c r="L152" s="20"/>
      <c r="M152" s="20"/>
      <c r="N152" s="20"/>
      <c r="P152" s="20"/>
      <c r="Q152" s="20"/>
      <c r="R152" s="20"/>
    </row>
    <row r="153" spans="2:18" x14ac:dyDescent="0.25">
      <c r="B153" s="24"/>
      <c r="C153" s="22"/>
      <c r="D153" s="25"/>
      <c r="E153" s="23"/>
      <c r="F153" s="25"/>
      <c r="H153" s="20"/>
      <c r="I153" s="20"/>
      <c r="J153" s="20"/>
      <c r="L153" s="20"/>
      <c r="M153" s="20"/>
      <c r="N153" s="20"/>
      <c r="P153" s="20"/>
      <c r="Q153" s="20"/>
      <c r="R153" s="20"/>
    </row>
    <row r="154" spans="2:18" x14ac:dyDescent="0.25">
      <c r="B154" s="24"/>
      <c r="C154" s="22"/>
      <c r="D154" s="25"/>
      <c r="E154" s="23"/>
      <c r="F154" s="25"/>
      <c r="H154" s="20"/>
      <c r="I154" s="20"/>
      <c r="J154" s="20"/>
      <c r="L154" s="20"/>
      <c r="M154" s="20"/>
      <c r="N154" s="20"/>
      <c r="P154" s="20"/>
      <c r="Q154" s="20"/>
      <c r="R154" s="20"/>
    </row>
    <row r="155" spans="2:18" x14ac:dyDescent="0.25">
      <c r="B155" s="24"/>
      <c r="C155" s="22"/>
      <c r="D155" s="25"/>
      <c r="E155" s="23"/>
      <c r="F155" s="25"/>
      <c r="H155" s="20"/>
      <c r="I155" s="20"/>
      <c r="J155" s="20"/>
      <c r="L155" s="20"/>
      <c r="M155" s="20"/>
      <c r="N155" s="20"/>
      <c r="P155" s="20"/>
      <c r="Q155" s="20"/>
      <c r="R155" s="20"/>
    </row>
    <row r="156" spans="2:18" x14ac:dyDescent="0.25">
      <c r="B156" s="24"/>
      <c r="C156" s="22"/>
      <c r="D156" s="25"/>
      <c r="E156" s="23"/>
      <c r="F156" s="25"/>
      <c r="H156" s="20"/>
      <c r="I156" s="20"/>
      <c r="J156" s="20"/>
      <c r="L156" s="20"/>
      <c r="M156" s="20"/>
      <c r="N156" s="20"/>
      <c r="P156" s="20"/>
      <c r="Q156" s="20"/>
      <c r="R156" s="20"/>
    </row>
    <row r="157" spans="2:18" x14ac:dyDescent="0.25">
      <c r="B157" s="24"/>
      <c r="C157" s="22"/>
      <c r="D157" s="25"/>
      <c r="E157" s="23"/>
      <c r="F157" s="25"/>
      <c r="H157" s="20"/>
      <c r="I157" s="20"/>
      <c r="J157" s="20"/>
      <c r="L157" s="20"/>
      <c r="M157" s="20"/>
      <c r="N157" s="20"/>
      <c r="P157" s="20"/>
      <c r="Q157" s="20"/>
      <c r="R157" s="20"/>
    </row>
    <row r="158" spans="2:18" x14ac:dyDescent="0.25">
      <c r="B158" s="24"/>
      <c r="C158" s="22"/>
      <c r="D158" s="25"/>
      <c r="E158" s="23"/>
      <c r="F158" s="25"/>
      <c r="H158" s="20"/>
      <c r="I158" s="20"/>
      <c r="J158" s="20"/>
      <c r="L158" s="20"/>
      <c r="M158" s="20"/>
      <c r="N158" s="20"/>
      <c r="P158" s="20"/>
      <c r="Q158" s="20"/>
      <c r="R158" s="20"/>
    </row>
    <row r="159" spans="2:18" x14ac:dyDescent="0.25">
      <c r="B159" s="24"/>
      <c r="C159" s="22"/>
      <c r="D159" s="25"/>
      <c r="E159" s="23"/>
      <c r="F159" s="25"/>
      <c r="H159" s="20"/>
      <c r="I159" s="20"/>
      <c r="J159" s="20"/>
      <c r="L159" s="20"/>
      <c r="M159" s="20"/>
      <c r="N159" s="20"/>
      <c r="P159" s="20"/>
      <c r="Q159" s="20"/>
      <c r="R159" s="20"/>
    </row>
    <row r="160" spans="2:18" x14ac:dyDescent="0.25">
      <c r="B160" s="24"/>
      <c r="C160" s="22"/>
      <c r="D160" s="25"/>
      <c r="E160" s="23"/>
      <c r="F160" s="25"/>
      <c r="H160" s="20"/>
      <c r="I160" s="20"/>
      <c r="J160" s="20"/>
      <c r="L160" s="20"/>
      <c r="M160" s="20"/>
      <c r="N160" s="20"/>
      <c r="P160" s="20"/>
      <c r="Q160" s="20"/>
      <c r="R160" s="20"/>
    </row>
    <row r="161" spans="2:18" x14ac:dyDescent="0.25">
      <c r="B161" s="24"/>
      <c r="C161" s="22"/>
      <c r="D161" s="25"/>
      <c r="E161" s="23"/>
      <c r="F161" s="25"/>
      <c r="H161" s="20"/>
      <c r="I161" s="20"/>
      <c r="J161" s="20"/>
      <c r="L161" s="20"/>
      <c r="M161" s="20"/>
      <c r="N161" s="20"/>
      <c r="P161" s="20"/>
      <c r="Q161" s="20"/>
      <c r="R161" s="20"/>
    </row>
    <row r="162" spans="2:18" x14ac:dyDescent="0.25">
      <c r="B162" s="24"/>
      <c r="C162" s="22"/>
      <c r="D162" s="25"/>
      <c r="E162" s="23"/>
      <c r="F162" s="25"/>
      <c r="H162" s="20"/>
      <c r="I162" s="20"/>
      <c r="J162" s="20"/>
      <c r="L162" s="20"/>
      <c r="M162" s="20"/>
      <c r="N162" s="20"/>
      <c r="P162" s="20"/>
      <c r="Q162" s="20"/>
      <c r="R162" s="20"/>
    </row>
    <row r="163" spans="2:18" x14ac:dyDescent="0.25">
      <c r="B163" s="24"/>
      <c r="C163" s="22"/>
      <c r="D163" s="25"/>
      <c r="E163" s="23"/>
      <c r="F163" s="25"/>
      <c r="H163" s="20"/>
      <c r="I163" s="20"/>
      <c r="J163" s="20"/>
      <c r="L163" s="20"/>
      <c r="M163" s="20"/>
      <c r="N163" s="20"/>
      <c r="P163" s="20"/>
      <c r="Q163" s="20"/>
      <c r="R163" s="20"/>
    </row>
    <row r="164" spans="2:18" x14ac:dyDescent="0.25">
      <c r="B164" s="24"/>
      <c r="C164" s="22"/>
      <c r="D164" s="25"/>
      <c r="E164" s="23"/>
      <c r="F164" s="25"/>
      <c r="H164" s="20"/>
      <c r="I164" s="20"/>
      <c r="J164" s="20"/>
      <c r="L164" s="20"/>
      <c r="M164" s="20"/>
      <c r="N164" s="20"/>
      <c r="P164" s="20"/>
      <c r="Q164" s="20"/>
      <c r="R164" s="20"/>
    </row>
    <row r="165" spans="2:18" x14ac:dyDescent="0.25">
      <c r="B165" s="24"/>
      <c r="C165" s="22"/>
      <c r="D165" s="25"/>
      <c r="E165" s="23"/>
      <c r="F165" s="25"/>
      <c r="H165" s="20"/>
      <c r="I165" s="20"/>
      <c r="J165" s="20"/>
      <c r="L165" s="20"/>
      <c r="M165" s="20"/>
      <c r="N165" s="20"/>
      <c r="P165" s="20"/>
      <c r="Q165" s="20"/>
      <c r="R165" s="20"/>
    </row>
    <row r="166" spans="2:18" x14ac:dyDescent="0.25">
      <c r="B166" s="24"/>
      <c r="C166" s="22"/>
      <c r="D166" s="25"/>
      <c r="E166" s="23"/>
      <c r="F166" s="25"/>
      <c r="H166" s="20"/>
      <c r="I166" s="20"/>
      <c r="J166" s="20"/>
      <c r="L166" s="20"/>
      <c r="M166" s="20"/>
      <c r="N166" s="20"/>
      <c r="P166" s="20"/>
      <c r="Q166" s="20"/>
      <c r="R166" s="20"/>
    </row>
    <row r="167" spans="2:18" x14ac:dyDescent="0.25">
      <c r="B167" s="24"/>
      <c r="C167" s="22"/>
      <c r="D167" s="25"/>
      <c r="E167" s="23"/>
      <c r="F167" s="25"/>
      <c r="H167" s="20"/>
      <c r="I167" s="20"/>
      <c r="J167" s="20"/>
      <c r="L167" s="20"/>
      <c r="M167" s="20"/>
      <c r="N167" s="20"/>
      <c r="P167" s="20"/>
      <c r="Q167" s="20"/>
      <c r="R167" s="20"/>
    </row>
    <row r="168" spans="2:18" x14ac:dyDescent="0.25">
      <c r="B168" s="24"/>
      <c r="C168" s="22"/>
      <c r="D168" s="25"/>
      <c r="E168" s="23"/>
      <c r="F168" s="25"/>
      <c r="H168" s="20"/>
      <c r="I168" s="20"/>
      <c r="J168" s="20"/>
      <c r="L168" s="20"/>
      <c r="M168" s="20"/>
      <c r="N168" s="20"/>
      <c r="P168" s="20"/>
      <c r="Q168" s="20"/>
      <c r="R168" s="20"/>
    </row>
    <row r="169" spans="2:18" x14ac:dyDescent="0.25">
      <c r="B169" s="24"/>
      <c r="C169" s="22"/>
      <c r="D169" s="25"/>
      <c r="E169" s="23"/>
      <c r="F169" s="25"/>
      <c r="H169" s="20"/>
      <c r="I169" s="20"/>
      <c r="J169" s="20"/>
      <c r="L169" s="20"/>
      <c r="M169" s="20"/>
      <c r="N169" s="20"/>
      <c r="P169" s="20"/>
      <c r="Q169" s="20"/>
      <c r="R169" s="20"/>
    </row>
    <row r="170" spans="2:18" x14ac:dyDescent="0.25">
      <c r="B170" s="24"/>
      <c r="C170" s="22"/>
      <c r="D170" s="25"/>
      <c r="E170" s="23"/>
      <c r="F170" s="25"/>
      <c r="H170" s="20"/>
      <c r="I170" s="20"/>
      <c r="J170" s="20"/>
      <c r="L170" s="20"/>
      <c r="M170" s="20"/>
      <c r="N170" s="20"/>
      <c r="P170" s="20"/>
      <c r="Q170" s="20"/>
      <c r="R170" s="20"/>
    </row>
    <row r="171" spans="2:18" x14ac:dyDescent="0.25">
      <c r="B171" s="24"/>
      <c r="C171" s="22"/>
      <c r="D171" s="25"/>
      <c r="E171" s="23"/>
      <c r="F171" s="25"/>
      <c r="H171" s="20"/>
      <c r="I171" s="20"/>
      <c r="J171" s="20"/>
      <c r="L171" s="20"/>
      <c r="M171" s="20"/>
      <c r="N171" s="20"/>
      <c r="P171" s="20"/>
      <c r="Q171" s="20"/>
      <c r="R171" s="20"/>
    </row>
    <row r="172" spans="2:18" x14ac:dyDescent="0.25">
      <c r="B172" s="24"/>
      <c r="C172" s="22"/>
      <c r="D172" s="25"/>
      <c r="E172" s="23"/>
      <c r="F172" s="25"/>
      <c r="H172" s="20"/>
      <c r="I172" s="20"/>
      <c r="J172" s="20"/>
      <c r="L172" s="20"/>
      <c r="M172" s="20"/>
      <c r="N172" s="20"/>
      <c r="P172" s="20"/>
      <c r="Q172" s="20"/>
      <c r="R172" s="20"/>
    </row>
    <row r="173" spans="2:18" x14ac:dyDescent="0.25">
      <c r="B173" s="24"/>
      <c r="C173" s="22"/>
      <c r="D173" s="25"/>
      <c r="E173" s="23"/>
      <c r="F173" s="25"/>
      <c r="H173" s="20"/>
      <c r="I173" s="20"/>
      <c r="J173" s="20"/>
      <c r="L173" s="20"/>
      <c r="M173" s="20"/>
      <c r="N173" s="20"/>
      <c r="P173" s="20"/>
      <c r="Q173" s="20"/>
      <c r="R173" s="20"/>
    </row>
    <row r="174" spans="2:18" x14ac:dyDescent="0.25">
      <c r="B174" s="24"/>
      <c r="C174" s="22"/>
      <c r="D174" s="25"/>
      <c r="E174" s="23"/>
      <c r="F174" s="25"/>
      <c r="H174" s="20"/>
      <c r="I174" s="20"/>
      <c r="J174" s="20"/>
      <c r="L174" s="20"/>
      <c r="M174" s="20"/>
      <c r="N174" s="20"/>
      <c r="P174" s="20"/>
      <c r="Q174" s="20"/>
      <c r="R174" s="20"/>
    </row>
    <row r="175" spans="2:18" x14ac:dyDescent="0.25">
      <c r="B175" s="24"/>
      <c r="C175" s="22"/>
      <c r="D175" s="25"/>
      <c r="E175" s="23"/>
      <c r="F175" s="25"/>
      <c r="H175" s="20"/>
      <c r="I175" s="20"/>
      <c r="J175" s="20"/>
      <c r="L175" s="20"/>
      <c r="M175" s="20"/>
      <c r="N175" s="20"/>
      <c r="P175" s="20"/>
      <c r="Q175" s="20"/>
      <c r="R175" s="20"/>
    </row>
    <row r="176" spans="2:18" x14ac:dyDescent="0.25">
      <c r="B176" s="24"/>
      <c r="C176" s="22"/>
      <c r="D176" s="25"/>
      <c r="E176" s="23"/>
      <c r="F176" s="25"/>
      <c r="H176" s="20"/>
      <c r="I176" s="20"/>
      <c r="J176" s="20"/>
      <c r="L176" s="20"/>
      <c r="M176" s="20"/>
      <c r="N176" s="20"/>
      <c r="P176" s="20"/>
      <c r="Q176" s="20"/>
      <c r="R176" s="20"/>
    </row>
    <row r="177" spans="2:18" x14ac:dyDescent="0.25">
      <c r="B177" s="24"/>
      <c r="C177" s="22"/>
      <c r="D177" s="25"/>
      <c r="E177" s="23"/>
      <c r="F177" s="25"/>
      <c r="H177" s="20"/>
      <c r="I177" s="20"/>
      <c r="J177" s="20"/>
      <c r="L177" s="20"/>
      <c r="M177" s="20"/>
      <c r="N177" s="20"/>
      <c r="P177" s="20"/>
      <c r="Q177" s="20"/>
      <c r="R177" s="20"/>
    </row>
    <row r="178" spans="2:18" x14ac:dyDescent="0.25">
      <c r="B178" s="24"/>
      <c r="C178" s="22"/>
      <c r="D178" s="25"/>
      <c r="E178" s="23"/>
      <c r="F178" s="25"/>
      <c r="H178" s="20"/>
      <c r="I178" s="20"/>
      <c r="J178" s="20"/>
      <c r="L178" s="20"/>
      <c r="M178" s="20"/>
      <c r="N178" s="20"/>
      <c r="P178" s="20"/>
      <c r="Q178" s="20"/>
      <c r="R178" s="20"/>
    </row>
    <row r="179" spans="2:18" x14ac:dyDescent="0.25">
      <c r="B179" s="24"/>
      <c r="C179" s="22"/>
      <c r="D179" s="25"/>
      <c r="E179" s="23"/>
      <c r="F179" s="25"/>
      <c r="H179" s="20"/>
      <c r="I179" s="20"/>
      <c r="J179" s="20"/>
      <c r="L179" s="20"/>
      <c r="M179" s="20"/>
      <c r="N179" s="20"/>
      <c r="P179" s="20"/>
      <c r="Q179" s="20"/>
      <c r="R179" s="20"/>
    </row>
    <row r="180" spans="2:18" x14ac:dyDescent="0.25">
      <c r="B180" s="24"/>
      <c r="C180" s="22"/>
      <c r="D180" s="25"/>
      <c r="E180" s="23"/>
      <c r="F180" s="25"/>
      <c r="H180" s="20"/>
      <c r="I180" s="20"/>
      <c r="J180" s="20"/>
      <c r="L180" s="20"/>
      <c r="M180" s="20"/>
      <c r="N180" s="20"/>
      <c r="P180" s="20"/>
      <c r="Q180" s="20"/>
      <c r="R180" s="20"/>
    </row>
    <row r="181" spans="2:18" x14ac:dyDescent="0.25">
      <c r="B181" s="24"/>
      <c r="C181" s="22"/>
      <c r="D181" s="25"/>
      <c r="E181" s="23"/>
      <c r="F181" s="25"/>
      <c r="H181" s="20"/>
      <c r="I181" s="20"/>
      <c r="J181" s="20"/>
      <c r="L181" s="20"/>
      <c r="M181" s="20"/>
      <c r="N181" s="20"/>
      <c r="P181" s="20"/>
      <c r="Q181" s="20"/>
      <c r="R181" s="20"/>
    </row>
    <row r="182" spans="2:18" x14ac:dyDescent="0.25">
      <c r="B182" s="24"/>
      <c r="C182" s="22"/>
      <c r="D182" s="25"/>
      <c r="E182" s="23"/>
      <c r="F182" s="25"/>
      <c r="H182" s="20"/>
      <c r="I182" s="20"/>
      <c r="J182" s="20"/>
      <c r="L182" s="20"/>
      <c r="M182" s="20"/>
      <c r="N182" s="20"/>
      <c r="P182" s="20"/>
      <c r="Q182" s="20"/>
      <c r="R182" s="20"/>
    </row>
    <row r="183" spans="2:18" x14ac:dyDescent="0.25">
      <c r="B183" s="24"/>
      <c r="C183" s="22"/>
      <c r="D183" s="25"/>
      <c r="E183" s="23"/>
      <c r="F183" s="25"/>
      <c r="H183" s="20"/>
      <c r="I183" s="20"/>
      <c r="J183" s="20"/>
      <c r="L183" s="20"/>
      <c r="M183" s="20"/>
      <c r="N183" s="20"/>
      <c r="P183" s="20"/>
      <c r="Q183" s="20"/>
      <c r="R183" s="20"/>
    </row>
    <row r="184" spans="2:18" x14ac:dyDescent="0.25">
      <c r="B184" s="24"/>
      <c r="C184" s="22"/>
      <c r="D184" s="25"/>
      <c r="E184" s="23"/>
      <c r="F184" s="25"/>
      <c r="H184" s="20"/>
      <c r="I184" s="20"/>
      <c r="J184" s="20"/>
      <c r="L184" s="20"/>
      <c r="M184" s="20"/>
      <c r="N184" s="20"/>
      <c r="P184" s="20"/>
      <c r="Q184" s="20"/>
      <c r="R184" s="20"/>
    </row>
    <row r="185" spans="2:18" x14ac:dyDescent="0.25">
      <c r="B185" s="24"/>
      <c r="C185" s="22"/>
      <c r="D185" s="25"/>
      <c r="E185" s="23"/>
      <c r="F185" s="25"/>
      <c r="H185" s="20"/>
      <c r="I185" s="20"/>
      <c r="J185" s="20"/>
      <c r="L185" s="20"/>
      <c r="M185" s="20"/>
      <c r="N185" s="20"/>
      <c r="P185" s="20"/>
      <c r="Q185" s="20"/>
      <c r="R185" s="20"/>
    </row>
    <row r="186" spans="2:18" x14ac:dyDescent="0.25">
      <c r="B186" s="24"/>
      <c r="C186" s="22"/>
      <c r="D186" s="25"/>
      <c r="E186" s="23"/>
      <c r="F186" s="25"/>
      <c r="H186" s="20"/>
      <c r="I186" s="20"/>
      <c r="J186" s="20"/>
      <c r="L186" s="20"/>
      <c r="M186" s="20"/>
      <c r="N186" s="20"/>
      <c r="P186" s="20"/>
      <c r="Q186" s="20"/>
      <c r="R186" s="20"/>
    </row>
    <row r="187" spans="2:18" x14ac:dyDescent="0.25">
      <c r="B187" s="24"/>
      <c r="C187" s="22"/>
      <c r="D187" s="25"/>
      <c r="E187" s="23"/>
      <c r="F187" s="25"/>
      <c r="H187" s="20"/>
      <c r="I187" s="20"/>
      <c r="J187" s="20"/>
      <c r="L187" s="20"/>
      <c r="M187" s="20"/>
      <c r="N187" s="20"/>
      <c r="P187" s="20"/>
      <c r="Q187" s="20"/>
      <c r="R187" s="20"/>
    </row>
    <row r="188" spans="2:18" x14ac:dyDescent="0.25">
      <c r="B188" s="24"/>
      <c r="C188" s="22"/>
      <c r="D188" s="25"/>
      <c r="E188" s="23"/>
      <c r="F188" s="25"/>
      <c r="H188" s="20"/>
      <c r="I188" s="20"/>
      <c r="J188" s="20"/>
      <c r="L188" s="20"/>
      <c r="M188" s="20"/>
      <c r="N188" s="20"/>
      <c r="P188" s="20"/>
      <c r="Q188" s="20"/>
      <c r="R188" s="20"/>
    </row>
    <row r="189" spans="2:18" x14ac:dyDescent="0.25">
      <c r="B189" s="24"/>
      <c r="C189" s="22"/>
      <c r="D189" s="25"/>
      <c r="E189" s="23"/>
      <c r="F189" s="25"/>
      <c r="H189" s="20"/>
      <c r="I189" s="20"/>
      <c r="J189" s="20"/>
      <c r="L189" s="20"/>
      <c r="M189" s="20"/>
      <c r="N189" s="20"/>
      <c r="P189" s="20"/>
      <c r="Q189" s="20"/>
      <c r="R189" s="20"/>
    </row>
    <row r="190" spans="2:18" x14ac:dyDescent="0.25">
      <c r="B190" s="24"/>
      <c r="C190" s="22"/>
      <c r="D190" s="25"/>
      <c r="E190" s="23"/>
      <c r="F190" s="25"/>
      <c r="H190" s="20"/>
      <c r="I190" s="20"/>
      <c r="J190" s="20"/>
      <c r="L190" s="20"/>
      <c r="M190" s="20"/>
      <c r="N190" s="20"/>
      <c r="P190" s="20"/>
      <c r="Q190" s="20"/>
      <c r="R190" s="20"/>
    </row>
    <row r="191" spans="2:18" x14ac:dyDescent="0.25">
      <c r="B191" s="24"/>
      <c r="C191" s="22"/>
      <c r="D191" s="25"/>
      <c r="E191" s="23"/>
      <c r="F191" s="25"/>
      <c r="H191" s="20"/>
      <c r="I191" s="20"/>
      <c r="J191" s="20"/>
      <c r="L191" s="20"/>
      <c r="M191" s="20"/>
      <c r="N191" s="20"/>
      <c r="P191" s="20"/>
      <c r="Q191" s="20"/>
      <c r="R191" s="20"/>
    </row>
    <row r="192" spans="2:18" x14ac:dyDescent="0.25">
      <c r="B192" s="24"/>
      <c r="C192" s="22"/>
      <c r="D192" s="25"/>
      <c r="E192" s="23"/>
      <c r="F192" s="25"/>
      <c r="H192" s="20"/>
      <c r="I192" s="20"/>
      <c r="J192" s="20"/>
      <c r="L192" s="20"/>
      <c r="M192" s="20"/>
      <c r="N192" s="20"/>
      <c r="P192" s="20"/>
      <c r="Q192" s="20"/>
      <c r="R192" s="20"/>
    </row>
    <row r="193" spans="2:18" x14ac:dyDescent="0.25">
      <c r="B193" s="24"/>
      <c r="C193" s="22"/>
      <c r="D193" s="25"/>
      <c r="E193" s="23"/>
      <c r="F193" s="25"/>
      <c r="H193" s="20"/>
      <c r="I193" s="20"/>
      <c r="J193" s="20"/>
      <c r="L193" s="20"/>
      <c r="M193" s="20"/>
      <c r="N193" s="20"/>
      <c r="P193" s="20"/>
      <c r="Q193" s="20"/>
      <c r="R193" s="20"/>
    </row>
    <row r="194" spans="2:18" x14ac:dyDescent="0.25">
      <c r="B194" s="24"/>
      <c r="C194" s="22"/>
      <c r="D194" s="25"/>
      <c r="E194" s="23"/>
      <c r="F194" s="25"/>
      <c r="H194" s="20"/>
      <c r="I194" s="20"/>
      <c r="J194" s="20"/>
      <c r="L194" s="20"/>
      <c r="M194" s="20"/>
      <c r="N194" s="20"/>
      <c r="P194" s="20"/>
      <c r="Q194" s="20"/>
      <c r="R194" s="20"/>
    </row>
    <row r="195" spans="2:18" x14ac:dyDescent="0.25">
      <c r="B195" s="24"/>
      <c r="C195" s="22"/>
      <c r="D195" s="25"/>
      <c r="E195" s="23"/>
      <c r="F195" s="25"/>
      <c r="H195" s="20"/>
      <c r="I195" s="20"/>
      <c r="J195" s="20"/>
      <c r="L195" s="20"/>
      <c r="M195" s="20"/>
      <c r="N195" s="20"/>
      <c r="P195" s="20"/>
      <c r="Q195" s="20"/>
      <c r="R195" s="20"/>
    </row>
    <row r="196" spans="2:18" x14ac:dyDescent="0.25">
      <c r="B196" s="24"/>
      <c r="C196" s="22"/>
      <c r="D196" s="25"/>
      <c r="E196" s="23"/>
      <c r="F196" s="25"/>
      <c r="H196" s="20"/>
      <c r="I196" s="20"/>
      <c r="J196" s="20"/>
      <c r="L196" s="20"/>
      <c r="M196" s="20"/>
      <c r="N196" s="20"/>
      <c r="P196" s="20"/>
      <c r="Q196" s="20"/>
      <c r="R196" s="20"/>
    </row>
    <row r="197" spans="2:18" x14ac:dyDescent="0.25">
      <c r="B197" s="24"/>
      <c r="C197" s="22"/>
      <c r="D197" s="25"/>
      <c r="E197" s="23"/>
      <c r="F197" s="25"/>
      <c r="H197" s="20"/>
      <c r="I197" s="20"/>
      <c r="J197" s="20"/>
      <c r="L197" s="20"/>
      <c r="M197" s="20"/>
      <c r="N197" s="20"/>
      <c r="P197" s="20"/>
      <c r="Q197" s="20"/>
      <c r="R197" s="20"/>
    </row>
    <row r="198" spans="2:18" x14ac:dyDescent="0.25">
      <c r="B198" s="24"/>
      <c r="C198" s="22"/>
      <c r="D198" s="25"/>
      <c r="E198" s="23"/>
      <c r="F198" s="25"/>
      <c r="H198" s="20"/>
      <c r="I198" s="20"/>
      <c r="J198" s="20"/>
      <c r="L198" s="20"/>
      <c r="M198" s="20"/>
      <c r="N198" s="20"/>
      <c r="P198" s="20"/>
      <c r="Q198" s="20"/>
      <c r="R198" s="20"/>
    </row>
    <row r="199" spans="2:18" x14ac:dyDescent="0.25">
      <c r="B199" s="24"/>
      <c r="C199" s="22"/>
      <c r="D199" s="25"/>
      <c r="E199" s="23"/>
      <c r="F199" s="25"/>
      <c r="H199" s="20"/>
      <c r="I199" s="20"/>
      <c r="J199" s="20"/>
      <c r="L199" s="20"/>
      <c r="M199" s="20"/>
      <c r="N199" s="20"/>
      <c r="P199" s="20"/>
      <c r="Q199" s="20"/>
      <c r="R199" s="20"/>
    </row>
    <row r="200" spans="2:18" x14ac:dyDescent="0.25">
      <c r="B200" s="24"/>
      <c r="C200" s="22"/>
      <c r="D200" s="25"/>
      <c r="E200" s="23"/>
      <c r="F200" s="25"/>
      <c r="H200" s="20"/>
      <c r="I200" s="20"/>
      <c r="J200" s="20"/>
      <c r="L200" s="20"/>
      <c r="M200" s="20"/>
      <c r="N200" s="20"/>
      <c r="P200" s="20"/>
      <c r="Q200" s="20"/>
      <c r="R200" s="20"/>
    </row>
    <row r="201" spans="2:18" x14ac:dyDescent="0.25">
      <c r="B201" s="24"/>
      <c r="C201" s="22"/>
      <c r="D201" s="25"/>
      <c r="E201" s="23"/>
      <c r="F201" s="25"/>
      <c r="H201" s="20"/>
      <c r="I201" s="20"/>
      <c r="J201" s="20"/>
      <c r="L201" s="20"/>
      <c r="M201" s="20"/>
      <c r="N201" s="20"/>
      <c r="P201" s="20"/>
      <c r="Q201" s="20"/>
      <c r="R201" s="20"/>
    </row>
    <row r="202" spans="2:18" x14ac:dyDescent="0.25">
      <c r="B202" s="24"/>
      <c r="C202" s="22"/>
      <c r="D202" s="25"/>
      <c r="E202" s="23"/>
      <c r="F202" s="25"/>
      <c r="H202" s="20"/>
      <c r="I202" s="20"/>
      <c r="J202" s="20"/>
      <c r="L202" s="20"/>
      <c r="M202" s="20"/>
      <c r="N202" s="20"/>
      <c r="P202" s="20"/>
      <c r="Q202" s="20"/>
      <c r="R202" s="20"/>
    </row>
    <row r="203" spans="2:18" x14ac:dyDescent="0.25">
      <c r="B203" s="24"/>
      <c r="C203" s="22"/>
      <c r="D203" s="25"/>
      <c r="E203" s="23"/>
      <c r="F203" s="25"/>
      <c r="H203" s="20"/>
      <c r="I203" s="20"/>
      <c r="J203" s="20"/>
      <c r="L203" s="20"/>
      <c r="M203" s="20"/>
      <c r="N203" s="20"/>
      <c r="P203" s="20"/>
      <c r="Q203" s="20"/>
      <c r="R203" s="20"/>
    </row>
    <row r="204" spans="2:18" x14ac:dyDescent="0.25">
      <c r="B204" s="24"/>
      <c r="C204" s="22"/>
      <c r="D204" s="25"/>
      <c r="E204" s="23"/>
      <c r="F204" s="25"/>
      <c r="H204" s="20"/>
      <c r="I204" s="20"/>
      <c r="J204" s="20"/>
      <c r="L204" s="20"/>
      <c r="M204" s="20"/>
      <c r="N204" s="20"/>
      <c r="P204" s="20"/>
      <c r="Q204" s="20"/>
      <c r="R204" s="20"/>
    </row>
    <row r="205" spans="2:18" x14ac:dyDescent="0.25">
      <c r="B205" s="24"/>
      <c r="C205" s="22"/>
      <c r="D205" s="25"/>
      <c r="E205" s="23"/>
      <c r="F205" s="25"/>
      <c r="H205" s="20"/>
      <c r="I205" s="20"/>
      <c r="J205" s="20"/>
      <c r="L205" s="20"/>
      <c r="M205" s="20"/>
      <c r="N205" s="20"/>
      <c r="P205" s="20"/>
      <c r="Q205" s="20"/>
      <c r="R205" s="20"/>
    </row>
    <row r="206" spans="2:18" x14ac:dyDescent="0.25">
      <c r="B206" s="24"/>
      <c r="C206" s="22"/>
      <c r="D206" s="25"/>
      <c r="E206" s="23"/>
      <c r="F206" s="25"/>
      <c r="H206" s="20"/>
      <c r="I206" s="20"/>
      <c r="J206" s="20"/>
      <c r="L206" s="20"/>
      <c r="M206" s="20"/>
      <c r="N206" s="20"/>
      <c r="P206" s="20"/>
      <c r="Q206" s="20"/>
      <c r="R206" s="20"/>
    </row>
    <row r="207" spans="2:18" x14ac:dyDescent="0.25">
      <c r="B207" s="24"/>
      <c r="C207" s="22"/>
      <c r="D207" s="25"/>
      <c r="E207" s="23"/>
      <c r="F207" s="25"/>
      <c r="H207" s="20"/>
      <c r="I207" s="20"/>
      <c r="J207" s="20"/>
      <c r="L207" s="20"/>
      <c r="M207" s="20"/>
      <c r="N207" s="20"/>
      <c r="P207" s="20"/>
      <c r="Q207" s="20"/>
      <c r="R207" s="20"/>
    </row>
    <row r="208" spans="2:18" x14ac:dyDescent="0.25">
      <c r="B208" s="24"/>
      <c r="C208" s="22"/>
      <c r="D208" s="25"/>
      <c r="E208" s="23"/>
      <c r="F208" s="25"/>
      <c r="H208" s="20"/>
      <c r="I208" s="20"/>
      <c r="J208" s="20"/>
      <c r="L208" s="20"/>
      <c r="M208" s="20"/>
      <c r="N208" s="20"/>
      <c r="P208" s="20"/>
      <c r="Q208" s="20"/>
      <c r="R208" s="20"/>
    </row>
    <row r="209" spans="2:18" x14ac:dyDescent="0.25">
      <c r="B209" s="24"/>
      <c r="C209" s="22"/>
      <c r="D209" s="25"/>
      <c r="E209" s="23"/>
      <c r="F209" s="25"/>
      <c r="H209" s="20"/>
      <c r="I209" s="20"/>
      <c r="J209" s="20"/>
      <c r="L209" s="20"/>
      <c r="M209" s="20"/>
      <c r="N209" s="20"/>
      <c r="P209" s="20"/>
      <c r="Q209" s="20"/>
      <c r="R209" s="20"/>
    </row>
    <row r="210" spans="2:18" x14ac:dyDescent="0.25">
      <c r="B210" s="24"/>
      <c r="C210" s="22"/>
      <c r="D210" s="25"/>
      <c r="E210" s="23"/>
      <c r="F210" s="25"/>
      <c r="H210" s="20"/>
      <c r="I210" s="20"/>
      <c r="J210" s="20"/>
      <c r="L210" s="20"/>
      <c r="M210" s="20"/>
      <c r="N210" s="20"/>
      <c r="P210" s="20"/>
      <c r="Q210" s="20"/>
      <c r="R210" s="20"/>
    </row>
    <row r="211" spans="2:18" x14ac:dyDescent="0.25">
      <c r="B211" s="24"/>
      <c r="C211" s="22"/>
      <c r="D211" s="25"/>
      <c r="E211" s="23"/>
      <c r="F211" s="25"/>
      <c r="H211" s="20"/>
      <c r="I211" s="20"/>
      <c r="J211" s="20"/>
      <c r="L211" s="20"/>
      <c r="M211" s="20"/>
      <c r="N211" s="20"/>
      <c r="P211" s="20"/>
      <c r="Q211" s="20"/>
      <c r="R211" s="20"/>
    </row>
    <row r="212" spans="2:18" x14ac:dyDescent="0.25">
      <c r="B212" s="24"/>
      <c r="C212" s="22"/>
      <c r="D212" s="25"/>
      <c r="E212" s="23"/>
      <c r="F212" s="25"/>
      <c r="H212" s="20"/>
      <c r="I212" s="20"/>
      <c r="J212" s="20"/>
      <c r="L212" s="20"/>
      <c r="M212" s="20"/>
      <c r="N212" s="20"/>
      <c r="P212" s="20"/>
      <c r="Q212" s="20"/>
      <c r="R212" s="20"/>
    </row>
    <row r="213" spans="2:18" x14ac:dyDescent="0.25">
      <c r="B213" s="24"/>
      <c r="C213" s="22"/>
      <c r="D213" s="25"/>
      <c r="E213" s="23"/>
      <c r="F213" s="25"/>
      <c r="H213" s="20"/>
      <c r="I213" s="20"/>
      <c r="J213" s="20"/>
      <c r="L213" s="20"/>
      <c r="M213" s="20"/>
      <c r="N213" s="20"/>
      <c r="P213" s="20"/>
      <c r="Q213" s="20"/>
      <c r="R213" s="20"/>
    </row>
    <row r="214" spans="2:18" x14ac:dyDescent="0.25">
      <c r="B214" s="24"/>
      <c r="C214" s="22"/>
      <c r="D214" s="25"/>
      <c r="E214" s="23"/>
      <c r="F214" s="25"/>
      <c r="H214" s="20"/>
      <c r="I214" s="20"/>
      <c r="J214" s="20"/>
      <c r="L214" s="20"/>
      <c r="M214" s="20"/>
      <c r="N214" s="20"/>
      <c r="P214" s="20"/>
      <c r="Q214" s="20"/>
      <c r="R214" s="20"/>
    </row>
    <row r="215" spans="2:18" x14ac:dyDescent="0.25">
      <c r="B215" s="24"/>
      <c r="C215" s="22"/>
      <c r="D215" s="25"/>
      <c r="E215" s="23"/>
      <c r="F215" s="25"/>
      <c r="H215" s="20"/>
      <c r="I215" s="20"/>
      <c r="J215" s="20"/>
      <c r="L215" s="20"/>
      <c r="M215" s="20"/>
      <c r="N215" s="20"/>
      <c r="P215" s="20"/>
      <c r="Q215" s="20"/>
      <c r="R215" s="20"/>
    </row>
    <row r="216" spans="2:18" x14ac:dyDescent="0.25">
      <c r="B216" s="24"/>
      <c r="C216" s="22"/>
      <c r="D216" s="25"/>
      <c r="E216" s="23"/>
      <c r="F216" s="25"/>
      <c r="H216" s="20"/>
      <c r="I216" s="20"/>
      <c r="J216" s="20"/>
      <c r="L216" s="20"/>
      <c r="M216" s="20"/>
      <c r="N216" s="20"/>
      <c r="P216" s="20"/>
      <c r="Q216" s="20"/>
      <c r="R216" s="20"/>
    </row>
    <row r="217" spans="2:18" x14ac:dyDescent="0.25">
      <c r="B217" s="24"/>
      <c r="C217" s="22"/>
      <c r="D217" s="25"/>
      <c r="E217" s="23"/>
      <c r="F217" s="25"/>
      <c r="H217" s="20"/>
      <c r="I217" s="20"/>
      <c r="J217" s="20"/>
      <c r="L217" s="20"/>
      <c r="M217" s="20"/>
      <c r="N217" s="20"/>
      <c r="P217" s="20"/>
      <c r="Q217" s="20"/>
      <c r="R217" s="20"/>
    </row>
    <row r="218" spans="2:18" x14ac:dyDescent="0.25">
      <c r="B218" s="24"/>
      <c r="C218" s="22"/>
      <c r="D218" s="25"/>
      <c r="E218" s="23"/>
      <c r="F218" s="25"/>
      <c r="H218" s="20"/>
      <c r="I218" s="20"/>
      <c r="J218" s="20"/>
      <c r="L218" s="20"/>
      <c r="M218" s="20"/>
      <c r="N218" s="20"/>
      <c r="P218" s="20"/>
      <c r="Q218" s="20"/>
      <c r="R218" s="20"/>
    </row>
    <row r="219" spans="2:18" x14ac:dyDescent="0.25">
      <c r="B219" s="24"/>
      <c r="C219" s="22"/>
      <c r="D219" s="25"/>
      <c r="E219" s="23"/>
      <c r="F219" s="25"/>
      <c r="H219" s="20"/>
      <c r="I219" s="20"/>
      <c r="J219" s="20"/>
      <c r="L219" s="20"/>
      <c r="M219" s="20"/>
      <c r="N219" s="20"/>
      <c r="P219" s="20"/>
      <c r="Q219" s="20"/>
      <c r="R219" s="20"/>
    </row>
    <row r="220" spans="2:18" x14ac:dyDescent="0.25">
      <c r="B220" s="24"/>
      <c r="C220" s="22"/>
      <c r="D220" s="25"/>
      <c r="E220" s="23"/>
      <c r="F220" s="25"/>
      <c r="H220" s="20"/>
      <c r="I220" s="20"/>
      <c r="J220" s="20"/>
      <c r="L220" s="20"/>
      <c r="M220" s="20"/>
      <c r="N220" s="20"/>
      <c r="P220" s="20"/>
      <c r="Q220" s="20"/>
      <c r="R220" s="20"/>
    </row>
    <row r="221" spans="2:18" x14ac:dyDescent="0.25">
      <c r="B221" s="24"/>
      <c r="C221" s="22"/>
      <c r="D221" s="25"/>
      <c r="E221" s="23"/>
      <c r="F221" s="25"/>
      <c r="H221" s="20"/>
      <c r="I221" s="20"/>
      <c r="J221" s="20"/>
      <c r="L221" s="20"/>
      <c r="M221" s="20"/>
      <c r="N221" s="20"/>
      <c r="P221" s="20"/>
      <c r="Q221" s="20"/>
      <c r="R221" s="20"/>
    </row>
    <row r="222" spans="2:18" x14ac:dyDescent="0.25">
      <c r="B222" s="24"/>
      <c r="C222" s="22"/>
      <c r="D222" s="25"/>
      <c r="E222" s="23"/>
      <c r="F222" s="25"/>
      <c r="H222" s="20"/>
      <c r="I222" s="20"/>
      <c r="J222" s="20"/>
      <c r="L222" s="20"/>
      <c r="M222" s="20"/>
      <c r="N222" s="20"/>
      <c r="P222" s="20"/>
      <c r="Q222" s="20"/>
      <c r="R222" s="20"/>
    </row>
    <row r="223" spans="2:18" x14ac:dyDescent="0.25">
      <c r="B223" s="24"/>
      <c r="C223" s="22"/>
      <c r="D223" s="25"/>
      <c r="E223" s="23"/>
      <c r="F223" s="25"/>
      <c r="H223" s="20"/>
      <c r="I223" s="20"/>
      <c r="J223" s="20"/>
      <c r="L223" s="20"/>
      <c r="M223" s="20"/>
      <c r="N223" s="20"/>
      <c r="P223" s="20"/>
      <c r="Q223" s="20"/>
      <c r="R223" s="20"/>
    </row>
    <row r="224" spans="2:18" x14ac:dyDescent="0.25">
      <c r="B224" s="24"/>
      <c r="C224" s="22"/>
      <c r="D224" s="25"/>
      <c r="E224" s="23"/>
      <c r="F224" s="25"/>
      <c r="H224" s="20"/>
      <c r="I224" s="20"/>
      <c r="J224" s="20"/>
      <c r="L224" s="20"/>
      <c r="M224" s="20"/>
      <c r="N224" s="20"/>
      <c r="P224" s="20"/>
      <c r="Q224" s="20"/>
      <c r="R224" s="20"/>
    </row>
    <row r="225" spans="2:18" x14ac:dyDescent="0.25">
      <c r="B225" s="24"/>
      <c r="C225" s="22"/>
      <c r="D225" s="25"/>
      <c r="E225" s="23"/>
      <c r="F225" s="25"/>
      <c r="H225" s="20"/>
      <c r="I225" s="20"/>
      <c r="J225" s="20"/>
      <c r="L225" s="20"/>
      <c r="M225" s="20"/>
      <c r="N225" s="20"/>
      <c r="P225" s="20"/>
      <c r="Q225" s="20"/>
      <c r="R225" s="20"/>
    </row>
    <row r="226" spans="2:18" x14ac:dyDescent="0.25">
      <c r="B226" s="24"/>
      <c r="C226" s="22"/>
      <c r="D226" s="25"/>
      <c r="E226" s="23"/>
      <c r="F226" s="25"/>
      <c r="H226" s="20"/>
      <c r="I226" s="20"/>
      <c r="J226" s="20"/>
      <c r="L226" s="20"/>
      <c r="M226" s="20"/>
      <c r="N226" s="20"/>
      <c r="P226" s="20"/>
      <c r="Q226" s="20"/>
      <c r="R226" s="20"/>
    </row>
    <row r="227" spans="2:18" x14ac:dyDescent="0.25">
      <c r="B227" s="24"/>
      <c r="C227" s="22"/>
      <c r="D227" s="25"/>
      <c r="E227" s="23"/>
      <c r="F227" s="25"/>
      <c r="H227" s="20"/>
      <c r="I227" s="20"/>
      <c r="J227" s="20"/>
      <c r="L227" s="20"/>
      <c r="M227" s="20"/>
      <c r="N227" s="20"/>
      <c r="P227" s="20"/>
      <c r="Q227" s="20"/>
      <c r="R227" s="20"/>
    </row>
    <row r="228" spans="2:18" x14ac:dyDescent="0.25">
      <c r="B228" s="24"/>
      <c r="C228" s="22"/>
      <c r="D228" s="25"/>
      <c r="E228" s="23"/>
      <c r="F228" s="25"/>
      <c r="H228" s="20"/>
      <c r="I228" s="20"/>
      <c r="J228" s="20"/>
      <c r="L228" s="20"/>
      <c r="M228" s="20"/>
      <c r="N228" s="20"/>
      <c r="P228" s="20"/>
      <c r="Q228" s="20"/>
      <c r="R228" s="20"/>
    </row>
    <row r="229" spans="2:18" x14ac:dyDescent="0.25">
      <c r="B229" s="24"/>
      <c r="C229" s="22"/>
      <c r="D229" s="25"/>
      <c r="E229" s="23"/>
      <c r="F229" s="25"/>
      <c r="H229" s="20"/>
      <c r="I229" s="20"/>
      <c r="J229" s="20"/>
      <c r="L229" s="20"/>
      <c r="M229" s="20"/>
      <c r="N229" s="20"/>
      <c r="P229" s="20"/>
      <c r="Q229" s="20"/>
      <c r="R229" s="20"/>
    </row>
    <row r="230" spans="2:18" x14ac:dyDescent="0.25">
      <c r="B230" s="24"/>
      <c r="C230" s="22"/>
      <c r="D230" s="25"/>
      <c r="E230" s="23"/>
      <c r="F230" s="25"/>
      <c r="H230" s="20"/>
      <c r="I230" s="20"/>
      <c r="J230" s="20"/>
      <c r="L230" s="20"/>
      <c r="M230" s="20"/>
      <c r="N230" s="20"/>
      <c r="P230" s="20"/>
      <c r="Q230" s="20"/>
      <c r="R230" s="20"/>
    </row>
    <row r="231" spans="2:18" x14ac:dyDescent="0.25">
      <c r="B231" s="24"/>
      <c r="C231" s="22"/>
      <c r="D231" s="25"/>
      <c r="E231" s="23"/>
      <c r="F231" s="25"/>
      <c r="H231" s="20"/>
      <c r="I231" s="20"/>
      <c r="J231" s="20"/>
      <c r="L231" s="20"/>
      <c r="M231" s="20"/>
      <c r="N231" s="20"/>
      <c r="P231" s="20"/>
      <c r="Q231" s="20"/>
      <c r="R231" s="20"/>
    </row>
    <row r="232" spans="2:18" x14ac:dyDescent="0.25">
      <c r="B232" s="24"/>
      <c r="C232" s="22"/>
      <c r="D232" s="25"/>
      <c r="E232" s="23"/>
      <c r="F232" s="25"/>
      <c r="H232" s="20"/>
      <c r="I232" s="20"/>
      <c r="J232" s="20"/>
      <c r="L232" s="20"/>
      <c r="M232" s="20"/>
      <c r="N232" s="20"/>
      <c r="P232" s="20"/>
      <c r="Q232" s="20"/>
      <c r="R232" s="20"/>
    </row>
    <row r="233" spans="2:18" x14ac:dyDescent="0.25">
      <c r="B233" s="24"/>
      <c r="C233" s="22"/>
      <c r="D233" s="25"/>
      <c r="E233" s="23"/>
      <c r="F233" s="25"/>
      <c r="H233" s="20"/>
      <c r="I233" s="20"/>
      <c r="J233" s="20"/>
      <c r="L233" s="20"/>
      <c r="M233" s="20"/>
      <c r="N233" s="20"/>
      <c r="P233" s="20"/>
      <c r="Q233" s="20"/>
      <c r="R233" s="20"/>
    </row>
    <row r="234" spans="2:18" x14ac:dyDescent="0.25">
      <c r="B234" s="24"/>
      <c r="C234" s="22"/>
      <c r="D234" s="25"/>
      <c r="E234" s="23"/>
      <c r="F234" s="25"/>
      <c r="H234" s="20"/>
      <c r="I234" s="20"/>
      <c r="J234" s="20"/>
      <c r="L234" s="20"/>
      <c r="M234" s="20"/>
      <c r="N234" s="20"/>
      <c r="P234" s="20"/>
      <c r="Q234" s="20"/>
      <c r="R234" s="20"/>
    </row>
    <row r="235" spans="2:18" x14ac:dyDescent="0.25">
      <c r="B235" s="24"/>
      <c r="C235" s="22"/>
      <c r="D235" s="25"/>
      <c r="E235" s="23"/>
      <c r="F235" s="25"/>
      <c r="H235" s="20"/>
      <c r="I235" s="20"/>
      <c r="J235" s="20"/>
      <c r="L235" s="20"/>
      <c r="M235" s="20"/>
      <c r="N235" s="20"/>
      <c r="P235" s="20"/>
      <c r="Q235" s="20"/>
      <c r="R235" s="20"/>
    </row>
    <row r="236" spans="2:18" x14ac:dyDescent="0.25">
      <c r="B236" s="24"/>
      <c r="C236" s="22"/>
      <c r="D236" s="25"/>
      <c r="E236" s="23"/>
      <c r="F236" s="25"/>
      <c r="H236" s="20"/>
      <c r="I236" s="20"/>
      <c r="J236" s="20"/>
      <c r="L236" s="20"/>
      <c r="M236" s="20"/>
      <c r="N236" s="20"/>
      <c r="P236" s="20"/>
      <c r="Q236" s="20"/>
      <c r="R236" s="20"/>
    </row>
    <row r="237" spans="2:18" x14ac:dyDescent="0.25">
      <c r="B237" s="24"/>
      <c r="C237" s="22"/>
      <c r="D237" s="25"/>
      <c r="E237" s="23"/>
      <c r="F237" s="25"/>
      <c r="H237" s="20"/>
      <c r="I237" s="20"/>
      <c r="J237" s="20"/>
      <c r="L237" s="20"/>
      <c r="M237" s="20"/>
      <c r="N237" s="20"/>
      <c r="P237" s="20"/>
      <c r="Q237" s="20"/>
      <c r="R237" s="20"/>
    </row>
    <row r="238" spans="2:18" x14ac:dyDescent="0.25">
      <c r="B238" s="24"/>
      <c r="C238" s="22"/>
      <c r="D238" s="25"/>
      <c r="E238" s="23"/>
      <c r="F238" s="25"/>
      <c r="H238" s="20"/>
      <c r="I238" s="20"/>
      <c r="J238" s="20"/>
      <c r="L238" s="20"/>
      <c r="M238" s="20"/>
      <c r="N238" s="20"/>
      <c r="P238" s="20"/>
      <c r="Q238" s="20"/>
      <c r="R238" s="20"/>
    </row>
    <row r="239" spans="2:18" x14ac:dyDescent="0.25">
      <c r="B239" s="24"/>
      <c r="C239" s="22"/>
      <c r="D239" s="25"/>
      <c r="E239" s="23"/>
      <c r="F239" s="25"/>
      <c r="H239" s="20"/>
      <c r="I239" s="20"/>
      <c r="J239" s="20"/>
      <c r="L239" s="20"/>
      <c r="M239" s="20"/>
      <c r="N239" s="20"/>
      <c r="P239" s="20"/>
      <c r="Q239" s="20"/>
      <c r="R239" s="20"/>
    </row>
    <row r="240" spans="2:18" x14ac:dyDescent="0.25">
      <c r="B240" s="24"/>
      <c r="C240" s="22"/>
      <c r="D240" s="25"/>
      <c r="E240" s="23"/>
      <c r="F240" s="25"/>
      <c r="H240" s="20"/>
      <c r="I240" s="20"/>
      <c r="J240" s="20"/>
      <c r="L240" s="20"/>
      <c r="M240" s="20"/>
      <c r="N240" s="20"/>
      <c r="P240" s="20"/>
      <c r="Q240" s="20"/>
      <c r="R240" s="20"/>
    </row>
    <row r="241" spans="2:18" x14ac:dyDescent="0.25">
      <c r="B241" s="24"/>
      <c r="C241" s="22"/>
      <c r="D241" s="25"/>
      <c r="E241" s="23"/>
      <c r="F241" s="25"/>
      <c r="H241" s="20"/>
      <c r="I241" s="20"/>
      <c r="J241" s="20"/>
      <c r="L241" s="20"/>
      <c r="M241" s="20"/>
      <c r="N241" s="20"/>
      <c r="P241" s="20"/>
      <c r="Q241" s="20"/>
      <c r="R241" s="20"/>
    </row>
    <row r="242" spans="2:18" x14ac:dyDescent="0.25">
      <c r="B242" s="24"/>
      <c r="C242" s="22"/>
      <c r="D242" s="25"/>
      <c r="E242" s="23"/>
      <c r="F242" s="25"/>
      <c r="H242" s="20"/>
      <c r="I242" s="20"/>
      <c r="J242" s="20"/>
      <c r="L242" s="20"/>
      <c r="M242" s="20"/>
      <c r="N242" s="20"/>
      <c r="P242" s="20"/>
      <c r="Q242" s="20"/>
      <c r="R242" s="20"/>
    </row>
    <row r="243" spans="2:18" x14ac:dyDescent="0.25">
      <c r="B243" s="24"/>
      <c r="C243" s="22"/>
      <c r="D243" s="25"/>
      <c r="E243" s="23"/>
      <c r="F243" s="25"/>
      <c r="H243" s="20"/>
      <c r="I243" s="20"/>
      <c r="J243" s="20"/>
      <c r="L243" s="20"/>
      <c r="M243" s="20"/>
      <c r="N243" s="20"/>
      <c r="P243" s="20"/>
      <c r="Q243" s="20"/>
      <c r="R243" s="20"/>
    </row>
    <row r="244" spans="2:18" x14ac:dyDescent="0.25">
      <c r="B244" s="24"/>
      <c r="C244" s="22"/>
      <c r="D244" s="25"/>
      <c r="E244" s="23"/>
      <c r="F244" s="25"/>
      <c r="H244" s="20"/>
      <c r="I244" s="20"/>
      <c r="J244" s="20"/>
      <c r="L244" s="20"/>
      <c r="M244" s="20"/>
      <c r="N244" s="20"/>
      <c r="P244" s="20"/>
      <c r="Q244" s="20"/>
      <c r="R244" s="20"/>
    </row>
    <row r="245" spans="2:18" x14ac:dyDescent="0.25">
      <c r="B245" s="24"/>
      <c r="C245" s="22"/>
      <c r="D245" s="25"/>
      <c r="E245" s="23"/>
      <c r="F245" s="25"/>
      <c r="H245" s="20"/>
      <c r="I245" s="20"/>
      <c r="J245" s="20"/>
      <c r="L245" s="20"/>
      <c r="M245" s="20"/>
      <c r="N245" s="20"/>
      <c r="P245" s="20"/>
      <c r="Q245" s="20"/>
      <c r="R245" s="20"/>
    </row>
    <row r="246" spans="2:18" x14ac:dyDescent="0.25">
      <c r="B246" s="24"/>
      <c r="C246" s="22"/>
      <c r="D246" s="25"/>
      <c r="E246" s="23"/>
      <c r="F246" s="25"/>
      <c r="H246" s="20"/>
      <c r="I246" s="20"/>
      <c r="J246" s="20"/>
      <c r="L246" s="20"/>
      <c r="M246" s="20"/>
      <c r="N246" s="20"/>
      <c r="P246" s="20"/>
      <c r="Q246" s="20"/>
      <c r="R246" s="20"/>
    </row>
    <row r="247" spans="2:18" x14ac:dyDescent="0.25">
      <c r="B247" s="24"/>
      <c r="C247" s="22"/>
      <c r="D247" s="25"/>
      <c r="E247" s="23"/>
      <c r="F247" s="25"/>
      <c r="H247" s="20"/>
      <c r="I247" s="20"/>
      <c r="J247" s="20"/>
      <c r="L247" s="20"/>
      <c r="M247" s="20"/>
      <c r="N247" s="20"/>
      <c r="P247" s="20"/>
      <c r="Q247" s="20"/>
      <c r="R247" s="20"/>
    </row>
    <row r="248" spans="2:18" x14ac:dyDescent="0.25">
      <c r="B248" s="24"/>
      <c r="C248" s="22"/>
      <c r="D248" s="25"/>
      <c r="E248" s="23"/>
      <c r="F248" s="25"/>
      <c r="H248" s="20"/>
      <c r="I248" s="20"/>
      <c r="J248" s="20"/>
      <c r="L248" s="20"/>
      <c r="M248" s="20"/>
      <c r="N248" s="20"/>
      <c r="P248" s="20"/>
      <c r="Q248" s="20"/>
      <c r="R248" s="20"/>
    </row>
    <row r="249" spans="2:18" x14ac:dyDescent="0.25">
      <c r="B249" s="24"/>
      <c r="C249" s="22"/>
      <c r="D249" s="25"/>
      <c r="E249" s="23"/>
      <c r="F249" s="25"/>
      <c r="H249" s="20"/>
      <c r="I249" s="20"/>
      <c r="J249" s="20"/>
      <c r="L249" s="20"/>
      <c r="M249" s="20"/>
      <c r="N249" s="20"/>
      <c r="P249" s="20"/>
      <c r="Q249" s="20"/>
      <c r="R249" s="20"/>
    </row>
    <row r="250" spans="2:18" x14ac:dyDescent="0.25">
      <c r="B250" s="24"/>
      <c r="C250" s="22"/>
      <c r="D250" s="25"/>
      <c r="E250" s="23"/>
      <c r="F250" s="25"/>
      <c r="H250" s="20"/>
      <c r="I250" s="20"/>
      <c r="J250" s="20"/>
      <c r="L250" s="20"/>
      <c r="M250" s="20"/>
      <c r="N250" s="20"/>
      <c r="P250" s="20"/>
      <c r="Q250" s="20"/>
      <c r="R250" s="20"/>
    </row>
    <row r="251" spans="2:18" x14ac:dyDescent="0.25">
      <c r="B251" s="24"/>
      <c r="C251" s="22"/>
      <c r="D251" s="25"/>
      <c r="E251" s="23"/>
      <c r="F251" s="25"/>
      <c r="H251" s="20"/>
      <c r="I251" s="20"/>
      <c r="J251" s="20"/>
      <c r="L251" s="20"/>
      <c r="M251" s="20"/>
      <c r="N251" s="20"/>
      <c r="P251" s="20"/>
      <c r="Q251" s="20"/>
      <c r="R251" s="20"/>
    </row>
    <row r="252" spans="2:18" x14ac:dyDescent="0.25">
      <c r="B252" s="24"/>
      <c r="C252" s="22"/>
      <c r="D252" s="25"/>
      <c r="E252" s="23"/>
      <c r="F252" s="25"/>
      <c r="H252" s="20"/>
      <c r="I252" s="20"/>
      <c r="J252" s="20"/>
      <c r="L252" s="20"/>
      <c r="M252" s="20"/>
      <c r="N252" s="20"/>
      <c r="P252" s="20"/>
      <c r="Q252" s="20"/>
      <c r="R252" s="20"/>
    </row>
    <row r="253" spans="2:18" x14ac:dyDescent="0.25">
      <c r="B253" s="24"/>
      <c r="C253" s="22"/>
      <c r="D253" s="25"/>
      <c r="E253" s="23"/>
      <c r="F253" s="25"/>
      <c r="H253" s="20"/>
      <c r="I253" s="20"/>
      <c r="J253" s="20"/>
      <c r="L253" s="20"/>
      <c r="M253" s="20"/>
      <c r="N253" s="20"/>
      <c r="P253" s="20"/>
      <c r="Q253" s="20"/>
      <c r="R253" s="20"/>
    </row>
    <row r="254" spans="2:18" x14ac:dyDescent="0.25">
      <c r="B254" s="24"/>
      <c r="C254" s="22"/>
      <c r="D254" s="25"/>
      <c r="E254" s="23"/>
      <c r="F254" s="25"/>
      <c r="H254" s="20"/>
      <c r="I254" s="20"/>
      <c r="J254" s="20"/>
      <c r="L254" s="20"/>
      <c r="M254" s="20"/>
      <c r="N254" s="20"/>
      <c r="P254" s="20"/>
      <c r="Q254" s="20"/>
      <c r="R254" s="20"/>
    </row>
    <row r="255" spans="2:18" x14ac:dyDescent="0.25">
      <c r="B255" s="24"/>
      <c r="C255" s="22"/>
      <c r="D255" s="25"/>
      <c r="E255" s="23"/>
      <c r="F255" s="25"/>
      <c r="H255" s="20"/>
      <c r="I255" s="20"/>
      <c r="J255" s="20"/>
      <c r="L255" s="20"/>
      <c r="M255" s="20"/>
      <c r="N255" s="20"/>
      <c r="P255" s="20"/>
      <c r="Q255" s="20"/>
      <c r="R255" s="20"/>
    </row>
    <row r="256" spans="2:18" x14ac:dyDescent="0.25">
      <c r="B256" s="24"/>
      <c r="C256" s="22"/>
      <c r="D256" s="25"/>
      <c r="E256" s="23"/>
      <c r="F256" s="25"/>
      <c r="H256" s="20"/>
      <c r="I256" s="20"/>
      <c r="J256" s="20"/>
      <c r="L256" s="20"/>
      <c r="M256" s="20"/>
      <c r="N256" s="20"/>
      <c r="P256" s="20"/>
      <c r="Q256" s="20"/>
      <c r="R256" s="20"/>
    </row>
    <row r="257" spans="2:18" x14ac:dyDescent="0.25">
      <c r="B257" s="24"/>
      <c r="C257" s="22"/>
      <c r="D257" s="25"/>
      <c r="E257" s="23"/>
      <c r="F257" s="25"/>
      <c r="H257" s="20"/>
      <c r="I257" s="20"/>
      <c r="J257" s="20"/>
      <c r="L257" s="20"/>
      <c r="M257" s="20"/>
      <c r="N257" s="20"/>
      <c r="P257" s="20"/>
      <c r="Q257" s="20"/>
      <c r="R257" s="20"/>
    </row>
    <row r="258" spans="2:18" x14ac:dyDescent="0.25">
      <c r="B258" s="24"/>
      <c r="C258" s="22"/>
      <c r="D258" s="25"/>
      <c r="E258" s="23"/>
      <c r="F258" s="25"/>
      <c r="H258" s="20"/>
      <c r="I258" s="20"/>
      <c r="J258" s="20"/>
      <c r="L258" s="20"/>
      <c r="M258" s="20"/>
      <c r="N258" s="20"/>
      <c r="P258" s="20"/>
      <c r="Q258" s="20"/>
      <c r="R258" s="20"/>
    </row>
    <row r="259" spans="2:18" x14ac:dyDescent="0.25">
      <c r="B259" s="24"/>
      <c r="C259" s="22"/>
      <c r="D259" s="25"/>
      <c r="E259" s="23"/>
      <c r="F259" s="25"/>
      <c r="H259" s="20"/>
      <c r="I259" s="20"/>
      <c r="J259" s="20"/>
      <c r="L259" s="20"/>
      <c r="M259" s="20"/>
      <c r="N259" s="20"/>
      <c r="P259" s="20"/>
      <c r="Q259" s="20"/>
      <c r="R259" s="20"/>
    </row>
    <row r="260" spans="2:18" x14ac:dyDescent="0.25">
      <c r="B260" s="24"/>
      <c r="C260" s="22"/>
      <c r="D260" s="25"/>
      <c r="E260" s="23"/>
      <c r="F260" s="25"/>
      <c r="H260" s="20"/>
      <c r="I260" s="20"/>
      <c r="J260" s="20"/>
      <c r="L260" s="20"/>
      <c r="M260" s="20"/>
      <c r="N260" s="20"/>
      <c r="P260" s="20"/>
      <c r="Q260" s="20"/>
      <c r="R260" s="20"/>
    </row>
    <row r="261" spans="2:18" x14ac:dyDescent="0.25">
      <c r="B261" s="24"/>
      <c r="C261" s="22"/>
      <c r="D261" s="25"/>
      <c r="E261" s="23"/>
      <c r="F261" s="25"/>
      <c r="H261" s="20"/>
      <c r="I261" s="20"/>
      <c r="J261" s="20"/>
      <c r="L261" s="20"/>
      <c r="M261" s="20"/>
      <c r="N261" s="20"/>
      <c r="P261" s="20"/>
      <c r="Q261" s="20"/>
      <c r="R261" s="20"/>
    </row>
    <row r="262" spans="2:18" x14ac:dyDescent="0.25">
      <c r="B262" s="24"/>
      <c r="C262" s="22"/>
      <c r="D262" s="25"/>
      <c r="E262" s="23"/>
      <c r="F262" s="25"/>
      <c r="H262" s="20"/>
      <c r="I262" s="20"/>
      <c r="J262" s="20"/>
      <c r="L262" s="20"/>
      <c r="M262" s="20"/>
      <c r="N262" s="20"/>
      <c r="P262" s="20"/>
      <c r="Q262" s="20"/>
      <c r="R262" s="20"/>
    </row>
    <row r="263" spans="2:18" x14ac:dyDescent="0.25">
      <c r="B263" s="24"/>
      <c r="C263" s="22"/>
      <c r="D263" s="25"/>
      <c r="E263" s="23"/>
      <c r="F263" s="25"/>
      <c r="H263" s="20"/>
      <c r="I263" s="20"/>
      <c r="J263" s="20"/>
      <c r="L263" s="20"/>
      <c r="M263" s="20"/>
      <c r="N263" s="20"/>
      <c r="P263" s="20"/>
      <c r="Q263" s="20"/>
      <c r="R263" s="20"/>
    </row>
    <row r="264" spans="2:18" x14ac:dyDescent="0.25">
      <c r="B264" s="24"/>
      <c r="C264" s="22"/>
      <c r="D264" s="25"/>
      <c r="E264" s="23"/>
      <c r="F264" s="25"/>
      <c r="H264" s="20"/>
      <c r="I264" s="20"/>
      <c r="J264" s="20"/>
      <c r="L264" s="20"/>
      <c r="M264" s="20"/>
      <c r="N264" s="20"/>
      <c r="P264" s="20"/>
      <c r="Q264" s="20"/>
      <c r="R264" s="20"/>
    </row>
    <row r="265" spans="2:18" x14ac:dyDescent="0.25">
      <c r="B265" s="24"/>
      <c r="C265" s="22"/>
      <c r="D265" s="25"/>
      <c r="E265" s="23"/>
      <c r="F265" s="25"/>
      <c r="H265" s="20"/>
      <c r="I265" s="20"/>
      <c r="J265" s="20"/>
      <c r="L265" s="20"/>
      <c r="M265" s="20"/>
      <c r="N265" s="20"/>
      <c r="P265" s="20"/>
      <c r="Q265" s="20"/>
      <c r="R265" s="20"/>
    </row>
    <row r="266" spans="2:18" x14ac:dyDescent="0.25">
      <c r="B266" s="24"/>
      <c r="C266" s="22"/>
      <c r="D266" s="25"/>
      <c r="E266" s="23"/>
      <c r="F266" s="25"/>
      <c r="H266" s="20"/>
      <c r="I266" s="20"/>
      <c r="J266" s="20"/>
      <c r="L266" s="20"/>
      <c r="M266" s="20"/>
      <c r="N266" s="20"/>
      <c r="P266" s="20"/>
      <c r="Q266" s="20"/>
      <c r="R266" s="20"/>
    </row>
    <row r="267" spans="2:18" x14ac:dyDescent="0.25">
      <c r="B267" s="24"/>
      <c r="C267" s="22"/>
      <c r="D267" s="25"/>
      <c r="E267" s="23"/>
      <c r="F267" s="25"/>
      <c r="H267" s="20"/>
      <c r="I267" s="20"/>
      <c r="J267" s="20"/>
      <c r="L267" s="20"/>
      <c r="M267" s="20"/>
      <c r="N267" s="20"/>
      <c r="P267" s="20"/>
      <c r="Q267" s="20"/>
      <c r="R267" s="20"/>
    </row>
    <row r="268" spans="2:18" x14ac:dyDescent="0.25">
      <c r="B268" s="24"/>
      <c r="C268" s="22"/>
      <c r="D268" s="25"/>
      <c r="E268" s="23"/>
      <c r="F268" s="25"/>
      <c r="H268" s="20"/>
      <c r="I268" s="20"/>
      <c r="J268" s="20"/>
      <c r="L268" s="20"/>
      <c r="M268" s="20"/>
      <c r="N268" s="20"/>
      <c r="P268" s="20"/>
      <c r="Q268" s="20"/>
      <c r="R268" s="20"/>
    </row>
    <row r="269" spans="2:18" x14ac:dyDescent="0.25">
      <c r="B269" s="24"/>
      <c r="C269" s="22"/>
      <c r="D269" s="25"/>
      <c r="E269" s="23"/>
      <c r="F269" s="25"/>
      <c r="H269" s="20"/>
      <c r="I269" s="20"/>
      <c r="J269" s="20"/>
      <c r="L269" s="20"/>
      <c r="M269" s="20"/>
      <c r="N269" s="20"/>
      <c r="P269" s="20"/>
      <c r="Q269" s="20"/>
      <c r="R269" s="20"/>
    </row>
    <row r="270" spans="2:18" x14ac:dyDescent="0.25">
      <c r="B270" s="24"/>
      <c r="C270" s="22"/>
      <c r="D270" s="25"/>
      <c r="E270" s="23"/>
      <c r="F270" s="25"/>
      <c r="H270" s="20"/>
      <c r="I270" s="20"/>
      <c r="J270" s="20"/>
      <c r="L270" s="20"/>
      <c r="M270" s="20"/>
      <c r="N270" s="20"/>
      <c r="P270" s="20"/>
      <c r="Q270" s="20"/>
      <c r="R270" s="20"/>
    </row>
    <row r="271" spans="2:18" x14ac:dyDescent="0.25">
      <c r="B271" s="24"/>
      <c r="C271" s="22"/>
      <c r="D271" s="25"/>
      <c r="E271" s="23"/>
      <c r="F271" s="25"/>
      <c r="H271" s="20"/>
      <c r="I271" s="20"/>
      <c r="J271" s="20"/>
      <c r="L271" s="20"/>
      <c r="M271" s="20"/>
      <c r="N271" s="20"/>
      <c r="P271" s="20"/>
      <c r="Q271" s="20"/>
      <c r="R271" s="20"/>
    </row>
    <row r="272" spans="2:18" x14ac:dyDescent="0.25">
      <c r="B272" s="24"/>
      <c r="C272" s="22"/>
      <c r="D272" s="25"/>
      <c r="E272" s="23"/>
      <c r="F272" s="25"/>
      <c r="H272" s="20"/>
      <c r="I272" s="20"/>
      <c r="J272" s="20"/>
      <c r="L272" s="20"/>
      <c r="M272" s="20"/>
      <c r="N272" s="20"/>
      <c r="P272" s="20"/>
      <c r="Q272" s="20"/>
      <c r="R272" s="20"/>
    </row>
    <row r="273" spans="2:18" x14ac:dyDescent="0.25">
      <c r="B273" s="24"/>
      <c r="C273" s="22"/>
      <c r="D273" s="25"/>
      <c r="E273" s="23"/>
      <c r="F273" s="25"/>
      <c r="H273" s="20"/>
      <c r="I273" s="20"/>
      <c r="J273" s="20"/>
      <c r="L273" s="20"/>
      <c r="M273" s="20"/>
      <c r="N273" s="20"/>
      <c r="P273" s="20"/>
      <c r="Q273" s="20"/>
      <c r="R273" s="20"/>
    </row>
    <row r="274" spans="2:18" x14ac:dyDescent="0.25">
      <c r="B274" s="24"/>
      <c r="C274" s="22"/>
      <c r="D274" s="25"/>
      <c r="E274" s="23"/>
      <c r="F274" s="25"/>
      <c r="H274" s="20"/>
      <c r="I274" s="20"/>
      <c r="J274" s="20"/>
      <c r="L274" s="20"/>
      <c r="M274" s="20"/>
      <c r="N274" s="20"/>
      <c r="P274" s="20"/>
      <c r="Q274" s="20"/>
      <c r="R274" s="20"/>
    </row>
    <row r="275" spans="2:18" x14ac:dyDescent="0.25">
      <c r="B275" s="24"/>
      <c r="C275" s="22"/>
      <c r="D275" s="25"/>
      <c r="E275" s="23"/>
      <c r="F275" s="25"/>
      <c r="H275" s="20"/>
      <c r="I275" s="20"/>
      <c r="J275" s="20"/>
      <c r="L275" s="20"/>
      <c r="M275" s="20"/>
      <c r="N275" s="20"/>
      <c r="P275" s="20"/>
      <c r="Q275" s="20"/>
      <c r="R275" s="20"/>
    </row>
    <row r="276" spans="2:18" x14ac:dyDescent="0.25">
      <c r="B276" s="24"/>
      <c r="C276" s="22"/>
      <c r="D276" s="25"/>
      <c r="E276" s="23"/>
      <c r="F276" s="25"/>
      <c r="H276" s="20"/>
      <c r="I276" s="20"/>
      <c r="J276" s="20"/>
      <c r="L276" s="20"/>
      <c r="M276" s="20"/>
      <c r="N276" s="20"/>
      <c r="P276" s="20"/>
      <c r="Q276" s="20"/>
      <c r="R276" s="20"/>
    </row>
    <row r="277" spans="2:18" x14ac:dyDescent="0.25">
      <c r="B277" s="24"/>
      <c r="C277" s="22"/>
      <c r="D277" s="25"/>
      <c r="E277" s="23"/>
      <c r="F277" s="25"/>
      <c r="H277" s="20"/>
      <c r="I277" s="20"/>
      <c r="J277" s="20"/>
      <c r="L277" s="20"/>
      <c r="M277" s="20"/>
      <c r="N277" s="20"/>
      <c r="P277" s="20"/>
      <c r="Q277" s="20"/>
      <c r="R277" s="20"/>
    </row>
    <row r="278" spans="2:18" x14ac:dyDescent="0.25">
      <c r="B278" s="24"/>
      <c r="C278" s="22"/>
      <c r="D278" s="25"/>
      <c r="E278" s="23"/>
      <c r="F278" s="25"/>
      <c r="H278" s="20"/>
      <c r="I278" s="20"/>
      <c r="J278" s="20"/>
      <c r="L278" s="20"/>
      <c r="M278" s="20"/>
      <c r="N278" s="20"/>
      <c r="P278" s="20"/>
      <c r="Q278" s="20"/>
      <c r="R278" s="20"/>
    </row>
    <row r="279" spans="2:18" x14ac:dyDescent="0.25">
      <c r="B279" s="24"/>
      <c r="C279" s="22"/>
      <c r="D279" s="25"/>
      <c r="E279" s="23"/>
      <c r="F279" s="25"/>
      <c r="H279" s="20"/>
      <c r="I279" s="20"/>
      <c r="J279" s="20"/>
      <c r="L279" s="20"/>
      <c r="M279" s="20"/>
      <c r="N279" s="20"/>
      <c r="P279" s="20"/>
      <c r="Q279" s="20"/>
      <c r="R279" s="20"/>
    </row>
    <row r="280" spans="2:18" x14ac:dyDescent="0.25">
      <c r="B280" s="24"/>
      <c r="C280" s="22"/>
      <c r="D280" s="25"/>
      <c r="E280" s="23"/>
      <c r="F280" s="25"/>
      <c r="H280" s="20"/>
      <c r="I280" s="20"/>
      <c r="J280" s="20"/>
      <c r="L280" s="20"/>
      <c r="M280" s="20"/>
      <c r="N280" s="20"/>
      <c r="P280" s="20"/>
      <c r="Q280" s="20"/>
      <c r="R280" s="20"/>
    </row>
    <row r="281" spans="2:18" x14ac:dyDescent="0.25">
      <c r="B281" s="24"/>
      <c r="C281" s="22"/>
      <c r="D281" s="25"/>
      <c r="E281" s="23"/>
      <c r="F281" s="25"/>
      <c r="H281" s="20"/>
      <c r="I281" s="20"/>
      <c r="J281" s="20"/>
      <c r="L281" s="20"/>
      <c r="M281" s="20"/>
      <c r="N281" s="20"/>
      <c r="P281" s="20"/>
      <c r="Q281" s="20"/>
      <c r="R281" s="20"/>
    </row>
    <row r="282" spans="2:18" x14ac:dyDescent="0.25">
      <c r="B282" s="24"/>
      <c r="C282" s="22"/>
      <c r="D282" s="25"/>
      <c r="E282" s="23"/>
      <c r="F282" s="25"/>
      <c r="H282" s="20"/>
      <c r="I282" s="20"/>
      <c r="J282" s="20"/>
      <c r="L282" s="20"/>
      <c r="M282" s="20"/>
      <c r="N282" s="20"/>
      <c r="P282" s="20"/>
      <c r="Q282" s="20"/>
      <c r="R282" s="20"/>
    </row>
    <row r="283" spans="2:18" x14ac:dyDescent="0.25">
      <c r="B283" s="24"/>
      <c r="C283" s="22"/>
      <c r="D283" s="25"/>
      <c r="E283" s="23"/>
      <c r="F283" s="25"/>
      <c r="H283" s="20"/>
      <c r="I283" s="20"/>
      <c r="J283" s="20"/>
      <c r="L283" s="20"/>
      <c r="M283" s="20"/>
      <c r="N283" s="20"/>
      <c r="P283" s="20"/>
      <c r="Q283" s="20"/>
      <c r="R283" s="20"/>
    </row>
    <row r="284" spans="2:18" x14ac:dyDescent="0.25">
      <c r="B284" s="24"/>
      <c r="C284" s="22"/>
      <c r="D284" s="25"/>
      <c r="E284" s="23"/>
      <c r="F284" s="25"/>
      <c r="H284" s="20"/>
      <c r="I284" s="20"/>
      <c r="J284" s="20"/>
      <c r="L284" s="20"/>
      <c r="M284" s="20"/>
      <c r="N284" s="20"/>
      <c r="P284" s="20"/>
      <c r="Q284" s="20"/>
      <c r="R284" s="20"/>
    </row>
    <row r="285" spans="2:18" x14ac:dyDescent="0.25">
      <c r="B285" s="24"/>
      <c r="C285" s="22"/>
      <c r="D285" s="25"/>
      <c r="E285" s="23"/>
      <c r="F285" s="25"/>
      <c r="H285" s="20"/>
      <c r="I285" s="20"/>
      <c r="J285" s="20"/>
      <c r="L285" s="20"/>
      <c r="M285" s="20"/>
      <c r="N285" s="20"/>
      <c r="P285" s="20"/>
      <c r="Q285" s="20"/>
      <c r="R285" s="20"/>
    </row>
    <row r="286" spans="2:18" x14ac:dyDescent="0.25">
      <c r="B286" s="24"/>
      <c r="C286" s="22"/>
      <c r="D286" s="25"/>
      <c r="E286" s="23"/>
      <c r="F286" s="25"/>
      <c r="H286" s="20"/>
      <c r="I286" s="20"/>
      <c r="J286" s="20"/>
      <c r="L286" s="20"/>
      <c r="M286" s="20"/>
      <c r="N286" s="20"/>
      <c r="P286" s="20"/>
      <c r="Q286" s="20"/>
      <c r="R286" s="20"/>
    </row>
    <row r="287" spans="2:18" x14ac:dyDescent="0.25">
      <c r="B287" s="24"/>
      <c r="C287" s="22"/>
      <c r="D287" s="25"/>
      <c r="E287" s="23"/>
      <c r="F287" s="25"/>
      <c r="H287" s="20"/>
      <c r="I287" s="20"/>
      <c r="J287" s="20"/>
      <c r="L287" s="20"/>
      <c r="M287" s="20"/>
      <c r="N287" s="20"/>
      <c r="P287" s="20"/>
      <c r="Q287" s="20"/>
      <c r="R287" s="20"/>
    </row>
    <row r="288" spans="2:18" x14ac:dyDescent="0.25">
      <c r="B288" s="24"/>
      <c r="C288" s="22"/>
      <c r="D288" s="25"/>
      <c r="E288" s="23"/>
      <c r="F288" s="25"/>
      <c r="H288" s="20"/>
      <c r="I288" s="20"/>
      <c r="J288" s="20"/>
      <c r="L288" s="20"/>
      <c r="M288" s="20"/>
      <c r="N288" s="20"/>
      <c r="P288" s="20"/>
      <c r="Q288" s="20"/>
      <c r="R288" s="20"/>
    </row>
    <row r="289" spans="2:18" x14ac:dyDescent="0.25">
      <c r="B289" s="24"/>
      <c r="C289" s="22"/>
      <c r="D289" s="25"/>
      <c r="E289" s="23"/>
      <c r="F289" s="25"/>
      <c r="H289" s="20"/>
      <c r="I289" s="20"/>
      <c r="J289" s="20"/>
      <c r="L289" s="20"/>
      <c r="M289" s="20"/>
      <c r="N289" s="20"/>
      <c r="P289" s="20"/>
      <c r="Q289" s="20"/>
      <c r="R289" s="20"/>
    </row>
    <row r="290" spans="2:18" x14ac:dyDescent="0.25">
      <c r="B290" s="24"/>
      <c r="C290" s="22"/>
      <c r="D290" s="25"/>
      <c r="E290" s="23"/>
      <c r="F290" s="25"/>
      <c r="H290" s="20"/>
      <c r="I290" s="20"/>
      <c r="J290" s="20"/>
      <c r="L290" s="20"/>
      <c r="M290" s="20"/>
      <c r="N290" s="20"/>
      <c r="P290" s="20"/>
      <c r="Q290" s="20"/>
      <c r="R290" s="20"/>
    </row>
    <row r="291" spans="2:18" x14ac:dyDescent="0.25">
      <c r="B291" s="24"/>
      <c r="C291" s="22"/>
      <c r="D291" s="25"/>
      <c r="E291" s="23"/>
      <c r="F291" s="25"/>
      <c r="H291" s="20"/>
      <c r="I291" s="20"/>
      <c r="J291" s="20"/>
      <c r="L291" s="20"/>
      <c r="M291" s="20"/>
      <c r="N291" s="20"/>
      <c r="P291" s="20"/>
      <c r="Q291" s="20"/>
      <c r="R291" s="20"/>
    </row>
    <row r="292" spans="2:18" x14ac:dyDescent="0.25">
      <c r="B292" s="24"/>
      <c r="C292" s="22"/>
      <c r="D292" s="25"/>
      <c r="E292" s="23"/>
      <c r="F292" s="25"/>
      <c r="H292" s="20"/>
      <c r="I292" s="20"/>
      <c r="J292" s="20"/>
      <c r="L292" s="20"/>
      <c r="M292" s="20"/>
      <c r="N292" s="20"/>
      <c r="P292" s="20"/>
      <c r="Q292" s="20"/>
      <c r="R292" s="20"/>
    </row>
    <row r="293" spans="2:18" x14ac:dyDescent="0.25">
      <c r="B293" s="24"/>
      <c r="C293" s="22"/>
      <c r="D293" s="25"/>
      <c r="E293" s="23"/>
      <c r="F293" s="25"/>
      <c r="H293" s="20"/>
      <c r="I293" s="20"/>
      <c r="J293" s="20"/>
      <c r="L293" s="20"/>
      <c r="M293" s="20"/>
      <c r="N293" s="20"/>
      <c r="P293" s="20"/>
      <c r="Q293" s="20"/>
      <c r="R293" s="20"/>
    </row>
    <row r="294" spans="2:18" x14ac:dyDescent="0.25">
      <c r="B294" s="24"/>
      <c r="C294" s="22"/>
      <c r="D294" s="25"/>
      <c r="E294" s="23"/>
      <c r="F294" s="25"/>
      <c r="H294" s="20"/>
      <c r="I294" s="20"/>
      <c r="J294" s="20"/>
      <c r="L294" s="20"/>
      <c r="M294" s="20"/>
      <c r="N294" s="20"/>
      <c r="P294" s="20"/>
      <c r="Q294" s="20"/>
      <c r="R294" s="20"/>
    </row>
    <row r="295" spans="2:18" x14ac:dyDescent="0.25">
      <c r="B295" s="24"/>
      <c r="C295" s="22"/>
      <c r="D295" s="25"/>
      <c r="E295" s="23"/>
      <c r="F295" s="25"/>
      <c r="H295" s="20"/>
      <c r="I295" s="20"/>
      <c r="J295" s="20"/>
      <c r="L295" s="20"/>
      <c r="M295" s="20"/>
      <c r="N295" s="20"/>
      <c r="P295" s="20"/>
      <c r="Q295" s="20"/>
      <c r="R295" s="20"/>
    </row>
    <row r="296" spans="2:18" x14ac:dyDescent="0.25">
      <c r="B296" s="24"/>
      <c r="C296" s="22"/>
      <c r="D296" s="25"/>
      <c r="E296" s="23"/>
      <c r="F296" s="25"/>
      <c r="H296" s="20"/>
      <c r="I296" s="20"/>
      <c r="J296" s="20"/>
      <c r="L296" s="20"/>
      <c r="M296" s="20"/>
      <c r="N296" s="20"/>
      <c r="P296" s="20"/>
      <c r="Q296" s="20"/>
      <c r="R296" s="20"/>
    </row>
    <row r="297" spans="2:18" x14ac:dyDescent="0.25">
      <c r="B297" s="24"/>
      <c r="C297" s="22"/>
      <c r="D297" s="25"/>
      <c r="E297" s="23"/>
      <c r="F297" s="25"/>
      <c r="H297" s="20"/>
      <c r="I297" s="20"/>
      <c r="J297" s="20"/>
      <c r="L297" s="20"/>
      <c r="M297" s="20"/>
      <c r="N297" s="20"/>
      <c r="P297" s="20"/>
      <c r="Q297" s="20"/>
      <c r="R297" s="20"/>
    </row>
    <row r="298" spans="2:18" x14ac:dyDescent="0.25">
      <c r="B298" s="24"/>
      <c r="C298" s="22"/>
      <c r="D298" s="25"/>
      <c r="E298" s="23"/>
      <c r="F298" s="25"/>
      <c r="H298" s="20"/>
      <c r="I298" s="20"/>
      <c r="J298" s="20"/>
      <c r="L298" s="20"/>
      <c r="M298" s="20"/>
      <c r="N298" s="20"/>
      <c r="P298" s="20"/>
      <c r="Q298" s="20"/>
      <c r="R298" s="20"/>
    </row>
    <row r="299" spans="2:18" x14ac:dyDescent="0.25">
      <c r="B299" s="24"/>
      <c r="C299" s="22"/>
      <c r="D299" s="25"/>
      <c r="E299" s="23"/>
      <c r="F299" s="25"/>
      <c r="H299" s="20"/>
      <c r="I299" s="20"/>
      <c r="J299" s="20"/>
      <c r="L299" s="20"/>
      <c r="M299" s="20"/>
      <c r="N299" s="20"/>
      <c r="P299" s="20"/>
      <c r="Q299" s="20"/>
      <c r="R299" s="20"/>
    </row>
    <row r="300" spans="2:18" x14ac:dyDescent="0.25">
      <c r="B300" s="24"/>
      <c r="C300" s="22"/>
      <c r="D300" s="25"/>
      <c r="E300" s="23"/>
      <c r="F300" s="25"/>
      <c r="H300" s="20"/>
      <c r="I300" s="20"/>
      <c r="J300" s="20"/>
      <c r="L300" s="20"/>
      <c r="M300" s="20"/>
      <c r="N300" s="20"/>
      <c r="P300" s="20"/>
      <c r="Q300" s="20"/>
      <c r="R300" s="20"/>
    </row>
    <row r="301" spans="2:18" x14ac:dyDescent="0.25">
      <c r="B301" s="24"/>
      <c r="C301" s="22"/>
      <c r="D301" s="25"/>
      <c r="E301" s="23"/>
      <c r="F301" s="25"/>
      <c r="H301" s="20"/>
      <c r="I301" s="20"/>
      <c r="J301" s="20"/>
      <c r="L301" s="20"/>
      <c r="M301" s="20"/>
      <c r="N301" s="20"/>
      <c r="P301" s="20"/>
      <c r="Q301" s="20"/>
      <c r="R301" s="20"/>
    </row>
    <row r="302" spans="2:18" x14ac:dyDescent="0.25">
      <c r="B302" s="24"/>
      <c r="C302" s="22"/>
      <c r="D302" s="25"/>
      <c r="E302" s="23"/>
      <c r="F302" s="25"/>
      <c r="H302" s="20"/>
      <c r="I302" s="20"/>
      <c r="J302" s="20"/>
      <c r="L302" s="20"/>
      <c r="M302" s="20"/>
      <c r="N302" s="20"/>
      <c r="P302" s="20"/>
      <c r="Q302" s="20"/>
      <c r="R302" s="20"/>
    </row>
    <row r="303" spans="2:18" x14ac:dyDescent="0.25">
      <c r="B303" s="24"/>
      <c r="C303" s="22"/>
      <c r="D303" s="25"/>
      <c r="E303" s="23"/>
      <c r="F303" s="25"/>
      <c r="H303" s="20"/>
      <c r="I303" s="20"/>
      <c r="J303" s="20"/>
      <c r="L303" s="20"/>
      <c r="M303" s="20"/>
      <c r="N303" s="20"/>
      <c r="P303" s="20"/>
      <c r="Q303" s="20"/>
      <c r="R303" s="20"/>
    </row>
    <row r="304" spans="2:18" x14ac:dyDescent="0.25">
      <c r="B304" s="24"/>
      <c r="C304" s="22"/>
      <c r="D304" s="25"/>
      <c r="E304" s="23"/>
      <c r="F304" s="25"/>
      <c r="H304" s="20"/>
      <c r="I304" s="20"/>
      <c r="J304" s="20"/>
      <c r="L304" s="20"/>
      <c r="M304" s="20"/>
      <c r="N304" s="20"/>
      <c r="P304" s="20"/>
      <c r="Q304" s="20"/>
      <c r="R304" s="20"/>
    </row>
    <row r="305" spans="2:18" x14ac:dyDescent="0.25">
      <c r="B305" s="24"/>
      <c r="C305" s="22"/>
      <c r="D305" s="25"/>
      <c r="E305" s="23"/>
      <c r="F305" s="25"/>
      <c r="H305" s="20"/>
      <c r="I305" s="20"/>
      <c r="J305" s="20"/>
      <c r="L305" s="20"/>
      <c r="M305" s="20"/>
      <c r="N305" s="20"/>
      <c r="P305" s="20"/>
      <c r="Q305" s="20"/>
      <c r="R305" s="20"/>
    </row>
    <row r="306" spans="2:18" x14ac:dyDescent="0.25">
      <c r="B306" s="24"/>
      <c r="C306" s="22"/>
      <c r="D306" s="25"/>
      <c r="E306" s="23"/>
      <c r="F306" s="25"/>
      <c r="H306" s="20"/>
      <c r="I306" s="20"/>
      <c r="J306" s="20"/>
      <c r="L306" s="20"/>
      <c r="M306" s="20"/>
      <c r="N306" s="20"/>
      <c r="P306" s="20"/>
      <c r="Q306" s="20"/>
      <c r="R306" s="20"/>
    </row>
    <row r="307" spans="2:18" x14ac:dyDescent="0.25">
      <c r="B307" s="24"/>
      <c r="C307" s="22"/>
      <c r="D307" s="25"/>
      <c r="E307" s="23"/>
      <c r="F307" s="25"/>
      <c r="H307" s="20"/>
      <c r="I307" s="20"/>
      <c r="J307" s="20"/>
      <c r="L307" s="20"/>
      <c r="M307" s="20"/>
      <c r="N307" s="20"/>
      <c r="P307" s="20"/>
      <c r="Q307" s="20"/>
      <c r="R307" s="20"/>
    </row>
    <row r="308" spans="2:18" x14ac:dyDescent="0.25">
      <c r="B308" s="24"/>
      <c r="C308" s="22"/>
      <c r="D308" s="25"/>
      <c r="E308" s="23"/>
      <c r="F308" s="25"/>
      <c r="H308" s="20"/>
      <c r="I308" s="20"/>
      <c r="J308" s="20"/>
      <c r="L308" s="20"/>
      <c r="M308" s="20"/>
      <c r="N308" s="20"/>
      <c r="P308" s="20"/>
      <c r="Q308" s="20"/>
      <c r="R308" s="20"/>
    </row>
    <row r="309" spans="2:18" x14ac:dyDescent="0.25">
      <c r="B309" s="24"/>
      <c r="C309" s="22"/>
      <c r="D309" s="25"/>
      <c r="E309" s="23"/>
      <c r="F309" s="25"/>
      <c r="H309" s="20"/>
      <c r="I309" s="20"/>
      <c r="J309" s="20"/>
      <c r="L309" s="20"/>
      <c r="M309" s="20"/>
      <c r="N309" s="20"/>
      <c r="P309" s="20"/>
      <c r="Q309" s="20"/>
      <c r="R309" s="20"/>
    </row>
    <row r="310" spans="2:18" x14ac:dyDescent="0.25">
      <c r="B310" s="24"/>
      <c r="C310" s="22"/>
      <c r="D310" s="25"/>
      <c r="E310" s="23"/>
      <c r="F310" s="25"/>
      <c r="H310" s="20"/>
      <c r="I310" s="20"/>
      <c r="J310" s="20"/>
      <c r="L310" s="20"/>
      <c r="M310" s="20"/>
      <c r="N310" s="20"/>
      <c r="P310" s="20"/>
      <c r="Q310" s="20"/>
      <c r="R310" s="20"/>
    </row>
    <row r="311" spans="2:18" x14ac:dyDescent="0.25">
      <c r="B311" s="24"/>
      <c r="C311" s="22"/>
      <c r="D311" s="25"/>
      <c r="E311" s="23"/>
      <c r="F311" s="25"/>
      <c r="H311" s="20"/>
      <c r="I311" s="20"/>
      <c r="J311" s="20"/>
      <c r="L311" s="20"/>
      <c r="M311" s="20"/>
      <c r="N311" s="20"/>
      <c r="P311" s="20"/>
      <c r="Q311" s="20"/>
      <c r="R311" s="20"/>
    </row>
    <row r="312" spans="2:18" x14ac:dyDescent="0.25">
      <c r="B312" s="24"/>
      <c r="C312" s="22"/>
      <c r="D312" s="25"/>
      <c r="E312" s="23"/>
      <c r="F312" s="25"/>
      <c r="H312" s="20"/>
      <c r="I312" s="20"/>
      <c r="J312" s="20"/>
      <c r="L312" s="20"/>
      <c r="M312" s="20"/>
      <c r="N312" s="20"/>
      <c r="P312" s="20"/>
      <c r="Q312" s="20"/>
      <c r="R312" s="20"/>
    </row>
    <row r="313" spans="2:18" x14ac:dyDescent="0.25">
      <c r="B313" s="24"/>
      <c r="C313" s="22"/>
      <c r="D313" s="25"/>
      <c r="E313" s="23"/>
      <c r="F313" s="25"/>
      <c r="H313" s="20"/>
      <c r="I313" s="20"/>
      <c r="J313" s="20"/>
      <c r="L313" s="20"/>
      <c r="M313" s="20"/>
      <c r="N313" s="20"/>
      <c r="P313" s="20"/>
      <c r="Q313" s="20"/>
      <c r="R313" s="20"/>
    </row>
    <row r="314" spans="2:18" x14ac:dyDescent="0.25">
      <c r="B314" s="24"/>
      <c r="C314" s="22"/>
      <c r="D314" s="25"/>
      <c r="E314" s="23"/>
      <c r="F314" s="25"/>
      <c r="H314" s="20"/>
      <c r="I314" s="20"/>
      <c r="J314" s="20"/>
      <c r="L314" s="20"/>
      <c r="M314" s="20"/>
      <c r="N314" s="20"/>
      <c r="P314" s="20"/>
      <c r="Q314" s="20"/>
      <c r="R314" s="20"/>
    </row>
    <row r="315" spans="2:18" x14ac:dyDescent="0.25">
      <c r="B315" s="24"/>
      <c r="C315" s="22"/>
      <c r="D315" s="25"/>
      <c r="E315" s="23"/>
      <c r="F315" s="25"/>
      <c r="H315" s="20"/>
      <c r="I315" s="20"/>
      <c r="J315" s="20"/>
      <c r="L315" s="20"/>
      <c r="M315" s="20"/>
      <c r="N315" s="20"/>
      <c r="P315" s="20"/>
      <c r="Q315" s="20"/>
      <c r="R315" s="20"/>
    </row>
    <row r="316" spans="2:18" x14ac:dyDescent="0.25">
      <c r="B316" s="24"/>
      <c r="C316" s="22"/>
      <c r="D316" s="25"/>
      <c r="E316" s="23"/>
      <c r="F316" s="25"/>
      <c r="H316" s="20"/>
      <c r="I316" s="20"/>
      <c r="J316" s="20"/>
      <c r="L316" s="20"/>
      <c r="M316" s="20"/>
      <c r="N316" s="20"/>
      <c r="P316" s="20"/>
      <c r="Q316" s="20"/>
      <c r="R316" s="20"/>
    </row>
    <row r="317" spans="2:18" x14ac:dyDescent="0.25">
      <c r="B317" s="24"/>
      <c r="C317" s="22"/>
      <c r="D317" s="25"/>
      <c r="E317" s="23"/>
      <c r="F317" s="25"/>
      <c r="H317" s="20"/>
      <c r="I317" s="20"/>
      <c r="J317" s="20"/>
      <c r="L317" s="20"/>
      <c r="M317" s="20"/>
      <c r="N317" s="20"/>
      <c r="P317" s="20"/>
      <c r="Q317" s="20"/>
      <c r="R317" s="20"/>
    </row>
    <row r="318" spans="2:18" x14ac:dyDescent="0.25">
      <c r="B318" s="24"/>
      <c r="C318" s="22"/>
      <c r="D318" s="25"/>
      <c r="E318" s="23"/>
      <c r="F318" s="25"/>
      <c r="H318" s="20"/>
      <c r="I318" s="20"/>
      <c r="J318" s="20"/>
      <c r="L318" s="20"/>
      <c r="M318" s="20"/>
      <c r="N318" s="20"/>
      <c r="P318" s="20"/>
      <c r="Q318" s="20"/>
      <c r="R318" s="20"/>
    </row>
    <row r="319" spans="2:18" x14ac:dyDescent="0.25">
      <c r="B319" s="24"/>
      <c r="C319" s="22"/>
      <c r="D319" s="25"/>
      <c r="E319" s="23"/>
      <c r="F319" s="25"/>
      <c r="H319" s="20"/>
      <c r="I319" s="20"/>
      <c r="J319" s="20"/>
      <c r="L319" s="20"/>
      <c r="M319" s="20"/>
      <c r="N319" s="20"/>
      <c r="P319" s="20"/>
      <c r="Q319" s="20"/>
      <c r="R319" s="20"/>
    </row>
    <row r="320" spans="2:18" x14ac:dyDescent="0.25">
      <c r="B320" s="24"/>
      <c r="C320" s="22"/>
      <c r="D320" s="25"/>
      <c r="E320" s="23"/>
      <c r="F320" s="25"/>
      <c r="H320" s="20"/>
      <c r="I320" s="20"/>
      <c r="J320" s="20"/>
      <c r="L320" s="20"/>
      <c r="M320" s="20"/>
      <c r="N320" s="20"/>
      <c r="P320" s="20"/>
      <c r="Q320" s="20"/>
      <c r="R320" s="20"/>
    </row>
    <row r="321" spans="2:18" x14ac:dyDescent="0.25">
      <c r="B321" s="24"/>
      <c r="C321" s="22"/>
      <c r="D321" s="25"/>
      <c r="E321" s="23"/>
      <c r="F321" s="25"/>
      <c r="H321" s="20"/>
      <c r="I321" s="20"/>
      <c r="J321" s="20"/>
      <c r="L321" s="20"/>
      <c r="M321" s="20"/>
      <c r="N321" s="20"/>
      <c r="P321" s="20"/>
      <c r="Q321" s="20"/>
      <c r="R321" s="20"/>
    </row>
    <row r="322" spans="2:18" x14ac:dyDescent="0.25">
      <c r="B322" s="24"/>
      <c r="C322" s="22"/>
      <c r="D322" s="25"/>
      <c r="E322" s="23"/>
      <c r="F322" s="25"/>
      <c r="H322" s="20"/>
      <c r="I322" s="20"/>
      <c r="J322" s="20"/>
      <c r="L322" s="20"/>
      <c r="M322" s="20"/>
      <c r="N322" s="20"/>
      <c r="P322" s="20"/>
      <c r="Q322" s="20"/>
      <c r="R322" s="20"/>
    </row>
    <row r="323" spans="2:18" x14ac:dyDescent="0.25">
      <c r="B323" s="24"/>
      <c r="C323" s="22"/>
      <c r="D323" s="25"/>
      <c r="E323" s="23"/>
      <c r="F323" s="25"/>
      <c r="H323" s="20"/>
      <c r="I323" s="20"/>
      <c r="J323" s="20"/>
      <c r="L323" s="20"/>
      <c r="M323" s="20"/>
      <c r="N323" s="20"/>
      <c r="P323" s="20"/>
      <c r="Q323" s="20"/>
      <c r="R323" s="20"/>
    </row>
    <row r="324" spans="2:18" x14ac:dyDescent="0.25">
      <c r="B324" s="24"/>
      <c r="C324" s="22"/>
      <c r="D324" s="25"/>
      <c r="E324" s="23"/>
      <c r="F324" s="25"/>
      <c r="H324" s="20"/>
      <c r="I324" s="20"/>
      <c r="J324" s="20"/>
      <c r="L324" s="20"/>
      <c r="M324" s="20"/>
      <c r="N324" s="20"/>
      <c r="P324" s="20"/>
      <c r="Q324" s="20"/>
      <c r="R324" s="20"/>
    </row>
    <row r="325" spans="2:18" x14ac:dyDescent="0.25">
      <c r="B325" s="24"/>
      <c r="C325" s="22"/>
      <c r="D325" s="25"/>
      <c r="E325" s="23"/>
      <c r="F325" s="25"/>
      <c r="H325" s="20"/>
      <c r="I325" s="20"/>
      <c r="J325" s="20"/>
      <c r="L325" s="20"/>
      <c r="M325" s="20"/>
      <c r="N325" s="20"/>
      <c r="P325" s="20"/>
      <c r="Q325" s="20"/>
      <c r="R325" s="20"/>
    </row>
    <row r="326" spans="2:18" x14ac:dyDescent="0.25">
      <c r="B326" s="24"/>
      <c r="C326" s="22"/>
      <c r="D326" s="25"/>
      <c r="E326" s="23"/>
      <c r="F326" s="25"/>
      <c r="H326" s="20"/>
      <c r="I326" s="20"/>
      <c r="J326" s="20"/>
      <c r="L326" s="20"/>
      <c r="M326" s="20"/>
      <c r="N326" s="20"/>
      <c r="P326" s="20"/>
      <c r="Q326" s="20"/>
      <c r="R326" s="20"/>
    </row>
    <row r="327" spans="2:18" x14ac:dyDescent="0.25">
      <c r="B327" s="24"/>
      <c r="C327" s="22"/>
      <c r="D327" s="25"/>
      <c r="E327" s="23"/>
      <c r="F327" s="25"/>
      <c r="H327" s="20"/>
      <c r="I327" s="20"/>
      <c r="J327" s="20"/>
      <c r="L327" s="20"/>
      <c r="M327" s="20"/>
      <c r="N327" s="20"/>
      <c r="P327" s="20"/>
      <c r="Q327" s="20"/>
      <c r="R327" s="20"/>
    </row>
    <row r="328" spans="2:18" x14ac:dyDescent="0.25">
      <c r="B328" s="24"/>
      <c r="C328" s="22"/>
      <c r="D328" s="25"/>
      <c r="E328" s="23"/>
      <c r="F328" s="25"/>
      <c r="H328" s="20"/>
      <c r="I328" s="20"/>
      <c r="J328" s="20"/>
      <c r="L328" s="20"/>
      <c r="M328" s="20"/>
      <c r="N328" s="20"/>
      <c r="P328" s="20"/>
      <c r="Q328" s="20"/>
      <c r="R328" s="20"/>
    </row>
    <row r="329" spans="2:18" x14ac:dyDescent="0.25">
      <c r="B329" s="24"/>
      <c r="C329" s="22"/>
      <c r="D329" s="25"/>
      <c r="E329" s="23"/>
      <c r="F329" s="25"/>
      <c r="H329" s="20"/>
      <c r="I329" s="20"/>
      <c r="J329" s="20"/>
      <c r="L329" s="20"/>
      <c r="M329" s="20"/>
      <c r="N329" s="20"/>
      <c r="P329" s="20"/>
      <c r="Q329" s="20"/>
      <c r="R329" s="20"/>
    </row>
    <row r="330" spans="2:18" x14ac:dyDescent="0.25">
      <c r="B330" s="24"/>
      <c r="C330" s="22"/>
      <c r="D330" s="25"/>
      <c r="E330" s="23"/>
      <c r="F330" s="25"/>
      <c r="H330" s="20"/>
      <c r="I330" s="20"/>
      <c r="J330" s="20"/>
      <c r="L330" s="20"/>
      <c r="M330" s="20"/>
      <c r="N330" s="20"/>
      <c r="P330" s="20"/>
      <c r="Q330" s="20"/>
      <c r="R330" s="20"/>
    </row>
    <row r="331" spans="2:18" x14ac:dyDescent="0.25">
      <c r="B331" s="24"/>
      <c r="C331" s="22"/>
      <c r="D331" s="25"/>
      <c r="E331" s="23"/>
      <c r="F331" s="25"/>
      <c r="H331" s="20"/>
      <c r="I331" s="20"/>
      <c r="J331" s="20"/>
      <c r="L331" s="20"/>
      <c r="M331" s="20"/>
      <c r="N331" s="20"/>
      <c r="P331" s="20"/>
      <c r="Q331" s="20"/>
      <c r="R331" s="20"/>
    </row>
    <row r="332" spans="2:18" x14ac:dyDescent="0.25">
      <c r="B332" s="24"/>
      <c r="C332" s="22"/>
      <c r="D332" s="25"/>
      <c r="E332" s="23"/>
      <c r="F332" s="25"/>
      <c r="H332" s="20"/>
      <c r="I332" s="20"/>
      <c r="J332" s="20"/>
      <c r="L332" s="20"/>
      <c r="M332" s="20"/>
      <c r="N332" s="20"/>
      <c r="P332" s="20"/>
      <c r="Q332" s="20"/>
      <c r="R332" s="20"/>
    </row>
    <row r="333" spans="2:18" x14ac:dyDescent="0.25">
      <c r="B333" s="24"/>
      <c r="C333" s="22"/>
      <c r="D333" s="25"/>
      <c r="E333" s="23"/>
      <c r="F333" s="25"/>
      <c r="H333" s="20"/>
      <c r="I333" s="20"/>
      <c r="J333" s="20"/>
      <c r="L333" s="20"/>
      <c r="M333" s="20"/>
      <c r="N333" s="20"/>
      <c r="P333" s="20"/>
      <c r="Q333" s="20"/>
      <c r="R333" s="20"/>
    </row>
    <row r="334" spans="2:18" x14ac:dyDescent="0.25">
      <c r="B334" s="24"/>
      <c r="C334" s="22"/>
      <c r="D334" s="25"/>
      <c r="E334" s="23"/>
      <c r="F334" s="25"/>
      <c r="H334" s="20"/>
      <c r="I334" s="20"/>
      <c r="J334" s="20"/>
      <c r="L334" s="20"/>
      <c r="M334" s="20"/>
      <c r="N334" s="20"/>
      <c r="P334" s="20"/>
      <c r="Q334" s="20"/>
      <c r="R334" s="20"/>
    </row>
    <row r="335" spans="2:18" x14ac:dyDescent="0.25">
      <c r="B335" s="24"/>
      <c r="C335" s="22"/>
      <c r="D335" s="25"/>
      <c r="E335" s="23"/>
      <c r="F335" s="25"/>
      <c r="H335" s="20"/>
      <c r="I335" s="20"/>
      <c r="J335" s="20"/>
      <c r="L335" s="20"/>
      <c r="M335" s="20"/>
      <c r="N335" s="20"/>
      <c r="P335" s="20"/>
      <c r="Q335" s="20"/>
      <c r="R335" s="20"/>
    </row>
    <row r="336" spans="2:18" x14ac:dyDescent="0.25">
      <c r="B336" s="24"/>
      <c r="C336" s="22"/>
      <c r="D336" s="25"/>
      <c r="E336" s="23"/>
      <c r="F336" s="25"/>
      <c r="H336" s="20"/>
      <c r="I336" s="20"/>
      <c r="J336" s="20"/>
      <c r="L336" s="20"/>
      <c r="M336" s="20"/>
      <c r="N336" s="20"/>
      <c r="P336" s="20"/>
      <c r="Q336" s="20"/>
      <c r="R336" s="20"/>
    </row>
    <row r="337" spans="2:18" x14ac:dyDescent="0.25">
      <c r="B337" s="24"/>
      <c r="C337" s="22"/>
      <c r="D337" s="25"/>
      <c r="E337" s="23"/>
      <c r="F337" s="25"/>
      <c r="H337" s="20"/>
      <c r="I337" s="20"/>
      <c r="J337" s="20"/>
      <c r="L337" s="20"/>
      <c r="M337" s="20"/>
      <c r="N337" s="20"/>
      <c r="P337" s="20"/>
      <c r="Q337" s="20"/>
      <c r="R337" s="20"/>
    </row>
    <row r="338" spans="2:18" x14ac:dyDescent="0.25">
      <c r="B338" s="24"/>
      <c r="C338" s="22"/>
      <c r="D338" s="25"/>
      <c r="E338" s="23"/>
      <c r="F338" s="25"/>
      <c r="H338" s="20"/>
      <c r="I338" s="20"/>
      <c r="J338" s="20"/>
      <c r="L338" s="20"/>
      <c r="M338" s="20"/>
      <c r="N338" s="20"/>
      <c r="P338" s="20"/>
      <c r="Q338" s="20"/>
      <c r="R338" s="20"/>
    </row>
    <row r="339" spans="2:18" x14ac:dyDescent="0.25">
      <c r="B339" s="24"/>
      <c r="C339" s="22"/>
      <c r="D339" s="25"/>
      <c r="E339" s="23"/>
      <c r="F339" s="25"/>
      <c r="H339" s="20"/>
      <c r="I339" s="20"/>
      <c r="J339" s="20"/>
      <c r="L339" s="20"/>
      <c r="M339" s="20"/>
      <c r="N339" s="20"/>
      <c r="P339" s="20"/>
      <c r="Q339" s="20"/>
      <c r="R339" s="20"/>
    </row>
    <row r="340" spans="2:18" x14ac:dyDescent="0.25">
      <c r="B340" s="24"/>
      <c r="C340" s="22"/>
      <c r="D340" s="25"/>
      <c r="E340" s="23"/>
      <c r="F340" s="25"/>
      <c r="H340" s="20"/>
      <c r="I340" s="20"/>
      <c r="J340" s="20"/>
      <c r="L340" s="20"/>
      <c r="M340" s="20"/>
      <c r="N340" s="20"/>
      <c r="P340" s="20"/>
      <c r="Q340" s="20"/>
      <c r="R340" s="20"/>
    </row>
    <row r="341" spans="2:18" x14ac:dyDescent="0.25">
      <c r="B341" s="24"/>
      <c r="C341" s="22"/>
      <c r="D341" s="25"/>
      <c r="E341" s="23"/>
      <c r="F341" s="25"/>
      <c r="H341" s="20"/>
      <c r="I341" s="20"/>
      <c r="J341" s="20"/>
      <c r="L341" s="20"/>
      <c r="M341" s="20"/>
      <c r="N341" s="20"/>
      <c r="P341" s="20"/>
      <c r="Q341" s="20"/>
      <c r="R341" s="20"/>
    </row>
    <row r="342" spans="2:18" x14ac:dyDescent="0.25">
      <c r="B342" s="24"/>
      <c r="C342" s="22"/>
      <c r="D342" s="25"/>
      <c r="E342" s="23"/>
      <c r="F342" s="25"/>
      <c r="H342" s="20"/>
      <c r="I342" s="20"/>
      <c r="J342" s="20"/>
      <c r="L342" s="20"/>
      <c r="M342" s="20"/>
      <c r="N342" s="20"/>
      <c r="P342" s="20"/>
      <c r="Q342" s="20"/>
      <c r="R342" s="20"/>
    </row>
    <row r="343" spans="2:18" x14ac:dyDescent="0.25">
      <c r="B343" s="24"/>
      <c r="C343" s="22"/>
      <c r="D343" s="25"/>
      <c r="E343" s="23"/>
      <c r="F343" s="25"/>
      <c r="H343" s="20"/>
      <c r="I343" s="20"/>
      <c r="J343" s="20"/>
      <c r="L343" s="20"/>
      <c r="M343" s="20"/>
      <c r="N343" s="20"/>
      <c r="P343" s="20"/>
      <c r="Q343" s="20"/>
      <c r="R343" s="20"/>
    </row>
    <row r="344" spans="2:18" x14ac:dyDescent="0.25">
      <c r="B344" s="24"/>
      <c r="C344" s="22"/>
      <c r="D344" s="25"/>
      <c r="E344" s="23"/>
      <c r="F344" s="25"/>
      <c r="H344" s="20"/>
      <c r="I344" s="20"/>
      <c r="J344" s="20"/>
      <c r="L344" s="20"/>
      <c r="M344" s="20"/>
      <c r="N344" s="20"/>
      <c r="P344" s="20"/>
      <c r="Q344" s="20"/>
      <c r="R344" s="20"/>
    </row>
    <row r="345" spans="2:18" x14ac:dyDescent="0.25">
      <c r="B345" s="24"/>
      <c r="C345" s="22"/>
      <c r="D345" s="25"/>
      <c r="E345" s="23"/>
      <c r="F345" s="25"/>
      <c r="H345" s="20"/>
      <c r="I345" s="20"/>
      <c r="J345" s="20"/>
      <c r="L345" s="20"/>
      <c r="M345" s="20"/>
      <c r="N345" s="20"/>
      <c r="P345" s="20"/>
      <c r="Q345" s="20"/>
      <c r="R345" s="20"/>
    </row>
    <row r="346" spans="2:18" x14ac:dyDescent="0.25">
      <c r="B346" s="24"/>
      <c r="C346" s="22"/>
      <c r="D346" s="25"/>
      <c r="E346" s="23"/>
      <c r="F346" s="25"/>
      <c r="H346" s="20"/>
      <c r="I346" s="20"/>
      <c r="J346" s="20"/>
      <c r="L346" s="20"/>
      <c r="M346" s="20"/>
      <c r="N346" s="20"/>
      <c r="P346" s="20"/>
      <c r="Q346" s="20"/>
      <c r="R346" s="20"/>
    </row>
    <row r="347" spans="2:18" x14ac:dyDescent="0.25">
      <c r="B347" s="24"/>
      <c r="C347" s="22"/>
      <c r="D347" s="25"/>
      <c r="E347" s="23"/>
      <c r="F347" s="25"/>
      <c r="H347" s="20"/>
      <c r="I347" s="20"/>
      <c r="J347" s="20"/>
      <c r="L347" s="20"/>
      <c r="M347" s="20"/>
      <c r="N347" s="20"/>
      <c r="P347" s="20"/>
      <c r="Q347" s="20"/>
      <c r="R347" s="20"/>
    </row>
    <row r="348" spans="2:18" x14ac:dyDescent="0.25">
      <c r="B348" s="24"/>
      <c r="C348" s="22"/>
      <c r="D348" s="25"/>
      <c r="E348" s="23"/>
      <c r="F348" s="25"/>
      <c r="H348" s="20"/>
      <c r="I348" s="20"/>
      <c r="J348" s="20"/>
      <c r="L348" s="20"/>
      <c r="M348" s="20"/>
      <c r="N348" s="20"/>
      <c r="P348" s="20"/>
      <c r="Q348" s="20"/>
      <c r="R348" s="20"/>
    </row>
    <row r="349" spans="2:18" x14ac:dyDescent="0.25">
      <c r="B349" s="24"/>
      <c r="C349" s="22"/>
      <c r="D349" s="25"/>
      <c r="E349" s="23"/>
      <c r="F349" s="25"/>
      <c r="H349" s="20"/>
      <c r="I349" s="20"/>
      <c r="J349" s="20"/>
      <c r="L349" s="20"/>
      <c r="M349" s="20"/>
      <c r="N349" s="20"/>
      <c r="P349" s="20"/>
      <c r="Q349" s="20"/>
      <c r="R349" s="20"/>
    </row>
    <row r="350" spans="2:18" x14ac:dyDescent="0.25">
      <c r="B350" s="24"/>
      <c r="C350" s="22"/>
      <c r="D350" s="25"/>
      <c r="E350" s="23"/>
      <c r="F350" s="25"/>
      <c r="H350" s="20"/>
      <c r="I350" s="20"/>
      <c r="J350" s="20"/>
      <c r="L350" s="20"/>
      <c r="M350" s="20"/>
      <c r="N350" s="20"/>
      <c r="P350" s="20"/>
      <c r="Q350" s="20"/>
      <c r="R350" s="20"/>
    </row>
    <row r="351" spans="2:18" x14ac:dyDescent="0.25">
      <c r="B351" s="24"/>
      <c r="C351" s="22"/>
      <c r="D351" s="25"/>
      <c r="E351" s="23"/>
      <c r="F351" s="25"/>
      <c r="H351" s="20"/>
      <c r="I351" s="20"/>
      <c r="J351" s="20"/>
      <c r="L351" s="20"/>
      <c r="M351" s="20"/>
      <c r="N351" s="20"/>
      <c r="P351" s="20"/>
      <c r="Q351" s="20"/>
      <c r="R351" s="20"/>
    </row>
    <row r="352" spans="2:18" x14ac:dyDescent="0.25">
      <c r="B352" s="24"/>
      <c r="C352" s="22"/>
      <c r="D352" s="25"/>
      <c r="E352" s="23"/>
      <c r="F352" s="25"/>
      <c r="H352" s="20"/>
      <c r="I352" s="20"/>
      <c r="J352" s="20"/>
      <c r="L352" s="20"/>
      <c r="M352" s="20"/>
      <c r="N352" s="20"/>
      <c r="P352" s="20"/>
      <c r="Q352" s="20"/>
      <c r="R352" s="20"/>
    </row>
    <row r="353" spans="2:18" x14ac:dyDescent="0.25">
      <c r="B353" s="24"/>
      <c r="C353" s="22"/>
      <c r="D353" s="25"/>
      <c r="E353" s="23"/>
      <c r="F353" s="25"/>
      <c r="H353" s="20"/>
      <c r="I353" s="20"/>
      <c r="J353" s="20"/>
      <c r="L353" s="20"/>
      <c r="M353" s="20"/>
      <c r="N353" s="20"/>
      <c r="P353" s="20"/>
      <c r="Q353" s="20"/>
      <c r="R353" s="20"/>
    </row>
    <row r="354" spans="2:18" x14ac:dyDescent="0.25">
      <c r="B354" s="24"/>
      <c r="C354" s="22"/>
      <c r="D354" s="25"/>
      <c r="E354" s="23"/>
      <c r="F354" s="25"/>
      <c r="H354" s="20"/>
      <c r="I354" s="20"/>
      <c r="J354" s="20"/>
      <c r="L354" s="20"/>
      <c r="M354" s="20"/>
      <c r="N354" s="20"/>
      <c r="P354" s="20"/>
      <c r="Q354" s="20"/>
      <c r="R354" s="20"/>
    </row>
    <row r="355" spans="2:18" x14ac:dyDescent="0.25">
      <c r="B355" s="24"/>
      <c r="C355" s="22"/>
      <c r="D355" s="25"/>
      <c r="E355" s="23"/>
      <c r="F355" s="25"/>
      <c r="H355" s="20"/>
      <c r="I355" s="20"/>
      <c r="J355" s="20"/>
      <c r="L355" s="20"/>
      <c r="M355" s="20"/>
      <c r="N355" s="20"/>
      <c r="P355" s="20"/>
      <c r="Q355" s="20"/>
      <c r="R355" s="20"/>
    </row>
    <row r="356" spans="2:18" x14ac:dyDescent="0.25">
      <c r="B356" s="24"/>
      <c r="C356" s="22"/>
      <c r="D356" s="25"/>
      <c r="E356" s="23"/>
      <c r="F356" s="25"/>
      <c r="H356" s="20"/>
      <c r="I356" s="20"/>
      <c r="J356" s="20"/>
      <c r="L356" s="20"/>
      <c r="M356" s="20"/>
      <c r="N356" s="20"/>
      <c r="P356" s="20"/>
      <c r="Q356" s="20"/>
      <c r="R356" s="20"/>
    </row>
    <row r="357" spans="2:18" x14ac:dyDescent="0.25">
      <c r="B357" s="24"/>
      <c r="C357" s="22"/>
      <c r="D357" s="25"/>
      <c r="E357" s="23"/>
      <c r="F357" s="25"/>
      <c r="H357" s="20"/>
      <c r="I357" s="20"/>
      <c r="J357" s="20"/>
      <c r="L357" s="20"/>
      <c r="M357" s="20"/>
      <c r="N357" s="20"/>
      <c r="P357" s="20"/>
      <c r="Q357" s="20"/>
      <c r="R357" s="20"/>
    </row>
    <row r="358" spans="2:18" x14ac:dyDescent="0.25">
      <c r="B358" s="24"/>
      <c r="C358" s="22"/>
      <c r="D358" s="25"/>
      <c r="E358" s="23"/>
      <c r="F358" s="25"/>
      <c r="H358" s="20"/>
      <c r="I358" s="20"/>
      <c r="J358" s="20"/>
      <c r="L358" s="20"/>
      <c r="M358" s="20"/>
      <c r="N358" s="20"/>
      <c r="P358" s="20"/>
      <c r="Q358" s="20"/>
      <c r="R358" s="20"/>
    </row>
    <row r="359" spans="2:18" x14ac:dyDescent="0.25">
      <c r="B359" s="24"/>
      <c r="C359" s="22"/>
      <c r="D359" s="25"/>
      <c r="E359" s="23"/>
      <c r="F359" s="25"/>
      <c r="H359" s="20"/>
      <c r="I359" s="20"/>
      <c r="J359" s="20"/>
      <c r="L359" s="20"/>
      <c r="M359" s="20"/>
      <c r="N359" s="20"/>
      <c r="P359" s="20"/>
      <c r="Q359" s="20"/>
      <c r="R359" s="20"/>
    </row>
    <row r="360" spans="2:18" x14ac:dyDescent="0.25">
      <c r="B360" s="24"/>
      <c r="C360" s="22"/>
      <c r="D360" s="25"/>
      <c r="E360" s="23"/>
      <c r="F360" s="25"/>
      <c r="H360" s="20"/>
      <c r="I360" s="20"/>
      <c r="J360" s="20"/>
      <c r="L360" s="20"/>
      <c r="M360" s="20"/>
      <c r="N360" s="20"/>
      <c r="P360" s="20"/>
      <c r="Q360" s="20"/>
      <c r="R360" s="20"/>
    </row>
    <row r="361" spans="2:18" x14ac:dyDescent="0.25">
      <c r="B361" s="24"/>
      <c r="C361" s="22"/>
      <c r="D361" s="25"/>
      <c r="E361" s="23"/>
      <c r="F361" s="25"/>
      <c r="H361" s="20"/>
      <c r="I361" s="20"/>
      <c r="J361" s="20"/>
      <c r="L361" s="20"/>
      <c r="M361" s="20"/>
      <c r="N361" s="20"/>
      <c r="P361" s="20"/>
      <c r="Q361" s="20"/>
      <c r="R361" s="20"/>
    </row>
    <row r="362" spans="2:18" x14ac:dyDescent="0.25">
      <c r="B362" s="24"/>
      <c r="C362" s="22"/>
      <c r="D362" s="25"/>
      <c r="E362" s="23"/>
      <c r="F362" s="25"/>
      <c r="H362" s="20"/>
      <c r="I362" s="20"/>
      <c r="J362" s="20"/>
      <c r="L362" s="20"/>
      <c r="M362" s="20"/>
      <c r="N362" s="20"/>
      <c r="P362" s="20"/>
      <c r="Q362" s="20"/>
      <c r="R362" s="20"/>
    </row>
    <row r="363" spans="2:18" x14ac:dyDescent="0.25">
      <c r="B363" s="24"/>
      <c r="C363" s="22"/>
      <c r="D363" s="25"/>
      <c r="E363" s="23"/>
      <c r="F363" s="25"/>
      <c r="H363" s="20"/>
      <c r="I363" s="20"/>
      <c r="J363" s="20"/>
      <c r="L363" s="20"/>
      <c r="M363" s="20"/>
      <c r="N363" s="20"/>
      <c r="P363" s="20"/>
      <c r="Q363" s="20"/>
      <c r="R363" s="20"/>
    </row>
    <row r="364" spans="2:18" x14ac:dyDescent="0.25">
      <c r="B364" s="24"/>
      <c r="C364" s="22"/>
      <c r="D364" s="25"/>
      <c r="E364" s="23"/>
      <c r="F364" s="25"/>
      <c r="H364" s="20"/>
      <c r="I364" s="20"/>
      <c r="J364" s="20"/>
      <c r="L364" s="20"/>
      <c r="M364" s="20"/>
      <c r="N364" s="20"/>
      <c r="P364" s="20"/>
      <c r="Q364" s="20"/>
      <c r="R364" s="20"/>
    </row>
    <row r="365" spans="2:18" x14ac:dyDescent="0.25">
      <c r="B365" s="24"/>
      <c r="C365" s="22"/>
      <c r="D365" s="25"/>
      <c r="E365" s="23"/>
      <c r="F365" s="25"/>
      <c r="H365" s="20"/>
      <c r="I365" s="20"/>
      <c r="J365" s="20"/>
      <c r="L365" s="20"/>
      <c r="M365" s="20"/>
      <c r="N365" s="20"/>
      <c r="P365" s="20"/>
      <c r="Q365" s="20"/>
      <c r="R365" s="20"/>
    </row>
    <row r="366" spans="2:18" x14ac:dyDescent="0.25">
      <c r="B366" s="24"/>
      <c r="C366" s="22"/>
      <c r="D366" s="25"/>
      <c r="E366" s="23"/>
      <c r="F366" s="25"/>
      <c r="H366" s="20"/>
      <c r="I366" s="20"/>
      <c r="J366" s="20"/>
      <c r="L366" s="20"/>
      <c r="M366" s="20"/>
      <c r="N366" s="20"/>
      <c r="P366" s="20"/>
      <c r="Q366" s="20"/>
      <c r="R366" s="20"/>
    </row>
    <row r="367" spans="2:18" x14ac:dyDescent="0.25">
      <c r="B367" s="24"/>
      <c r="C367" s="22"/>
      <c r="D367" s="25"/>
      <c r="E367" s="23"/>
      <c r="F367" s="25"/>
      <c r="H367" s="20"/>
      <c r="I367" s="20"/>
      <c r="J367" s="20"/>
      <c r="L367" s="20"/>
      <c r="M367" s="20"/>
      <c r="N367" s="20"/>
      <c r="P367" s="20"/>
      <c r="Q367" s="20"/>
      <c r="R367" s="20"/>
    </row>
    <row r="368" spans="2:18" x14ac:dyDescent="0.25">
      <c r="B368" s="24"/>
      <c r="C368" s="22"/>
      <c r="D368" s="25"/>
      <c r="E368" s="23"/>
      <c r="F368" s="25"/>
      <c r="H368" s="20"/>
      <c r="I368" s="20"/>
      <c r="J368" s="20"/>
      <c r="L368" s="20"/>
      <c r="M368" s="20"/>
      <c r="N368" s="20"/>
      <c r="P368" s="20"/>
      <c r="Q368" s="20"/>
      <c r="R368" s="20"/>
    </row>
    <row r="369" spans="2:18" x14ac:dyDescent="0.25">
      <c r="B369" s="24"/>
      <c r="C369" s="22"/>
      <c r="D369" s="25"/>
      <c r="E369" s="23"/>
      <c r="F369" s="25"/>
      <c r="H369" s="20"/>
      <c r="I369" s="20"/>
      <c r="J369" s="20"/>
      <c r="L369" s="20"/>
      <c r="M369" s="20"/>
      <c r="N369" s="20"/>
      <c r="P369" s="20"/>
      <c r="Q369" s="20"/>
      <c r="R369" s="20"/>
    </row>
    <row r="370" spans="2:18" x14ac:dyDescent="0.25">
      <c r="B370" s="24"/>
      <c r="C370" s="22"/>
      <c r="D370" s="25"/>
      <c r="E370" s="23"/>
      <c r="F370" s="25"/>
      <c r="H370" s="20"/>
      <c r="I370" s="20"/>
      <c r="J370" s="20"/>
      <c r="L370" s="20"/>
      <c r="M370" s="20"/>
      <c r="N370" s="20"/>
      <c r="P370" s="20"/>
      <c r="Q370" s="20"/>
      <c r="R370" s="20"/>
    </row>
    <row r="371" spans="2:18" x14ac:dyDescent="0.25">
      <c r="B371" s="24"/>
      <c r="C371" s="22"/>
      <c r="D371" s="25"/>
      <c r="E371" s="23"/>
      <c r="F371" s="25"/>
      <c r="H371" s="20"/>
      <c r="I371" s="20"/>
      <c r="J371" s="20"/>
      <c r="L371" s="20"/>
      <c r="M371" s="20"/>
      <c r="N371" s="20"/>
      <c r="P371" s="20"/>
      <c r="Q371" s="20"/>
      <c r="R371" s="20"/>
    </row>
    <row r="372" spans="2:18" x14ac:dyDescent="0.25">
      <c r="B372" s="24"/>
      <c r="C372" s="22"/>
      <c r="D372" s="25"/>
      <c r="E372" s="23"/>
      <c r="F372" s="25"/>
      <c r="H372" s="20"/>
      <c r="I372" s="20"/>
      <c r="J372" s="20"/>
      <c r="L372" s="20"/>
      <c r="M372" s="20"/>
      <c r="N372" s="20"/>
      <c r="P372" s="20"/>
      <c r="Q372" s="20"/>
      <c r="R372" s="20"/>
    </row>
    <row r="373" spans="2:18" x14ac:dyDescent="0.25">
      <c r="B373" s="24"/>
      <c r="C373" s="22"/>
      <c r="D373" s="25"/>
      <c r="E373" s="23"/>
      <c r="F373" s="25"/>
      <c r="H373" s="20"/>
      <c r="I373" s="20"/>
      <c r="J373" s="20"/>
      <c r="L373" s="20"/>
      <c r="M373" s="20"/>
      <c r="N373" s="20"/>
      <c r="P373" s="20"/>
      <c r="Q373" s="20"/>
      <c r="R373" s="20"/>
    </row>
    <row r="374" spans="2:18" x14ac:dyDescent="0.25">
      <c r="B374" s="24"/>
      <c r="C374" s="22"/>
      <c r="D374" s="25"/>
      <c r="E374" s="23"/>
      <c r="F374" s="25"/>
      <c r="H374" s="20"/>
      <c r="I374" s="20"/>
      <c r="J374" s="20"/>
      <c r="L374" s="20"/>
      <c r="M374" s="20"/>
      <c r="N374" s="20"/>
      <c r="P374" s="20"/>
      <c r="Q374" s="20"/>
      <c r="R374" s="20"/>
    </row>
    <row r="375" spans="2:18" x14ac:dyDescent="0.25">
      <c r="B375" s="24"/>
      <c r="C375" s="22"/>
      <c r="D375" s="25"/>
      <c r="E375" s="23"/>
      <c r="F375" s="25"/>
      <c r="H375" s="20"/>
      <c r="I375" s="20"/>
      <c r="J375" s="20"/>
      <c r="L375" s="20"/>
      <c r="M375" s="20"/>
      <c r="N375" s="20"/>
      <c r="P375" s="20"/>
      <c r="Q375" s="20"/>
      <c r="R375" s="20"/>
    </row>
    <row r="376" spans="2:18" x14ac:dyDescent="0.25">
      <c r="B376" s="24"/>
      <c r="C376" s="22"/>
      <c r="D376" s="25"/>
      <c r="E376" s="23"/>
      <c r="F376" s="25"/>
      <c r="H376" s="20"/>
      <c r="I376" s="20"/>
      <c r="J376" s="20"/>
      <c r="L376" s="20"/>
      <c r="M376" s="20"/>
      <c r="N376" s="20"/>
      <c r="P376" s="20"/>
      <c r="Q376" s="20"/>
      <c r="R376" s="20"/>
    </row>
    <row r="377" spans="2:18" x14ac:dyDescent="0.25">
      <c r="B377" s="24"/>
      <c r="C377" s="22"/>
      <c r="D377" s="25"/>
      <c r="E377" s="23"/>
      <c r="F377" s="25"/>
      <c r="H377" s="20"/>
      <c r="I377" s="20"/>
      <c r="J377" s="20"/>
      <c r="L377" s="20"/>
      <c r="M377" s="20"/>
      <c r="N377" s="20"/>
      <c r="P377" s="20"/>
      <c r="Q377" s="20"/>
      <c r="R377" s="20"/>
    </row>
    <row r="378" spans="2:18" x14ac:dyDescent="0.25">
      <c r="B378" s="24"/>
      <c r="C378" s="22"/>
      <c r="D378" s="25"/>
      <c r="E378" s="23"/>
      <c r="F378" s="25"/>
      <c r="H378" s="20"/>
      <c r="I378" s="20"/>
      <c r="J378" s="20"/>
      <c r="L378" s="20"/>
      <c r="M378" s="20"/>
      <c r="N378" s="20"/>
      <c r="P378" s="20"/>
      <c r="Q378" s="20"/>
      <c r="R378" s="20"/>
    </row>
    <row r="379" spans="2:18" x14ac:dyDescent="0.25">
      <c r="B379" s="24"/>
      <c r="C379" s="22"/>
      <c r="D379" s="25"/>
      <c r="E379" s="23"/>
      <c r="F379" s="25"/>
      <c r="H379" s="20"/>
      <c r="I379" s="20"/>
      <c r="J379" s="20"/>
      <c r="L379" s="20"/>
      <c r="M379" s="20"/>
      <c r="N379" s="20"/>
      <c r="P379" s="20"/>
      <c r="Q379" s="20"/>
      <c r="R379" s="20"/>
    </row>
    <row r="380" spans="2:18" x14ac:dyDescent="0.25">
      <c r="B380" s="24"/>
      <c r="C380" s="22"/>
      <c r="D380" s="25"/>
      <c r="E380" s="23"/>
      <c r="F380" s="25"/>
      <c r="H380" s="20"/>
      <c r="I380" s="20"/>
      <c r="J380" s="20"/>
      <c r="L380" s="20"/>
      <c r="M380" s="20"/>
      <c r="N380" s="20"/>
      <c r="P380" s="20"/>
      <c r="Q380" s="20"/>
      <c r="R380" s="20"/>
    </row>
    <row r="381" spans="2:18" x14ac:dyDescent="0.25">
      <c r="B381" s="24"/>
      <c r="C381" s="22"/>
      <c r="D381" s="25"/>
      <c r="E381" s="23"/>
      <c r="F381" s="25"/>
      <c r="H381" s="20"/>
      <c r="I381" s="20"/>
      <c r="J381" s="20"/>
      <c r="L381" s="20"/>
      <c r="M381" s="20"/>
      <c r="N381" s="20"/>
      <c r="P381" s="20"/>
      <c r="Q381" s="20"/>
      <c r="R381" s="20"/>
    </row>
    <row r="382" spans="2:18" x14ac:dyDescent="0.25">
      <c r="B382" s="24"/>
      <c r="C382" s="22"/>
      <c r="D382" s="25"/>
      <c r="E382" s="23"/>
      <c r="F382" s="25"/>
      <c r="H382" s="20"/>
      <c r="I382" s="20"/>
      <c r="J382" s="20"/>
      <c r="L382" s="20"/>
      <c r="M382" s="20"/>
      <c r="N382" s="20"/>
      <c r="P382" s="20"/>
      <c r="Q382" s="20"/>
      <c r="R382" s="20"/>
    </row>
    <row r="383" spans="2:18" x14ac:dyDescent="0.25">
      <c r="B383" s="24"/>
      <c r="C383" s="22"/>
      <c r="D383" s="25"/>
      <c r="E383" s="23"/>
      <c r="F383" s="25"/>
      <c r="H383" s="20"/>
      <c r="I383" s="20"/>
      <c r="J383" s="20"/>
      <c r="L383" s="20"/>
      <c r="M383" s="20"/>
      <c r="N383" s="20"/>
      <c r="P383" s="20"/>
      <c r="Q383" s="20"/>
      <c r="R383" s="20"/>
    </row>
    <row r="384" spans="2:18" x14ac:dyDescent="0.25">
      <c r="B384" s="24"/>
      <c r="C384" s="22"/>
      <c r="D384" s="25"/>
      <c r="E384" s="23"/>
      <c r="F384" s="25"/>
      <c r="H384" s="20"/>
      <c r="I384" s="20"/>
      <c r="J384" s="20"/>
      <c r="L384" s="20"/>
      <c r="M384" s="20"/>
      <c r="N384" s="20"/>
      <c r="P384" s="20"/>
      <c r="Q384" s="20"/>
      <c r="R384" s="20"/>
    </row>
    <row r="385" spans="2:18" x14ac:dyDescent="0.25">
      <c r="B385" s="24"/>
      <c r="C385" s="22"/>
      <c r="D385" s="25"/>
      <c r="E385" s="23"/>
      <c r="F385" s="25"/>
      <c r="H385" s="20"/>
      <c r="I385" s="20"/>
      <c r="J385" s="20"/>
      <c r="L385" s="20"/>
      <c r="M385" s="20"/>
      <c r="N385" s="20"/>
      <c r="P385" s="20"/>
      <c r="Q385" s="20"/>
      <c r="R385" s="20"/>
    </row>
    <row r="386" spans="2:18" x14ac:dyDescent="0.25">
      <c r="B386" s="24"/>
      <c r="C386" s="22"/>
      <c r="D386" s="25"/>
      <c r="E386" s="23"/>
      <c r="F386" s="25"/>
      <c r="H386" s="20"/>
      <c r="I386" s="20"/>
      <c r="J386" s="20"/>
      <c r="L386" s="20"/>
      <c r="M386" s="20"/>
      <c r="N386" s="20"/>
      <c r="P386" s="20"/>
      <c r="Q386" s="20"/>
      <c r="R386" s="20"/>
    </row>
    <row r="387" spans="2:18" x14ac:dyDescent="0.25">
      <c r="B387" s="24"/>
      <c r="C387" s="22"/>
      <c r="D387" s="25"/>
      <c r="E387" s="23"/>
      <c r="F387" s="25"/>
      <c r="H387" s="20"/>
      <c r="I387" s="20"/>
      <c r="J387" s="20"/>
      <c r="L387" s="20"/>
      <c r="M387" s="20"/>
      <c r="N387" s="20"/>
      <c r="P387" s="20"/>
      <c r="Q387" s="20"/>
      <c r="R387" s="20"/>
    </row>
    <row r="388" spans="2:18" x14ac:dyDescent="0.25">
      <c r="B388" s="24"/>
      <c r="C388" s="22"/>
      <c r="D388" s="25"/>
      <c r="E388" s="23"/>
      <c r="F388" s="25"/>
      <c r="H388" s="20"/>
      <c r="I388" s="20"/>
      <c r="J388" s="20"/>
      <c r="L388" s="20"/>
      <c r="M388" s="20"/>
      <c r="N388" s="20"/>
      <c r="P388" s="20"/>
      <c r="Q388" s="20"/>
      <c r="R388" s="20"/>
    </row>
    <row r="389" spans="2:18" x14ac:dyDescent="0.25">
      <c r="B389" s="24"/>
      <c r="C389" s="22"/>
      <c r="D389" s="25"/>
      <c r="E389" s="23"/>
      <c r="F389" s="25"/>
      <c r="H389" s="20"/>
      <c r="I389" s="20"/>
      <c r="J389" s="20"/>
      <c r="L389" s="20"/>
      <c r="M389" s="20"/>
      <c r="N389" s="20"/>
      <c r="P389" s="20"/>
      <c r="Q389" s="20"/>
      <c r="R389" s="20"/>
    </row>
    <row r="390" spans="2:18" x14ac:dyDescent="0.25">
      <c r="B390" s="24"/>
      <c r="C390" s="22"/>
      <c r="D390" s="25"/>
      <c r="E390" s="23"/>
      <c r="F390" s="25"/>
      <c r="H390" s="20"/>
      <c r="I390" s="20"/>
      <c r="J390" s="20"/>
      <c r="L390" s="20"/>
      <c r="M390" s="20"/>
      <c r="N390" s="20"/>
      <c r="P390" s="20"/>
      <c r="Q390" s="20"/>
      <c r="R390" s="20"/>
    </row>
    <row r="391" spans="2:18" x14ac:dyDescent="0.25">
      <c r="B391" s="24"/>
      <c r="C391" s="22"/>
      <c r="D391" s="25"/>
      <c r="E391" s="23"/>
      <c r="F391" s="25"/>
      <c r="H391" s="20"/>
      <c r="I391" s="20"/>
      <c r="J391" s="20"/>
      <c r="L391" s="20"/>
      <c r="M391" s="20"/>
      <c r="N391" s="20"/>
      <c r="P391" s="20"/>
      <c r="Q391" s="20"/>
      <c r="R391" s="20"/>
    </row>
    <row r="392" spans="2:18" x14ac:dyDescent="0.25">
      <c r="B392" s="24"/>
      <c r="C392" s="22"/>
      <c r="D392" s="25"/>
      <c r="E392" s="23"/>
      <c r="F392" s="25"/>
      <c r="H392" s="20"/>
      <c r="I392" s="20"/>
      <c r="J392" s="20"/>
      <c r="L392" s="20"/>
      <c r="M392" s="20"/>
      <c r="N392" s="20"/>
      <c r="P392" s="20"/>
      <c r="Q392" s="20"/>
      <c r="R392" s="20"/>
    </row>
    <row r="393" spans="2:18" x14ac:dyDescent="0.25">
      <c r="B393" s="24"/>
      <c r="C393" s="22"/>
      <c r="D393" s="25"/>
      <c r="E393" s="23"/>
      <c r="F393" s="25"/>
      <c r="H393" s="20"/>
      <c r="I393" s="20"/>
      <c r="J393" s="20"/>
      <c r="L393" s="20"/>
      <c r="M393" s="20"/>
      <c r="N393" s="20"/>
      <c r="P393" s="20"/>
      <c r="Q393" s="20"/>
      <c r="R393" s="20"/>
    </row>
    <row r="394" spans="2:18" x14ac:dyDescent="0.25">
      <c r="B394" s="24"/>
      <c r="C394" s="22"/>
      <c r="D394" s="25"/>
      <c r="E394" s="23"/>
      <c r="F394" s="25"/>
      <c r="H394" s="20"/>
      <c r="I394" s="20"/>
      <c r="J394" s="20"/>
      <c r="L394" s="20"/>
      <c r="M394" s="20"/>
      <c r="N394" s="20"/>
      <c r="P394" s="20"/>
      <c r="Q394" s="20"/>
      <c r="R394" s="20"/>
    </row>
    <row r="395" spans="2:18" x14ac:dyDescent="0.25">
      <c r="B395" s="24"/>
      <c r="C395" s="22"/>
      <c r="D395" s="25"/>
      <c r="E395" s="23"/>
      <c r="F395" s="25"/>
      <c r="H395" s="20"/>
      <c r="I395" s="20"/>
      <c r="J395" s="20"/>
      <c r="L395" s="20"/>
      <c r="M395" s="20"/>
      <c r="N395" s="20"/>
      <c r="P395" s="20"/>
      <c r="Q395" s="20"/>
      <c r="R395" s="20"/>
    </row>
    <row r="396" spans="2:18" x14ac:dyDescent="0.25">
      <c r="B396" s="24"/>
      <c r="C396" s="22"/>
      <c r="D396" s="25"/>
      <c r="E396" s="23"/>
      <c r="F396" s="25"/>
      <c r="H396" s="20"/>
      <c r="I396" s="20"/>
      <c r="J396" s="20"/>
      <c r="L396" s="20"/>
      <c r="M396" s="20"/>
      <c r="N396" s="20"/>
      <c r="P396" s="20"/>
      <c r="Q396" s="20"/>
      <c r="R396" s="20"/>
    </row>
    <row r="397" spans="2:18" x14ac:dyDescent="0.25">
      <c r="B397" s="24"/>
      <c r="C397" s="22"/>
      <c r="D397" s="25"/>
      <c r="E397" s="23"/>
      <c r="F397" s="25"/>
      <c r="H397" s="20"/>
      <c r="I397" s="20"/>
      <c r="J397" s="20"/>
      <c r="L397" s="20"/>
      <c r="M397" s="20"/>
      <c r="N397" s="20"/>
      <c r="P397" s="20"/>
      <c r="Q397" s="20"/>
      <c r="R397" s="20"/>
    </row>
    <row r="398" spans="2:18" x14ac:dyDescent="0.25">
      <c r="B398" s="24"/>
      <c r="C398" s="22"/>
      <c r="D398" s="25"/>
      <c r="E398" s="23"/>
      <c r="F398" s="25"/>
      <c r="H398" s="20"/>
      <c r="I398" s="20"/>
      <c r="J398" s="20"/>
      <c r="L398" s="20"/>
      <c r="M398" s="20"/>
      <c r="N398" s="20"/>
      <c r="P398" s="20"/>
      <c r="Q398" s="20"/>
      <c r="R398" s="20"/>
    </row>
    <row r="399" spans="2:18" x14ac:dyDescent="0.25">
      <c r="B399" s="24"/>
      <c r="C399" s="22"/>
      <c r="D399" s="25"/>
      <c r="E399" s="23"/>
      <c r="F399" s="25"/>
      <c r="H399" s="20"/>
      <c r="I399" s="20"/>
      <c r="J399" s="20"/>
      <c r="L399" s="20"/>
      <c r="M399" s="20"/>
      <c r="N399" s="20"/>
      <c r="P399" s="20"/>
      <c r="Q399" s="20"/>
      <c r="R399" s="20"/>
    </row>
    <row r="400" spans="2:18" x14ac:dyDescent="0.25">
      <c r="B400" s="24"/>
      <c r="C400" s="22"/>
      <c r="D400" s="25"/>
      <c r="E400" s="23"/>
      <c r="F400" s="25"/>
      <c r="H400" s="20"/>
      <c r="I400" s="20"/>
      <c r="J400" s="20"/>
      <c r="L400" s="20"/>
      <c r="M400" s="20"/>
      <c r="N400" s="20"/>
      <c r="P400" s="20"/>
      <c r="Q400" s="20"/>
      <c r="R400" s="20"/>
    </row>
    <row r="401" spans="2:18" x14ac:dyDescent="0.25">
      <c r="B401" s="24"/>
      <c r="C401" s="22"/>
      <c r="D401" s="25"/>
      <c r="E401" s="23"/>
      <c r="F401" s="25"/>
      <c r="H401" s="20"/>
      <c r="I401" s="20"/>
      <c r="J401" s="20"/>
      <c r="L401" s="20"/>
      <c r="M401" s="20"/>
      <c r="N401" s="20"/>
      <c r="P401" s="20"/>
      <c r="Q401" s="20"/>
      <c r="R401" s="20"/>
    </row>
    <row r="402" spans="2:18" x14ac:dyDescent="0.25">
      <c r="B402" s="24"/>
      <c r="C402" s="22"/>
      <c r="D402" s="25"/>
      <c r="E402" s="23"/>
      <c r="F402" s="25"/>
      <c r="H402" s="20"/>
      <c r="I402" s="20"/>
      <c r="J402" s="20"/>
      <c r="L402" s="20"/>
      <c r="M402" s="20"/>
      <c r="N402" s="20"/>
      <c r="P402" s="20"/>
      <c r="Q402" s="20"/>
      <c r="R402" s="20"/>
    </row>
    <row r="403" spans="2:18" x14ac:dyDescent="0.25">
      <c r="B403" s="24"/>
      <c r="C403" s="22"/>
      <c r="D403" s="25"/>
      <c r="E403" s="23"/>
      <c r="F403" s="25"/>
      <c r="H403" s="20"/>
      <c r="I403" s="20"/>
      <c r="J403" s="20"/>
      <c r="L403" s="20"/>
      <c r="M403" s="20"/>
      <c r="N403" s="20"/>
      <c r="P403" s="20"/>
      <c r="Q403" s="20"/>
      <c r="R403" s="20"/>
    </row>
    <row r="404" spans="2:18" x14ac:dyDescent="0.25">
      <c r="B404" s="24"/>
      <c r="C404" s="22"/>
      <c r="D404" s="25"/>
      <c r="E404" s="23"/>
      <c r="F404" s="25"/>
      <c r="H404" s="20"/>
      <c r="I404" s="20"/>
      <c r="J404" s="20"/>
      <c r="L404" s="20"/>
      <c r="M404" s="20"/>
      <c r="N404" s="20"/>
      <c r="P404" s="20"/>
      <c r="Q404" s="20"/>
      <c r="R404" s="20"/>
    </row>
    <row r="405" spans="2:18" x14ac:dyDescent="0.25">
      <c r="B405" s="24"/>
      <c r="C405" s="22"/>
      <c r="D405" s="25"/>
      <c r="E405" s="23"/>
      <c r="F405" s="25"/>
      <c r="H405" s="20"/>
      <c r="I405" s="20"/>
      <c r="J405" s="20"/>
      <c r="L405" s="20"/>
      <c r="M405" s="20"/>
      <c r="N405" s="20"/>
      <c r="P405" s="20"/>
      <c r="Q405" s="20"/>
      <c r="R405" s="20"/>
    </row>
    <row r="406" spans="2:18" x14ac:dyDescent="0.25">
      <c r="B406" s="24"/>
      <c r="C406" s="22"/>
      <c r="D406" s="25"/>
      <c r="E406" s="23"/>
      <c r="F406" s="25"/>
      <c r="H406" s="20"/>
      <c r="I406" s="20"/>
      <c r="J406" s="20"/>
      <c r="L406" s="20"/>
      <c r="M406" s="20"/>
      <c r="N406" s="20"/>
      <c r="P406" s="20"/>
      <c r="Q406" s="20"/>
      <c r="R406" s="20"/>
    </row>
    <row r="407" spans="2:18" x14ac:dyDescent="0.25">
      <c r="B407" s="24"/>
      <c r="C407" s="22"/>
      <c r="D407" s="25"/>
      <c r="E407" s="23"/>
      <c r="F407" s="25"/>
      <c r="H407" s="20"/>
      <c r="I407" s="20"/>
      <c r="J407" s="20"/>
      <c r="L407" s="20"/>
      <c r="M407" s="20"/>
      <c r="N407" s="20"/>
      <c r="P407" s="20"/>
      <c r="Q407" s="20"/>
      <c r="R407" s="20"/>
    </row>
    <row r="408" spans="2:18" x14ac:dyDescent="0.25">
      <c r="B408" s="24"/>
      <c r="C408" s="22"/>
      <c r="D408" s="25"/>
      <c r="E408" s="23"/>
      <c r="F408" s="25"/>
      <c r="H408" s="20"/>
      <c r="I408" s="20"/>
      <c r="J408" s="20"/>
      <c r="L408" s="20"/>
      <c r="M408" s="20"/>
      <c r="N408" s="20"/>
      <c r="P408" s="20"/>
      <c r="Q408" s="20"/>
      <c r="R408" s="20"/>
    </row>
    <row r="409" spans="2:18" x14ac:dyDescent="0.25">
      <c r="B409" s="24"/>
      <c r="C409" s="22"/>
      <c r="D409" s="25"/>
      <c r="E409" s="23"/>
      <c r="F409" s="25"/>
      <c r="H409" s="20"/>
      <c r="I409" s="20"/>
      <c r="J409" s="20"/>
      <c r="L409" s="20"/>
      <c r="M409" s="20"/>
      <c r="N409" s="20"/>
      <c r="P409" s="20"/>
      <c r="Q409" s="20"/>
      <c r="R409" s="20"/>
    </row>
    <row r="410" spans="2:18" x14ac:dyDescent="0.25">
      <c r="B410" s="24"/>
      <c r="C410" s="22"/>
      <c r="D410" s="25"/>
      <c r="E410" s="23"/>
      <c r="F410" s="25"/>
      <c r="H410" s="20"/>
      <c r="I410" s="20"/>
      <c r="J410" s="20"/>
      <c r="L410" s="20"/>
      <c r="M410" s="20"/>
      <c r="N410" s="20"/>
      <c r="P410" s="20"/>
      <c r="Q410" s="20"/>
      <c r="R410" s="20"/>
    </row>
    <row r="411" spans="2:18" x14ac:dyDescent="0.25">
      <c r="B411" s="24"/>
      <c r="C411" s="22"/>
      <c r="D411" s="25"/>
      <c r="E411" s="23"/>
      <c r="F411" s="25"/>
      <c r="H411" s="20"/>
      <c r="I411" s="20"/>
      <c r="J411" s="20"/>
      <c r="L411" s="20"/>
      <c r="M411" s="20"/>
      <c r="N411" s="20"/>
      <c r="P411" s="20"/>
      <c r="Q411" s="20"/>
      <c r="R411" s="20"/>
    </row>
    <row r="412" spans="2:18" x14ac:dyDescent="0.25">
      <c r="B412" s="24"/>
      <c r="C412" s="22"/>
      <c r="D412" s="25"/>
      <c r="E412" s="23"/>
      <c r="F412" s="25"/>
      <c r="H412" s="20"/>
      <c r="I412" s="20"/>
      <c r="J412" s="20"/>
      <c r="L412" s="20"/>
      <c r="M412" s="20"/>
      <c r="N412" s="20"/>
      <c r="P412" s="20"/>
      <c r="Q412" s="20"/>
      <c r="R412" s="20"/>
    </row>
    <row r="413" spans="2:18" x14ac:dyDescent="0.25">
      <c r="B413" s="24"/>
      <c r="C413" s="22"/>
      <c r="D413" s="25"/>
      <c r="E413" s="23"/>
      <c r="F413" s="25"/>
      <c r="H413" s="20"/>
      <c r="I413" s="20"/>
      <c r="J413" s="20"/>
      <c r="L413" s="20"/>
      <c r="M413" s="20"/>
      <c r="N413" s="20"/>
      <c r="P413" s="20"/>
      <c r="Q413" s="20"/>
      <c r="R413" s="20"/>
    </row>
    <row r="414" spans="2:18" x14ac:dyDescent="0.25">
      <c r="B414" s="24"/>
      <c r="C414" s="22"/>
      <c r="D414" s="25"/>
      <c r="E414" s="23"/>
      <c r="F414" s="25"/>
      <c r="H414" s="20"/>
      <c r="I414" s="20"/>
      <c r="J414" s="20"/>
      <c r="L414" s="20"/>
      <c r="M414" s="20"/>
      <c r="N414" s="20"/>
      <c r="P414" s="20"/>
      <c r="Q414" s="20"/>
      <c r="R414" s="20"/>
    </row>
    <row r="415" spans="2:18" x14ac:dyDescent="0.25">
      <c r="B415" s="24"/>
      <c r="C415" s="22"/>
      <c r="D415" s="25"/>
      <c r="E415" s="23"/>
      <c r="F415" s="25"/>
      <c r="H415" s="20"/>
      <c r="I415" s="20"/>
      <c r="J415" s="20"/>
      <c r="L415" s="20"/>
      <c r="M415" s="20"/>
      <c r="N415" s="20"/>
      <c r="P415" s="20"/>
      <c r="Q415" s="20"/>
      <c r="R415" s="20"/>
    </row>
    <row r="416" spans="2:18" x14ac:dyDescent="0.25">
      <c r="B416" s="24"/>
      <c r="C416" s="22"/>
      <c r="D416" s="25"/>
      <c r="E416" s="23"/>
      <c r="F416" s="25"/>
      <c r="H416" s="20"/>
      <c r="I416" s="20"/>
      <c r="J416" s="20"/>
      <c r="L416" s="20"/>
      <c r="M416" s="20"/>
      <c r="N416" s="20"/>
      <c r="P416" s="20"/>
      <c r="Q416" s="20"/>
      <c r="R416" s="20"/>
    </row>
    <row r="417" spans="2:18" x14ac:dyDescent="0.25">
      <c r="B417" s="24"/>
      <c r="C417" s="22"/>
      <c r="D417" s="25"/>
      <c r="E417" s="23"/>
      <c r="F417" s="25"/>
      <c r="H417" s="20"/>
      <c r="I417" s="20"/>
      <c r="J417" s="20"/>
      <c r="L417" s="20"/>
      <c r="M417" s="20"/>
      <c r="N417" s="20"/>
      <c r="P417" s="20"/>
      <c r="Q417" s="20"/>
      <c r="R417" s="20"/>
    </row>
    <row r="418" spans="2:18" x14ac:dyDescent="0.25">
      <c r="B418" s="24"/>
      <c r="C418" s="22"/>
      <c r="D418" s="25"/>
      <c r="E418" s="23"/>
      <c r="F418" s="25"/>
      <c r="H418" s="20"/>
      <c r="I418" s="20"/>
      <c r="J418" s="20"/>
      <c r="L418" s="20"/>
      <c r="M418" s="20"/>
      <c r="N418" s="20"/>
      <c r="P418" s="20"/>
      <c r="Q418" s="20"/>
      <c r="R418" s="20"/>
    </row>
    <row r="419" spans="2:18" x14ac:dyDescent="0.25">
      <c r="B419" s="24"/>
      <c r="C419" s="22"/>
      <c r="D419" s="25"/>
      <c r="E419" s="23"/>
      <c r="F419" s="25"/>
      <c r="H419" s="20"/>
      <c r="I419" s="20"/>
      <c r="J419" s="20"/>
      <c r="L419" s="20"/>
      <c r="M419" s="20"/>
      <c r="N419" s="20"/>
      <c r="P419" s="20"/>
      <c r="Q419" s="20"/>
      <c r="R419" s="20"/>
    </row>
    <row r="420" spans="2:18" x14ac:dyDescent="0.25">
      <c r="B420" s="24"/>
      <c r="C420" s="22"/>
      <c r="D420" s="25"/>
      <c r="E420" s="23"/>
      <c r="F420" s="25"/>
      <c r="H420" s="20"/>
      <c r="I420" s="20"/>
      <c r="J420" s="20"/>
      <c r="L420" s="20"/>
      <c r="M420" s="20"/>
      <c r="N420" s="20"/>
      <c r="P420" s="20"/>
      <c r="Q420" s="20"/>
      <c r="R420" s="20"/>
    </row>
    <row r="421" spans="2:18" x14ac:dyDescent="0.25">
      <c r="B421" s="24"/>
      <c r="C421" s="22"/>
      <c r="D421" s="25"/>
      <c r="E421" s="23"/>
      <c r="F421" s="25"/>
      <c r="H421" s="20"/>
      <c r="I421" s="20"/>
      <c r="J421" s="20"/>
      <c r="L421" s="20"/>
      <c r="M421" s="20"/>
      <c r="N421" s="20"/>
      <c r="P421" s="20"/>
      <c r="Q421" s="20"/>
      <c r="R421" s="20"/>
    </row>
    <row r="422" spans="2:18" x14ac:dyDescent="0.25">
      <c r="B422" s="24"/>
      <c r="C422" s="22"/>
      <c r="D422" s="25"/>
      <c r="E422" s="23"/>
      <c r="F422" s="25"/>
      <c r="H422" s="20"/>
      <c r="I422" s="20"/>
      <c r="J422" s="20"/>
      <c r="L422" s="20"/>
      <c r="M422" s="20"/>
      <c r="N422" s="20"/>
      <c r="P422" s="20"/>
      <c r="Q422" s="20"/>
      <c r="R422" s="20"/>
    </row>
    <row r="423" spans="2:18" x14ac:dyDescent="0.25">
      <c r="B423" s="24"/>
      <c r="C423" s="22"/>
      <c r="D423" s="25"/>
      <c r="E423" s="23"/>
      <c r="F423" s="25"/>
      <c r="H423" s="20"/>
      <c r="I423" s="20"/>
      <c r="J423" s="20"/>
      <c r="L423" s="20"/>
      <c r="M423" s="20"/>
      <c r="N423" s="20"/>
      <c r="P423" s="20"/>
      <c r="Q423" s="20"/>
      <c r="R423" s="20"/>
    </row>
    <row r="424" spans="2:18" x14ac:dyDescent="0.25">
      <c r="B424" s="24"/>
      <c r="C424" s="22"/>
      <c r="D424" s="25"/>
      <c r="E424" s="23"/>
      <c r="F424" s="25"/>
      <c r="H424" s="20"/>
      <c r="I424" s="20"/>
      <c r="J424" s="20"/>
      <c r="L424" s="20"/>
      <c r="M424" s="20"/>
      <c r="N424" s="20"/>
      <c r="P424" s="20"/>
      <c r="Q424" s="20"/>
      <c r="R424" s="20"/>
    </row>
    <row r="425" spans="2:18" x14ac:dyDescent="0.25">
      <c r="B425" s="24"/>
      <c r="C425" s="22"/>
      <c r="D425" s="25"/>
      <c r="E425" s="23"/>
      <c r="F425" s="25"/>
      <c r="H425" s="20"/>
      <c r="I425" s="20"/>
      <c r="J425" s="20"/>
      <c r="L425" s="20"/>
      <c r="M425" s="20"/>
      <c r="N425" s="20"/>
      <c r="P425" s="20"/>
      <c r="Q425" s="20"/>
      <c r="R425" s="20"/>
    </row>
    <row r="426" spans="2:18" x14ac:dyDescent="0.25">
      <c r="B426" s="24"/>
      <c r="C426" s="22"/>
      <c r="D426" s="25"/>
      <c r="E426" s="23"/>
      <c r="F426" s="25"/>
      <c r="H426" s="20"/>
      <c r="I426" s="20"/>
      <c r="J426" s="20"/>
      <c r="L426" s="20"/>
      <c r="M426" s="20"/>
      <c r="N426" s="20"/>
      <c r="P426" s="20"/>
      <c r="Q426" s="20"/>
      <c r="R426" s="20"/>
    </row>
    <row r="427" spans="2:18" x14ac:dyDescent="0.25">
      <c r="B427" s="24"/>
      <c r="C427" s="22"/>
      <c r="D427" s="25"/>
      <c r="E427" s="23"/>
      <c r="F427" s="25"/>
      <c r="H427" s="20"/>
      <c r="I427" s="20"/>
      <c r="J427" s="20"/>
      <c r="L427" s="20"/>
      <c r="M427" s="20"/>
      <c r="N427" s="20"/>
      <c r="P427" s="20"/>
      <c r="Q427" s="20"/>
      <c r="R427" s="20"/>
    </row>
    <row r="428" spans="2:18" x14ac:dyDescent="0.25">
      <c r="B428" s="24"/>
      <c r="C428" s="22"/>
      <c r="D428" s="25"/>
      <c r="E428" s="23"/>
      <c r="F428" s="25"/>
      <c r="H428" s="20"/>
      <c r="I428" s="20"/>
      <c r="J428" s="20"/>
      <c r="L428" s="20"/>
      <c r="M428" s="20"/>
      <c r="N428" s="20"/>
      <c r="P428" s="20"/>
      <c r="Q428" s="20"/>
      <c r="R428" s="20"/>
    </row>
    <row r="429" spans="2:18" x14ac:dyDescent="0.25">
      <c r="B429" s="24"/>
      <c r="C429" s="22"/>
      <c r="D429" s="25"/>
      <c r="E429" s="23"/>
      <c r="F429" s="25"/>
      <c r="H429" s="20"/>
      <c r="I429" s="20"/>
      <c r="J429" s="20"/>
      <c r="L429" s="20"/>
      <c r="M429" s="20"/>
      <c r="N429" s="20"/>
      <c r="P429" s="20"/>
      <c r="Q429" s="20"/>
      <c r="R429" s="20"/>
    </row>
    <row r="430" spans="2:18" x14ac:dyDescent="0.25">
      <c r="B430" s="24"/>
      <c r="C430" s="22"/>
      <c r="D430" s="25"/>
      <c r="E430" s="23"/>
      <c r="F430" s="25"/>
      <c r="H430" s="20"/>
      <c r="I430" s="20"/>
      <c r="J430" s="20"/>
      <c r="L430" s="20"/>
      <c r="M430" s="20"/>
      <c r="N430" s="20"/>
      <c r="P430" s="20"/>
      <c r="Q430" s="20"/>
      <c r="R430" s="20"/>
    </row>
    <row r="431" spans="2:18" x14ac:dyDescent="0.25">
      <c r="B431" s="24"/>
      <c r="C431" s="22"/>
      <c r="D431" s="25"/>
      <c r="E431" s="23"/>
      <c r="F431" s="25"/>
      <c r="H431" s="20"/>
      <c r="I431" s="20"/>
      <c r="J431" s="20"/>
      <c r="L431" s="20"/>
      <c r="M431" s="20"/>
      <c r="N431" s="20"/>
      <c r="P431" s="20"/>
      <c r="Q431" s="20"/>
      <c r="R431" s="20"/>
    </row>
    <row r="432" spans="2:18" x14ac:dyDescent="0.25">
      <c r="B432" s="24"/>
      <c r="C432" s="22"/>
      <c r="D432" s="25"/>
      <c r="E432" s="23"/>
      <c r="F432" s="25"/>
      <c r="H432" s="20"/>
      <c r="I432" s="20"/>
      <c r="J432" s="20"/>
      <c r="L432" s="20"/>
      <c r="M432" s="20"/>
      <c r="N432" s="20"/>
      <c r="P432" s="20"/>
      <c r="Q432" s="20"/>
      <c r="R432" s="20"/>
    </row>
    <row r="433" spans="2:18" x14ac:dyDescent="0.25">
      <c r="B433" s="24"/>
      <c r="C433" s="22"/>
      <c r="D433" s="25"/>
      <c r="E433" s="23"/>
      <c r="F433" s="25"/>
      <c r="H433" s="20"/>
      <c r="I433" s="20"/>
      <c r="J433" s="20"/>
      <c r="L433" s="20"/>
      <c r="M433" s="20"/>
      <c r="N433" s="20"/>
      <c r="P433" s="20"/>
      <c r="Q433" s="20"/>
      <c r="R433" s="20"/>
    </row>
    <row r="434" spans="2:18" x14ac:dyDescent="0.25">
      <c r="B434" s="24"/>
      <c r="C434" s="22"/>
      <c r="D434" s="25"/>
      <c r="E434" s="23"/>
      <c r="F434" s="25"/>
      <c r="H434" s="20"/>
      <c r="I434" s="20"/>
      <c r="J434" s="20"/>
      <c r="L434" s="20"/>
      <c r="M434" s="20"/>
      <c r="N434" s="20"/>
      <c r="P434" s="20"/>
      <c r="Q434" s="20"/>
      <c r="R434" s="20"/>
    </row>
    <row r="435" spans="2:18" x14ac:dyDescent="0.25">
      <c r="B435" s="24"/>
      <c r="C435" s="22"/>
      <c r="D435" s="25"/>
      <c r="E435" s="23"/>
      <c r="F435" s="25"/>
      <c r="H435" s="20"/>
      <c r="I435" s="20"/>
      <c r="J435" s="20"/>
      <c r="L435" s="20"/>
      <c r="M435" s="20"/>
      <c r="N435" s="20"/>
      <c r="P435" s="20"/>
      <c r="Q435" s="20"/>
      <c r="R435" s="20"/>
    </row>
    <row r="436" spans="2:18" x14ac:dyDescent="0.25">
      <c r="B436" s="24"/>
      <c r="C436" s="22"/>
      <c r="D436" s="25"/>
      <c r="E436" s="23"/>
      <c r="F436" s="25"/>
      <c r="H436" s="20"/>
      <c r="I436" s="20"/>
      <c r="J436" s="20"/>
      <c r="L436" s="20"/>
      <c r="M436" s="20"/>
      <c r="N436" s="20"/>
      <c r="P436" s="20"/>
      <c r="Q436" s="20"/>
      <c r="R436" s="20"/>
    </row>
    <row r="437" spans="2:18" x14ac:dyDescent="0.25">
      <c r="B437" s="24"/>
      <c r="C437" s="22"/>
      <c r="D437" s="25"/>
      <c r="E437" s="23"/>
      <c r="F437" s="25"/>
      <c r="H437" s="20"/>
      <c r="I437" s="20"/>
      <c r="J437" s="20"/>
      <c r="L437" s="20"/>
      <c r="M437" s="20"/>
      <c r="N437" s="20"/>
      <c r="P437" s="20"/>
      <c r="Q437" s="20"/>
      <c r="R437" s="20"/>
    </row>
    <row r="438" spans="2:18" x14ac:dyDescent="0.25">
      <c r="B438" s="24"/>
      <c r="C438" s="22"/>
      <c r="D438" s="25"/>
      <c r="E438" s="23"/>
      <c r="F438" s="25"/>
      <c r="H438" s="20"/>
      <c r="I438" s="20"/>
      <c r="J438" s="20"/>
      <c r="L438" s="20"/>
      <c r="M438" s="20"/>
      <c r="N438" s="20"/>
      <c r="P438" s="20"/>
      <c r="Q438" s="20"/>
      <c r="R438" s="20"/>
    </row>
    <row r="439" spans="2:18" x14ac:dyDescent="0.25">
      <c r="B439" s="24"/>
      <c r="C439" s="22"/>
      <c r="D439" s="25"/>
      <c r="E439" s="23"/>
      <c r="F439" s="25"/>
      <c r="H439" s="20"/>
      <c r="I439" s="20"/>
      <c r="J439" s="20"/>
      <c r="L439" s="20"/>
      <c r="M439" s="20"/>
      <c r="N439" s="20"/>
      <c r="P439" s="20"/>
      <c r="Q439" s="20"/>
      <c r="R439" s="20"/>
    </row>
    <row r="440" spans="2:18" x14ac:dyDescent="0.25">
      <c r="B440" s="24"/>
      <c r="C440" s="22"/>
      <c r="D440" s="25"/>
      <c r="E440" s="23"/>
      <c r="F440" s="25"/>
      <c r="H440" s="20"/>
      <c r="I440" s="20"/>
      <c r="J440" s="20"/>
      <c r="L440" s="20"/>
      <c r="M440" s="20"/>
      <c r="N440" s="20"/>
      <c r="P440" s="20"/>
      <c r="Q440" s="20"/>
      <c r="R440" s="20"/>
    </row>
    <row r="441" spans="2:18" x14ac:dyDescent="0.25">
      <c r="B441" s="24"/>
      <c r="C441" s="22"/>
      <c r="D441" s="25"/>
      <c r="E441" s="23"/>
      <c r="F441" s="25"/>
      <c r="H441" s="20"/>
      <c r="I441" s="20"/>
      <c r="J441" s="20"/>
      <c r="L441" s="20"/>
      <c r="M441" s="20"/>
      <c r="N441" s="20"/>
      <c r="P441" s="20"/>
      <c r="Q441" s="20"/>
      <c r="R441" s="20"/>
    </row>
    <row r="442" spans="2:18" x14ac:dyDescent="0.25">
      <c r="B442" s="24"/>
      <c r="C442" s="22"/>
      <c r="D442" s="25"/>
      <c r="E442" s="23"/>
      <c r="F442" s="25"/>
      <c r="H442" s="20"/>
      <c r="I442" s="20"/>
      <c r="J442" s="20"/>
      <c r="L442" s="20"/>
      <c r="M442" s="20"/>
      <c r="N442" s="20"/>
      <c r="P442" s="20"/>
      <c r="Q442" s="20"/>
      <c r="R442" s="20"/>
    </row>
    <row r="443" spans="2:18" x14ac:dyDescent="0.25">
      <c r="B443" s="24"/>
      <c r="C443" s="22"/>
      <c r="D443" s="25"/>
      <c r="E443" s="23"/>
      <c r="F443" s="25"/>
      <c r="H443" s="20"/>
      <c r="I443" s="20"/>
      <c r="J443" s="20"/>
      <c r="L443" s="20"/>
      <c r="M443" s="20"/>
      <c r="N443" s="20"/>
      <c r="P443" s="20"/>
      <c r="Q443" s="20"/>
      <c r="R443" s="20"/>
    </row>
    <row r="444" spans="2:18" x14ac:dyDescent="0.25">
      <c r="B444" s="24"/>
      <c r="C444" s="22"/>
      <c r="D444" s="25"/>
      <c r="E444" s="23"/>
      <c r="F444" s="25"/>
      <c r="H444" s="20"/>
      <c r="I444" s="20"/>
      <c r="J444" s="20"/>
      <c r="L444" s="20"/>
      <c r="M444" s="20"/>
      <c r="N444" s="20"/>
      <c r="P444" s="20"/>
      <c r="Q444" s="20"/>
      <c r="R444" s="20"/>
    </row>
    <row r="445" spans="2:18" x14ac:dyDescent="0.25">
      <c r="B445" s="24"/>
      <c r="C445" s="22"/>
      <c r="D445" s="25"/>
      <c r="E445" s="23"/>
      <c r="F445" s="25"/>
      <c r="H445" s="20"/>
      <c r="I445" s="20"/>
      <c r="J445" s="20"/>
      <c r="L445" s="20"/>
      <c r="M445" s="20"/>
      <c r="N445" s="20"/>
      <c r="P445" s="20"/>
      <c r="Q445" s="20"/>
      <c r="R445" s="20"/>
    </row>
    <row r="446" spans="2:18" x14ac:dyDescent="0.25">
      <c r="B446" s="24"/>
      <c r="C446" s="22"/>
      <c r="D446" s="25"/>
      <c r="E446" s="23"/>
      <c r="F446" s="25"/>
      <c r="H446" s="20"/>
      <c r="I446" s="20"/>
      <c r="J446" s="20"/>
      <c r="L446" s="20"/>
      <c r="M446" s="20"/>
      <c r="N446" s="20"/>
      <c r="P446" s="20"/>
      <c r="Q446" s="20"/>
      <c r="R446" s="20"/>
    </row>
    <row r="447" spans="2:18" x14ac:dyDescent="0.25">
      <c r="B447" s="24"/>
      <c r="C447" s="22"/>
      <c r="D447" s="25"/>
      <c r="E447" s="23"/>
      <c r="F447" s="25"/>
      <c r="H447" s="20"/>
      <c r="I447" s="20"/>
      <c r="J447" s="20"/>
      <c r="L447" s="20"/>
      <c r="M447" s="20"/>
      <c r="N447" s="20"/>
      <c r="P447" s="20"/>
      <c r="Q447" s="20"/>
      <c r="R447" s="20"/>
    </row>
    <row r="448" spans="2:18" x14ac:dyDescent="0.25">
      <c r="B448" s="24"/>
      <c r="C448" s="22"/>
      <c r="D448" s="25"/>
      <c r="E448" s="23"/>
      <c r="F448" s="25"/>
      <c r="H448" s="20"/>
      <c r="I448" s="20"/>
      <c r="J448" s="20"/>
      <c r="L448" s="20"/>
      <c r="M448" s="20"/>
      <c r="N448" s="20"/>
      <c r="P448" s="20"/>
      <c r="Q448" s="20"/>
      <c r="R448" s="20"/>
    </row>
    <row r="449" spans="2:18" x14ac:dyDescent="0.25">
      <c r="B449" s="24"/>
      <c r="C449" s="22"/>
      <c r="D449" s="25"/>
      <c r="E449" s="23"/>
      <c r="F449" s="25"/>
      <c r="H449" s="20"/>
      <c r="I449" s="20"/>
      <c r="J449" s="20"/>
      <c r="L449" s="20"/>
      <c r="M449" s="20"/>
      <c r="N449" s="20"/>
      <c r="P449" s="20"/>
      <c r="Q449" s="20"/>
      <c r="R449" s="20"/>
    </row>
    <row r="450" spans="2:18" x14ac:dyDescent="0.25">
      <c r="B450" s="24"/>
      <c r="C450" s="22"/>
      <c r="D450" s="25"/>
      <c r="E450" s="23"/>
      <c r="F450" s="25"/>
      <c r="H450" s="20"/>
      <c r="I450" s="20"/>
      <c r="J450" s="20"/>
      <c r="L450" s="20"/>
      <c r="M450" s="20"/>
      <c r="N450" s="20"/>
      <c r="P450" s="20"/>
      <c r="Q450" s="20"/>
      <c r="R450" s="20"/>
    </row>
    <row r="451" spans="2:18" x14ac:dyDescent="0.25">
      <c r="B451" s="24"/>
      <c r="C451" s="22"/>
      <c r="D451" s="25"/>
      <c r="E451" s="23"/>
      <c r="F451" s="25"/>
      <c r="H451" s="20"/>
      <c r="I451" s="20"/>
      <c r="J451" s="20"/>
      <c r="L451" s="20"/>
      <c r="M451" s="20"/>
      <c r="N451" s="20"/>
      <c r="P451" s="20"/>
      <c r="Q451" s="20"/>
      <c r="R451" s="20"/>
    </row>
    <row r="452" spans="2:18" x14ac:dyDescent="0.25">
      <c r="B452" s="24"/>
      <c r="C452" s="22"/>
      <c r="D452" s="25"/>
      <c r="E452" s="23"/>
      <c r="F452" s="25"/>
      <c r="H452" s="20"/>
      <c r="I452" s="20"/>
      <c r="J452" s="20"/>
      <c r="L452" s="20"/>
      <c r="M452" s="20"/>
      <c r="N452" s="20"/>
      <c r="P452" s="20"/>
      <c r="Q452" s="20"/>
      <c r="R452" s="20"/>
    </row>
    <row r="453" spans="2:18" x14ac:dyDescent="0.25">
      <c r="B453" s="24"/>
      <c r="C453" s="22"/>
      <c r="D453" s="25"/>
      <c r="E453" s="23"/>
      <c r="F453" s="25"/>
      <c r="H453" s="20"/>
      <c r="I453" s="20"/>
      <c r="J453" s="20"/>
      <c r="L453" s="20"/>
      <c r="M453" s="20"/>
      <c r="N453" s="20"/>
      <c r="P453" s="20"/>
      <c r="Q453" s="20"/>
      <c r="R453" s="20"/>
    </row>
    <row r="454" spans="2:18" x14ac:dyDescent="0.25">
      <c r="B454" s="24"/>
      <c r="C454" s="22"/>
      <c r="D454" s="25"/>
      <c r="E454" s="23"/>
      <c r="F454" s="25"/>
      <c r="H454" s="20"/>
      <c r="I454" s="20"/>
      <c r="J454" s="20"/>
      <c r="L454" s="20"/>
      <c r="M454" s="20"/>
      <c r="N454" s="20"/>
      <c r="P454" s="20"/>
      <c r="Q454" s="20"/>
      <c r="R454" s="20"/>
    </row>
    <row r="455" spans="2:18" x14ac:dyDescent="0.25">
      <c r="B455" s="24"/>
      <c r="C455" s="22"/>
      <c r="D455" s="25"/>
      <c r="E455" s="23"/>
      <c r="F455" s="25"/>
      <c r="H455" s="20"/>
      <c r="I455" s="20"/>
      <c r="J455" s="20"/>
      <c r="L455" s="20"/>
      <c r="M455" s="20"/>
      <c r="N455" s="20"/>
      <c r="P455" s="20"/>
      <c r="Q455" s="20"/>
      <c r="R455" s="20"/>
    </row>
    <row r="456" spans="2:18" x14ac:dyDescent="0.25">
      <c r="B456" s="24"/>
      <c r="C456" s="22"/>
      <c r="D456" s="25"/>
      <c r="E456" s="23"/>
      <c r="F456" s="25"/>
      <c r="H456" s="20"/>
      <c r="I456" s="20"/>
      <c r="J456" s="20"/>
      <c r="L456" s="20"/>
      <c r="M456" s="20"/>
      <c r="N456" s="20"/>
      <c r="P456" s="20"/>
      <c r="Q456" s="20"/>
      <c r="R456" s="20"/>
    </row>
    <row r="457" spans="2:18" x14ac:dyDescent="0.25">
      <c r="B457" s="24"/>
      <c r="C457" s="22"/>
      <c r="D457" s="25"/>
      <c r="E457" s="23"/>
      <c r="F457" s="25"/>
      <c r="H457" s="20"/>
      <c r="I457" s="20"/>
      <c r="J457" s="20"/>
      <c r="L457" s="20"/>
      <c r="M457" s="20"/>
      <c r="N457" s="20"/>
      <c r="P457" s="20"/>
      <c r="Q457" s="20"/>
      <c r="R457" s="20"/>
    </row>
    <row r="458" spans="2:18" x14ac:dyDescent="0.25">
      <c r="B458" s="24"/>
      <c r="C458" s="22"/>
      <c r="D458" s="25"/>
      <c r="E458" s="23"/>
      <c r="F458" s="25"/>
      <c r="H458" s="20"/>
      <c r="I458" s="20"/>
      <c r="J458" s="20"/>
      <c r="L458" s="20"/>
      <c r="M458" s="20"/>
      <c r="N458" s="20"/>
      <c r="P458" s="20"/>
      <c r="Q458" s="20"/>
      <c r="R458" s="20"/>
    </row>
    <row r="459" spans="2:18" x14ac:dyDescent="0.25">
      <c r="B459" s="24"/>
      <c r="C459" s="22"/>
      <c r="D459" s="25"/>
      <c r="E459" s="23"/>
      <c r="F459" s="25"/>
      <c r="H459" s="20"/>
      <c r="I459" s="20"/>
      <c r="J459" s="20"/>
      <c r="L459" s="20"/>
      <c r="M459" s="20"/>
      <c r="N459" s="20"/>
      <c r="P459" s="20"/>
      <c r="Q459" s="20"/>
      <c r="R459" s="20"/>
    </row>
    <row r="460" spans="2:18" x14ac:dyDescent="0.25">
      <c r="B460" s="24"/>
      <c r="C460" s="22"/>
      <c r="D460" s="25"/>
      <c r="E460" s="23"/>
      <c r="F460" s="25"/>
      <c r="H460" s="20"/>
      <c r="I460" s="20"/>
      <c r="J460" s="20"/>
      <c r="L460" s="20"/>
      <c r="M460" s="20"/>
      <c r="N460" s="20"/>
      <c r="P460" s="20"/>
      <c r="Q460" s="20"/>
      <c r="R460" s="20"/>
    </row>
    <row r="461" spans="2:18" x14ac:dyDescent="0.25">
      <c r="B461" s="24"/>
      <c r="C461" s="22"/>
      <c r="D461" s="25"/>
      <c r="E461" s="23"/>
      <c r="F461" s="25"/>
      <c r="H461" s="20"/>
      <c r="I461" s="20"/>
      <c r="J461" s="20"/>
      <c r="L461" s="20"/>
      <c r="M461" s="20"/>
      <c r="N461" s="20"/>
      <c r="P461" s="20"/>
      <c r="Q461" s="20"/>
      <c r="R461" s="20"/>
    </row>
    <row r="462" spans="2:18" x14ac:dyDescent="0.25">
      <c r="B462" s="24"/>
      <c r="C462" s="22"/>
      <c r="D462" s="25"/>
      <c r="E462" s="23"/>
      <c r="F462" s="25"/>
      <c r="H462" s="20"/>
      <c r="I462" s="20"/>
      <c r="J462" s="20"/>
      <c r="L462" s="20"/>
      <c r="M462" s="20"/>
      <c r="N462" s="20"/>
      <c r="P462" s="20"/>
      <c r="Q462" s="20"/>
      <c r="R462" s="20"/>
    </row>
    <row r="463" spans="2:18" x14ac:dyDescent="0.25">
      <c r="B463" s="24"/>
      <c r="C463" s="22"/>
      <c r="D463" s="25"/>
      <c r="E463" s="23"/>
      <c r="F463" s="25"/>
      <c r="H463" s="20"/>
      <c r="I463" s="20"/>
      <c r="J463" s="20"/>
      <c r="L463" s="20"/>
      <c r="M463" s="20"/>
      <c r="N463" s="20"/>
      <c r="P463" s="20"/>
      <c r="Q463" s="20"/>
      <c r="R463" s="20"/>
    </row>
    <row r="464" spans="2:18" x14ac:dyDescent="0.25">
      <c r="B464" s="24"/>
      <c r="C464" s="22"/>
      <c r="D464" s="25"/>
      <c r="E464" s="23"/>
      <c r="F464" s="25"/>
      <c r="H464" s="20"/>
      <c r="I464" s="20"/>
      <c r="J464" s="20"/>
      <c r="L464" s="20"/>
      <c r="M464" s="20"/>
      <c r="N464" s="20"/>
      <c r="P464" s="20"/>
      <c r="Q464" s="20"/>
      <c r="R464" s="20"/>
    </row>
    <row r="465" spans="2:18" x14ac:dyDescent="0.25">
      <c r="B465" s="24"/>
      <c r="C465" s="22"/>
      <c r="D465" s="25"/>
      <c r="E465" s="23"/>
      <c r="F465" s="25"/>
      <c r="H465" s="20"/>
      <c r="I465" s="20"/>
      <c r="J465" s="20"/>
      <c r="L465" s="20"/>
      <c r="M465" s="20"/>
      <c r="N465" s="20"/>
      <c r="P465" s="20"/>
      <c r="Q465" s="20"/>
      <c r="R465" s="20"/>
    </row>
    <row r="466" spans="2:18" x14ac:dyDescent="0.25">
      <c r="B466" s="24"/>
      <c r="C466" s="22"/>
      <c r="D466" s="25"/>
      <c r="E466" s="23"/>
      <c r="F466" s="25"/>
      <c r="H466" s="20"/>
      <c r="I466" s="20"/>
      <c r="J466" s="20"/>
      <c r="L466" s="20"/>
      <c r="M466" s="20"/>
      <c r="N466" s="20"/>
      <c r="P466" s="20"/>
      <c r="Q466" s="20"/>
      <c r="R466" s="20"/>
    </row>
    <row r="467" spans="2:18" x14ac:dyDescent="0.25">
      <c r="B467" s="24"/>
      <c r="C467" s="22"/>
      <c r="D467" s="25"/>
      <c r="E467" s="23"/>
      <c r="F467" s="25"/>
      <c r="H467" s="20"/>
      <c r="I467" s="20"/>
      <c r="J467" s="20"/>
      <c r="L467" s="20"/>
      <c r="M467" s="20"/>
      <c r="N467" s="20"/>
      <c r="P467" s="20"/>
      <c r="Q467" s="20"/>
      <c r="R467" s="20"/>
    </row>
    <row r="468" spans="2:18" x14ac:dyDescent="0.25">
      <c r="B468" s="24"/>
      <c r="C468" s="22"/>
      <c r="D468" s="25"/>
      <c r="E468" s="23"/>
      <c r="F468" s="25"/>
      <c r="H468" s="20"/>
      <c r="I468" s="20"/>
      <c r="J468" s="20"/>
      <c r="L468" s="20"/>
      <c r="M468" s="20"/>
      <c r="N468" s="20"/>
      <c r="P468" s="20"/>
      <c r="Q468" s="20"/>
      <c r="R468" s="20"/>
    </row>
    <row r="469" spans="2:18" x14ac:dyDescent="0.25">
      <c r="B469" s="24"/>
      <c r="C469" s="22"/>
      <c r="D469" s="25"/>
      <c r="E469" s="23"/>
      <c r="F469" s="25"/>
      <c r="H469" s="20"/>
      <c r="I469" s="20"/>
      <c r="J469" s="20"/>
      <c r="L469" s="20"/>
      <c r="M469" s="20"/>
      <c r="N469" s="20"/>
      <c r="P469" s="20"/>
      <c r="Q469" s="20"/>
      <c r="R469" s="20"/>
    </row>
    <row r="470" spans="2:18" x14ac:dyDescent="0.25">
      <c r="B470" s="24"/>
      <c r="C470" s="22"/>
      <c r="D470" s="25"/>
      <c r="E470" s="23"/>
      <c r="F470" s="25"/>
      <c r="H470" s="20"/>
      <c r="I470" s="20"/>
      <c r="J470" s="20"/>
      <c r="L470" s="20"/>
      <c r="M470" s="20"/>
      <c r="N470" s="20"/>
      <c r="P470" s="20"/>
      <c r="Q470" s="20"/>
      <c r="R470" s="20"/>
    </row>
    <row r="471" spans="2:18" x14ac:dyDescent="0.25">
      <c r="B471" s="24"/>
      <c r="C471" s="22"/>
      <c r="D471" s="25"/>
      <c r="E471" s="23"/>
      <c r="F471" s="25"/>
      <c r="H471" s="20"/>
      <c r="I471" s="20"/>
      <c r="J471" s="20"/>
      <c r="L471" s="20"/>
      <c r="M471" s="20"/>
      <c r="N471" s="20"/>
      <c r="P471" s="20"/>
      <c r="Q471" s="20"/>
      <c r="R471" s="20"/>
    </row>
    <row r="472" spans="2:18" x14ac:dyDescent="0.25">
      <c r="B472" s="24"/>
      <c r="C472" s="22"/>
      <c r="D472" s="25"/>
      <c r="E472" s="23"/>
      <c r="F472" s="25"/>
      <c r="H472" s="20"/>
      <c r="I472" s="20"/>
      <c r="J472" s="20"/>
      <c r="L472" s="20"/>
      <c r="M472" s="20"/>
      <c r="N472" s="20"/>
      <c r="P472" s="20"/>
      <c r="Q472" s="20"/>
      <c r="R472" s="20"/>
    </row>
    <row r="473" spans="2:18" x14ac:dyDescent="0.25">
      <c r="B473" s="24"/>
      <c r="C473" s="22"/>
      <c r="D473" s="25"/>
      <c r="E473" s="23"/>
      <c r="F473" s="25"/>
      <c r="H473" s="20"/>
      <c r="I473" s="20"/>
      <c r="J473" s="20"/>
      <c r="L473" s="20"/>
      <c r="M473" s="20"/>
      <c r="N473" s="20"/>
      <c r="P473" s="20"/>
      <c r="Q473" s="20"/>
      <c r="R473" s="20"/>
    </row>
    <row r="474" spans="2:18" x14ac:dyDescent="0.25">
      <c r="B474" s="24"/>
      <c r="C474" s="22"/>
      <c r="D474" s="25"/>
      <c r="E474" s="23"/>
      <c r="F474" s="25"/>
      <c r="H474" s="20"/>
      <c r="I474" s="20"/>
      <c r="J474" s="20"/>
      <c r="L474" s="20"/>
      <c r="M474" s="20"/>
      <c r="N474" s="20"/>
      <c r="P474" s="20"/>
      <c r="Q474" s="20"/>
      <c r="R474" s="20"/>
    </row>
    <row r="475" spans="2:18" x14ac:dyDescent="0.25">
      <c r="B475" s="24"/>
      <c r="C475" s="22"/>
      <c r="D475" s="25"/>
      <c r="E475" s="23"/>
      <c r="F475" s="25"/>
      <c r="H475" s="20"/>
      <c r="I475" s="20"/>
      <c r="J475" s="20"/>
      <c r="L475" s="20"/>
      <c r="M475" s="20"/>
      <c r="N475" s="20"/>
      <c r="P475" s="20"/>
      <c r="Q475" s="20"/>
      <c r="R475" s="20"/>
    </row>
    <row r="476" spans="2:18" x14ac:dyDescent="0.25">
      <c r="B476" s="24"/>
      <c r="C476" s="22"/>
      <c r="D476" s="25"/>
      <c r="E476" s="23"/>
      <c r="F476" s="25"/>
      <c r="H476" s="20"/>
      <c r="I476" s="20"/>
      <c r="J476" s="20"/>
      <c r="L476" s="20"/>
      <c r="M476" s="20"/>
      <c r="N476" s="20"/>
      <c r="P476" s="20"/>
      <c r="Q476" s="20"/>
      <c r="R476" s="20"/>
    </row>
    <row r="477" spans="2:18" x14ac:dyDescent="0.25">
      <c r="B477" s="24"/>
      <c r="C477" s="22"/>
      <c r="D477" s="25"/>
      <c r="E477" s="23"/>
      <c r="F477" s="25"/>
      <c r="H477" s="20"/>
      <c r="I477" s="20"/>
      <c r="J477" s="20"/>
      <c r="L477" s="20"/>
      <c r="M477" s="20"/>
      <c r="N477" s="20"/>
      <c r="P477" s="20"/>
      <c r="Q477" s="20"/>
      <c r="R477" s="20"/>
    </row>
    <row r="478" spans="2:18" x14ac:dyDescent="0.25">
      <c r="B478" s="24"/>
      <c r="C478" s="22"/>
      <c r="D478" s="25"/>
      <c r="E478" s="23"/>
      <c r="F478" s="25"/>
      <c r="H478" s="20"/>
      <c r="I478" s="20"/>
      <c r="J478" s="20"/>
      <c r="L478" s="20"/>
      <c r="M478" s="20"/>
      <c r="N478" s="20"/>
      <c r="P478" s="20"/>
      <c r="Q478" s="20"/>
      <c r="R478" s="20"/>
    </row>
    <row r="479" spans="2:18" x14ac:dyDescent="0.25">
      <c r="B479" s="24"/>
      <c r="C479" s="22"/>
      <c r="D479" s="25"/>
      <c r="E479" s="23"/>
      <c r="F479" s="25"/>
      <c r="H479" s="20"/>
      <c r="I479" s="20"/>
      <c r="J479" s="20"/>
      <c r="L479" s="20"/>
      <c r="M479" s="20"/>
      <c r="N479" s="20"/>
      <c r="P479" s="20"/>
      <c r="Q479" s="20"/>
      <c r="R479" s="20"/>
    </row>
    <row r="480" spans="2:18" x14ac:dyDescent="0.25">
      <c r="B480" s="24"/>
      <c r="C480" s="22"/>
      <c r="D480" s="25"/>
      <c r="E480" s="23"/>
      <c r="F480" s="25"/>
      <c r="H480" s="20"/>
      <c r="I480" s="20"/>
      <c r="J480" s="20"/>
      <c r="L480" s="20"/>
      <c r="M480" s="20"/>
      <c r="N480" s="20"/>
      <c r="P480" s="20"/>
      <c r="Q480" s="20"/>
      <c r="R480" s="20"/>
    </row>
    <row r="481" spans="2:18" x14ac:dyDescent="0.25">
      <c r="B481" s="24"/>
      <c r="C481" s="22"/>
      <c r="D481" s="25"/>
      <c r="E481" s="23"/>
      <c r="F481" s="25"/>
      <c r="H481" s="20"/>
      <c r="I481" s="20"/>
      <c r="J481" s="20"/>
      <c r="L481" s="20"/>
      <c r="M481" s="20"/>
      <c r="N481" s="20"/>
      <c r="P481" s="20"/>
      <c r="Q481" s="20"/>
      <c r="R481" s="20"/>
    </row>
    <row r="482" spans="2:18" x14ac:dyDescent="0.25">
      <c r="B482" s="24"/>
      <c r="C482" s="22"/>
      <c r="D482" s="25"/>
      <c r="E482" s="23"/>
      <c r="F482" s="25"/>
      <c r="H482" s="20"/>
      <c r="I482" s="20"/>
      <c r="J482" s="20"/>
      <c r="L482" s="20"/>
      <c r="M482" s="20"/>
      <c r="N482" s="20"/>
      <c r="P482" s="20"/>
      <c r="Q482" s="20"/>
      <c r="R482" s="20"/>
    </row>
    <row r="483" spans="2:18" x14ac:dyDescent="0.25">
      <c r="B483" s="24"/>
      <c r="C483" s="22"/>
      <c r="D483" s="25"/>
      <c r="E483" s="23"/>
      <c r="F483" s="25"/>
      <c r="H483" s="20"/>
      <c r="I483" s="20"/>
      <c r="J483" s="20"/>
      <c r="L483" s="20"/>
      <c r="M483" s="20"/>
      <c r="N483" s="20"/>
      <c r="P483" s="20"/>
      <c r="Q483" s="20"/>
      <c r="R483" s="20"/>
    </row>
    <row r="484" spans="2:18" x14ac:dyDescent="0.25">
      <c r="B484" s="24"/>
      <c r="C484" s="22"/>
      <c r="D484" s="25"/>
      <c r="E484" s="23"/>
      <c r="F484" s="25"/>
      <c r="H484" s="20"/>
      <c r="I484" s="20"/>
      <c r="J484" s="20"/>
      <c r="L484" s="20"/>
      <c r="M484" s="20"/>
      <c r="N484" s="20"/>
      <c r="P484" s="20"/>
      <c r="Q484" s="20"/>
      <c r="R484" s="20"/>
    </row>
    <row r="485" spans="2:18" x14ac:dyDescent="0.25">
      <c r="B485" s="24"/>
      <c r="C485" s="22"/>
      <c r="D485" s="25"/>
      <c r="E485" s="23"/>
      <c r="F485" s="25"/>
      <c r="H485" s="20"/>
      <c r="I485" s="20"/>
      <c r="J485" s="20"/>
      <c r="L485" s="20"/>
      <c r="M485" s="20"/>
      <c r="N485" s="20"/>
      <c r="P485" s="20"/>
      <c r="Q485" s="20"/>
      <c r="R485" s="20"/>
    </row>
    <row r="486" spans="2:18" x14ac:dyDescent="0.25">
      <c r="B486" s="24"/>
      <c r="C486" s="22"/>
      <c r="D486" s="25"/>
      <c r="E486" s="23"/>
      <c r="F486" s="25"/>
      <c r="H486" s="20"/>
      <c r="I486" s="20"/>
      <c r="J486" s="20"/>
      <c r="L486" s="20"/>
      <c r="M486" s="20"/>
      <c r="N486" s="20"/>
      <c r="P486" s="20"/>
      <c r="Q486" s="20"/>
      <c r="R486" s="20"/>
    </row>
    <row r="487" spans="2:18" x14ac:dyDescent="0.25">
      <c r="B487" s="24"/>
      <c r="C487" s="22"/>
      <c r="D487" s="25"/>
      <c r="E487" s="23"/>
      <c r="F487" s="25"/>
      <c r="H487" s="20"/>
      <c r="I487" s="20"/>
      <c r="J487" s="20"/>
      <c r="L487" s="20"/>
      <c r="M487" s="20"/>
      <c r="N487" s="20"/>
      <c r="P487" s="20"/>
      <c r="Q487" s="20"/>
      <c r="R487" s="20"/>
    </row>
    <row r="488" spans="2:18" x14ac:dyDescent="0.25">
      <c r="B488" s="24"/>
      <c r="C488" s="22"/>
      <c r="D488" s="25"/>
      <c r="E488" s="23"/>
      <c r="F488" s="25"/>
      <c r="H488" s="20"/>
      <c r="I488" s="20"/>
      <c r="J488" s="20"/>
      <c r="L488" s="20"/>
      <c r="M488" s="20"/>
      <c r="N488" s="20"/>
      <c r="P488" s="20"/>
      <c r="Q488" s="20"/>
      <c r="R488" s="20"/>
    </row>
    <row r="489" spans="2:18" x14ac:dyDescent="0.25">
      <c r="B489" s="24"/>
      <c r="C489" s="22"/>
      <c r="D489" s="25"/>
      <c r="E489" s="23"/>
      <c r="F489" s="25"/>
      <c r="H489" s="20"/>
      <c r="I489" s="20"/>
      <c r="J489" s="20"/>
      <c r="L489" s="20"/>
      <c r="M489" s="20"/>
      <c r="N489" s="20"/>
      <c r="P489" s="20"/>
      <c r="Q489" s="20"/>
      <c r="R489" s="20"/>
    </row>
    <row r="490" spans="2:18" x14ac:dyDescent="0.25">
      <c r="B490" s="24"/>
      <c r="C490" s="22"/>
      <c r="D490" s="25"/>
      <c r="E490" s="23"/>
      <c r="F490" s="25"/>
      <c r="H490" s="20"/>
      <c r="I490" s="20"/>
      <c r="J490" s="20"/>
      <c r="L490" s="20"/>
      <c r="M490" s="20"/>
      <c r="N490" s="20"/>
      <c r="P490" s="20"/>
      <c r="Q490" s="20"/>
      <c r="R490" s="20"/>
    </row>
    <row r="491" spans="2:18" x14ac:dyDescent="0.25">
      <c r="B491" s="24"/>
      <c r="C491" s="22"/>
      <c r="D491" s="25"/>
      <c r="E491" s="23"/>
      <c r="F491" s="25"/>
      <c r="H491" s="20"/>
      <c r="I491" s="20"/>
      <c r="J491" s="20"/>
      <c r="L491" s="20"/>
      <c r="M491" s="20"/>
      <c r="N491" s="20"/>
      <c r="P491" s="20"/>
      <c r="Q491" s="20"/>
      <c r="R491" s="20"/>
    </row>
    <row r="492" spans="2:18" x14ac:dyDescent="0.25">
      <c r="B492" s="24"/>
      <c r="C492" s="22"/>
      <c r="D492" s="25"/>
      <c r="E492" s="23"/>
      <c r="F492" s="25"/>
      <c r="H492" s="20"/>
      <c r="I492" s="20"/>
      <c r="J492" s="20"/>
      <c r="L492" s="20"/>
      <c r="M492" s="20"/>
      <c r="N492" s="20"/>
      <c r="P492" s="20"/>
      <c r="Q492" s="20"/>
      <c r="R492" s="20"/>
    </row>
    <row r="493" spans="2:18" x14ac:dyDescent="0.25">
      <c r="B493" s="24"/>
      <c r="C493" s="22"/>
      <c r="D493" s="25"/>
      <c r="E493" s="23"/>
      <c r="F493" s="25"/>
      <c r="H493" s="20"/>
      <c r="I493" s="20"/>
      <c r="J493" s="20"/>
      <c r="L493" s="20"/>
      <c r="M493" s="20"/>
      <c r="N493" s="20"/>
      <c r="P493" s="20"/>
      <c r="Q493" s="20"/>
      <c r="R493" s="20"/>
    </row>
    <row r="494" spans="2:18" x14ac:dyDescent="0.25">
      <c r="B494" s="24"/>
      <c r="C494" s="22"/>
      <c r="D494" s="25"/>
      <c r="E494" s="23"/>
      <c r="F494" s="25"/>
      <c r="H494" s="20"/>
      <c r="I494" s="20"/>
      <c r="J494" s="20"/>
      <c r="L494" s="20"/>
      <c r="M494" s="20"/>
      <c r="N494" s="20"/>
      <c r="P494" s="20"/>
      <c r="Q494" s="20"/>
      <c r="R494" s="20"/>
    </row>
    <row r="495" spans="2:18" x14ac:dyDescent="0.25">
      <c r="B495" s="24"/>
      <c r="C495" s="22"/>
      <c r="D495" s="25"/>
      <c r="E495" s="23"/>
      <c r="F495" s="25"/>
      <c r="H495" s="20"/>
      <c r="I495" s="20"/>
      <c r="J495" s="20"/>
      <c r="L495" s="20"/>
      <c r="M495" s="20"/>
      <c r="N495" s="20"/>
      <c r="P495" s="20"/>
      <c r="Q495" s="20"/>
      <c r="R495" s="20"/>
    </row>
    <row r="496" spans="2:18" x14ac:dyDescent="0.25">
      <c r="B496" s="24"/>
      <c r="C496" s="22"/>
      <c r="D496" s="25"/>
      <c r="E496" s="23"/>
      <c r="F496" s="25"/>
      <c r="H496" s="20"/>
      <c r="I496" s="20"/>
      <c r="J496" s="20"/>
      <c r="L496" s="20"/>
      <c r="M496" s="20"/>
      <c r="N496" s="20"/>
      <c r="P496" s="20"/>
      <c r="Q496" s="20"/>
      <c r="R496" s="20"/>
    </row>
    <row r="497" spans="2:18" x14ac:dyDescent="0.25">
      <c r="B497" s="24"/>
      <c r="C497" s="22"/>
      <c r="D497" s="25"/>
      <c r="E497" s="23"/>
      <c r="F497" s="25"/>
      <c r="H497" s="20"/>
      <c r="I497" s="20"/>
      <c r="J497" s="20"/>
      <c r="L497" s="20"/>
      <c r="M497" s="20"/>
      <c r="N497" s="20"/>
      <c r="P497" s="20"/>
      <c r="Q497" s="20"/>
      <c r="R497" s="20"/>
    </row>
    <row r="498" spans="2:18" x14ac:dyDescent="0.25">
      <c r="B498" s="24"/>
      <c r="C498" s="22"/>
      <c r="D498" s="25"/>
      <c r="E498" s="23"/>
      <c r="F498" s="25"/>
      <c r="H498" s="20"/>
      <c r="I498" s="20"/>
      <c r="J498" s="20"/>
      <c r="L498" s="20"/>
      <c r="M498" s="20"/>
      <c r="N498" s="20"/>
      <c r="P498" s="20"/>
      <c r="Q498" s="20"/>
      <c r="R498" s="20"/>
    </row>
    <row r="499" spans="2:18" x14ac:dyDescent="0.25">
      <c r="B499" s="24"/>
      <c r="C499" s="22"/>
      <c r="D499" s="25"/>
      <c r="E499" s="23"/>
      <c r="F499" s="25"/>
      <c r="H499" s="20"/>
      <c r="I499" s="20"/>
      <c r="J499" s="20"/>
      <c r="L499" s="20"/>
      <c r="M499" s="20"/>
      <c r="N499" s="20"/>
      <c r="P499" s="20"/>
      <c r="Q499" s="20"/>
      <c r="R499" s="20"/>
    </row>
    <row r="500" spans="2:18" x14ac:dyDescent="0.25">
      <c r="B500" s="24"/>
      <c r="C500" s="22"/>
      <c r="D500" s="25"/>
      <c r="E500" s="23"/>
      <c r="F500" s="25"/>
      <c r="H500" s="20"/>
      <c r="I500" s="20"/>
      <c r="J500" s="20"/>
      <c r="L500" s="20"/>
      <c r="M500" s="20"/>
      <c r="N500" s="20"/>
      <c r="P500" s="20"/>
      <c r="Q500" s="20"/>
      <c r="R500" s="20"/>
    </row>
    <row r="501" spans="2:18" x14ac:dyDescent="0.25">
      <c r="B501" s="24"/>
      <c r="C501" s="22"/>
      <c r="D501" s="25"/>
      <c r="E501" s="23"/>
      <c r="F501" s="25"/>
      <c r="H501" s="20"/>
      <c r="I501" s="20"/>
      <c r="J501" s="20"/>
      <c r="L501" s="20"/>
      <c r="M501" s="20"/>
      <c r="N501" s="20"/>
      <c r="P501" s="20"/>
      <c r="Q501" s="20"/>
      <c r="R501" s="20"/>
    </row>
    <row r="502" spans="2:18" x14ac:dyDescent="0.25">
      <c r="B502" s="24"/>
      <c r="C502" s="22"/>
      <c r="D502" s="25"/>
      <c r="E502" s="23"/>
      <c r="F502" s="25"/>
      <c r="H502" s="20"/>
      <c r="I502" s="20"/>
      <c r="J502" s="20"/>
      <c r="L502" s="20"/>
      <c r="M502" s="20"/>
      <c r="N502" s="20"/>
      <c r="P502" s="20"/>
      <c r="Q502" s="20"/>
      <c r="R502" s="20"/>
    </row>
    <row r="503" spans="2:18" x14ac:dyDescent="0.25">
      <c r="B503" s="24"/>
      <c r="C503" s="22"/>
      <c r="D503" s="25"/>
      <c r="E503" s="23"/>
      <c r="F503" s="25"/>
      <c r="H503" s="20"/>
      <c r="I503" s="20"/>
      <c r="J503" s="20"/>
      <c r="L503" s="20"/>
      <c r="M503" s="20"/>
      <c r="N503" s="20"/>
      <c r="P503" s="20"/>
      <c r="Q503" s="20"/>
      <c r="R503" s="20"/>
    </row>
    <row r="504" spans="2:18" x14ac:dyDescent="0.25">
      <c r="B504" s="24"/>
      <c r="C504" s="22"/>
      <c r="D504" s="25"/>
      <c r="E504" s="23"/>
      <c r="F504" s="25"/>
      <c r="H504" s="20"/>
      <c r="I504" s="20"/>
      <c r="J504" s="20"/>
      <c r="L504" s="20"/>
      <c r="M504" s="20"/>
      <c r="N504" s="20"/>
      <c r="P504" s="20"/>
      <c r="Q504" s="20"/>
      <c r="R504" s="20"/>
    </row>
    <row r="505" spans="2:18" x14ac:dyDescent="0.25">
      <c r="B505" s="24"/>
      <c r="C505" s="22"/>
      <c r="D505" s="25"/>
      <c r="E505" s="23"/>
      <c r="F505" s="25"/>
      <c r="H505" s="20"/>
      <c r="I505" s="20"/>
      <c r="J505" s="20"/>
      <c r="L505" s="20"/>
      <c r="M505" s="20"/>
      <c r="N505" s="20"/>
      <c r="P505" s="20"/>
      <c r="Q505" s="20"/>
      <c r="R505" s="20"/>
    </row>
    <row r="506" spans="2:18" x14ac:dyDescent="0.25">
      <c r="B506" s="24"/>
      <c r="C506" s="22"/>
      <c r="D506" s="25"/>
      <c r="E506" s="23"/>
      <c r="F506" s="25"/>
      <c r="H506" s="20"/>
      <c r="I506" s="20"/>
      <c r="J506" s="20"/>
      <c r="L506" s="20"/>
      <c r="M506" s="20"/>
      <c r="N506" s="20"/>
      <c r="P506" s="20"/>
      <c r="Q506" s="20"/>
      <c r="R506" s="20"/>
    </row>
    <row r="507" spans="2:18" x14ac:dyDescent="0.25">
      <c r="B507" s="24"/>
      <c r="C507" s="22"/>
      <c r="D507" s="25"/>
      <c r="E507" s="23"/>
      <c r="F507" s="25"/>
      <c r="H507" s="20"/>
      <c r="I507" s="20"/>
      <c r="J507" s="20"/>
      <c r="L507" s="20"/>
      <c r="M507" s="20"/>
      <c r="N507" s="20"/>
      <c r="P507" s="20"/>
      <c r="Q507" s="20"/>
      <c r="R507" s="20"/>
    </row>
    <row r="508" spans="2:18" x14ac:dyDescent="0.25">
      <c r="B508" s="24"/>
      <c r="C508" s="22"/>
      <c r="D508" s="25"/>
      <c r="E508" s="23"/>
      <c r="F508" s="25"/>
      <c r="H508" s="20"/>
      <c r="I508" s="20"/>
      <c r="J508" s="20"/>
      <c r="L508" s="20"/>
      <c r="M508" s="20"/>
      <c r="N508" s="20"/>
      <c r="P508" s="20"/>
      <c r="Q508" s="20"/>
      <c r="R508" s="20"/>
    </row>
    <row r="509" spans="2:18" x14ac:dyDescent="0.25">
      <c r="B509" s="24"/>
      <c r="C509" s="22"/>
      <c r="D509" s="25"/>
      <c r="E509" s="23"/>
      <c r="F509" s="25"/>
      <c r="H509" s="20"/>
      <c r="I509" s="20"/>
      <c r="J509" s="20"/>
      <c r="L509" s="20"/>
      <c r="M509" s="20"/>
      <c r="N509" s="20"/>
      <c r="P509" s="20"/>
      <c r="Q509" s="20"/>
      <c r="R509" s="20"/>
    </row>
    <row r="510" spans="2:18" x14ac:dyDescent="0.25">
      <c r="B510" s="24"/>
      <c r="C510" s="22"/>
      <c r="D510" s="25"/>
      <c r="E510" s="23"/>
      <c r="F510" s="25"/>
      <c r="H510" s="20"/>
      <c r="I510" s="20"/>
      <c r="J510" s="20"/>
      <c r="L510" s="20"/>
      <c r="M510" s="20"/>
      <c r="N510" s="20"/>
      <c r="P510" s="20"/>
      <c r="Q510" s="20"/>
      <c r="R510" s="20"/>
    </row>
    <row r="511" spans="2:18" x14ac:dyDescent="0.25">
      <c r="B511" s="24"/>
      <c r="C511" s="22"/>
      <c r="D511" s="25"/>
      <c r="E511" s="23"/>
      <c r="F511" s="25"/>
      <c r="H511" s="20"/>
      <c r="I511" s="20"/>
      <c r="J511" s="20"/>
      <c r="L511" s="20"/>
      <c r="M511" s="20"/>
      <c r="N511" s="20"/>
      <c r="P511" s="20"/>
      <c r="Q511" s="20"/>
      <c r="R511" s="20"/>
    </row>
    <row r="512" spans="2:18" x14ac:dyDescent="0.25">
      <c r="B512" s="24"/>
      <c r="C512" s="22"/>
      <c r="D512" s="25"/>
      <c r="E512" s="23"/>
      <c r="F512" s="25"/>
      <c r="H512" s="20"/>
      <c r="I512" s="20"/>
      <c r="J512" s="20"/>
      <c r="L512" s="20"/>
      <c r="M512" s="20"/>
      <c r="N512" s="20"/>
      <c r="P512" s="20"/>
      <c r="Q512" s="20"/>
      <c r="R512" s="20"/>
    </row>
    <row r="513" spans="2:18" x14ac:dyDescent="0.25">
      <c r="B513" s="24"/>
      <c r="C513" s="22"/>
      <c r="D513" s="25"/>
      <c r="E513" s="23"/>
      <c r="F513" s="25"/>
      <c r="H513" s="20"/>
      <c r="I513" s="20"/>
      <c r="J513" s="20"/>
      <c r="L513" s="20"/>
      <c r="M513" s="20"/>
      <c r="N513" s="20"/>
      <c r="P513" s="20"/>
      <c r="Q513" s="20"/>
      <c r="R513" s="20"/>
    </row>
    <row r="514" spans="2:18" x14ac:dyDescent="0.25">
      <c r="B514" s="24"/>
      <c r="C514" s="22"/>
      <c r="D514" s="25"/>
      <c r="E514" s="23"/>
      <c r="F514" s="25"/>
      <c r="H514" s="20"/>
      <c r="I514" s="20"/>
      <c r="J514" s="20"/>
      <c r="L514" s="20"/>
      <c r="M514" s="20"/>
      <c r="N514" s="20"/>
      <c r="P514" s="20"/>
      <c r="Q514" s="20"/>
      <c r="R514" s="20"/>
    </row>
    <row r="515" spans="2:18" x14ac:dyDescent="0.25">
      <c r="B515" s="24"/>
      <c r="C515" s="22"/>
      <c r="D515" s="25"/>
      <c r="E515" s="23"/>
      <c r="F515" s="25"/>
      <c r="H515" s="20"/>
      <c r="I515" s="20"/>
      <c r="J515" s="20"/>
      <c r="L515" s="20"/>
      <c r="M515" s="20"/>
      <c r="N515" s="20"/>
      <c r="P515" s="20"/>
      <c r="Q515" s="20"/>
      <c r="R515" s="20"/>
    </row>
    <row r="516" spans="2:18" x14ac:dyDescent="0.25">
      <c r="B516" s="24"/>
      <c r="C516" s="22"/>
      <c r="D516" s="25"/>
      <c r="E516" s="23"/>
      <c r="F516" s="25"/>
      <c r="H516" s="20"/>
      <c r="I516" s="20"/>
      <c r="J516" s="20"/>
      <c r="L516" s="20"/>
      <c r="M516" s="20"/>
      <c r="N516" s="20"/>
      <c r="P516" s="20"/>
      <c r="Q516" s="20"/>
      <c r="R516" s="20"/>
    </row>
    <row r="517" spans="2:18" x14ac:dyDescent="0.25">
      <c r="B517" s="24"/>
      <c r="C517" s="22"/>
      <c r="D517" s="25"/>
      <c r="E517" s="23"/>
      <c r="F517" s="25"/>
      <c r="H517" s="20"/>
      <c r="I517" s="20"/>
      <c r="J517" s="20"/>
      <c r="L517" s="20"/>
      <c r="M517" s="20"/>
      <c r="N517" s="20"/>
      <c r="P517" s="20"/>
      <c r="Q517" s="20"/>
      <c r="R517" s="20"/>
    </row>
    <row r="518" spans="2:18" x14ac:dyDescent="0.25">
      <c r="B518" s="24"/>
      <c r="C518" s="22"/>
      <c r="D518" s="25"/>
      <c r="E518" s="23"/>
      <c r="F518" s="25"/>
      <c r="H518" s="20"/>
      <c r="I518" s="20"/>
      <c r="J518" s="20"/>
      <c r="L518" s="20"/>
      <c r="M518" s="20"/>
      <c r="N518" s="20"/>
      <c r="P518" s="20"/>
      <c r="Q518" s="20"/>
      <c r="R518" s="20"/>
    </row>
    <row r="519" spans="2:18" x14ac:dyDescent="0.25">
      <c r="B519" s="24"/>
      <c r="C519" s="22"/>
      <c r="D519" s="25"/>
      <c r="E519" s="23"/>
      <c r="F519" s="25"/>
      <c r="H519" s="20"/>
      <c r="I519" s="20"/>
      <c r="J519" s="20"/>
      <c r="L519" s="20"/>
      <c r="M519" s="20"/>
      <c r="N519" s="20"/>
      <c r="P519" s="20"/>
      <c r="Q519" s="20"/>
      <c r="R519" s="20"/>
    </row>
    <row r="520" spans="2:18" x14ac:dyDescent="0.25">
      <c r="B520" s="24"/>
      <c r="C520" s="22"/>
      <c r="D520" s="25"/>
      <c r="E520" s="23"/>
      <c r="F520" s="25"/>
      <c r="H520" s="20"/>
      <c r="I520" s="20"/>
      <c r="J520" s="20"/>
      <c r="L520" s="20"/>
      <c r="M520" s="20"/>
      <c r="N520" s="20"/>
      <c r="P520" s="20"/>
      <c r="Q520" s="20"/>
      <c r="R520" s="20"/>
    </row>
    <row r="521" spans="2:18" x14ac:dyDescent="0.25">
      <c r="B521" s="24"/>
      <c r="C521" s="22"/>
      <c r="D521" s="25"/>
      <c r="E521" s="23"/>
      <c r="F521" s="25"/>
      <c r="H521" s="20"/>
      <c r="I521" s="20"/>
      <c r="J521" s="20"/>
      <c r="L521" s="20"/>
      <c r="M521" s="20"/>
      <c r="N521" s="20"/>
      <c r="P521" s="20"/>
      <c r="Q521" s="20"/>
      <c r="R521" s="20"/>
    </row>
    <row r="522" spans="2:18" x14ac:dyDescent="0.25">
      <c r="B522" s="24"/>
      <c r="C522" s="22"/>
      <c r="D522" s="26"/>
      <c r="E522" s="22"/>
      <c r="F522" s="26"/>
      <c r="I522" s="20"/>
    </row>
    <row r="523" spans="2:18" x14ac:dyDescent="0.25">
      <c r="B523" s="24"/>
      <c r="C523" s="22"/>
      <c r="D523" s="26"/>
      <c r="E523" s="22"/>
      <c r="F523" s="26"/>
      <c r="I523" s="20"/>
    </row>
    <row r="524" spans="2:18" x14ac:dyDescent="0.25">
      <c r="B524" s="24"/>
      <c r="C524" s="22"/>
      <c r="D524" s="26"/>
      <c r="E524" s="22"/>
      <c r="F524" s="26"/>
      <c r="I524" s="20"/>
    </row>
    <row r="525" spans="2:18" x14ac:dyDescent="0.25">
      <c r="B525" s="24"/>
      <c r="C525" s="22"/>
      <c r="D525" s="26"/>
      <c r="E525" s="22"/>
      <c r="F525" s="26"/>
      <c r="I525" s="20"/>
    </row>
    <row r="526" spans="2:18" x14ac:dyDescent="0.25">
      <c r="B526" s="24"/>
      <c r="C526" s="22"/>
      <c r="D526" s="26"/>
      <c r="E526" s="22"/>
      <c r="F526" s="26"/>
      <c r="I526" s="20"/>
    </row>
    <row r="527" spans="2:18" x14ac:dyDescent="0.25">
      <c r="B527" s="24"/>
      <c r="C527" s="22"/>
      <c r="D527" s="26"/>
      <c r="E527" s="22"/>
      <c r="F527" s="26"/>
      <c r="I527" s="20"/>
    </row>
    <row r="528" spans="2:18" x14ac:dyDescent="0.25">
      <c r="B528" s="24"/>
      <c r="C528" s="22"/>
      <c r="D528" s="26"/>
      <c r="E528" s="22"/>
      <c r="F528" s="26"/>
      <c r="I528" s="20"/>
    </row>
    <row r="529" spans="2:9" x14ac:dyDescent="0.25">
      <c r="B529" s="24"/>
      <c r="C529" s="22"/>
      <c r="D529" s="26"/>
      <c r="E529" s="22"/>
      <c r="F529" s="26"/>
      <c r="I529" s="20"/>
    </row>
    <row r="530" spans="2:9" x14ac:dyDescent="0.25">
      <c r="B530" s="24"/>
      <c r="C530" s="22"/>
      <c r="D530" s="26"/>
      <c r="E530" s="22"/>
      <c r="F530" s="26"/>
      <c r="I530" s="20"/>
    </row>
    <row r="531" spans="2:9" x14ac:dyDescent="0.25">
      <c r="B531" s="24"/>
      <c r="C531" s="22"/>
      <c r="D531" s="26"/>
      <c r="E531" s="22"/>
      <c r="F531" s="26"/>
      <c r="I531" s="20"/>
    </row>
    <row r="532" spans="2:9" x14ac:dyDescent="0.25">
      <c r="B532" s="24"/>
      <c r="C532" s="22"/>
      <c r="D532" s="26"/>
      <c r="E532" s="22"/>
      <c r="F532" s="26"/>
      <c r="I532" s="20"/>
    </row>
    <row r="533" spans="2:9" x14ac:dyDescent="0.25">
      <c r="B533" s="24"/>
      <c r="C533" s="22"/>
      <c r="D533" s="26"/>
      <c r="E533" s="22"/>
      <c r="F533" s="26"/>
      <c r="I533" s="20"/>
    </row>
    <row r="534" spans="2:9" x14ac:dyDescent="0.25">
      <c r="B534" s="24"/>
      <c r="C534" s="22"/>
      <c r="D534" s="26"/>
      <c r="E534" s="22"/>
      <c r="F534" s="26"/>
      <c r="I534" s="20"/>
    </row>
    <row r="535" spans="2:9" x14ac:dyDescent="0.25">
      <c r="B535" s="24"/>
      <c r="C535" s="22"/>
      <c r="D535" s="26"/>
      <c r="E535" s="22"/>
      <c r="F535" s="26"/>
      <c r="I535" s="20"/>
    </row>
    <row r="536" spans="2:9" x14ac:dyDescent="0.25">
      <c r="B536" s="24"/>
      <c r="C536" s="22"/>
      <c r="D536" s="26"/>
      <c r="E536" s="22"/>
      <c r="F536" s="26"/>
      <c r="I536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CPI data</vt:lpstr>
      <vt:lpstr>Core measures_12monthchange</vt:lpstr>
      <vt:lpstr>Headline measures_12monthchange</vt:lpstr>
      <vt:lpstr>_DLX1.USE</vt:lpstr>
    </vt:vector>
  </TitlesOfParts>
  <Company>Federal Reserve System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d1bhm01</dc:creator>
  <cp:lastModifiedBy>Brent Meyer</cp:lastModifiedBy>
  <dcterms:created xsi:type="dcterms:W3CDTF">2010-05-19T18:19:33Z</dcterms:created>
  <dcterms:modified xsi:type="dcterms:W3CDTF">2014-08-19T12:44:17Z</dcterms:modified>
</cp:coreProperties>
</file>