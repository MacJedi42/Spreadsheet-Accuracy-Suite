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1335" yWindow="210" windowWidth="15570" windowHeight="10605" tabRatio="822"/>
  </bookViews>
  <sheets>
    <sheet name="SOA" sheetId="8" r:id="rId1"/>
    <sheet name="Payroll Exp" sheetId="7" r:id="rId2"/>
    <sheet name="Non-Payroll Exp" sheetId="1" r:id="rId3"/>
    <sheet name="equipment_Cap.outlay" sheetId="3" r:id="rId4"/>
    <sheet name="NP Child Find" sheetId="15" r:id="rId5"/>
    <sheet name="Public Notification" sheetId="9" r:id="rId6"/>
    <sheet name="Redirection" sheetId="5" r:id="rId7"/>
  </sheets>
  <definedNames>
    <definedName name="mainbody" localSheetId="0">SOA!$M$8</definedName>
    <definedName name="_xlnm.Print_Area" localSheetId="2">'Non-Payroll Exp'!$A$1:$Q$65</definedName>
    <definedName name="_xlnm.Print_Area" localSheetId="6">Redirection!$B$1:$M$41</definedName>
    <definedName name="_xlnm.Print_Area" localSheetId="0">SOA!$B$2:$W$59</definedName>
    <definedName name="Y">Redirection!$B$19</definedName>
  </definedNames>
  <calcPr calcId="145621"/>
</workbook>
</file>

<file path=xl/calcChain.xml><?xml version="1.0" encoding="utf-8"?>
<calcChain xmlns="http://schemas.openxmlformats.org/spreadsheetml/2006/main">
  <c r="N24" i="8" l="1"/>
  <c r="B2" i="5" l="1"/>
  <c r="B3" i="9"/>
  <c r="C3" i="9"/>
  <c r="B4" i="9"/>
  <c r="C4" i="9"/>
  <c r="O24" i="8" l="1"/>
  <c r="P24" i="8"/>
  <c r="Q24" i="8"/>
  <c r="R24" i="8"/>
  <c r="S24" i="8"/>
  <c r="N52" i="8"/>
  <c r="O52" i="8"/>
  <c r="P52" i="8"/>
  <c r="Q52" i="8"/>
  <c r="R52" i="8"/>
  <c r="S52" i="8"/>
  <c r="I56" i="8" l="1"/>
  <c r="F56" i="8"/>
  <c r="I27" i="8"/>
  <c r="F27" i="8"/>
  <c r="G16" i="8" s="1"/>
  <c r="C4" i="15" l="1"/>
  <c r="C3" i="15"/>
  <c r="C2" i="15"/>
  <c r="C4" i="7"/>
  <c r="C3" i="7"/>
  <c r="C4" i="1"/>
  <c r="C3" i="1"/>
  <c r="C4" i="3"/>
  <c r="C3" i="3"/>
  <c r="C2" i="3"/>
  <c r="C2" i="9"/>
  <c r="B2" i="9"/>
  <c r="C4" i="5"/>
  <c r="C3" i="5"/>
  <c r="C2" i="5"/>
  <c r="B4" i="5"/>
  <c r="B3" i="5"/>
  <c r="C2" i="1"/>
  <c r="C2" i="7"/>
  <c r="G26" i="8"/>
  <c r="K26" i="8"/>
  <c r="J26" i="8"/>
  <c r="G18" i="8"/>
  <c r="J56" i="8"/>
  <c r="K55" i="8"/>
  <c r="J55" i="8"/>
  <c r="K53" i="8"/>
  <c r="J53" i="8"/>
  <c r="K51" i="8"/>
  <c r="J51" i="8"/>
  <c r="K49" i="8"/>
  <c r="J49" i="8"/>
  <c r="K47" i="8"/>
  <c r="J47" i="8"/>
  <c r="G47" i="8"/>
  <c r="K45" i="8"/>
  <c r="J45" i="8"/>
  <c r="K56" i="8"/>
  <c r="G45" i="8" l="1"/>
  <c r="G56" i="8" s="1"/>
  <c r="G53" i="8"/>
  <c r="J18" i="8"/>
  <c r="G51" i="8"/>
  <c r="J16" i="8"/>
  <c r="J20" i="8"/>
  <c r="G55" i="8"/>
  <c r="J24" i="8"/>
  <c r="G49" i="8"/>
  <c r="K16" i="8"/>
  <c r="J22" i="8"/>
  <c r="G22" i="8"/>
  <c r="G20" i="8"/>
  <c r="K27" i="8"/>
  <c r="K24" i="8"/>
  <c r="K22" i="8"/>
  <c r="K20" i="8"/>
  <c r="K18" i="8"/>
  <c r="G24" i="8"/>
  <c r="G27" i="8" l="1"/>
  <c r="J27" i="8"/>
</calcChain>
</file>

<file path=xl/comments1.xml><?xml version="1.0" encoding="utf-8"?>
<comments xmlns="http://schemas.openxmlformats.org/spreadsheetml/2006/main">
  <authors>
    <author>johannah.ward</author>
  </authors>
  <commentList>
    <comment ref="B15" authorId="0">
      <text>
        <r>
          <rPr>
            <b/>
            <sz val="8"/>
            <color indexed="81"/>
            <rFont val="Tahoma"/>
            <family val="2"/>
          </rPr>
          <t>johannah.ward:</t>
        </r>
        <r>
          <rPr>
            <sz val="8"/>
            <color indexed="81"/>
            <rFont val="Tahoma"/>
            <family val="2"/>
          </rPr>
          <t xml:space="preserve">
ADD NP line</t>
        </r>
      </text>
    </comment>
    <comment ref="B44" authorId="0">
      <text>
        <r>
          <rPr>
            <b/>
            <sz val="8"/>
            <color indexed="81"/>
            <rFont val="Tahoma"/>
            <family val="2"/>
          </rPr>
          <t>johannah.ward:</t>
        </r>
        <r>
          <rPr>
            <sz val="8"/>
            <color indexed="81"/>
            <rFont val="Tahoma"/>
            <family val="2"/>
          </rPr>
          <t xml:space="preserve">
ADD NP line</t>
        </r>
      </text>
    </comment>
  </commentList>
</comments>
</file>

<file path=xl/comments2.xml><?xml version="1.0" encoding="utf-8"?>
<comments xmlns="http://schemas.openxmlformats.org/spreadsheetml/2006/main">
  <authors>
    <author>james.devers</author>
    <author>mark.lynskey</author>
  </authors>
  <commentList>
    <comment ref="G17" authorId="0">
      <text>
        <r>
          <rPr>
            <sz val="9"/>
            <color indexed="81"/>
            <rFont val="Tahoma"/>
            <family val="2"/>
          </rPr>
          <t>Review of position description for all positions funded through IDEA funds</t>
        </r>
      </text>
    </comment>
    <comment ref="H17" authorId="0">
      <text>
        <r>
          <rPr>
            <sz val="9"/>
            <color indexed="81"/>
            <rFont val="Tahoma"/>
            <family val="2"/>
          </rPr>
          <t>Review of certification and/or licensure of IDEA funded staff - this includes those providing services to non-public schools.</t>
        </r>
      </text>
    </comment>
    <comment ref="I17" authorId="1">
      <text>
        <r>
          <rPr>
            <sz val="9"/>
            <color indexed="81"/>
            <rFont val="Tahoma"/>
            <family val="2"/>
          </rPr>
          <t xml:space="preserve">Instructional staff funded with Part B funds are Highly Qualified (HQT)
</t>
        </r>
      </text>
    </comment>
    <comment ref="J17" authorId="0">
      <text>
        <r>
          <rPr>
            <sz val="9"/>
            <color indexed="81"/>
            <rFont val="Tahoma"/>
            <family val="2"/>
          </rPr>
          <t xml:space="preserve">Time and effort documentation was maintained </t>
        </r>
      </text>
    </comment>
    <comment ref="K17" authorId="0">
      <text>
        <r>
          <rPr>
            <sz val="9"/>
            <color indexed="81"/>
            <rFont val="Tahoma"/>
            <family val="2"/>
          </rPr>
          <t xml:space="preserve"> Fully Funded Employees = Semi-annual Certification completed 
</t>
        </r>
      </text>
    </comment>
    <comment ref="L17" authorId="0">
      <text>
        <r>
          <rPr>
            <sz val="9"/>
            <color indexed="81"/>
            <rFont val="Tahoma"/>
            <family val="2"/>
          </rPr>
          <t xml:space="preserve">The Payroll expense was charged to the proper fund </t>
        </r>
      </text>
    </comment>
    <comment ref="M17" authorId="0">
      <text>
        <r>
          <rPr>
            <sz val="9"/>
            <color indexed="81"/>
            <rFont val="Tahoma"/>
            <family val="2"/>
          </rPr>
          <t xml:space="preserve">The Payroll expense was charged to the proper function </t>
        </r>
      </text>
    </comment>
    <comment ref="G34" authorId="0">
      <text>
        <r>
          <rPr>
            <sz val="9"/>
            <color indexed="81"/>
            <rFont val="Tahoma"/>
            <family val="2"/>
          </rPr>
          <t>Review of position description for all positions funded through IDEA funds</t>
        </r>
      </text>
    </comment>
    <comment ref="H34" authorId="0">
      <text>
        <r>
          <rPr>
            <sz val="9"/>
            <color indexed="81"/>
            <rFont val="Tahoma"/>
            <family val="2"/>
          </rPr>
          <t>Review of certification and/or licensure of IDEA funded staff - this includes those providing services to non-public schools.</t>
        </r>
      </text>
    </comment>
    <comment ref="J34" authorId="0">
      <text>
        <r>
          <rPr>
            <sz val="9"/>
            <color indexed="81"/>
            <rFont val="Tahoma"/>
            <family val="2"/>
          </rPr>
          <t xml:space="preserve">Time and effort documentation was maintained </t>
        </r>
      </text>
    </comment>
    <comment ref="K34" authorId="0">
      <text>
        <r>
          <rPr>
            <sz val="9"/>
            <color indexed="81"/>
            <rFont val="Tahoma"/>
            <family val="2"/>
          </rPr>
          <t xml:space="preserve"> Fully Funded Employees = Semi-annual Certification completed 
</t>
        </r>
      </text>
    </comment>
    <comment ref="L34" authorId="0">
      <text>
        <r>
          <rPr>
            <sz val="9"/>
            <color indexed="81"/>
            <rFont val="Tahoma"/>
            <family val="2"/>
          </rPr>
          <t xml:space="preserve">The Payroll expense was charged to the proper fund </t>
        </r>
      </text>
    </comment>
    <comment ref="M34" authorId="0">
      <text>
        <r>
          <rPr>
            <sz val="9"/>
            <color indexed="81"/>
            <rFont val="Tahoma"/>
            <family val="2"/>
          </rPr>
          <t xml:space="preserve">The Payroll expense was charged to the proper function </t>
        </r>
      </text>
    </comment>
  </commentList>
</comments>
</file>

<file path=xl/comments3.xml><?xml version="1.0" encoding="utf-8"?>
<comments xmlns="http://schemas.openxmlformats.org/spreadsheetml/2006/main">
  <authors>
    <author>james.devers</author>
    <author>mark.lynskey</author>
  </authors>
  <commentList>
    <comment ref="J17" authorId="0">
      <text>
        <r>
          <rPr>
            <sz val="9"/>
            <color indexed="81"/>
            <rFont val="Tahoma"/>
            <family val="2"/>
          </rPr>
          <t>Served a proper public purpose under IDEA?</t>
        </r>
      </text>
    </comment>
    <comment ref="K17" authorId="0">
      <text>
        <r>
          <rPr>
            <sz val="9"/>
            <color indexed="81"/>
            <rFont val="Tahoma"/>
            <family val="2"/>
          </rPr>
          <t>The expense was charged to the proper function</t>
        </r>
      </text>
    </comment>
    <comment ref="L17" authorId="0">
      <text>
        <r>
          <rPr>
            <sz val="9"/>
            <color indexed="81"/>
            <rFont val="Tahoma"/>
            <family val="2"/>
          </rPr>
          <t xml:space="preserve">Thel expense was charged to the proper  object. </t>
        </r>
      </text>
    </comment>
    <comment ref="M17" authorId="0">
      <text>
        <r>
          <rPr>
            <sz val="9"/>
            <color indexed="81"/>
            <rFont val="Tahoma"/>
            <family val="2"/>
          </rPr>
          <t xml:space="preserve">For all students placed out of district by the district is there an MOU in place? </t>
        </r>
      </text>
    </comment>
    <comment ref="N17" authorId="1">
      <text>
        <r>
          <rPr>
            <sz val="9"/>
            <color indexed="81"/>
            <rFont val="Tahoma"/>
            <family val="2"/>
          </rPr>
          <t xml:space="preserve">If MOU covers personnel, are the staff or is the service appropriate expenditure?
</t>
        </r>
      </text>
    </comment>
    <comment ref="O17" authorId="0">
      <text>
        <r>
          <rPr>
            <sz val="9"/>
            <color indexed="81"/>
            <rFont val="Tahoma"/>
            <family val="2"/>
          </rPr>
          <t>Adequately documented with a receipt, statement or invoice?</t>
        </r>
      </text>
    </comment>
    <comment ref="J39" authorId="0">
      <text>
        <r>
          <rPr>
            <b/>
            <sz val="9"/>
            <color indexed="81"/>
            <rFont val="Tahoma"/>
            <family val="2"/>
          </rPr>
          <t>james.devers:</t>
        </r>
        <r>
          <rPr>
            <sz val="9"/>
            <color indexed="81"/>
            <rFont val="Tahoma"/>
            <family val="2"/>
          </rPr>
          <t xml:space="preserve">
Served a proper public purpose under IDEA?</t>
        </r>
      </text>
    </comment>
    <comment ref="K39" authorId="0">
      <text>
        <r>
          <rPr>
            <b/>
            <sz val="9"/>
            <color indexed="81"/>
            <rFont val="Tahoma"/>
            <family val="2"/>
          </rPr>
          <t>james.devers:</t>
        </r>
        <r>
          <rPr>
            <sz val="9"/>
            <color indexed="81"/>
            <rFont val="Tahoma"/>
            <family val="2"/>
          </rPr>
          <t xml:space="preserve">
The expense was charged to the proper function</t>
        </r>
      </text>
    </comment>
    <comment ref="L39" authorId="0">
      <text>
        <r>
          <rPr>
            <b/>
            <sz val="9"/>
            <color indexed="81"/>
            <rFont val="Tahoma"/>
            <family val="2"/>
          </rPr>
          <t>james.devers:</t>
        </r>
        <r>
          <rPr>
            <sz val="9"/>
            <color indexed="81"/>
            <rFont val="Tahoma"/>
            <family val="2"/>
          </rPr>
          <t xml:space="preserve">
Thel expense was charged to the proper  object. </t>
        </r>
      </text>
    </comment>
    <comment ref="M39" authorId="0">
      <text>
        <r>
          <rPr>
            <b/>
            <sz val="9"/>
            <color indexed="81"/>
            <rFont val="Tahoma"/>
            <family val="2"/>
          </rPr>
          <t>james.devers:</t>
        </r>
        <r>
          <rPr>
            <sz val="9"/>
            <color indexed="81"/>
            <rFont val="Tahoma"/>
            <family val="2"/>
          </rPr>
          <t xml:space="preserve">
For all students placed out of district by the district is there an MOU in place? </t>
        </r>
      </text>
    </comment>
    <comment ref="N39" authorId="1">
      <text>
        <r>
          <rPr>
            <b/>
            <sz val="9"/>
            <color indexed="81"/>
            <rFont val="Tahoma"/>
            <family val="2"/>
          </rPr>
          <t>If MOU covers personnel, are the staff or is the service appropriate expenditure?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9" authorId="0">
      <text>
        <r>
          <rPr>
            <sz val="9"/>
            <color indexed="81"/>
            <rFont val="Tahoma"/>
            <family val="2"/>
          </rPr>
          <t>Adequately documented with a receipt, statement or invoice?</t>
        </r>
      </text>
    </comment>
  </commentList>
</comments>
</file>

<file path=xl/comments4.xml><?xml version="1.0" encoding="utf-8"?>
<comments xmlns="http://schemas.openxmlformats.org/spreadsheetml/2006/main">
  <authors>
    <author>james.devers</author>
  </authors>
  <commentList>
    <comment ref="B14" authorId="0">
      <text>
        <r>
          <rPr>
            <sz val="9"/>
            <color indexed="81"/>
            <rFont val="Tahoma"/>
            <family val="2"/>
          </rPr>
          <t>The LEA maintains in its records the number of children evaluated.</t>
        </r>
      </text>
    </comment>
    <comment ref="C14" authorId="0">
      <text>
        <r>
          <rPr>
            <sz val="9"/>
            <color indexed="81"/>
            <rFont val="Tahoma"/>
            <family val="2"/>
          </rPr>
          <t>The LEA maintains in its records the number of children determined to be SWD</t>
        </r>
      </text>
    </comment>
    <comment ref="D14" authorId="0">
      <text>
        <r>
          <rPr>
            <sz val="9"/>
            <color indexed="81"/>
            <rFont val="Tahoma"/>
            <family val="2"/>
          </rPr>
          <t>The LEA maintains in its records the number of children served</t>
        </r>
      </text>
    </comment>
    <comment ref="E14" authorId="0">
      <text>
        <r>
          <rPr>
            <sz val="9"/>
            <color indexed="81"/>
            <rFont val="Tahoma"/>
            <family val="2"/>
          </rPr>
          <t>The LEA held timely consultation with NP as noted in the NS3 documentation</t>
        </r>
      </text>
    </comment>
  </commentList>
</comments>
</file>

<file path=xl/comments5.xml><?xml version="1.0" encoding="utf-8"?>
<comments xmlns="http://schemas.openxmlformats.org/spreadsheetml/2006/main">
  <authors>
    <author>james.devers</author>
  </authors>
  <commentList>
    <comment ref="B14" authorId="0">
      <text>
        <r>
          <rPr>
            <sz val="9"/>
            <color indexed="81"/>
            <rFont val="Tahoma"/>
            <family val="2"/>
          </rPr>
          <t>Invitation to public meeting</t>
        </r>
      </text>
    </comment>
    <comment ref="C14" authorId="0">
      <text>
        <r>
          <rPr>
            <sz val="9"/>
            <color indexed="81"/>
            <rFont val="Tahoma"/>
            <family val="2"/>
          </rPr>
          <t>Adequate notice of the hearings (not less than one week)</t>
        </r>
      </text>
    </comment>
    <comment ref="D14" authorId="0">
      <text>
        <r>
          <rPr>
            <sz val="9"/>
            <color indexed="81"/>
            <rFont val="Tahoma"/>
            <family val="2"/>
          </rPr>
          <t>Agenda, sign in sheet or something equivalent to prove the meeting was held</t>
        </r>
      </text>
    </comment>
  </commentList>
</comments>
</file>

<file path=xl/comments6.xml><?xml version="1.0" encoding="utf-8"?>
<comments xmlns="http://schemas.openxmlformats.org/spreadsheetml/2006/main">
  <authors>
    <author>james.devers</author>
    <author>mark.lynskey</author>
  </authors>
  <commentList>
    <comment ref="B18" authorId="0">
      <text>
        <r>
          <rPr>
            <sz val="9"/>
            <color indexed="81"/>
            <rFont val="Tahoma"/>
            <family val="2"/>
          </rPr>
          <t>Review district budget for CEIS. Did district opt to redirect up to 15 % of funds for CEIS? Indicate in the comments section how CEIS was budgeted.</t>
        </r>
      </text>
    </comment>
    <comment ref="C18" authorId="0">
      <text>
        <r>
          <rPr>
            <sz val="9"/>
            <color indexed="81"/>
            <rFont val="Tahoma"/>
            <family val="2"/>
          </rPr>
          <t>Professional development expenditures align with CEIS plan.</t>
        </r>
      </text>
    </comment>
    <comment ref="D18" authorId="0">
      <text>
        <r>
          <rPr>
            <sz val="9"/>
            <color indexed="81"/>
            <rFont val="Tahoma"/>
            <family val="2"/>
          </rPr>
          <t>Providing educational and behavioral evaluations, services, and supports, including scientifically based literacy instruction</t>
        </r>
      </text>
    </comment>
    <comment ref="E18" authorId="0">
      <text>
        <r>
          <rPr>
            <sz val="9"/>
            <color indexed="81"/>
            <rFont val="Tahoma"/>
            <family val="2"/>
          </rPr>
          <t xml:space="preserve">
Verify number of students who received early interevening services.</t>
        </r>
      </text>
    </comment>
    <comment ref="F18" authorId="0">
      <text>
        <r>
          <rPr>
            <sz val="9"/>
            <color indexed="81"/>
            <rFont val="Tahoma"/>
            <family val="2"/>
          </rPr>
          <t>Verify number of students who subsequetly received SP ED/related services.</t>
        </r>
      </text>
    </comment>
    <comment ref="G18" authorId="1">
      <text>
        <r>
          <rPr>
            <sz val="9"/>
            <color indexed="81"/>
            <rFont val="Tahoma"/>
            <family val="2"/>
          </rPr>
          <t>Was the district eligible to replace local expenditures with Part B funds?</t>
        </r>
      </text>
    </comment>
    <comment ref="H18" authorId="1">
      <text>
        <r>
          <rPr>
            <sz val="9"/>
            <color indexed="81"/>
            <rFont val="Tahoma"/>
            <family val="2"/>
          </rPr>
          <t>Did the district use Part B funds to replace local costs?</t>
        </r>
      </text>
    </comment>
    <comment ref="I18" authorId="1">
      <text>
        <r>
          <rPr>
            <sz val="9"/>
            <color indexed="81"/>
            <rFont val="Tahoma"/>
            <family val="2"/>
          </rPr>
          <t>Did the district create an identifyer to enable the district to track the outlay of funds for CEIS or replacement of local funds?</t>
        </r>
      </text>
    </comment>
    <comment ref="J18" authorId="1">
      <text>
        <r>
          <rPr>
            <sz val="9"/>
            <color indexed="81"/>
            <rFont val="Tahoma"/>
            <family val="2"/>
          </rPr>
          <t>Was the information properly reported on the Redirection Page?</t>
        </r>
      </text>
    </comment>
  </commentList>
</comments>
</file>

<file path=xl/sharedStrings.xml><?xml version="1.0" encoding="utf-8"?>
<sst xmlns="http://schemas.openxmlformats.org/spreadsheetml/2006/main" count="409" uniqueCount="188">
  <si>
    <t>Vendor</t>
  </si>
  <si>
    <t>Voucher/Check#</t>
  </si>
  <si>
    <t>Date</t>
  </si>
  <si>
    <t>Attributes</t>
  </si>
  <si>
    <t>A</t>
  </si>
  <si>
    <t>B</t>
  </si>
  <si>
    <t>C</t>
  </si>
  <si>
    <t>D</t>
  </si>
  <si>
    <t>E</t>
  </si>
  <si>
    <t>F</t>
  </si>
  <si>
    <t>G</t>
  </si>
  <si>
    <t>Legend</t>
  </si>
  <si>
    <t>Attribute Satisfied</t>
  </si>
  <si>
    <t>Attribute Not Satisfied</t>
  </si>
  <si>
    <t>N/A</t>
  </si>
  <si>
    <t>Attribut Not Applicable</t>
  </si>
  <si>
    <t>N</t>
  </si>
  <si>
    <t>Amount</t>
  </si>
  <si>
    <t>Total</t>
  </si>
  <si>
    <t>Expenditures</t>
  </si>
  <si>
    <t>Item Description</t>
  </si>
  <si>
    <t>Item traced to location noted on the master listing</t>
  </si>
  <si>
    <t>the original funding source</t>
  </si>
  <si>
    <t>Attribute Not Applicable</t>
  </si>
  <si>
    <t>Payroll Expenditure Test</t>
  </si>
  <si>
    <t>Title</t>
  </si>
  <si>
    <t xml:space="preserve">     </t>
  </si>
  <si>
    <t>#</t>
  </si>
  <si>
    <t>Non-Payroll Expenditure Test</t>
  </si>
  <si>
    <t>Difference</t>
  </si>
  <si>
    <t>LEA Support</t>
  </si>
  <si>
    <t>%</t>
  </si>
  <si>
    <t>Documentation</t>
  </si>
  <si>
    <t>Salaries</t>
  </si>
  <si>
    <t>Fringe Benefits</t>
  </si>
  <si>
    <t>Purchased Services</t>
  </si>
  <si>
    <t>Supplies</t>
  </si>
  <si>
    <t>Capital Outlay</t>
  </si>
  <si>
    <t>Other</t>
  </si>
  <si>
    <t xml:space="preserve">      - properly documented the payroll expenditure via Time and Effort Log or Semi-Annual Certification</t>
  </si>
  <si>
    <t xml:space="preserve"> - properly documented expenditures, for example; invoices, contracts, cancelled checks.</t>
  </si>
  <si>
    <t>Expenditures;</t>
  </si>
  <si>
    <t>Served a proper public purpose under IDEA?</t>
  </si>
  <si>
    <t>Adequately documented with a receipt, statement or invoice?</t>
  </si>
  <si>
    <t>Support Services</t>
  </si>
  <si>
    <t>Governance/Admin</t>
  </si>
  <si>
    <t>Prof Development</t>
  </si>
  <si>
    <t>Family/Community</t>
  </si>
  <si>
    <t>Safety</t>
  </si>
  <si>
    <t>Facilities</t>
  </si>
  <si>
    <t>Transportation</t>
  </si>
  <si>
    <t>Nonpublic</t>
  </si>
  <si>
    <t>Indirect Cost</t>
  </si>
  <si>
    <t>Has the district established and implemented procurement procedures?</t>
  </si>
  <si>
    <t>disposition instruction from ODE before disposing of the asset</t>
  </si>
  <si>
    <t>For all items purchased with grant funds, determine that the proceeds from the sale were</t>
  </si>
  <si>
    <t>Attributes for replacement of local funds.</t>
  </si>
  <si>
    <t xml:space="preserve">Review prior year expenditures for which the current year IDEA funds were used to legally replace those local expenditures.  </t>
  </si>
  <si>
    <t>Ensure the amount replaced is noted in the CCIP redirection page.</t>
  </si>
  <si>
    <t>Code</t>
  </si>
  <si>
    <t>Retirement Fringe Benefits</t>
  </si>
  <si>
    <t>Adjusted Allocation</t>
  </si>
  <si>
    <t>Remaining</t>
  </si>
  <si>
    <r>
      <t>Purpose:</t>
    </r>
    <r>
      <rPr>
        <sz val="11"/>
        <rFont val="Calibri"/>
        <family val="2"/>
      </rPr>
      <t xml:space="preserve">  To ensure that,</t>
    </r>
  </si>
  <si>
    <t xml:space="preserve"> - there are public hearings</t>
  </si>
  <si>
    <t>Public Participation 300.165</t>
  </si>
  <si>
    <t xml:space="preserve"> </t>
  </si>
  <si>
    <t>School Age</t>
  </si>
  <si>
    <t>Pre-School Age</t>
  </si>
  <si>
    <t>IDEA Part B School Age</t>
  </si>
  <si>
    <t>TOTAL</t>
  </si>
  <si>
    <t xml:space="preserve">Instruction:  </t>
  </si>
  <si>
    <t>Instruction</t>
  </si>
  <si>
    <t>Equipment - Capital Outlay Test</t>
  </si>
  <si>
    <t xml:space="preserve"> deposited in the original grant funding source and used to support the grant activities from </t>
  </si>
  <si>
    <t>CCIP Redirection page 300.226</t>
  </si>
  <si>
    <t>Does the district have procurement policy?</t>
  </si>
  <si>
    <t>The reviewer should select a sample, test 10 % of expenditures not less than 10 transactions through the program year.</t>
  </si>
  <si>
    <t>Comments</t>
  </si>
  <si>
    <t>School District:</t>
  </si>
  <si>
    <t xml:space="preserve"> - an opportunity for comment available to the general public, including individuals with disabilities and parents of children with disabilites. </t>
  </si>
  <si>
    <t>Reviewer:</t>
  </si>
  <si>
    <t>Date:</t>
  </si>
  <si>
    <t xml:space="preserve"> -  federal funds are used for proper and intended purpose</t>
  </si>
  <si>
    <t xml:space="preserve">For items with fair market value of greater than $5,000 determine if the entity requested </t>
  </si>
  <si>
    <t>The entity disposed of the equipment in accordance with local policies</t>
  </si>
  <si>
    <t>Review of position description for all positions funded through IDEA funds</t>
  </si>
  <si>
    <t>H</t>
  </si>
  <si>
    <t>I</t>
  </si>
  <si>
    <t>COMMENTS</t>
  </si>
  <si>
    <t>Review Expenditures for evidence of payments related to services to Non-Public Schools stated in item #2 of the NS-3 Consultation Guide.</t>
  </si>
  <si>
    <t>Utilize the Districts ACCRPT and FER for this tab</t>
  </si>
  <si>
    <t xml:space="preserve">Utilize the FINDET report to determine with vouchers to review. Review vouchers pulled by the district's treasurers office. </t>
  </si>
  <si>
    <t xml:space="preserve"> - Each LEA must maintain in its records ;</t>
  </si>
  <si>
    <t>the number of children evaluated</t>
  </si>
  <si>
    <t>Participating NP</t>
  </si>
  <si>
    <t>The LEA maintains in its records the number of children determined to be SWD</t>
  </si>
  <si>
    <t>The LEA maintains in its records the number of children evaluated.</t>
  </si>
  <si>
    <t>The LEA maintains in its records the number of children served</t>
  </si>
  <si>
    <t>The LEA held timely consultation with NP as noted in the NS3 documentation</t>
  </si>
  <si>
    <t xml:space="preserve">        expense to the correct function and object.  </t>
  </si>
  <si>
    <t>the number of children determined to be children with disabilities</t>
  </si>
  <si>
    <t>the number of children served</t>
  </si>
  <si>
    <t>1.)</t>
  </si>
  <si>
    <t>2.)</t>
  </si>
  <si>
    <t>3.)</t>
  </si>
  <si>
    <t>Non-Public Child Find</t>
  </si>
  <si>
    <t>Review certificate for all teachers providing services to students with disabilities</t>
  </si>
  <si>
    <t>ATTRIBUTES</t>
  </si>
  <si>
    <t>Adequate notice of the hearings (not less than one week)</t>
  </si>
  <si>
    <t>Invitation to public meeting</t>
  </si>
  <si>
    <t>Agenda, sign in sheet or something equivalent to prove the meeting was held</t>
  </si>
  <si>
    <r>
      <t xml:space="preserve">Instruction: </t>
    </r>
    <r>
      <rPr>
        <sz val="11"/>
        <rFont val="Calibri"/>
        <family val="2"/>
      </rPr>
      <t xml:space="preserve"> Have the district present a copy of the public notice and other relevant documentation.</t>
    </r>
  </si>
  <si>
    <t xml:space="preserve">A  </t>
  </si>
  <si>
    <t>Instructions:</t>
  </si>
  <si>
    <t>Review CCIP redirection page</t>
  </si>
  <si>
    <t>Purpose:</t>
  </si>
  <si>
    <t>Review documents which support expenditures related to budget for PD or service for CEIS</t>
  </si>
  <si>
    <t xml:space="preserve">E  </t>
  </si>
  <si>
    <t xml:space="preserve">      - properly accounted for the payroll expense. This test will look to ensure the LEA properly coded the </t>
  </si>
  <si>
    <t>* if urban district, select 10% (not less than 10) of employee records to review.</t>
  </si>
  <si>
    <t xml:space="preserve"> - From the entity's master listing of equipment purchased with project funds, select a representative number of equipment items and trace them to locations noted in the district.  This applies to all funding years, not just the current year's purchases. </t>
  </si>
  <si>
    <t xml:space="preserve"> - test 10% of expenditures not less than 10 transactions, completed across the program year</t>
  </si>
  <si>
    <t xml:space="preserve"> - properly accounted for the non-payroll expense. This test will look to ensure the LEA properly coded the expense to the proper function and object.</t>
  </si>
  <si>
    <t xml:space="preserve">Is there an MOU in place for all students placed out of district by the district ? </t>
  </si>
  <si>
    <t>Is the district's procurement policy followed regarding purchases with IDEA funds?</t>
  </si>
  <si>
    <t xml:space="preserve">Did the district provide an equipment inventory list for review?  </t>
  </si>
  <si>
    <t>Is there an equipment inventory removal procedure in place and being followed?</t>
  </si>
  <si>
    <t>Professional development expenditures which align with CEIS?</t>
  </si>
  <si>
    <t>Providing educational and behavioral evaluations, services, and supports, including scientifically based literacy instruction?</t>
  </si>
  <si>
    <t>Is the district verifying the count of students who received early interevening services?</t>
  </si>
  <si>
    <t>Is the district verifying the count of students who subsequetly received SP ED / related services?</t>
  </si>
  <si>
    <t>Review the district's answer to question #5 on the NS-3 Consultation Guide.  If the services are provided, ensure the teacher providing services to non-public students has the proper certifications.</t>
  </si>
  <si>
    <t>Review district budget for CEIS. Did district opt to redirect up to 15 % of funds for CEIS? Indicate in the comments section how funds for CEIS were budgeted.</t>
  </si>
  <si>
    <t>Is the district properly identifying equipment purchased per its policy?</t>
  </si>
  <si>
    <t>PLEASE NOTE: Funds used to provide early intervening services under section 613(f)(1)-(5) count towards the maximum amount of local expenditures that a district may reduce.</t>
  </si>
  <si>
    <t>Name</t>
  </si>
  <si>
    <t>Function</t>
  </si>
  <si>
    <t>Object</t>
  </si>
  <si>
    <t>Fund</t>
  </si>
  <si>
    <t>Review of certification and/or licensure of IDEA funded staff - this includes those providing services to non-public schools. Is the License appropriate given position held?</t>
  </si>
  <si>
    <t>The Payroll expense was charged to the proper fund.</t>
  </si>
  <si>
    <t>The Payroll expense was charged to the proper function.</t>
  </si>
  <si>
    <t>Y</t>
  </si>
  <si>
    <t>Charged to the proper object?</t>
  </si>
  <si>
    <t>Charge to the proper function?</t>
  </si>
  <si>
    <t xml:space="preserve"> - Using the entity's list of equipment disposed during the review period, regardless of year purchased, select a sample  of disposals and determine that:</t>
  </si>
  <si>
    <t>the district is able to document its timely consultation with non-public schools</t>
  </si>
  <si>
    <t>4)</t>
  </si>
  <si>
    <t>Review Expenditures (FINDET) for evidence of payments related to services to Non-Public Schools stated in item #2 of the NS-3 Consultation Guide.</t>
  </si>
  <si>
    <t>Districts are able to allocate funds to various projects and purposes which must be reported on the Redirection Page.</t>
  </si>
  <si>
    <t>Allocation:</t>
  </si>
  <si>
    <t>CCIP Budget</t>
  </si>
  <si>
    <t>Findet to date</t>
  </si>
  <si>
    <t>Budgeted</t>
  </si>
  <si>
    <t>School Age Current fiscal year 516</t>
  </si>
  <si>
    <t>Pre-School Age 587</t>
  </si>
  <si>
    <t xml:space="preserve">Item </t>
  </si>
  <si>
    <t xml:space="preserve">Semi-annual Certification documentation was maintained for Single Funded or single purpose employees </t>
  </si>
  <si>
    <t>Time and effort documentation was maintained (Split purpose employees require Log or Timesheet) Personal Activity Report (PAR)</t>
  </si>
  <si>
    <t>Inventory list</t>
  </si>
  <si>
    <t>Was district eligible to replace local funds?</t>
  </si>
  <si>
    <t>Did they replace local funds?</t>
  </si>
  <si>
    <t>Are they tracking funds?</t>
  </si>
  <si>
    <t>Did they report in the redirection page?</t>
  </si>
  <si>
    <t>serial number/ID</t>
  </si>
  <si>
    <t>Location</t>
  </si>
  <si>
    <t>Acquistion cost</t>
  </si>
  <si>
    <t>Acquistion Date</t>
  </si>
  <si>
    <t>Comments/dispostion data inclusing date of disposal and the sale price for the item</t>
  </si>
  <si>
    <t>proper intendend use</t>
  </si>
  <si>
    <t>Indicate Y/N/NA</t>
  </si>
  <si>
    <t>If MOU covers personnel, are the staff or is the service appropriate expenditure</t>
  </si>
  <si>
    <t>percent of Part B funds included  in the cost of the item</t>
  </si>
  <si>
    <t>percent of Part B funds included in the cost of the item</t>
  </si>
  <si>
    <t>Name of Holder</t>
  </si>
  <si>
    <t>condition of the item</t>
  </si>
  <si>
    <t xml:space="preserve"> - adequate notice of the hearings (not less than one week prior to date or public hearing)</t>
  </si>
  <si>
    <t xml:space="preserve"> Documentation</t>
  </si>
  <si>
    <t>District Statement of Accounts</t>
  </si>
  <si>
    <r>
      <t>Purpose:</t>
    </r>
    <r>
      <rPr>
        <sz val="11"/>
        <rFont val="Arial"/>
        <family val="2"/>
      </rPr>
      <t xml:space="preserve">  To detemine if the subgrantee,</t>
    </r>
  </si>
  <si>
    <r>
      <t xml:space="preserve">Purpose: </t>
    </r>
    <r>
      <rPr>
        <sz val="11"/>
        <rFont val="Arial"/>
        <family val="2"/>
      </rPr>
      <t xml:space="preserve"> Equipment may be purchased with IDEA Part B funds.  </t>
    </r>
  </si>
  <si>
    <t xml:space="preserve"> - LEAs are required to do child find with non publics in their boundaries (not  paid with proportionate share amount)</t>
  </si>
  <si>
    <r>
      <t>Purpose:</t>
    </r>
    <r>
      <rPr>
        <sz val="11"/>
        <rFont val="Arial"/>
        <family val="2"/>
      </rPr>
      <t xml:space="preserve"> </t>
    </r>
  </si>
  <si>
    <t>The district maintains documentation for all certified teachers and para-professionals paid with Part B funds to assure that they meet the qualifications and requirements to be considered a Highly Qualified Teacher.</t>
  </si>
  <si>
    <t>Instructions:  The reviewer shall review all employees funded with Part B funds to ensure the federal funds were expended for an appropriate purpose based upon the fedral guidelines.</t>
  </si>
  <si>
    <r>
      <t>Purpose:</t>
    </r>
    <r>
      <rPr>
        <sz val="11"/>
        <rFont val="Arial"/>
        <family val="2"/>
      </rPr>
      <t xml:space="preserve">  To determine if the subgrantee,</t>
    </r>
  </si>
  <si>
    <t>They reported MFS but no other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</si>
</sst>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[$-409]mmmm\ d\,\ yyyy;@"/>
    <numFmt numFmtId="165" formatCode="_([$₹-458]* #,##0.00_);_([$₹-458]* \(#,##0.00\);_([$₹-458]* &quot;-&quot;??_);_(@_)"/>
  </numFmts>
  <fonts count="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i/>
      <u/>
      <sz val="11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19"/>
      <name val="Calibri"/>
      <family val="2"/>
    </font>
    <font>
      <sz val="8"/>
      <name val="Arial"/>
      <family val="2"/>
    </font>
    <font>
      <sz val="11"/>
      <color rgb="FFFF99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19"/>
      <name val="Arial"/>
      <family val="2"/>
    </font>
    <font>
      <b/>
      <sz val="11"/>
      <color indexed="9"/>
      <name val="Arial"/>
      <family val="2"/>
    </font>
    <font>
      <b/>
      <sz val="11"/>
      <color indexed="8"/>
      <name val="Arial"/>
      <family val="2"/>
    </font>
    <font>
      <b/>
      <i/>
      <u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color rgb="FFFF0000"/>
      <name val="Arial"/>
      <family val="2"/>
    </font>
    <font>
      <sz val="11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66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52"/>
      </top>
      <bottom style="thin">
        <color indexed="5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64"/>
      </right>
      <top/>
      <bottom style="thin">
        <color indexed="64"/>
      </bottom>
      <diagonal/>
    </border>
    <border>
      <left style="thin">
        <color indexed="52"/>
      </left>
      <right/>
      <top style="thin">
        <color indexed="52"/>
      </top>
      <bottom style="thin">
        <color indexed="5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55"/>
      </left>
      <right/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thin">
        <color indexed="64"/>
      </bottom>
      <diagonal/>
    </border>
    <border>
      <left/>
      <right style="thin">
        <color indexed="52"/>
      </right>
      <top style="thin">
        <color indexed="52"/>
      </top>
      <bottom style="thin">
        <color indexed="52"/>
      </bottom>
      <diagonal/>
    </border>
    <border>
      <left style="thin">
        <color indexed="55"/>
      </left>
      <right/>
      <top style="medium">
        <color indexed="64"/>
      </top>
      <bottom style="thin">
        <color indexed="64"/>
      </bottom>
      <diagonal/>
    </border>
    <border>
      <left style="thin">
        <color indexed="52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/>
      <bottom style="medium">
        <color indexed="64"/>
      </bottom>
      <diagonal/>
    </border>
    <border>
      <left/>
      <right style="thin">
        <color indexed="55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/>
      <top style="thin">
        <color indexed="55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55"/>
      </right>
      <top style="medium">
        <color indexed="64"/>
      </top>
      <bottom/>
      <diagonal/>
    </border>
    <border>
      <left/>
      <right style="thin">
        <color indexed="55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52"/>
      </left>
      <right/>
      <top style="thin">
        <color indexed="52"/>
      </top>
      <bottom style="thin">
        <color indexed="52"/>
      </bottom>
      <diagonal/>
    </border>
    <border>
      <left/>
      <right/>
      <top style="thin">
        <color indexed="52"/>
      </top>
      <bottom style="thin">
        <color indexed="52"/>
      </bottom>
      <diagonal/>
    </border>
    <border>
      <left/>
      <right/>
      <top style="thin">
        <color indexed="5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373">
    <xf numFmtId="0" fontId="0" fillId="0" borderId="0" xfId="0"/>
    <xf numFmtId="0" fontId="4" fillId="0" borderId="0" xfId="0" applyFont="1" applyAlignment="1"/>
    <xf numFmtId="0" fontId="3" fillId="0" borderId="0" xfId="0" applyFont="1"/>
    <xf numFmtId="0" fontId="10" fillId="0" borderId="0" xfId="0" applyFont="1" applyAlignment="1">
      <alignment wrapText="1"/>
    </xf>
    <xf numFmtId="0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left" wrapText="1"/>
    </xf>
    <xf numFmtId="0" fontId="14" fillId="0" borderId="0" xfId="0" applyFont="1" applyAlignment="1">
      <alignment vertical="top"/>
    </xf>
    <xf numFmtId="0" fontId="14" fillId="0" borderId="0" xfId="0" applyFont="1"/>
    <xf numFmtId="0" fontId="14" fillId="0" borderId="0" xfId="0" applyFont="1" applyBorder="1"/>
    <xf numFmtId="14" fontId="14" fillId="0" borderId="0" xfId="0" applyNumberFormat="1" applyFont="1" applyBorder="1"/>
    <xf numFmtId="0" fontId="13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164" fontId="14" fillId="0" borderId="0" xfId="0" applyNumberFormat="1" applyFont="1" applyFill="1" applyBorder="1" applyAlignment="1">
      <alignment horizontal="left"/>
    </xf>
    <xf numFmtId="0" fontId="15" fillId="0" borderId="0" xfId="0" applyFont="1" applyFill="1" applyBorder="1" applyAlignment="1">
      <alignment horizontal="center"/>
    </xf>
    <xf numFmtId="0" fontId="13" fillId="0" borderId="0" xfId="0" applyFont="1" applyAlignment="1"/>
    <xf numFmtId="0" fontId="14" fillId="0" borderId="0" xfId="0" applyFont="1" applyAlignment="1"/>
    <xf numFmtId="0" fontId="14" fillId="0" borderId="0" xfId="0" applyFont="1" applyFill="1" applyBorder="1" applyAlignment="1">
      <alignment horizontal="left" wrapText="1"/>
    </xf>
    <xf numFmtId="0" fontId="14" fillId="0" borderId="0" xfId="0" applyFont="1" applyFill="1" applyAlignment="1">
      <alignment horizontal="left" wrapText="1"/>
    </xf>
    <xf numFmtId="0" fontId="14" fillId="0" borderId="0" xfId="0" applyFont="1" applyFill="1"/>
    <xf numFmtId="0" fontId="14" fillId="0" borderId="0" xfId="0" applyFont="1" applyBorder="1" applyAlignment="1"/>
    <xf numFmtId="0" fontId="13" fillId="0" borderId="0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/>
    <xf numFmtId="0" fontId="14" fillId="0" borderId="32" xfId="0" applyFont="1" applyBorder="1"/>
    <xf numFmtId="44" fontId="14" fillId="0" borderId="0" xfId="1" applyFont="1" applyBorder="1"/>
    <xf numFmtId="10" fontId="14" fillId="0" borderId="0" xfId="0" applyNumberFormat="1" applyFont="1" applyBorder="1"/>
    <xf numFmtId="0" fontId="14" fillId="0" borderId="24" xfId="0" applyFont="1" applyBorder="1"/>
    <xf numFmtId="0" fontId="13" fillId="0" borderId="39" xfId="0" applyFont="1" applyBorder="1" applyAlignment="1">
      <alignment horizontal="left" vertical="center"/>
    </xf>
    <xf numFmtId="0" fontId="13" fillId="0" borderId="28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3" fillId="0" borderId="32" xfId="0" applyFont="1" applyBorder="1" applyAlignment="1">
      <alignment horizontal="center" vertical="center"/>
    </xf>
    <xf numFmtId="44" fontId="13" fillId="4" borderId="9" xfId="1" applyFont="1" applyFill="1" applyBorder="1" applyAlignment="1">
      <alignment horizontal="center"/>
    </xf>
    <xf numFmtId="10" fontId="13" fillId="4" borderId="15" xfId="0" applyNumberFormat="1" applyFont="1" applyFill="1" applyBorder="1" applyAlignment="1">
      <alignment horizontal="center"/>
    </xf>
    <xf numFmtId="44" fontId="13" fillId="5" borderId="86" xfId="1" applyFont="1" applyFill="1" applyBorder="1" applyAlignment="1">
      <alignment horizontal="center"/>
    </xf>
    <xf numFmtId="0" fontId="13" fillId="5" borderId="88" xfId="0" applyFont="1" applyFill="1" applyBorder="1" applyAlignment="1">
      <alignment horizontal="center"/>
    </xf>
    <xf numFmtId="0" fontId="13" fillId="5" borderId="89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3" fillId="0" borderId="3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5" borderId="13" xfId="0" applyFont="1" applyFill="1" applyBorder="1"/>
    <xf numFmtId="0" fontId="13" fillId="5" borderId="0" xfId="0" applyFont="1" applyFill="1" applyBorder="1"/>
    <xf numFmtId="0" fontId="14" fillId="5" borderId="14" xfId="0" applyFont="1" applyFill="1" applyBorder="1"/>
    <xf numFmtId="0" fontId="16" fillId="3" borderId="8" xfId="0" applyFont="1" applyFill="1" applyBorder="1" applyAlignment="1">
      <alignment horizontal="center" wrapText="1"/>
    </xf>
    <xf numFmtId="0" fontId="16" fillId="3" borderId="10" xfId="0" applyFont="1" applyFill="1" applyBorder="1" applyAlignment="1">
      <alignment horizontal="center" wrapText="1"/>
    </xf>
    <xf numFmtId="44" fontId="14" fillId="4" borderId="13" xfId="1" applyFont="1" applyFill="1" applyBorder="1"/>
    <xf numFmtId="10" fontId="14" fillId="4" borderId="14" xfId="0" applyNumberFormat="1" applyFont="1" applyFill="1" applyBorder="1"/>
    <xf numFmtId="44" fontId="13" fillId="5" borderId="13" xfId="1" applyFont="1" applyFill="1" applyBorder="1" applyAlignment="1">
      <alignment horizontal="center"/>
    </xf>
    <xf numFmtId="0" fontId="13" fillId="5" borderId="0" xfId="0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44" fontId="13" fillId="4" borderId="13" xfId="1" applyFont="1" applyFill="1" applyBorder="1" applyAlignment="1">
      <alignment horizontal="center"/>
    </xf>
    <xf numFmtId="10" fontId="13" fillId="4" borderId="14" xfId="0" applyNumberFormat="1" applyFont="1" applyFill="1" applyBorder="1" applyAlignment="1">
      <alignment horizontal="center"/>
    </xf>
    <xf numFmtId="0" fontId="14" fillId="0" borderId="27" xfId="0" applyFont="1" applyBorder="1"/>
    <xf numFmtId="0" fontId="13" fillId="2" borderId="34" xfId="0" applyFont="1" applyFill="1" applyBorder="1" applyAlignment="1">
      <alignment horizontal="left" wrapText="1"/>
    </xf>
    <xf numFmtId="44" fontId="14" fillId="0" borderId="7" xfId="0" applyNumberFormat="1" applyFont="1" applyBorder="1"/>
    <xf numFmtId="44" fontId="14" fillId="0" borderId="2" xfId="0" applyNumberFormat="1" applyFont="1" applyBorder="1"/>
    <xf numFmtId="0" fontId="14" fillId="0" borderId="2" xfId="0" applyFont="1" applyBorder="1"/>
    <xf numFmtId="44" fontId="14" fillId="5" borderId="13" xfId="1" applyFont="1" applyFill="1" applyBorder="1"/>
    <xf numFmtId="40" fontId="14" fillId="5" borderId="0" xfId="0" applyNumberFormat="1" applyFont="1" applyFill="1" applyBorder="1"/>
    <xf numFmtId="40" fontId="14" fillId="5" borderId="14" xfId="0" applyNumberFormat="1" applyFont="1" applyFill="1" applyBorder="1"/>
    <xf numFmtId="40" fontId="14" fillId="0" borderId="0" xfId="0" applyNumberFormat="1" applyFont="1" applyFill="1" applyBorder="1"/>
    <xf numFmtId="0" fontId="17" fillId="7" borderId="34" xfId="0" applyFont="1" applyFill="1" applyBorder="1" applyAlignment="1">
      <alignment wrapText="1"/>
    </xf>
    <xf numFmtId="0" fontId="14" fillId="0" borderId="7" xfId="0" applyFont="1" applyBorder="1"/>
    <xf numFmtId="0" fontId="13" fillId="0" borderId="34" xfId="0" applyFont="1" applyBorder="1" applyAlignment="1">
      <alignment horizontal="center"/>
    </xf>
    <xf numFmtId="0" fontId="13" fillId="0" borderId="2" xfId="0" applyFont="1" applyBorder="1" applyAlignment="1"/>
    <xf numFmtId="0" fontId="14" fillId="0" borderId="12" xfId="0" applyFont="1" applyBorder="1" applyAlignment="1"/>
    <xf numFmtId="44" fontId="14" fillId="0" borderId="0" xfId="1" applyFont="1" applyBorder="1" applyAlignment="1"/>
    <xf numFmtId="44" fontId="14" fillId="4" borderId="2" xfId="1" applyFont="1" applyFill="1" applyBorder="1" applyAlignment="1"/>
    <xf numFmtId="10" fontId="14" fillId="4" borderId="2" xfId="0" applyNumberFormat="1" applyFont="1" applyFill="1" applyBorder="1" applyAlignment="1"/>
    <xf numFmtId="44" fontId="14" fillId="5" borderId="72" xfId="1" applyFont="1" applyFill="1" applyBorder="1"/>
    <xf numFmtId="40" fontId="14" fillId="5" borderId="72" xfId="0" applyNumberFormat="1" applyFont="1" applyFill="1" applyBorder="1"/>
    <xf numFmtId="0" fontId="17" fillId="2" borderId="34" xfId="0" applyFont="1" applyFill="1" applyBorder="1" applyAlignment="1">
      <alignment wrapText="1"/>
    </xf>
    <xf numFmtId="0" fontId="17" fillId="4" borderId="34" xfId="0" applyFont="1" applyFill="1" applyBorder="1" applyAlignment="1">
      <alignment wrapText="1"/>
    </xf>
    <xf numFmtId="0" fontId="14" fillId="4" borderId="2" xfId="0" applyFont="1" applyFill="1" applyBorder="1"/>
    <xf numFmtId="0" fontId="14" fillId="0" borderId="40" xfId="0" applyFont="1" applyBorder="1"/>
    <xf numFmtId="0" fontId="14" fillId="0" borderId="36" xfId="0" applyFont="1" applyBorder="1"/>
    <xf numFmtId="0" fontId="14" fillId="0" borderId="30" xfId="0" applyFont="1" applyBorder="1"/>
    <xf numFmtId="0" fontId="14" fillId="0" borderId="41" xfId="0" applyFont="1" applyBorder="1"/>
    <xf numFmtId="0" fontId="13" fillId="0" borderId="34" xfId="0" applyFont="1" applyBorder="1" applyAlignment="1"/>
    <xf numFmtId="0" fontId="14" fillId="0" borderId="34" xfId="0" applyFont="1" applyBorder="1"/>
    <xf numFmtId="0" fontId="14" fillId="0" borderId="12" xfId="0" applyFont="1" applyBorder="1"/>
    <xf numFmtId="44" fontId="14" fillId="4" borderId="2" xfId="1" applyFont="1" applyFill="1" applyBorder="1"/>
    <xf numFmtId="10" fontId="14" fillId="4" borderId="2" xfId="0" applyNumberFormat="1" applyFont="1" applyFill="1" applyBorder="1"/>
    <xf numFmtId="44" fontId="14" fillId="0" borderId="30" xfId="1" applyFont="1" applyBorder="1"/>
    <xf numFmtId="40" fontId="14" fillId="0" borderId="30" xfId="0" applyNumberFormat="1" applyFont="1" applyBorder="1"/>
    <xf numFmtId="0" fontId="14" fillId="0" borderId="31" xfId="0" applyFont="1" applyBorder="1"/>
    <xf numFmtId="0" fontId="14" fillId="0" borderId="32" xfId="0" applyFont="1" applyBorder="1" applyAlignment="1"/>
    <xf numFmtId="0" fontId="13" fillId="0" borderId="0" xfId="0" applyFont="1" applyBorder="1" applyAlignment="1"/>
    <xf numFmtId="0" fontId="13" fillId="5" borderId="16" xfId="0" applyFont="1" applyFill="1" applyBorder="1" applyAlignment="1">
      <alignment horizontal="center"/>
    </xf>
    <xf numFmtId="0" fontId="13" fillId="5" borderId="33" xfId="0" applyFont="1" applyFill="1" applyBorder="1" applyAlignment="1">
      <alignment horizontal="center"/>
    </xf>
    <xf numFmtId="0" fontId="16" fillId="3" borderId="42" xfId="0" applyFont="1" applyFill="1" applyBorder="1" applyAlignment="1">
      <alignment horizontal="left" wrapText="1"/>
    </xf>
    <xf numFmtId="0" fontId="14" fillId="5" borderId="24" xfId="0" applyFont="1" applyFill="1" applyBorder="1"/>
    <xf numFmtId="0" fontId="16" fillId="3" borderId="44" xfId="0" applyFont="1" applyFill="1" applyBorder="1" applyAlignment="1">
      <alignment horizontal="left" wrapText="1"/>
    </xf>
    <xf numFmtId="0" fontId="13" fillId="5" borderId="24" xfId="0" applyFont="1" applyFill="1" applyBorder="1" applyAlignment="1">
      <alignment horizontal="center"/>
    </xf>
    <xf numFmtId="44" fontId="14" fillId="5" borderId="87" xfId="1" applyFont="1" applyFill="1" applyBorder="1"/>
    <xf numFmtId="40" fontId="14" fillId="5" borderId="24" xfId="0" applyNumberFormat="1" applyFont="1" applyFill="1" applyBorder="1"/>
    <xf numFmtId="0" fontId="13" fillId="0" borderId="2" xfId="0" applyFont="1" applyBorder="1"/>
    <xf numFmtId="44" fontId="14" fillId="5" borderId="2" xfId="1" applyFont="1" applyFill="1" applyBorder="1"/>
    <xf numFmtId="40" fontId="14" fillId="5" borderId="2" xfId="0" applyNumberFormat="1" applyFont="1" applyFill="1" applyBorder="1"/>
    <xf numFmtId="40" fontId="14" fillId="5" borderId="35" xfId="0" applyNumberFormat="1" applyFont="1" applyFill="1" applyBorder="1"/>
    <xf numFmtId="0" fontId="14" fillId="0" borderId="12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13" fillId="0" borderId="34" xfId="0" applyFont="1" applyBorder="1"/>
    <xf numFmtId="0" fontId="14" fillId="5" borderId="2" xfId="0" applyFont="1" applyFill="1" applyBorder="1"/>
    <xf numFmtId="44" fontId="14" fillId="0" borderId="0" xfId="1" applyFont="1"/>
    <xf numFmtId="10" fontId="14" fillId="0" borderId="0" xfId="0" applyNumberFormat="1" applyFont="1"/>
    <xf numFmtId="0" fontId="14" fillId="0" borderId="95" xfId="0" applyFont="1" applyBorder="1"/>
    <xf numFmtId="0" fontId="14" fillId="0" borderId="76" xfId="0" applyFont="1" applyBorder="1"/>
    <xf numFmtId="0" fontId="14" fillId="0" borderId="96" xfId="0" applyFont="1" applyBorder="1"/>
    <xf numFmtId="44" fontId="14" fillId="4" borderId="76" xfId="1" applyFont="1" applyFill="1" applyBorder="1"/>
    <xf numFmtId="10" fontId="14" fillId="4" borderId="76" xfId="0" applyNumberFormat="1" applyFont="1" applyFill="1" applyBorder="1"/>
    <xf numFmtId="0" fontId="14" fillId="5" borderId="76" xfId="0" applyFont="1" applyFill="1" applyBorder="1"/>
    <xf numFmtId="40" fontId="14" fillId="5" borderId="76" xfId="0" applyNumberFormat="1" applyFont="1" applyFill="1" applyBorder="1"/>
    <xf numFmtId="0" fontId="14" fillId="0" borderId="97" xfId="0" applyFont="1" applyBorder="1"/>
    <xf numFmtId="0" fontId="14" fillId="0" borderId="98" xfId="0" applyFont="1" applyBorder="1"/>
    <xf numFmtId="44" fontId="14" fillId="0" borderId="98" xfId="1" applyFont="1" applyBorder="1"/>
    <xf numFmtId="40" fontId="14" fillId="0" borderId="98" xfId="0" applyNumberFormat="1" applyFont="1" applyBorder="1"/>
    <xf numFmtId="0" fontId="14" fillId="0" borderId="99" xfId="0" applyFont="1" applyBorder="1"/>
    <xf numFmtId="0" fontId="14" fillId="0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left" wrapText="1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/>
    <xf numFmtId="0" fontId="13" fillId="4" borderId="23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4" fillId="4" borderId="24" xfId="0" applyFont="1" applyFill="1" applyBorder="1"/>
    <xf numFmtId="0" fontId="14" fillId="0" borderId="1" xfId="0" applyFont="1" applyBorder="1"/>
    <xf numFmtId="0" fontId="18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Fill="1" applyAlignment="1">
      <alignment horizontal="center"/>
    </xf>
    <xf numFmtId="0" fontId="14" fillId="0" borderId="0" xfId="0" applyFont="1" applyAlignment="1">
      <alignment wrapText="1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/>
    <xf numFmtId="164" fontId="14" fillId="0" borderId="0" xfId="0" applyNumberFormat="1" applyFont="1"/>
    <xf numFmtId="0" fontId="13" fillId="0" borderId="18" xfId="0" applyFont="1" applyBorder="1" applyAlignment="1">
      <alignment horizontal="center"/>
    </xf>
    <xf numFmtId="0" fontId="13" fillId="2" borderId="78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2" borderId="7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2" borderId="19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44" fontId="14" fillId="0" borderId="1" xfId="0" applyNumberFormat="1" applyFont="1" applyBorder="1"/>
    <xf numFmtId="14" fontId="14" fillId="0" borderId="1" xfId="0" applyNumberFormat="1" applyFont="1" applyBorder="1"/>
    <xf numFmtId="0" fontId="13" fillId="0" borderId="71" xfId="0" applyFont="1" applyBorder="1" applyAlignment="1">
      <alignment horizontal="center"/>
    </xf>
    <xf numFmtId="0" fontId="14" fillId="0" borderId="71" xfId="0" applyFont="1" applyBorder="1"/>
    <xf numFmtId="0" fontId="14" fillId="0" borderId="77" xfId="0" applyFont="1" applyBorder="1"/>
    <xf numFmtId="44" fontId="14" fillId="0" borderId="71" xfId="0" applyNumberFormat="1" applyFont="1" applyBorder="1"/>
    <xf numFmtId="14" fontId="14" fillId="0" borderId="71" xfId="0" applyNumberFormat="1" applyFont="1" applyBorder="1"/>
    <xf numFmtId="0" fontId="13" fillId="0" borderId="76" xfId="0" applyFont="1" applyBorder="1" applyAlignment="1">
      <alignment horizontal="center"/>
    </xf>
    <xf numFmtId="14" fontId="14" fillId="0" borderId="76" xfId="0" applyNumberFormat="1" applyFont="1" applyBorder="1"/>
    <xf numFmtId="0" fontId="13" fillId="0" borderId="72" xfId="0" applyFont="1" applyBorder="1" applyAlignment="1">
      <alignment horizontal="center"/>
    </xf>
    <xf numFmtId="0" fontId="14" fillId="0" borderId="72" xfId="0" applyFont="1" applyBorder="1"/>
    <xf numFmtId="44" fontId="14" fillId="0" borderId="72" xfId="0" applyNumberFormat="1" applyFont="1" applyBorder="1"/>
    <xf numFmtId="14" fontId="14" fillId="0" borderId="72" xfId="0" applyNumberFormat="1" applyFont="1" applyBorder="1"/>
    <xf numFmtId="44" fontId="14" fillId="0" borderId="0" xfId="0" applyNumberFormat="1" applyFont="1" applyBorder="1"/>
    <xf numFmtId="0" fontId="19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3" fillId="0" borderId="0" xfId="0" applyFont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4" fillId="0" borderId="0" xfId="0" applyFont="1" applyFill="1" applyAlignment="1">
      <alignment textRotation="90"/>
    </xf>
    <xf numFmtId="0" fontId="19" fillId="0" borderId="0" xfId="0" applyFont="1"/>
    <xf numFmtId="14" fontId="14" fillId="0" borderId="0" xfId="0" applyNumberFormat="1" applyFont="1" applyFill="1" applyBorder="1" applyAlignment="1">
      <alignment horizontal="left"/>
    </xf>
    <xf numFmtId="0" fontId="14" fillId="0" borderId="0" xfId="0" applyFont="1" applyAlignment="1">
      <alignment textRotation="90"/>
    </xf>
    <xf numFmtId="0" fontId="13" fillId="2" borderId="17" xfId="0" applyFont="1" applyFill="1" applyBorder="1"/>
    <xf numFmtId="0" fontId="13" fillId="2" borderId="3" xfId="0" applyFont="1" applyFill="1" applyBorder="1" applyAlignment="1">
      <alignment horizontal="center"/>
    </xf>
    <xf numFmtId="0" fontId="14" fillId="0" borderId="0" xfId="0" applyFont="1" applyAlignment="1">
      <alignment textRotation="90" wrapText="1"/>
    </xf>
    <xf numFmtId="0" fontId="14" fillId="0" borderId="14" xfId="0" applyFont="1" applyBorder="1"/>
    <xf numFmtId="44" fontId="14" fillId="0" borderId="27" xfId="0" applyNumberFormat="1" applyFont="1" applyBorder="1"/>
    <xf numFmtId="44" fontId="14" fillId="0" borderId="13" xfId="0" applyNumberFormat="1" applyFont="1" applyBorder="1"/>
    <xf numFmtId="0" fontId="14" fillId="0" borderId="13" xfId="0" applyFont="1" applyBorder="1"/>
    <xf numFmtId="0" fontId="14" fillId="0" borderId="0" xfId="0" applyFont="1" applyFill="1" applyBorder="1" applyAlignment="1">
      <alignment horizontal="center" textRotation="90"/>
    </xf>
    <xf numFmtId="0" fontId="14" fillId="0" borderId="0" xfId="0" applyFont="1" applyBorder="1" applyAlignment="1">
      <alignment horizontal="center"/>
    </xf>
    <xf numFmtId="0" fontId="14" fillId="9" borderId="72" xfId="0" applyFont="1" applyFill="1" applyBorder="1"/>
    <xf numFmtId="0" fontId="19" fillId="0" borderId="0" xfId="0" applyFont="1" applyAlignment="1"/>
    <xf numFmtId="0" fontId="19" fillId="0" borderId="80" xfId="0" applyFont="1" applyBorder="1" applyAlignment="1"/>
    <xf numFmtId="0" fontId="19" fillId="0" borderId="0" xfId="0" applyFont="1" applyBorder="1" applyAlignment="1"/>
    <xf numFmtId="0" fontId="21" fillId="0" borderId="0" xfId="0" applyFont="1"/>
    <xf numFmtId="0" fontId="14" fillId="0" borderId="0" xfId="0" applyFont="1" applyAlignment="1">
      <alignment horizontal="center" vertical="center" textRotation="90"/>
    </xf>
    <xf numFmtId="0" fontId="14" fillId="0" borderId="100" xfId="0" applyFont="1" applyBorder="1"/>
    <xf numFmtId="44" fontId="14" fillId="0" borderId="100" xfId="0" applyNumberFormat="1" applyFont="1" applyBorder="1"/>
    <xf numFmtId="44" fontId="14" fillId="0" borderId="47" xfId="0" applyNumberFormat="1" applyFont="1" applyBorder="1"/>
    <xf numFmtId="0" fontId="14" fillId="0" borderId="47" xfId="0" applyFont="1" applyBorder="1"/>
    <xf numFmtId="0" fontId="13" fillId="2" borderId="101" xfId="0" applyFont="1" applyFill="1" applyBorder="1" applyAlignment="1">
      <alignment horizontal="center" wrapText="1"/>
    </xf>
    <xf numFmtId="0" fontId="13" fillId="2" borderId="102" xfId="0" applyFont="1" applyFill="1" applyBorder="1" applyAlignment="1">
      <alignment horizontal="center" wrapText="1"/>
    </xf>
    <xf numFmtId="0" fontId="14" fillId="0" borderId="44" xfId="0" applyFont="1" applyBorder="1"/>
    <xf numFmtId="0" fontId="14" fillId="0" borderId="35" xfId="0" applyFont="1" applyBorder="1"/>
    <xf numFmtId="0" fontId="14" fillId="0" borderId="62" xfId="0" applyFont="1" applyBorder="1"/>
    <xf numFmtId="0" fontId="14" fillId="0" borderId="0" xfId="0" applyFont="1" applyAlignment="1">
      <alignment horizontal="right"/>
    </xf>
    <xf numFmtId="0" fontId="14" fillId="0" borderId="0" xfId="2" applyFont="1" applyAlignment="1">
      <alignment wrapText="1"/>
    </xf>
    <xf numFmtId="0" fontId="14" fillId="0" borderId="0" xfId="2" applyFont="1"/>
    <xf numFmtId="0" fontId="13" fillId="4" borderId="59" xfId="2" applyFont="1" applyFill="1" applyBorder="1" applyAlignment="1">
      <alignment horizontal="center"/>
    </xf>
    <xf numFmtId="0" fontId="13" fillId="4" borderId="60" xfId="2" applyFont="1" applyFill="1" applyBorder="1" applyAlignment="1">
      <alignment horizontal="center"/>
    </xf>
    <xf numFmtId="0" fontId="13" fillId="4" borderId="61" xfId="2" applyFont="1" applyFill="1" applyBorder="1" applyAlignment="1">
      <alignment horizontal="center" wrapText="1"/>
    </xf>
    <xf numFmtId="0" fontId="14" fillId="0" borderId="2" xfId="2" applyFont="1" applyBorder="1"/>
    <xf numFmtId="0" fontId="14" fillId="0" borderId="0" xfId="2" applyFont="1" applyBorder="1"/>
    <xf numFmtId="0" fontId="14" fillId="0" borderId="0" xfId="2" applyFont="1" applyBorder="1" applyAlignment="1">
      <alignment horizontal="center" wrapText="1"/>
    </xf>
    <xf numFmtId="0" fontId="18" fillId="0" borderId="0" xfId="2" applyFont="1"/>
    <xf numFmtId="0" fontId="18" fillId="0" borderId="0" xfId="2" applyFont="1" applyAlignment="1">
      <alignment wrapText="1"/>
    </xf>
    <xf numFmtId="0" fontId="14" fillId="0" borderId="0" xfId="2" applyFont="1" applyAlignment="1">
      <alignment horizontal="center"/>
    </xf>
    <xf numFmtId="0" fontId="14" fillId="0" borderId="0" xfId="2" applyFont="1" applyAlignment="1">
      <alignment horizontal="center" wrapText="1"/>
    </xf>
    <xf numFmtId="0" fontId="14" fillId="0" borderId="0" xfId="2" applyFont="1" applyFill="1" applyAlignment="1">
      <alignment horizontal="center" wrapText="1"/>
    </xf>
    <xf numFmtId="0" fontId="14" fillId="0" borderId="0" xfId="2" applyFont="1" applyFill="1" applyAlignment="1">
      <alignment wrapText="1"/>
    </xf>
    <xf numFmtId="0" fontId="14" fillId="0" borderId="0" xfId="2" applyFont="1" applyBorder="1" applyAlignment="1">
      <alignment horizontal="center"/>
    </xf>
    <xf numFmtId="0" fontId="14" fillId="0" borderId="0" xfId="2" applyFont="1" applyBorder="1" applyAlignment="1">
      <alignment wrapText="1"/>
    </xf>
    <xf numFmtId="0" fontId="3" fillId="0" borderId="0" xfId="0" applyFont="1" applyFill="1" applyBorder="1" applyAlignment="1">
      <alignment horizontal="center"/>
    </xf>
    <xf numFmtId="0" fontId="14" fillId="0" borderId="0" xfId="0" applyFont="1" applyBorder="1" applyAlignment="1">
      <alignment wrapText="1"/>
    </xf>
    <xf numFmtId="0" fontId="14" fillId="8" borderId="64" xfId="0" applyFont="1" applyFill="1" applyBorder="1" applyAlignment="1">
      <alignment wrapText="1"/>
    </xf>
    <xf numFmtId="0" fontId="4" fillId="4" borderId="34" xfId="2" applyFont="1" applyFill="1" applyBorder="1" applyAlignment="1">
      <alignment horizontal="center"/>
    </xf>
    <xf numFmtId="0" fontId="4" fillId="4" borderId="2" xfId="2" applyFont="1" applyFill="1" applyBorder="1" applyAlignment="1">
      <alignment horizontal="center" wrapText="1"/>
    </xf>
    <xf numFmtId="0" fontId="4" fillId="4" borderId="2" xfId="2" applyFont="1" applyFill="1" applyBorder="1" applyAlignment="1">
      <alignment horizontal="center"/>
    </xf>
    <xf numFmtId="0" fontId="4" fillId="4" borderId="35" xfId="2" applyFont="1" applyFill="1" applyBorder="1" applyAlignment="1">
      <alignment horizontal="center" wrapText="1"/>
    </xf>
    <xf numFmtId="0" fontId="3" fillId="0" borderId="62" xfId="2" applyFont="1" applyBorder="1"/>
    <xf numFmtId="0" fontId="3" fillId="0" borderId="62" xfId="2" applyFont="1" applyBorder="1" applyAlignment="1">
      <alignment wrapText="1"/>
    </xf>
    <xf numFmtId="0" fontId="3" fillId="0" borderId="41" xfId="2" applyFont="1" applyBorder="1" applyAlignment="1">
      <alignment horizontal="center" wrapText="1"/>
    </xf>
    <xf numFmtId="0" fontId="5" fillId="0" borderId="0" xfId="2" applyFont="1"/>
    <xf numFmtId="0" fontId="3" fillId="0" borderId="0" xfId="2" applyFont="1" applyAlignment="1">
      <alignment wrapText="1"/>
    </xf>
    <xf numFmtId="0" fontId="3" fillId="0" borderId="0" xfId="2" applyFont="1" applyAlignment="1">
      <alignment horizontal="center"/>
    </xf>
    <xf numFmtId="0" fontId="3" fillId="0" borderId="0" xfId="2" applyFont="1" applyBorder="1" applyAlignment="1">
      <alignment horizontal="center"/>
    </xf>
    <xf numFmtId="0" fontId="14" fillId="0" borderId="0" xfId="0" applyFont="1" applyAlignment="1">
      <alignment vertical="top" wrapText="1"/>
    </xf>
    <xf numFmtId="0" fontId="14" fillId="6" borderId="12" xfId="0" applyFont="1" applyFill="1" applyBorder="1" applyAlignment="1">
      <alignment textRotation="90"/>
    </xf>
    <xf numFmtId="0" fontId="13" fillId="0" borderId="0" xfId="0" applyFont="1" applyAlignment="1">
      <alignment vertical="top"/>
    </xf>
    <xf numFmtId="0" fontId="22" fillId="0" borderId="0" xfId="0" applyFont="1" applyAlignment="1">
      <alignment vertical="top" wrapText="1"/>
    </xf>
    <xf numFmtId="0" fontId="14" fillId="0" borderId="2" xfId="0" applyFont="1" applyBorder="1" applyAlignment="1">
      <alignment vertical="top"/>
    </xf>
    <xf numFmtId="0" fontId="14" fillId="0" borderId="2" xfId="0" applyFont="1" applyBorder="1" applyAlignment="1"/>
    <xf numFmtId="0" fontId="13" fillId="8" borderId="66" xfId="0" applyFont="1" applyFill="1" applyBorder="1" applyAlignment="1">
      <alignment horizontal="center" vertical="top" wrapText="1"/>
    </xf>
    <xf numFmtId="0" fontId="13" fillId="4" borderId="34" xfId="2" applyFont="1" applyFill="1" applyBorder="1" applyAlignment="1">
      <alignment horizontal="center"/>
    </xf>
    <xf numFmtId="0" fontId="13" fillId="4" borderId="2" xfId="2" applyFont="1" applyFill="1" applyBorder="1" applyAlignment="1">
      <alignment horizontal="center"/>
    </xf>
    <xf numFmtId="0" fontId="13" fillId="4" borderId="12" xfId="2" applyFont="1" applyFill="1" applyBorder="1" applyAlignment="1">
      <alignment horizontal="center"/>
    </xf>
    <xf numFmtId="0" fontId="13" fillId="4" borderId="80" xfId="2" applyFont="1" applyFill="1" applyBorder="1" applyAlignment="1">
      <alignment horizontal="center"/>
    </xf>
    <xf numFmtId="0" fontId="13" fillId="4" borderId="35" xfId="2" applyFont="1" applyFill="1" applyBorder="1" applyAlignment="1">
      <alignment horizontal="center" wrapText="1"/>
    </xf>
    <xf numFmtId="0" fontId="18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13" fillId="2" borderId="4" xfId="0" applyFont="1" applyFill="1" applyBorder="1" applyAlignment="1">
      <alignment horizontal="center"/>
    </xf>
    <xf numFmtId="0" fontId="13" fillId="2" borderId="103" xfId="0" applyFont="1" applyFill="1" applyBorder="1" applyAlignment="1">
      <alignment horizontal="center" wrapText="1"/>
    </xf>
    <xf numFmtId="0" fontId="13" fillId="2" borderId="104" xfId="0" applyFont="1" applyFill="1" applyBorder="1" applyAlignment="1">
      <alignment horizontal="center" wrapText="1"/>
    </xf>
    <xf numFmtId="0" fontId="13" fillId="2" borderId="106" xfId="0" applyFont="1" applyFill="1" applyBorder="1"/>
    <xf numFmtId="0" fontId="13" fillId="2" borderId="107" xfId="0" applyFont="1" applyFill="1" applyBorder="1" applyAlignment="1">
      <alignment horizontal="center" wrapText="1"/>
    </xf>
    <xf numFmtId="0" fontId="13" fillId="2" borderId="105" xfId="0" applyFont="1" applyFill="1" applyBorder="1"/>
    <xf numFmtId="44" fontId="14" fillId="0" borderId="108" xfId="0" applyNumberFormat="1" applyFont="1" applyBorder="1"/>
    <xf numFmtId="0" fontId="14" fillId="0" borderId="0" xfId="0" applyFont="1" applyAlignment="1">
      <alignment horizontal="left" wrapText="1"/>
    </xf>
    <xf numFmtId="0" fontId="13" fillId="4" borderId="109" xfId="0" applyFont="1" applyFill="1" applyBorder="1" applyAlignment="1">
      <alignment horizontal="center"/>
    </xf>
    <xf numFmtId="0" fontId="13" fillId="0" borderId="0" xfId="2" applyFont="1" applyFill="1" applyBorder="1" applyAlignment="1">
      <alignment horizontal="center"/>
    </xf>
    <xf numFmtId="0" fontId="13" fillId="0" borderId="0" xfId="2" applyFont="1" applyFill="1" applyBorder="1" applyAlignment="1">
      <alignment horizontal="center" wrapText="1"/>
    </xf>
    <xf numFmtId="3" fontId="14" fillId="0" borderId="7" xfId="0" applyNumberFormat="1" applyFont="1" applyBorder="1"/>
    <xf numFmtId="3" fontId="14" fillId="0" borderId="2" xfId="0" applyNumberFormat="1" applyFont="1" applyBorder="1"/>
    <xf numFmtId="165" fontId="14" fillId="0" borderId="0" xfId="0" applyNumberFormat="1" applyFont="1"/>
    <xf numFmtId="165" fontId="13" fillId="0" borderId="23" xfId="0" applyNumberFormat="1" applyFont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13" fillId="0" borderId="38" xfId="0" applyNumberFormat="1" applyFont="1" applyBorder="1" applyAlignment="1">
      <alignment horizontal="center" vertical="center"/>
    </xf>
    <xf numFmtId="165" fontId="14" fillId="0" borderId="35" xfId="0" applyNumberFormat="1" applyFont="1" applyBorder="1"/>
    <xf numFmtId="165" fontId="14" fillId="4" borderId="35" xfId="0" applyNumberFormat="1" applyFont="1" applyFill="1" applyBorder="1"/>
    <xf numFmtId="165" fontId="14" fillId="0" borderId="40" xfId="0" applyNumberFormat="1" applyFont="1" applyBorder="1"/>
    <xf numFmtId="165" fontId="14" fillId="0" borderId="41" xfId="0" applyNumberFormat="1" applyFont="1" applyBorder="1"/>
    <xf numFmtId="165" fontId="14" fillId="0" borderId="0" xfId="0" applyNumberFormat="1" applyFont="1" applyBorder="1"/>
    <xf numFmtId="165" fontId="16" fillId="3" borderId="43" xfId="0" applyNumberFormat="1" applyFont="1" applyFill="1" applyBorder="1" applyAlignment="1">
      <alignment horizontal="center" wrapText="1"/>
    </xf>
    <xf numFmtId="165" fontId="16" fillId="3" borderId="45" xfId="0" applyNumberFormat="1" applyFont="1" applyFill="1" applyBorder="1" applyAlignment="1">
      <alignment horizontal="center" wrapText="1"/>
    </xf>
    <xf numFmtId="44" fontId="13" fillId="0" borderId="28" xfId="0" applyNumberFormat="1" applyFont="1" applyBorder="1" applyAlignment="1">
      <alignment horizontal="center" vertical="center"/>
    </xf>
    <xf numFmtId="44" fontId="14" fillId="0" borderId="35" xfId="0" applyNumberFormat="1" applyFont="1" applyBorder="1"/>
    <xf numFmtId="44" fontId="14" fillId="4" borderId="35" xfId="0" applyNumberFormat="1" applyFont="1" applyFill="1" applyBorder="1"/>
    <xf numFmtId="44" fontId="14" fillId="0" borderId="40" xfId="0" applyNumberFormat="1" applyFont="1" applyBorder="1"/>
    <xf numFmtId="44" fontId="14" fillId="0" borderId="41" xfId="0" applyNumberFormat="1" applyFont="1" applyBorder="1"/>
    <xf numFmtId="0" fontId="13" fillId="10" borderId="0" xfId="0" applyFont="1" applyFill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44" fontId="14" fillId="0" borderId="32" xfId="0" applyNumberFormat="1" applyFont="1" applyBorder="1" applyAlignment="1"/>
    <xf numFmtId="44" fontId="14" fillId="0" borderId="0" xfId="0" applyNumberFormat="1" applyFont="1" applyBorder="1" applyAlignment="1"/>
    <xf numFmtId="0" fontId="14" fillId="0" borderId="32" xfId="0" applyFont="1" applyBorder="1" applyAlignment="1"/>
    <xf numFmtId="0" fontId="14" fillId="0" borderId="0" xfId="0" applyFont="1" applyAlignment="1"/>
    <xf numFmtId="165" fontId="16" fillId="3" borderId="83" xfId="0" applyNumberFormat="1" applyFont="1" applyFill="1" applyBorder="1" applyAlignment="1">
      <alignment horizontal="center" wrapText="1"/>
    </xf>
    <xf numFmtId="165" fontId="16" fillId="3" borderId="45" xfId="0" applyNumberFormat="1" applyFont="1" applyFill="1" applyBorder="1" applyAlignment="1">
      <alignment horizontal="center" wrapText="1"/>
    </xf>
    <xf numFmtId="0" fontId="16" fillId="3" borderId="82" xfId="0" applyFont="1" applyFill="1" applyBorder="1" applyAlignment="1">
      <alignment horizontal="left" wrapText="1"/>
    </xf>
    <xf numFmtId="0" fontId="16" fillId="3" borderId="44" xfId="0" applyFont="1" applyFill="1" applyBorder="1" applyAlignment="1">
      <alignment horizontal="left" wrapText="1"/>
    </xf>
    <xf numFmtId="0" fontId="13" fillId="0" borderId="32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4" fillId="0" borderId="80" xfId="0" applyFont="1" applyBorder="1" applyAlignment="1">
      <alignment horizontal="center"/>
    </xf>
    <xf numFmtId="0" fontId="14" fillId="0" borderId="81" xfId="0" applyFont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0" borderId="49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4" fillId="0" borderId="0" xfId="0" applyFont="1" applyAlignment="1">
      <alignment wrapText="1"/>
    </xf>
    <xf numFmtId="0" fontId="15" fillId="10" borderId="90" xfId="0" applyFont="1" applyFill="1" applyBorder="1" applyAlignment="1">
      <alignment horizontal="center"/>
    </xf>
    <xf numFmtId="0" fontId="14" fillId="0" borderId="92" xfId="0" applyFont="1" applyBorder="1" applyAlignment="1">
      <alignment horizontal="center"/>
    </xf>
    <xf numFmtId="0" fontId="14" fillId="0" borderId="91" xfId="0" applyFont="1" applyBorder="1" applyAlignment="1">
      <alignment horizontal="center"/>
    </xf>
    <xf numFmtId="0" fontId="14" fillId="0" borderId="0" xfId="0" applyFont="1" applyFill="1" applyBorder="1" applyAlignment="1">
      <alignment horizontal="left"/>
    </xf>
    <xf numFmtId="0" fontId="14" fillId="0" borderId="0" xfId="0" applyFont="1" applyAlignment="1">
      <alignment horizontal="left"/>
    </xf>
    <xf numFmtId="0" fontId="14" fillId="4" borderId="14" xfId="0" applyFont="1" applyFill="1" applyBorder="1" applyAlignment="1">
      <alignment horizontal="center" vertical="center" textRotation="90" wrapText="1"/>
    </xf>
    <xf numFmtId="0" fontId="13" fillId="4" borderId="26" xfId="0" applyFont="1" applyFill="1" applyBorder="1" applyAlignment="1">
      <alignment horizontal="center"/>
    </xf>
    <xf numFmtId="0" fontId="14" fillId="0" borderId="0" xfId="0" applyFont="1" applyFill="1" applyAlignment="1">
      <alignment horizontal="left" wrapText="1"/>
    </xf>
    <xf numFmtId="0" fontId="14" fillId="0" borderId="0" xfId="0" applyFont="1" applyFill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3" fillId="2" borderId="26" xfId="0" applyFont="1" applyFill="1" applyBorder="1" applyAlignment="1">
      <alignment horizontal="center"/>
    </xf>
    <xf numFmtId="0" fontId="13" fillId="2" borderId="74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 vertical="center"/>
    </xf>
    <xf numFmtId="0" fontId="13" fillId="0" borderId="69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textRotation="90"/>
    </xf>
    <xf numFmtId="0" fontId="13" fillId="2" borderId="51" xfId="0" applyFont="1" applyFill="1" applyBorder="1" applyAlignment="1">
      <alignment horizontal="center"/>
    </xf>
    <xf numFmtId="0" fontId="13" fillId="2" borderId="70" xfId="0" applyFont="1" applyFill="1" applyBorder="1" applyAlignment="1">
      <alignment horizontal="center"/>
    </xf>
    <xf numFmtId="0" fontId="13" fillId="2" borderId="52" xfId="0" applyFont="1" applyFill="1" applyBorder="1" applyAlignment="1">
      <alignment horizontal="center"/>
    </xf>
    <xf numFmtId="0" fontId="13" fillId="2" borderId="54" xfId="0" applyFont="1" applyFill="1" applyBorder="1" applyAlignment="1">
      <alignment horizontal="center"/>
    </xf>
    <xf numFmtId="0" fontId="13" fillId="2" borderId="25" xfId="0" applyFont="1" applyFill="1" applyBorder="1" applyAlignment="1">
      <alignment horizontal="center"/>
    </xf>
    <xf numFmtId="0" fontId="13" fillId="2" borderId="73" xfId="0" applyFont="1" applyFill="1" applyBorder="1" applyAlignment="1">
      <alignment horizontal="center"/>
    </xf>
    <xf numFmtId="0" fontId="13" fillId="2" borderId="68" xfId="0" applyFont="1" applyFill="1" applyBorder="1" applyAlignment="1">
      <alignment horizontal="center" wrapText="1"/>
    </xf>
    <xf numFmtId="0" fontId="13" fillId="2" borderId="69" xfId="0" applyFont="1" applyFill="1" applyBorder="1" applyAlignment="1">
      <alignment horizontal="center" wrapText="1"/>
    </xf>
    <xf numFmtId="0" fontId="13" fillId="2" borderId="50" xfId="0" applyFont="1" applyFill="1" applyBorder="1" applyAlignment="1">
      <alignment horizontal="center"/>
    </xf>
    <xf numFmtId="0" fontId="13" fillId="2" borderId="75" xfId="0" applyFont="1" applyFill="1" applyBorder="1" applyAlignment="1">
      <alignment horizontal="center"/>
    </xf>
    <xf numFmtId="0" fontId="15" fillId="10" borderId="0" xfId="0" applyFont="1" applyFill="1" applyBorder="1" applyAlignment="1">
      <alignment horizontal="center" vertical="center"/>
    </xf>
    <xf numFmtId="0" fontId="14" fillId="10" borderId="0" xfId="0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left"/>
    </xf>
    <xf numFmtId="0" fontId="14" fillId="0" borderId="0" xfId="0" applyFont="1" applyFill="1" applyAlignment="1"/>
    <xf numFmtId="0" fontId="13" fillId="2" borderId="0" xfId="0" applyFont="1" applyFill="1" applyBorder="1" applyAlignment="1">
      <alignment horizontal="center"/>
    </xf>
    <xf numFmtId="0" fontId="14" fillId="4" borderId="0" xfId="0" applyFont="1" applyFill="1" applyBorder="1" applyAlignment="1">
      <alignment horizontal="center" textRotation="90"/>
    </xf>
    <xf numFmtId="0" fontId="15" fillId="10" borderId="55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14" fillId="4" borderId="0" xfId="0" applyFont="1" applyFill="1" applyBorder="1" applyAlignment="1">
      <alignment horizontal="center" vertical="center" textRotation="90"/>
    </xf>
    <xf numFmtId="0" fontId="14" fillId="0" borderId="0" xfId="0" applyFont="1" applyAlignment="1">
      <alignment horizontal="center" vertical="center" textRotation="90"/>
    </xf>
    <xf numFmtId="0" fontId="13" fillId="2" borderId="84" xfId="0" applyFont="1" applyFill="1" applyBorder="1" applyAlignment="1">
      <alignment horizontal="center" wrapText="1"/>
    </xf>
    <xf numFmtId="0" fontId="0" fillId="0" borderId="85" xfId="0" applyBorder="1" applyAlignment="1">
      <alignment wrapText="1"/>
    </xf>
    <xf numFmtId="0" fontId="14" fillId="2" borderId="0" xfId="2" applyFont="1" applyFill="1" applyAlignment="1">
      <alignment horizontal="center" vertical="center" textRotation="90" wrapText="1"/>
    </xf>
    <xf numFmtId="0" fontId="13" fillId="4" borderId="2" xfId="2" applyFont="1" applyFill="1" applyBorder="1" applyAlignment="1">
      <alignment horizontal="center" wrapText="1"/>
    </xf>
    <xf numFmtId="0" fontId="14" fillId="0" borderId="2" xfId="2" applyFont="1" applyBorder="1" applyAlignment="1">
      <alignment horizontal="center" wrapText="1"/>
    </xf>
    <xf numFmtId="0" fontId="14" fillId="0" borderId="0" xfId="2" applyFont="1" applyBorder="1" applyAlignment="1">
      <alignment horizontal="left"/>
    </xf>
    <xf numFmtId="0" fontId="15" fillId="6" borderId="46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/>
    </xf>
    <xf numFmtId="0" fontId="15" fillId="6" borderId="53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left"/>
    </xf>
    <xf numFmtId="0" fontId="14" fillId="8" borderId="56" xfId="2" applyFont="1" applyFill="1" applyBorder="1" applyAlignment="1">
      <alignment horizontal="center"/>
    </xf>
    <xf numFmtId="0" fontId="14" fillId="8" borderId="57" xfId="2" applyFont="1" applyFill="1" applyBorder="1" applyAlignment="1">
      <alignment horizontal="center"/>
    </xf>
    <xf numFmtId="0" fontId="14" fillId="8" borderId="58" xfId="2" applyFont="1" applyFill="1" applyBorder="1" applyAlignment="1">
      <alignment horizontal="center"/>
    </xf>
    <xf numFmtId="0" fontId="8" fillId="6" borderId="55" xfId="0" applyFont="1" applyFill="1" applyBorder="1" applyAlignment="1">
      <alignment horizontal="center" wrapText="1"/>
    </xf>
    <xf numFmtId="0" fontId="8" fillId="6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left" wrapText="1"/>
    </xf>
    <xf numFmtId="0" fontId="14" fillId="0" borderId="0" xfId="0" applyFont="1" applyBorder="1" applyAlignment="1">
      <alignment wrapText="1"/>
    </xf>
    <xf numFmtId="0" fontId="13" fillId="8" borderId="63" xfId="0" applyFont="1" applyFill="1" applyBorder="1" applyAlignment="1">
      <alignment horizontal="center" vertical="top" wrapText="1"/>
    </xf>
    <xf numFmtId="0" fontId="13" fillId="8" borderId="22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4" fillId="0" borderId="0" xfId="0" applyFont="1" applyFill="1" applyAlignment="1">
      <alignment horizontal="left" wrapText="1"/>
    </xf>
    <xf numFmtId="0" fontId="3" fillId="0" borderId="0" xfId="0" applyFont="1" applyAlignment="1">
      <alignment wrapText="1"/>
    </xf>
    <xf numFmtId="0" fontId="14" fillId="0" borderId="0" xfId="0" applyFont="1" applyAlignment="1">
      <alignment vertical="top" wrapText="1"/>
    </xf>
    <xf numFmtId="0" fontId="22" fillId="0" borderId="0" xfId="0" applyFont="1" applyBorder="1" applyAlignment="1">
      <alignment horizontal="left" vertical="top" wrapText="1"/>
    </xf>
    <xf numFmtId="0" fontId="22" fillId="0" borderId="0" xfId="0" applyFont="1" applyBorder="1" applyAlignment="1">
      <alignment horizontal="left" wrapText="1"/>
    </xf>
    <xf numFmtId="0" fontId="14" fillId="0" borderId="0" xfId="0" applyFont="1" applyAlignment="1">
      <alignment horizontal="left" vertical="top" wrapText="1"/>
    </xf>
    <xf numFmtId="0" fontId="13" fillId="8" borderId="65" xfId="0" applyFont="1" applyFill="1" applyBorder="1" applyAlignment="1">
      <alignment horizontal="center" vertical="top" wrapText="1"/>
    </xf>
    <xf numFmtId="0" fontId="13" fillId="8" borderId="66" xfId="0" applyFont="1" applyFill="1" applyBorder="1" applyAlignment="1">
      <alignment horizontal="center" vertical="top" wrapText="1"/>
    </xf>
    <xf numFmtId="0" fontId="13" fillId="8" borderId="67" xfId="0" applyFont="1" applyFill="1" applyBorder="1" applyAlignment="1">
      <alignment horizontal="center" vertical="top" wrapText="1"/>
    </xf>
    <xf numFmtId="0" fontId="15" fillId="6" borderId="94" xfId="0" applyFont="1" applyFill="1" applyBorder="1" applyAlignment="1">
      <alignment horizontal="center"/>
    </xf>
    <xf numFmtId="0" fontId="15" fillId="6" borderId="93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77" xfId="0" applyFont="1" applyBorder="1" applyAlignment="1">
      <alignment horizontal="center"/>
    </xf>
    <xf numFmtId="0" fontId="14" fillId="0" borderId="2" xfId="0" applyFont="1" applyBorder="1" applyAlignment="1">
      <alignment horizontal="left" vertical="top" wrapText="1"/>
    </xf>
    <xf numFmtId="0" fontId="17" fillId="0" borderId="11" xfId="0" applyFont="1" applyBorder="1" applyAlignment="1">
      <alignment horizontal="left" vertical="top" wrapText="1"/>
    </xf>
  </cellXfs>
  <cellStyles count="3">
    <cellStyle name="Currency" xfId="1" builtinId="4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FFCC66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AE59"/>
  <sheetViews>
    <sheetView tabSelected="1" zoomScale="75" zoomScaleNormal="75" workbookViewId="0">
      <selection activeCell="C4" sqref="C4"/>
    </sheetView>
  </sheetViews>
  <sheetFormatPr defaultColWidth="9.140625" defaultRowHeight="14.25" x14ac:dyDescent="0.2"/>
  <cols>
    <col min="1" max="1" width="2.85546875" style="10" customWidth="1"/>
    <col min="2" max="2" width="10.5703125" style="10" customWidth="1"/>
    <col min="3" max="3" width="17.28515625" style="10" customWidth="1"/>
    <col min="4" max="4" width="3.140625" style="10" customWidth="1"/>
    <col min="5" max="5" width="3.42578125" style="109" customWidth="1"/>
    <col min="6" max="6" width="14.7109375" style="10" bestFit="1" customWidth="1"/>
    <col min="7" max="7" width="9.28515625" style="110" bestFit="1" customWidth="1"/>
    <col min="8" max="8" width="2.140625" style="10" customWidth="1"/>
    <col min="9" max="9" width="19" style="10" customWidth="1"/>
    <col min="10" max="11" width="13.28515625" style="10" customWidth="1"/>
    <col min="12" max="12" width="4.42578125" style="25" customWidth="1"/>
    <col min="13" max="13" width="20.7109375" style="10" customWidth="1"/>
    <col min="14" max="14" width="14" style="10" customWidth="1"/>
    <col min="15" max="15" width="13.85546875" style="10" customWidth="1"/>
    <col min="16" max="16" width="15.28515625" style="10" customWidth="1"/>
    <col min="17" max="17" width="13.42578125" style="10" customWidth="1"/>
    <col min="18" max="18" width="14.28515625" style="10" customWidth="1"/>
    <col min="19" max="19" width="9.5703125" style="10" customWidth="1"/>
    <col min="20" max="20" width="18.140625" style="257" customWidth="1"/>
    <col min="21" max="16384" width="9.140625" style="10"/>
  </cols>
  <sheetData>
    <row r="1" spans="2:24" ht="19.5" customHeight="1" x14ac:dyDescent="0.2">
      <c r="B1" s="273" t="s">
        <v>179</v>
      </c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</row>
    <row r="2" spans="2:24" ht="15.75" customHeight="1" x14ac:dyDescent="0.2">
      <c r="B2" s="22" t="s">
        <v>79</v>
      </c>
      <c r="C2" s="22"/>
      <c r="D2" s="23"/>
      <c r="E2" s="23"/>
      <c r="F2" s="23"/>
      <c r="G2" s="23"/>
      <c r="H2" s="23"/>
      <c r="I2" s="23"/>
      <c r="J2" s="23"/>
      <c r="K2" s="23"/>
      <c r="L2" s="24"/>
    </row>
    <row r="3" spans="2:24" ht="15.75" customHeight="1" x14ac:dyDescent="0.2">
      <c r="B3" s="11" t="s">
        <v>81</v>
      </c>
      <c r="C3" s="11"/>
      <c r="D3" s="23"/>
      <c r="E3" s="23"/>
      <c r="F3" s="23"/>
      <c r="G3" s="23"/>
      <c r="H3" s="23"/>
      <c r="I3" s="23"/>
      <c r="J3" s="23"/>
      <c r="K3" s="23"/>
      <c r="L3" s="24"/>
    </row>
    <row r="4" spans="2:24" ht="15.75" customHeight="1" x14ac:dyDescent="0.2">
      <c r="B4" s="11" t="s">
        <v>82</v>
      </c>
      <c r="C4" s="11"/>
      <c r="D4" s="23"/>
      <c r="E4" s="23"/>
      <c r="F4" s="23"/>
      <c r="G4" s="23"/>
      <c r="H4" s="23"/>
      <c r="I4" s="23"/>
      <c r="J4" s="23"/>
      <c r="K4" s="23"/>
      <c r="L4" s="24"/>
    </row>
    <row r="5" spans="2:24" ht="15.75" customHeight="1" thickBot="1" x14ac:dyDescent="0.25"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</row>
    <row r="6" spans="2:24" x14ac:dyDescent="0.2">
      <c r="B6" s="274" t="s">
        <v>69</v>
      </c>
      <c r="C6" s="275"/>
      <c r="D6" s="275"/>
      <c r="E6" s="275"/>
      <c r="F6" s="275"/>
      <c r="G6" s="275"/>
      <c r="H6" s="275"/>
      <c r="I6" s="275"/>
      <c r="J6" s="275"/>
      <c r="K6" s="276"/>
    </row>
    <row r="7" spans="2:24" ht="15" thickBot="1" x14ac:dyDescent="0.25">
      <c r="B7" s="277"/>
      <c r="C7" s="278"/>
      <c r="D7" s="278"/>
      <c r="E7" s="278"/>
      <c r="F7" s="278"/>
      <c r="G7" s="278"/>
      <c r="H7" s="278"/>
      <c r="I7" s="278"/>
      <c r="J7" s="278"/>
      <c r="K7" s="279"/>
    </row>
    <row r="8" spans="2:24" ht="12.75" customHeight="1" x14ac:dyDescent="0.2">
      <c r="B8" s="26"/>
      <c r="C8" s="11"/>
      <c r="D8" s="11"/>
      <c r="E8" s="27"/>
      <c r="F8" s="11"/>
      <c r="G8" s="28"/>
      <c r="H8" s="11"/>
      <c r="I8" s="11"/>
      <c r="J8" s="11"/>
      <c r="K8" s="29"/>
      <c r="M8" s="30" t="s">
        <v>69</v>
      </c>
      <c r="N8" s="31"/>
      <c r="O8" s="31"/>
      <c r="P8" s="31"/>
      <c r="Q8" s="31"/>
      <c r="R8" s="31"/>
      <c r="S8" s="31"/>
      <c r="T8" s="258"/>
      <c r="U8" s="32"/>
      <c r="V8" s="33"/>
      <c r="W8" s="32"/>
      <c r="X8" s="32"/>
    </row>
    <row r="9" spans="2:24" ht="12.75" customHeight="1" x14ac:dyDescent="0.25">
      <c r="B9" s="288" t="s">
        <v>151</v>
      </c>
      <c r="C9" s="289"/>
      <c r="D9" s="11"/>
      <c r="E9" s="27"/>
      <c r="F9" s="11"/>
      <c r="G9" s="28"/>
      <c r="H9" s="11"/>
      <c r="I9" s="11"/>
      <c r="J9" s="11"/>
      <c r="K9" s="29"/>
      <c r="M9" s="34"/>
      <c r="N9" s="23"/>
      <c r="O9" s="23"/>
      <c r="P9" s="23"/>
      <c r="Q9" s="23"/>
      <c r="R9" s="23"/>
      <c r="S9" s="23"/>
      <c r="T9" s="259"/>
      <c r="U9" s="32"/>
      <c r="V9" s="32"/>
      <c r="W9" s="32"/>
      <c r="X9" s="32"/>
    </row>
    <row r="10" spans="2:24" ht="12.75" customHeight="1" x14ac:dyDescent="0.2">
      <c r="B10" s="280"/>
      <c r="C10" s="281"/>
      <c r="D10" s="11"/>
      <c r="E10" s="27"/>
      <c r="F10" s="11"/>
      <c r="G10" s="28"/>
      <c r="H10" s="11"/>
      <c r="I10" s="11"/>
      <c r="J10" s="11"/>
      <c r="K10" s="29"/>
      <c r="M10" s="34"/>
      <c r="N10" s="23"/>
      <c r="O10" s="23"/>
      <c r="P10" s="23"/>
      <c r="Q10" s="23"/>
      <c r="R10" s="23"/>
      <c r="S10" s="23"/>
      <c r="T10" s="259"/>
      <c r="U10" s="32"/>
      <c r="V10" s="32"/>
      <c r="W10" s="32"/>
      <c r="X10" s="32"/>
    </row>
    <row r="11" spans="2:24" ht="8.25" customHeight="1" x14ac:dyDescent="0.25">
      <c r="B11" s="26"/>
      <c r="C11" s="11"/>
      <c r="D11" s="11"/>
      <c r="E11" s="27"/>
      <c r="F11" s="35"/>
      <c r="G11" s="36"/>
      <c r="H11" s="11"/>
      <c r="I11" s="37"/>
      <c r="J11" s="38"/>
      <c r="K11" s="39"/>
      <c r="L11" s="40"/>
      <c r="M11" s="41"/>
      <c r="N11" s="42"/>
      <c r="O11" s="42"/>
      <c r="P11" s="42"/>
      <c r="Q11" s="42"/>
      <c r="R11" s="42"/>
      <c r="S11" s="42"/>
      <c r="T11" s="260"/>
      <c r="U11" s="32"/>
      <c r="V11" s="32"/>
      <c r="W11" s="32"/>
      <c r="X11" s="32"/>
    </row>
    <row r="12" spans="2:24" ht="54" customHeight="1" x14ac:dyDescent="0.25">
      <c r="B12" s="26"/>
      <c r="C12" s="11"/>
      <c r="D12" s="11"/>
      <c r="E12" s="27"/>
      <c r="F12" s="294" t="s">
        <v>152</v>
      </c>
      <c r="G12" s="295"/>
      <c r="H12" s="11"/>
      <c r="I12" s="43"/>
      <c r="J12" s="44" t="s">
        <v>153</v>
      </c>
      <c r="K12" s="45"/>
      <c r="M12" s="286" t="s">
        <v>59</v>
      </c>
      <c r="N12" s="46" t="s">
        <v>33</v>
      </c>
      <c r="O12" s="47" t="s">
        <v>60</v>
      </c>
      <c r="P12" s="47" t="s">
        <v>35</v>
      </c>
      <c r="Q12" s="47" t="s">
        <v>36</v>
      </c>
      <c r="R12" s="47" t="s">
        <v>37</v>
      </c>
      <c r="S12" s="47" t="s">
        <v>38</v>
      </c>
      <c r="T12" s="284" t="s">
        <v>18</v>
      </c>
    </row>
    <row r="13" spans="2:24" ht="18.75" customHeight="1" x14ac:dyDescent="0.25">
      <c r="B13" s="26"/>
      <c r="C13" s="11"/>
      <c r="D13" s="11"/>
      <c r="E13" s="27"/>
      <c r="F13" s="48"/>
      <c r="G13" s="49"/>
      <c r="H13" s="11"/>
      <c r="I13" s="50" t="s">
        <v>30</v>
      </c>
      <c r="J13" s="51" t="s">
        <v>29</v>
      </c>
      <c r="K13" s="52" t="s">
        <v>31</v>
      </c>
      <c r="L13" s="40"/>
      <c r="M13" s="287"/>
      <c r="N13" s="46">
        <v>100</v>
      </c>
      <c r="O13" s="47">
        <v>200</v>
      </c>
      <c r="P13" s="47">
        <v>400</v>
      </c>
      <c r="Q13" s="47">
        <v>500</v>
      </c>
      <c r="R13" s="47">
        <v>600</v>
      </c>
      <c r="S13" s="47">
        <v>800</v>
      </c>
      <c r="T13" s="285"/>
    </row>
    <row r="14" spans="2:24" ht="15" x14ac:dyDescent="0.25">
      <c r="B14" s="288"/>
      <c r="C14" s="289"/>
      <c r="D14" s="11"/>
      <c r="E14" s="27"/>
      <c r="F14" s="53" t="s">
        <v>154</v>
      </c>
      <c r="G14" s="54" t="s">
        <v>31</v>
      </c>
      <c r="H14" s="55"/>
      <c r="I14" s="50" t="s">
        <v>178</v>
      </c>
      <c r="J14" s="51" t="s">
        <v>17</v>
      </c>
      <c r="K14" s="52" t="s">
        <v>29</v>
      </c>
      <c r="L14" s="40"/>
      <c r="M14" s="56" t="s">
        <v>72</v>
      </c>
      <c r="N14" s="57"/>
      <c r="O14" s="58"/>
      <c r="P14" s="58"/>
      <c r="Q14" s="58"/>
      <c r="R14" s="58"/>
      <c r="S14" s="59"/>
      <c r="T14" s="269"/>
    </row>
    <row r="15" spans="2:24" ht="15" x14ac:dyDescent="0.25">
      <c r="B15" s="288" t="s">
        <v>19</v>
      </c>
      <c r="C15" s="289"/>
      <c r="D15" s="11"/>
      <c r="E15" s="27"/>
      <c r="F15" s="48"/>
      <c r="G15" s="49"/>
      <c r="H15" s="11"/>
      <c r="I15" s="60"/>
      <c r="J15" s="61"/>
      <c r="K15" s="62"/>
      <c r="L15" s="63"/>
      <c r="M15" s="64" t="s">
        <v>44</v>
      </c>
      <c r="N15" s="65"/>
      <c r="O15" s="59"/>
      <c r="P15" s="59"/>
      <c r="Q15" s="59"/>
      <c r="R15" s="59"/>
      <c r="S15" s="59"/>
      <c r="T15" s="269"/>
    </row>
    <row r="16" spans="2:24" ht="15" x14ac:dyDescent="0.25">
      <c r="B16" s="66">
        <v>100</v>
      </c>
      <c r="C16" s="67" t="s">
        <v>33</v>
      </c>
      <c r="D16" s="68"/>
      <c r="E16" s="69"/>
      <c r="F16" s="70"/>
      <c r="G16" s="71" t="e">
        <f>F16/F27</f>
        <v>#DIV/0!</v>
      </c>
      <c r="H16" s="11"/>
      <c r="I16" s="72"/>
      <c r="J16" s="73">
        <f>F16-I16</f>
        <v>0</v>
      </c>
      <c r="K16" s="73" t="e">
        <f>I16/F16-1</f>
        <v>#DIV/0!</v>
      </c>
      <c r="L16" s="63"/>
      <c r="M16" s="74" t="s">
        <v>45</v>
      </c>
      <c r="N16" s="65"/>
      <c r="O16" s="59"/>
      <c r="P16" s="59"/>
      <c r="Q16" s="59"/>
      <c r="R16" s="59"/>
      <c r="S16" s="59"/>
      <c r="T16" s="269"/>
    </row>
    <row r="17" spans="2:31" ht="15" x14ac:dyDescent="0.25">
      <c r="B17" s="66"/>
      <c r="C17" s="67"/>
      <c r="D17" s="68"/>
      <c r="E17" s="69"/>
      <c r="F17" s="70"/>
      <c r="G17" s="71"/>
      <c r="H17" s="11"/>
      <c r="I17" s="72"/>
      <c r="J17" s="73"/>
      <c r="K17" s="73"/>
      <c r="L17" s="63"/>
      <c r="M17" s="64" t="s">
        <v>46</v>
      </c>
      <c r="N17" s="255"/>
      <c r="O17" s="59"/>
      <c r="P17" s="256"/>
      <c r="Q17" s="59"/>
      <c r="R17" s="59"/>
      <c r="S17" s="59"/>
      <c r="T17" s="269"/>
    </row>
    <row r="18" spans="2:31" ht="15" x14ac:dyDescent="0.25">
      <c r="B18" s="66">
        <v>200</v>
      </c>
      <c r="C18" s="67" t="s">
        <v>34</v>
      </c>
      <c r="D18" s="68"/>
      <c r="E18" s="69"/>
      <c r="F18" s="70"/>
      <c r="G18" s="71" t="e">
        <f>F18/F27</f>
        <v>#DIV/0!</v>
      </c>
      <c r="H18" s="11"/>
      <c r="I18" s="72"/>
      <c r="J18" s="73">
        <f>F18-I18</f>
        <v>0</v>
      </c>
      <c r="K18" s="73" t="e">
        <f>I18/F18-1</f>
        <v>#DIV/0!</v>
      </c>
      <c r="L18" s="63"/>
      <c r="M18" s="74" t="s">
        <v>47</v>
      </c>
      <c r="N18" s="65"/>
      <c r="O18" s="59"/>
      <c r="P18" s="59"/>
      <c r="Q18" s="59"/>
      <c r="R18" s="59"/>
      <c r="S18" s="59"/>
      <c r="T18" s="269"/>
    </row>
    <row r="19" spans="2:31" ht="15" x14ac:dyDescent="0.25">
      <c r="B19" s="66"/>
      <c r="C19" s="67"/>
      <c r="D19" s="68"/>
      <c r="E19" s="69"/>
      <c r="F19" s="70"/>
      <c r="G19" s="71"/>
      <c r="H19" s="11"/>
      <c r="I19" s="72"/>
      <c r="J19" s="73"/>
      <c r="K19" s="73"/>
      <c r="L19" s="63"/>
      <c r="M19" s="64" t="s">
        <v>48</v>
      </c>
      <c r="N19" s="65"/>
      <c r="O19" s="59"/>
      <c r="P19" s="59"/>
      <c r="Q19" s="59"/>
      <c r="R19" s="59"/>
      <c r="S19" s="59"/>
      <c r="T19" s="269"/>
    </row>
    <row r="20" spans="2:31" ht="15" x14ac:dyDescent="0.25">
      <c r="B20" s="66">
        <v>400</v>
      </c>
      <c r="C20" s="67" t="s">
        <v>35</v>
      </c>
      <c r="D20" s="68"/>
      <c r="E20" s="69"/>
      <c r="F20" s="70"/>
      <c r="G20" s="71" t="e">
        <f>F20/F27</f>
        <v>#DIV/0!</v>
      </c>
      <c r="H20" s="11"/>
      <c r="I20" s="72"/>
      <c r="J20" s="73">
        <f>F20-I20</f>
        <v>0</v>
      </c>
      <c r="K20" s="73" t="e">
        <f>I20/F20-1</f>
        <v>#DIV/0!</v>
      </c>
      <c r="L20" s="63"/>
      <c r="M20" s="74" t="s">
        <v>49</v>
      </c>
      <c r="N20" s="65"/>
      <c r="O20" s="59"/>
      <c r="P20" s="59"/>
      <c r="Q20" s="59"/>
      <c r="R20" s="59"/>
      <c r="S20" s="59"/>
      <c r="T20" s="269"/>
    </row>
    <row r="21" spans="2:31" ht="15" x14ac:dyDescent="0.25">
      <c r="B21" s="66"/>
      <c r="C21" s="67"/>
      <c r="D21" s="68"/>
      <c r="E21" s="69"/>
      <c r="F21" s="70"/>
      <c r="G21" s="71"/>
      <c r="H21" s="11"/>
      <c r="I21" s="72"/>
      <c r="J21" s="73"/>
      <c r="K21" s="73"/>
      <c r="L21" s="63"/>
      <c r="M21" s="64" t="s">
        <v>50</v>
      </c>
      <c r="N21" s="65"/>
      <c r="O21" s="59"/>
      <c r="P21" s="59"/>
      <c r="Q21" s="59"/>
      <c r="R21" s="59"/>
      <c r="S21" s="59"/>
      <c r="T21" s="269"/>
    </row>
    <row r="22" spans="2:31" ht="15" x14ac:dyDescent="0.25">
      <c r="B22" s="66">
        <v>500</v>
      </c>
      <c r="C22" s="67" t="s">
        <v>36</v>
      </c>
      <c r="D22" s="68"/>
      <c r="E22" s="69"/>
      <c r="F22" s="70"/>
      <c r="G22" s="71" t="e">
        <f>F22/F27</f>
        <v>#DIV/0!</v>
      </c>
      <c r="H22" s="11"/>
      <c r="I22" s="72"/>
      <c r="J22" s="73">
        <f>F22-I22</f>
        <v>0</v>
      </c>
      <c r="K22" s="73" t="e">
        <f>I22/F22-1</f>
        <v>#DIV/0!</v>
      </c>
      <c r="L22" s="63"/>
      <c r="M22" s="74" t="s">
        <v>51</v>
      </c>
      <c r="N22" s="65"/>
      <c r="O22" s="59"/>
      <c r="P22" s="59"/>
      <c r="Q22" s="59"/>
      <c r="R22" s="59"/>
      <c r="S22" s="59"/>
      <c r="T22" s="269"/>
    </row>
    <row r="23" spans="2:31" ht="15" x14ac:dyDescent="0.25">
      <c r="B23" s="66"/>
      <c r="C23" s="67"/>
      <c r="D23" s="68"/>
      <c r="E23" s="69"/>
      <c r="F23" s="70"/>
      <c r="G23" s="71"/>
      <c r="H23" s="11"/>
      <c r="I23" s="72"/>
      <c r="J23" s="73"/>
      <c r="K23" s="73"/>
      <c r="L23" s="63"/>
      <c r="M23" s="64" t="s">
        <v>52</v>
      </c>
      <c r="N23" s="65"/>
      <c r="O23" s="59"/>
      <c r="P23" s="59"/>
      <c r="Q23" s="59"/>
      <c r="R23" s="59"/>
      <c r="S23" s="59"/>
      <c r="T23" s="269"/>
    </row>
    <row r="24" spans="2:31" ht="15" x14ac:dyDescent="0.25">
      <c r="B24" s="66">
        <v>600</v>
      </c>
      <c r="C24" s="67" t="s">
        <v>37</v>
      </c>
      <c r="D24" s="68"/>
      <c r="E24" s="69"/>
      <c r="F24" s="70"/>
      <c r="G24" s="71" t="e">
        <f>F24/F27</f>
        <v>#DIV/0!</v>
      </c>
      <c r="H24" s="11"/>
      <c r="I24" s="72"/>
      <c r="J24" s="73">
        <f>F24-I24</f>
        <v>0</v>
      </c>
      <c r="K24" s="73" t="e">
        <f>I24/F24-1</f>
        <v>#DIV/0!</v>
      </c>
      <c r="L24" s="63"/>
      <c r="M24" s="75" t="s">
        <v>70</v>
      </c>
      <c r="N24" s="76">
        <f t="shared" ref="N24:S24" si="0">SUM(N14:N23)</f>
        <v>0</v>
      </c>
      <c r="O24" s="76">
        <f t="shared" si="0"/>
        <v>0</v>
      </c>
      <c r="P24" s="76">
        <f t="shared" si="0"/>
        <v>0</v>
      </c>
      <c r="Q24" s="76">
        <f t="shared" si="0"/>
        <v>0</v>
      </c>
      <c r="R24" s="76">
        <f t="shared" si="0"/>
        <v>0</v>
      </c>
      <c r="S24" s="76">
        <f t="shared" si="0"/>
        <v>0</v>
      </c>
      <c r="T24" s="270"/>
    </row>
    <row r="25" spans="2:31" ht="15" x14ac:dyDescent="0.25">
      <c r="B25" s="66"/>
      <c r="C25" s="67"/>
      <c r="D25" s="68"/>
      <c r="E25" s="69"/>
      <c r="F25" s="70"/>
      <c r="G25" s="71"/>
      <c r="H25" s="11"/>
      <c r="I25" s="72"/>
      <c r="J25" s="73"/>
      <c r="K25" s="73"/>
      <c r="L25" s="63"/>
      <c r="M25" s="26"/>
      <c r="N25" s="11"/>
      <c r="O25" s="11"/>
      <c r="P25" s="11"/>
      <c r="Q25" s="11"/>
      <c r="R25" s="290" t="s">
        <v>61</v>
      </c>
      <c r="S25" s="291"/>
      <c r="T25" s="271"/>
    </row>
    <row r="26" spans="2:31" ht="15.75" thickBot="1" x14ac:dyDescent="0.3">
      <c r="B26" s="66">
        <v>800</v>
      </c>
      <c r="C26" s="67" t="s">
        <v>38</v>
      </c>
      <c r="D26" s="68"/>
      <c r="E26" s="69"/>
      <c r="F26" s="70"/>
      <c r="G26" s="71" t="e">
        <f>F26/F27</f>
        <v>#DIV/0!</v>
      </c>
      <c r="H26" s="11"/>
      <c r="I26" s="72"/>
      <c r="J26" s="73">
        <f>F26-I26</f>
        <v>0</v>
      </c>
      <c r="K26" s="73" t="e">
        <f>I26/F26-1</f>
        <v>#DIV/0!</v>
      </c>
      <c r="L26" s="63"/>
      <c r="M26" s="78"/>
      <c r="N26" s="79"/>
      <c r="O26" s="79"/>
      <c r="P26" s="79"/>
      <c r="Q26" s="79"/>
      <c r="R26" s="292" t="s">
        <v>62</v>
      </c>
      <c r="S26" s="293"/>
      <c r="T26" s="272"/>
    </row>
    <row r="27" spans="2:31" ht="15" x14ac:dyDescent="0.25">
      <c r="B27" s="81"/>
      <c r="C27" s="67" t="s">
        <v>18</v>
      </c>
      <c r="D27" s="68"/>
      <c r="E27" s="69"/>
      <c r="F27" s="70">
        <f>SUM(F16+F18+F20+F22+F24+F26)</f>
        <v>0</v>
      </c>
      <c r="G27" s="71" t="e">
        <f>SUM(G16:G26)</f>
        <v>#DIV/0!</v>
      </c>
      <c r="H27" s="11"/>
      <c r="I27" s="72">
        <f>SUM(I16+I18+I20+I22+I24+I26)</f>
        <v>0</v>
      </c>
      <c r="J27" s="73">
        <f>F27-I27</f>
        <v>0</v>
      </c>
      <c r="K27" s="73" t="e">
        <f>I27/F27-1</f>
        <v>#DIV/0!</v>
      </c>
      <c r="L27" s="63"/>
    </row>
    <row r="28" spans="2:31" x14ac:dyDescent="0.2">
      <c r="B28" s="111"/>
      <c r="C28" s="112"/>
      <c r="D28" s="113"/>
      <c r="E28" s="27"/>
      <c r="F28" s="114"/>
      <c r="G28" s="115"/>
      <c r="H28" s="11"/>
      <c r="I28" s="116"/>
      <c r="J28" s="117"/>
      <c r="K28" s="117"/>
      <c r="L28" s="63"/>
    </row>
    <row r="29" spans="2:31" ht="15" thickBot="1" x14ac:dyDescent="0.25">
      <c r="B29" s="118"/>
      <c r="C29" s="119"/>
      <c r="D29" s="119"/>
      <c r="E29" s="120"/>
      <c r="F29" s="120"/>
      <c r="G29" s="121"/>
      <c r="H29" s="119"/>
      <c r="I29" s="119"/>
      <c r="J29" s="119"/>
      <c r="K29" s="122"/>
    </row>
    <row r="31" spans="2:31" ht="12.75" customHeight="1" x14ac:dyDescent="0.2">
      <c r="B31" s="18"/>
      <c r="C31" s="18"/>
      <c r="D31" s="18"/>
      <c r="E31" s="18"/>
      <c r="F31" s="18"/>
      <c r="G31" s="18"/>
    </row>
    <row r="32" spans="2:31" ht="15" x14ac:dyDescent="0.2">
      <c r="B32" s="296" t="s">
        <v>68</v>
      </c>
      <c r="C32" s="297"/>
      <c r="D32" s="297"/>
      <c r="E32" s="297"/>
      <c r="F32" s="297"/>
      <c r="G32" s="297"/>
      <c r="H32" s="297"/>
      <c r="I32" s="297"/>
      <c r="J32" s="297"/>
      <c r="K32" s="298"/>
      <c r="L32" s="24"/>
      <c r="T32" s="265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 spans="2:31" ht="15" x14ac:dyDescent="0.2">
      <c r="B33" s="299"/>
      <c r="C33" s="300"/>
      <c r="D33" s="300"/>
      <c r="E33" s="300"/>
      <c r="F33" s="300"/>
      <c r="G33" s="300"/>
      <c r="H33" s="300"/>
      <c r="I33" s="300"/>
      <c r="J33" s="300"/>
      <c r="K33" s="301"/>
      <c r="L33" s="24"/>
      <c r="T33" s="265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spans="2:31" ht="15" x14ac:dyDescent="0.2">
      <c r="B34" s="299"/>
      <c r="C34" s="300"/>
      <c r="D34" s="300"/>
      <c r="E34" s="300"/>
      <c r="F34" s="300"/>
      <c r="G34" s="300"/>
      <c r="H34" s="300"/>
      <c r="I34" s="300"/>
      <c r="J34" s="300"/>
      <c r="K34" s="301"/>
      <c r="L34" s="24"/>
      <c r="T34" s="265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spans="2:31" ht="15.75" thickBot="1" x14ac:dyDescent="0.3">
      <c r="B35" s="89"/>
      <c r="C35" s="22"/>
      <c r="D35" s="90"/>
      <c r="E35" s="90"/>
      <c r="F35" s="90"/>
      <c r="G35" s="90"/>
      <c r="H35" s="11"/>
      <c r="I35" s="11"/>
      <c r="J35" s="11"/>
      <c r="K35" s="29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spans="2:31" ht="15" x14ac:dyDescent="0.25">
      <c r="B36" s="26"/>
      <c r="C36" s="11"/>
      <c r="D36" s="11"/>
      <c r="E36" s="27"/>
      <c r="F36" s="90"/>
      <c r="G36" s="90"/>
      <c r="H36" s="11"/>
      <c r="I36" s="11"/>
      <c r="J36" s="11"/>
      <c r="K36" s="29"/>
      <c r="M36" s="30" t="s">
        <v>68</v>
      </c>
      <c r="N36" s="31"/>
      <c r="O36" s="31"/>
      <c r="P36" s="268"/>
      <c r="Q36" s="31"/>
      <c r="R36" s="31"/>
      <c r="S36" s="31"/>
      <c r="T36" s="258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spans="2:31" ht="15.75" customHeight="1" x14ac:dyDescent="0.2">
      <c r="B37" s="26"/>
      <c r="C37" s="11"/>
      <c r="D37" s="11"/>
      <c r="E37" s="27"/>
      <c r="F37" s="11"/>
      <c r="G37" s="28"/>
      <c r="H37" s="11"/>
      <c r="I37" s="11"/>
      <c r="J37" s="11"/>
      <c r="K37" s="29"/>
      <c r="M37" s="34"/>
      <c r="N37" s="23"/>
      <c r="O37" s="23"/>
      <c r="P37" s="23"/>
      <c r="Q37" s="23"/>
      <c r="R37" s="23"/>
      <c r="S37" s="23"/>
      <c r="T37" s="259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 spans="2:31" ht="15" x14ac:dyDescent="0.25">
      <c r="B38" s="288" t="s">
        <v>151</v>
      </c>
      <c r="C38" s="289"/>
      <c r="D38" s="11"/>
      <c r="E38" s="27"/>
      <c r="F38" s="11"/>
      <c r="G38" s="28"/>
      <c r="H38" s="11"/>
      <c r="I38" s="11"/>
      <c r="J38" s="11"/>
      <c r="K38" s="29"/>
      <c r="M38" s="34"/>
      <c r="N38" s="23"/>
      <c r="O38" s="23"/>
      <c r="P38" s="23"/>
      <c r="Q38" s="23"/>
      <c r="R38" s="23"/>
      <c r="S38" s="23"/>
      <c r="T38" s="259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 spans="2:31" ht="15" x14ac:dyDescent="0.2">
      <c r="B39" s="282"/>
      <c r="C39" s="283"/>
      <c r="D39" s="11"/>
      <c r="E39" s="27"/>
      <c r="F39" s="11"/>
      <c r="G39" s="28"/>
      <c r="H39" s="11"/>
      <c r="I39" s="11"/>
      <c r="J39" s="11"/>
      <c r="K39" s="29"/>
      <c r="M39" s="41"/>
      <c r="N39" s="42"/>
      <c r="O39" s="42"/>
      <c r="P39" s="42"/>
      <c r="Q39" s="42"/>
      <c r="R39" s="42"/>
      <c r="S39" s="42"/>
      <c r="T39" s="260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spans="2:31" ht="45" x14ac:dyDescent="0.25">
      <c r="B40" s="26"/>
      <c r="C40" s="11"/>
      <c r="D40" s="11"/>
      <c r="E40" s="27"/>
      <c r="F40" s="35"/>
      <c r="G40" s="36"/>
      <c r="H40" s="11"/>
      <c r="I40" s="37"/>
      <c r="J40" s="91"/>
      <c r="K40" s="92"/>
      <c r="L40" s="40"/>
      <c r="M40" s="93" t="s">
        <v>59</v>
      </c>
      <c r="N40" s="46" t="s">
        <v>33</v>
      </c>
      <c r="O40" s="47" t="s">
        <v>60</v>
      </c>
      <c r="P40" s="47" t="s">
        <v>35</v>
      </c>
      <c r="Q40" s="47" t="s">
        <v>36</v>
      </c>
      <c r="R40" s="47" t="s">
        <v>37</v>
      </c>
      <c r="S40" s="47" t="s">
        <v>38</v>
      </c>
      <c r="T40" s="266" t="s">
        <v>18</v>
      </c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 spans="2:31" ht="15" x14ac:dyDescent="0.25">
      <c r="B41" s="26"/>
      <c r="C41" s="11"/>
      <c r="D41" s="11"/>
      <c r="E41" s="27"/>
      <c r="F41" s="294" t="s">
        <v>152</v>
      </c>
      <c r="G41" s="295"/>
      <c r="H41" s="11"/>
      <c r="I41" s="43"/>
      <c r="J41" s="44" t="s">
        <v>153</v>
      </c>
      <c r="K41" s="94"/>
      <c r="M41" s="95"/>
      <c r="N41" s="46">
        <v>100</v>
      </c>
      <c r="O41" s="47">
        <v>200</v>
      </c>
      <c r="P41" s="47">
        <v>400</v>
      </c>
      <c r="Q41" s="47">
        <v>500</v>
      </c>
      <c r="R41" s="47">
        <v>600</v>
      </c>
      <c r="S41" s="47">
        <v>800</v>
      </c>
      <c r="T41" s="267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spans="2:31" ht="15" x14ac:dyDescent="0.25">
      <c r="B42" s="26"/>
      <c r="C42" s="11"/>
      <c r="D42" s="11"/>
      <c r="E42" s="27"/>
      <c r="F42" s="48"/>
      <c r="G42" s="49"/>
      <c r="H42" s="11"/>
      <c r="I42" s="50" t="s">
        <v>30</v>
      </c>
      <c r="J42" s="51" t="s">
        <v>29</v>
      </c>
      <c r="K42" s="96" t="s">
        <v>31</v>
      </c>
      <c r="L42" s="40"/>
      <c r="M42" s="56" t="s">
        <v>72</v>
      </c>
      <c r="N42" s="65"/>
      <c r="O42" s="59"/>
      <c r="P42" s="59"/>
      <c r="Q42" s="59"/>
      <c r="R42" s="59"/>
      <c r="S42" s="59"/>
      <c r="T42" s="26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 spans="2:31" ht="18.75" customHeight="1" x14ac:dyDescent="0.25">
      <c r="B43" s="288"/>
      <c r="C43" s="289"/>
      <c r="D43" s="11"/>
      <c r="E43" s="27"/>
      <c r="F43" s="53" t="s">
        <v>154</v>
      </c>
      <c r="G43" s="54" t="s">
        <v>31</v>
      </c>
      <c r="H43" s="11"/>
      <c r="I43" s="50" t="s">
        <v>32</v>
      </c>
      <c r="J43" s="51" t="s">
        <v>17</v>
      </c>
      <c r="K43" s="96" t="s">
        <v>29</v>
      </c>
      <c r="L43" s="40"/>
      <c r="M43" s="64" t="s">
        <v>44</v>
      </c>
      <c r="N43" s="65"/>
      <c r="O43" s="59"/>
      <c r="P43" s="59"/>
      <c r="Q43" s="59"/>
      <c r="R43" s="59"/>
      <c r="S43" s="59"/>
      <c r="T43" s="26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 spans="2:31" ht="15" x14ac:dyDescent="0.25">
      <c r="B44" s="288" t="s">
        <v>19</v>
      </c>
      <c r="C44" s="289"/>
      <c r="D44" s="11"/>
      <c r="E44" s="27"/>
      <c r="F44" s="48"/>
      <c r="G44" s="49"/>
      <c r="H44" s="11"/>
      <c r="I44" s="97"/>
      <c r="J44" s="61"/>
      <c r="K44" s="98"/>
      <c r="L44" s="63"/>
      <c r="M44" s="74" t="s">
        <v>45</v>
      </c>
      <c r="N44" s="65"/>
      <c r="O44" s="59"/>
      <c r="P44" s="59"/>
      <c r="Q44" s="59"/>
      <c r="R44" s="59"/>
      <c r="S44" s="59"/>
      <c r="T44" s="26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 spans="2:31" ht="15" x14ac:dyDescent="0.25">
      <c r="B45" s="66">
        <v>100</v>
      </c>
      <c r="C45" s="99" t="s">
        <v>33</v>
      </c>
      <c r="D45" s="83"/>
      <c r="E45" s="27"/>
      <c r="F45" s="84"/>
      <c r="G45" s="85" t="e">
        <f>F45/F56</f>
        <v>#DIV/0!</v>
      </c>
      <c r="H45" s="11"/>
      <c r="I45" s="100"/>
      <c r="J45" s="101">
        <f>F45-I45</f>
        <v>0</v>
      </c>
      <c r="K45" s="102" t="e">
        <f>I45/F45-1</f>
        <v>#DIV/0!</v>
      </c>
      <c r="L45" s="63"/>
      <c r="M45" s="64" t="s">
        <v>46</v>
      </c>
      <c r="N45" s="65"/>
      <c r="O45" s="59"/>
      <c r="P45" s="59"/>
      <c r="Q45" s="59"/>
      <c r="R45" s="59"/>
      <c r="S45" s="59"/>
      <c r="T45" s="26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 spans="2:31" ht="15" x14ac:dyDescent="0.25">
      <c r="B46" s="66"/>
      <c r="C46" s="99"/>
      <c r="D46" s="83"/>
      <c r="E46" s="27"/>
      <c r="F46" s="84"/>
      <c r="G46" s="85"/>
      <c r="H46" s="11"/>
      <c r="I46" s="100"/>
      <c r="J46" s="101"/>
      <c r="K46" s="102"/>
      <c r="L46" s="63"/>
      <c r="M46" s="74" t="s">
        <v>47</v>
      </c>
      <c r="N46" s="65"/>
      <c r="O46" s="59"/>
      <c r="P46" s="59"/>
      <c r="Q46" s="59"/>
      <c r="R46" s="59"/>
      <c r="S46" s="59"/>
      <c r="T46" s="261"/>
      <c r="U46" s="11"/>
      <c r="V46" s="32"/>
      <c r="W46" s="32"/>
      <c r="X46" s="11"/>
      <c r="Y46" s="11"/>
      <c r="Z46" s="11"/>
      <c r="AA46" s="11"/>
      <c r="AB46" s="11"/>
      <c r="AC46" s="11"/>
      <c r="AD46" s="11"/>
      <c r="AE46" s="11"/>
    </row>
    <row r="47" spans="2:31" ht="15" x14ac:dyDescent="0.25">
      <c r="B47" s="66">
        <v>200</v>
      </c>
      <c r="C47" s="99" t="s">
        <v>34</v>
      </c>
      <c r="D47" s="83"/>
      <c r="E47" s="27"/>
      <c r="F47" s="84"/>
      <c r="G47" s="85" t="e">
        <f>F47/F56</f>
        <v>#DIV/0!</v>
      </c>
      <c r="H47" s="11"/>
      <c r="I47" s="100"/>
      <c r="J47" s="101">
        <f>F47-I47</f>
        <v>0</v>
      </c>
      <c r="K47" s="102" t="e">
        <f>I47/F47-1</f>
        <v>#DIV/0!</v>
      </c>
      <c r="L47" s="63"/>
      <c r="M47" s="64" t="s">
        <v>48</v>
      </c>
      <c r="N47" s="65"/>
      <c r="O47" s="59"/>
      <c r="P47" s="59"/>
      <c r="Q47" s="59"/>
      <c r="R47" s="59"/>
      <c r="S47" s="59"/>
      <c r="T47" s="261"/>
      <c r="U47" s="11"/>
      <c r="V47" s="32"/>
      <c r="W47" s="32"/>
      <c r="X47" s="11"/>
      <c r="Y47" s="11"/>
      <c r="Z47" s="11"/>
      <c r="AA47" s="11"/>
      <c r="AB47" s="11"/>
      <c r="AC47" s="11"/>
      <c r="AD47" s="11"/>
      <c r="AE47" s="11"/>
    </row>
    <row r="48" spans="2:31" ht="15" x14ac:dyDescent="0.25">
      <c r="B48" s="66"/>
      <c r="C48" s="99"/>
      <c r="D48" s="83"/>
      <c r="E48" s="27"/>
      <c r="F48" s="84"/>
      <c r="G48" s="85"/>
      <c r="H48" s="11"/>
      <c r="I48" s="100"/>
      <c r="J48" s="101"/>
      <c r="K48" s="102"/>
      <c r="L48" s="63"/>
      <c r="M48" s="74" t="s">
        <v>49</v>
      </c>
      <c r="N48" s="65"/>
      <c r="O48" s="59"/>
      <c r="P48" s="59"/>
      <c r="Q48" s="59"/>
      <c r="R48" s="59"/>
      <c r="S48" s="59"/>
      <c r="T48" s="261"/>
      <c r="U48" s="32"/>
      <c r="V48" s="32"/>
      <c r="W48" s="32"/>
      <c r="X48" s="11"/>
      <c r="Y48" s="11"/>
      <c r="Z48" s="11"/>
      <c r="AA48" s="11"/>
      <c r="AB48" s="11"/>
      <c r="AC48" s="11"/>
      <c r="AD48" s="11"/>
      <c r="AE48" s="11"/>
    </row>
    <row r="49" spans="2:31" ht="12.75" customHeight="1" x14ac:dyDescent="0.25">
      <c r="B49" s="66">
        <v>400</v>
      </c>
      <c r="C49" s="99" t="s">
        <v>35</v>
      </c>
      <c r="D49" s="83"/>
      <c r="E49" s="27"/>
      <c r="F49" s="84"/>
      <c r="G49" s="85" t="e">
        <f>F49/F56</f>
        <v>#DIV/0!</v>
      </c>
      <c r="H49" s="11"/>
      <c r="I49" s="100"/>
      <c r="J49" s="101">
        <f>F49-I49</f>
        <v>0</v>
      </c>
      <c r="K49" s="102" t="e">
        <f>I49/F49-1</f>
        <v>#DIV/0!</v>
      </c>
      <c r="L49" s="63"/>
      <c r="M49" s="64" t="s">
        <v>50</v>
      </c>
      <c r="N49" s="65"/>
      <c r="O49" s="59"/>
      <c r="P49" s="59"/>
      <c r="Q49" s="59"/>
      <c r="R49" s="59"/>
      <c r="S49" s="59"/>
      <c r="T49" s="261"/>
      <c r="U49" s="32"/>
      <c r="V49" s="32"/>
      <c r="W49" s="32"/>
      <c r="X49" s="11"/>
      <c r="Y49" s="11"/>
      <c r="Z49" s="11"/>
      <c r="AA49" s="11"/>
      <c r="AB49" s="11"/>
      <c r="AC49" s="11"/>
      <c r="AD49" s="11"/>
      <c r="AE49" s="11"/>
    </row>
    <row r="50" spans="2:31" ht="12.75" customHeight="1" x14ac:dyDescent="0.25">
      <c r="B50" s="66"/>
      <c r="C50" s="99"/>
      <c r="D50" s="83"/>
      <c r="E50" s="27"/>
      <c r="F50" s="84"/>
      <c r="G50" s="85"/>
      <c r="H50" s="11"/>
      <c r="I50" s="100"/>
      <c r="J50" s="101"/>
      <c r="K50" s="102"/>
      <c r="L50" s="63"/>
      <c r="M50" s="74" t="s">
        <v>51</v>
      </c>
      <c r="N50" s="65"/>
      <c r="O50" s="59"/>
      <c r="P50" s="59"/>
      <c r="Q50" s="59"/>
      <c r="R50" s="59"/>
      <c r="S50" s="59"/>
      <c r="T50" s="261"/>
      <c r="U50" s="32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 spans="2:31" ht="12.75" customHeight="1" x14ac:dyDescent="0.25">
      <c r="B51" s="66">
        <v>500</v>
      </c>
      <c r="C51" s="99" t="s">
        <v>36</v>
      </c>
      <c r="D51" s="83"/>
      <c r="E51" s="27"/>
      <c r="F51" s="84"/>
      <c r="G51" s="85" t="e">
        <f>F51/F56</f>
        <v>#DIV/0!</v>
      </c>
      <c r="H51" s="11"/>
      <c r="I51" s="100"/>
      <c r="J51" s="101">
        <f>F51-I51</f>
        <v>0</v>
      </c>
      <c r="K51" s="102" t="e">
        <f>I51/F51-1</f>
        <v>#DIV/0!</v>
      </c>
      <c r="L51" s="63"/>
      <c r="M51" s="64" t="s">
        <v>52</v>
      </c>
      <c r="N51" s="65"/>
      <c r="O51" s="59"/>
      <c r="P51" s="59"/>
      <c r="Q51" s="59"/>
      <c r="R51" s="59"/>
      <c r="S51" s="59"/>
      <c r="T51" s="261"/>
      <c r="U51" s="32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 spans="2:31" ht="13.5" customHeight="1" x14ac:dyDescent="0.25">
      <c r="B52" s="66"/>
      <c r="C52" s="99"/>
      <c r="D52" s="83"/>
      <c r="E52" s="27"/>
      <c r="F52" s="84"/>
      <c r="G52" s="85"/>
      <c r="H52" s="11"/>
      <c r="I52" s="100"/>
      <c r="J52" s="101"/>
      <c r="K52" s="102"/>
      <c r="L52" s="63"/>
      <c r="M52" s="75" t="s">
        <v>70</v>
      </c>
      <c r="N52" s="76">
        <f t="shared" ref="N52:S52" si="1">SUM(N42:N51)</f>
        <v>0</v>
      </c>
      <c r="O52" s="76">
        <f t="shared" si="1"/>
        <v>0</v>
      </c>
      <c r="P52" s="76">
        <f t="shared" si="1"/>
        <v>0</v>
      </c>
      <c r="Q52" s="76">
        <f t="shared" si="1"/>
        <v>0</v>
      </c>
      <c r="R52" s="76">
        <f t="shared" si="1"/>
        <v>0</v>
      </c>
      <c r="S52" s="76">
        <f t="shared" si="1"/>
        <v>0</v>
      </c>
      <c r="T52" s="262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 spans="2:31" ht="15" x14ac:dyDescent="0.25">
      <c r="B53" s="66">
        <v>600</v>
      </c>
      <c r="C53" s="99" t="s">
        <v>37</v>
      </c>
      <c r="D53" s="83"/>
      <c r="E53" s="27"/>
      <c r="F53" s="84"/>
      <c r="G53" s="85" t="e">
        <f>F53/F56</f>
        <v>#DIV/0!</v>
      </c>
      <c r="H53" s="11"/>
      <c r="I53" s="100"/>
      <c r="J53" s="101">
        <f>F53-I53</f>
        <v>0</v>
      </c>
      <c r="K53" s="102" t="e">
        <f>I53/F53-1</f>
        <v>#DIV/0!</v>
      </c>
      <c r="L53" s="63"/>
      <c r="M53" s="26"/>
      <c r="N53" s="11"/>
      <c r="O53" s="11"/>
      <c r="P53" s="11"/>
      <c r="Q53" s="11"/>
      <c r="R53" s="103" t="s">
        <v>61</v>
      </c>
      <c r="S53" s="104"/>
      <c r="T53" s="263"/>
      <c r="X53" s="11"/>
      <c r="Y53" s="11"/>
      <c r="Z53" s="11"/>
      <c r="AA53" s="11"/>
      <c r="AB53" s="11"/>
      <c r="AC53" s="11"/>
      <c r="AD53" s="11"/>
      <c r="AE53" s="11"/>
    </row>
    <row r="54" spans="2:31" ht="15.75" thickBot="1" x14ac:dyDescent="0.3">
      <c r="B54" s="66"/>
      <c r="C54" s="99"/>
      <c r="D54" s="83"/>
      <c r="E54" s="27"/>
      <c r="F54" s="84"/>
      <c r="G54" s="85"/>
      <c r="H54" s="11"/>
      <c r="I54" s="100"/>
      <c r="J54" s="101"/>
      <c r="K54" s="102"/>
      <c r="L54" s="63"/>
      <c r="M54" s="78"/>
      <c r="N54" s="79"/>
      <c r="O54" s="79"/>
      <c r="P54" s="79"/>
      <c r="Q54" s="79"/>
      <c r="R54" s="105" t="s">
        <v>62</v>
      </c>
      <c r="S54" s="106"/>
      <c r="T54" s="264"/>
      <c r="X54" s="11"/>
      <c r="Y54" s="11"/>
      <c r="Z54" s="11"/>
      <c r="AA54" s="11"/>
      <c r="AB54" s="11"/>
      <c r="AC54" s="11"/>
      <c r="AD54" s="11"/>
      <c r="AE54" s="11"/>
    </row>
    <row r="55" spans="2:31" ht="15" x14ac:dyDescent="0.25">
      <c r="B55" s="66">
        <v>800</v>
      </c>
      <c r="C55" s="99" t="s">
        <v>38</v>
      </c>
      <c r="D55" s="83"/>
      <c r="E55" s="27"/>
      <c r="F55" s="84"/>
      <c r="G55" s="85" t="e">
        <f>F55/F56</f>
        <v>#DIV/0!</v>
      </c>
      <c r="H55" s="11"/>
      <c r="I55" s="100"/>
      <c r="J55" s="101">
        <f>F55-I55</f>
        <v>0</v>
      </c>
      <c r="K55" s="102" t="e">
        <f>I55/F55-1</f>
        <v>#DIV/0!</v>
      </c>
      <c r="L55" s="63"/>
      <c r="X55" s="11"/>
      <c r="Y55" s="11"/>
      <c r="Z55" s="11"/>
      <c r="AA55" s="11"/>
      <c r="AB55" s="11"/>
      <c r="AC55" s="11"/>
      <c r="AD55" s="11"/>
      <c r="AE55" s="11"/>
    </row>
    <row r="56" spans="2:31" ht="15" x14ac:dyDescent="0.25">
      <c r="B56" s="107"/>
      <c r="C56" s="99" t="s">
        <v>18</v>
      </c>
      <c r="D56" s="83"/>
      <c r="E56" s="27"/>
      <c r="F56" s="70">
        <f>SUM(F45+F47+F49+F51+F53+F55)</f>
        <v>0</v>
      </c>
      <c r="G56" s="85" t="e">
        <f>SUM(G45:G55)</f>
        <v>#DIV/0!</v>
      </c>
      <c r="H56" s="11"/>
      <c r="I56" s="100">
        <f>SUM(I45+I47+I49+I51+I53+I55)</f>
        <v>0</v>
      </c>
      <c r="J56" s="101">
        <f>F56-I56</f>
        <v>0</v>
      </c>
      <c r="K56" s="102" t="e">
        <f>I56/F56-1</f>
        <v>#DIV/0!</v>
      </c>
      <c r="L56" s="63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 spans="2:31" x14ac:dyDescent="0.2">
      <c r="B57" s="82"/>
      <c r="C57" s="59"/>
      <c r="D57" s="83"/>
      <c r="E57" s="27"/>
      <c r="F57" s="84"/>
      <c r="G57" s="85"/>
      <c r="H57" s="11"/>
      <c r="I57" s="108"/>
      <c r="J57" s="101"/>
      <c r="K57" s="102"/>
      <c r="L57" s="63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 spans="2:31" ht="15" thickBot="1" x14ac:dyDescent="0.25">
      <c r="B58" s="78"/>
      <c r="C58" s="79"/>
      <c r="D58" s="79"/>
      <c r="E58" s="86"/>
      <c r="F58" s="86"/>
      <c r="G58" s="87"/>
      <c r="H58" s="79"/>
      <c r="I58" s="79"/>
      <c r="J58" s="79"/>
      <c r="K58" s="88"/>
      <c r="T58" s="265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 spans="2:31" x14ac:dyDescent="0.2">
      <c r="T59" s="265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</sheetData>
  <mergeCells count="17">
    <mergeCell ref="B43:C43"/>
    <mergeCell ref="B44:C44"/>
    <mergeCell ref="F41:G41"/>
    <mergeCell ref="B9:C9"/>
    <mergeCell ref="F12:G12"/>
    <mergeCell ref="B38:C38"/>
    <mergeCell ref="B32:K34"/>
    <mergeCell ref="B1:T1"/>
    <mergeCell ref="B6:K7"/>
    <mergeCell ref="B10:C10"/>
    <mergeCell ref="B39:C39"/>
    <mergeCell ref="T12:T13"/>
    <mergeCell ref="M12:M13"/>
    <mergeCell ref="B15:C15"/>
    <mergeCell ref="R25:S25"/>
    <mergeCell ref="R26:S26"/>
    <mergeCell ref="B14:C14"/>
  </mergeCells>
  <phoneticPr fontId="2" type="noConversion"/>
  <printOptions horizontalCentered="1"/>
  <pageMargins left="0.23" right="0.24" top="0.83333333333333304" bottom="0.24" header="0.17" footer="0.17"/>
  <pageSetup pageOrder="overThenDown" orientation="landscape" r:id="rId1"/>
  <headerFooter alignWithMargins="0">
    <oddHeader xml:space="preserve">&amp;C&amp;12ODE - Office for Exceptional Children&amp;8        
&amp;12Fiscal Review Process      &amp;8  
&amp;12Statement of Activities    &amp;8    
</oddHeader>
    <oddFooter>&amp;R&amp;Z&amp;F</oddFooter>
  </headerFooter>
  <rowBreaks count="2" manualBreakCount="2">
    <brk id="29" max="16383" man="1"/>
    <brk id="58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S76"/>
  <sheetViews>
    <sheetView zoomScale="90" zoomScaleNormal="90" zoomScaleSheetLayoutView="90" workbookViewId="0">
      <selection activeCell="G18" sqref="G18"/>
    </sheetView>
  </sheetViews>
  <sheetFormatPr defaultColWidth="9.140625" defaultRowHeight="14.25" x14ac:dyDescent="0.2"/>
  <cols>
    <col min="1" max="1" width="4.28515625" style="10" customWidth="1"/>
    <col min="2" max="2" width="20.42578125" style="124" customWidth="1"/>
    <col min="3" max="3" width="25.85546875" style="10" customWidth="1"/>
    <col min="4" max="4" width="25.28515625" style="10" customWidth="1"/>
    <col min="5" max="5" width="9" style="10" customWidth="1"/>
    <col min="6" max="6" width="11" style="10" customWidth="1"/>
    <col min="7" max="7" width="6.42578125" style="10" customWidth="1"/>
    <col min="8" max="8" width="4" style="10" customWidth="1"/>
    <col min="9" max="9" width="3.140625" style="10" customWidth="1"/>
    <col min="10" max="10" width="3.28515625" style="10" customWidth="1"/>
    <col min="11" max="11" width="3.5703125" style="10" customWidth="1"/>
    <col min="12" max="13" width="3.140625" style="10" customWidth="1"/>
    <col min="14" max="14" width="23.140625" style="10" customWidth="1"/>
    <col min="15" max="15" width="29.42578125" style="10" customWidth="1"/>
    <col min="16" max="16" width="18.85546875" style="10" customWidth="1"/>
    <col min="17" max="19" width="4.7109375" style="10" customWidth="1"/>
    <col min="20" max="16384" width="9.140625" style="10"/>
  </cols>
  <sheetData>
    <row r="1" spans="1:19" s="21" customFormat="1" x14ac:dyDescent="0.2">
      <c r="B1" s="303" t="s">
        <v>24</v>
      </c>
      <c r="C1" s="304"/>
      <c r="D1" s="304"/>
      <c r="E1" s="305"/>
      <c r="F1" s="305"/>
      <c r="G1" s="305"/>
      <c r="H1" s="305"/>
      <c r="I1" s="305"/>
      <c r="J1" s="305"/>
      <c r="K1" s="305"/>
      <c r="L1" s="305"/>
      <c r="M1" s="305"/>
      <c r="N1" s="305"/>
      <c r="P1" s="16"/>
      <c r="Q1" s="16"/>
      <c r="R1" s="16"/>
      <c r="S1" s="16"/>
    </row>
    <row r="2" spans="1:19" s="21" customFormat="1" ht="15" x14ac:dyDescent="0.25">
      <c r="B2" s="13" t="s">
        <v>79</v>
      </c>
      <c r="C2" s="306">
        <f>SOA!C2</f>
        <v>0</v>
      </c>
      <c r="D2" s="307"/>
      <c r="E2" s="307"/>
      <c r="F2" s="307"/>
      <c r="G2" s="30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25"/>
    </row>
    <row r="3" spans="1:19" s="21" customFormat="1" ht="15" x14ac:dyDescent="0.25">
      <c r="B3" s="13" t="s">
        <v>81</v>
      </c>
      <c r="C3" s="14">
        <f>SOA!C3</f>
        <v>0</v>
      </c>
      <c r="D3" s="25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9" s="21" customFormat="1" ht="15" x14ac:dyDescent="0.25">
      <c r="B4" s="13" t="s">
        <v>82</v>
      </c>
      <c r="C4" s="15">
        <f>SOA!C4</f>
        <v>0</v>
      </c>
      <c r="D4" s="2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9" s="21" customFormat="1" ht="15" x14ac:dyDescent="0.25">
      <c r="B5" s="123"/>
      <c r="C5" s="13"/>
      <c r="D5" s="13"/>
      <c r="E5" s="16"/>
      <c r="F5" s="16"/>
      <c r="G5" s="16"/>
      <c r="H5" s="16"/>
      <c r="I5" s="16"/>
      <c r="J5" s="16"/>
      <c r="K5" s="16"/>
      <c r="L5" s="16"/>
      <c r="O5" s="16"/>
      <c r="P5" s="16"/>
      <c r="Q5" s="16"/>
      <c r="R5" s="16"/>
      <c r="S5" s="16"/>
    </row>
    <row r="6" spans="1:19" ht="15" x14ac:dyDescent="0.25">
      <c r="A6" s="124"/>
      <c r="B6" s="17" t="s">
        <v>180</v>
      </c>
      <c r="C6" s="18"/>
    </row>
    <row r="7" spans="1:19" x14ac:dyDescent="0.2">
      <c r="A7" s="124"/>
      <c r="B7" s="10"/>
      <c r="C7" s="10" t="s">
        <v>39</v>
      </c>
    </row>
    <row r="8" spans="1:19" x14ac:dyDescent="0.2">
      <c r="A8" s="124"/>
      <c r="B8" s="10"/>
      <c r="C8" s="10" t="s">
        <v>119</v>
      </c>
    </row>
    <row r="9" spans="1:19" x14ac:dyDescent="0.2">
      <c r="A9" s="124"/>
      <c r="B9" s="10"/>
      <c r="C9" s="10" t="s">
        <v>100</v>
      </c>
    </row>
    <row r="10" spans="1:19" s="124" customFormat="1" ht="30" customHeight="1" x14ac:dyDescent="0.2">
      <c r="B10" s="311" t="s">
        <v>185</v>
      </c>
      <c r="C10" s="312"/>
      <c r="D10" s="312"/>
      <c r="E10" s="312"/>
      <c r="F10" s="312"/>
      <c r="G10" s="312"/>
      <c r="H10" s="312"/>
      <c r="I10" s="312"/>
      <c r="J10" s="312"/>
      <c r="K10" s="312"/>
      <c r="L10" s="312"/>
      <c r="M10" s="312"/>
      <c r="N10" s="312"/>
      <c r="O10" s="19"/>
    </row>
    <row r="11" spans="1:19" ht="30" customHeight="1" x14ac:dyDescent="0.2">
      <c r="B11" s="310" t="s">
        <v>132</v>
      </c>
      <c r="C11" s="312"/>
      <c r="D11" s="312"/>
      <c r="E11" s="312"/>
      <c r="F11" s="312"/>
      <c r="G11" s="312"/>
      <c r="H11" s="312"/>
      <c r="I11" s="312"/>
      <c r="J11" s="312"/>
      <c r="K11" s="312"/>
      <c r="L11" s="312"/>
      <c r="M11" s="312"/>
      <c r="N11" s="312"/>
      <c r="O11" s="20"/>
    </row>
    <row r="12" spans="1:19" x14ac:dyDescent="0.2">
      <c r="B12" s="125"/>
      <c r="C12" s="125"/>
      <c r="D12" s="125"/>
      <c r="E12" s="125"/>
      <c r="F12" s="125"/>
      <c r="G12" s="125"/>
      <c r="H12" s="125"/>
      <c r="I12" s="251"/>
      <c r="J12" s="125"/>
      <c r="K12" s="125"/>
      <c r="L12" s="125"/>
      <c r="M12" s="125"/>
      <c r="N12" s="125"/>
      <c r="O12" s="125"/>
    </row>
    <row r="13" spans="1:19" x14ac:dyDescent="0.2">
      <c r="B13" s="310" t="s">
        <v>91</v>
      </c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21"/>
      <c r="O13" s="21"/>
    </row>
    <row r="14" spans="1:19" x14ac:dyDescent="0.2">
      <c r="B14" s="310" t="s">
        <v>107</v>
      </c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21"/>
      <c r="O14" s="21"/>
    </row>
    <row r="15" spans="1:19" ht="15" thickBot="1" x14ac:dyDescent="0.25">
      <c r="A15" s="124"/>
      <c r="B15" s="10" t="s">
        <v>120</v>
      </c>
    </row>
    <row r="16" spans="1:19" ht="15" x14ac:dyDescent="0.25">
      <c r="A16" s="124"/>
      <c r="B16" s="126"/>
      <c r="C16" s="127"/>
      <c r="D16" s="127"/>
      <c r="E16" s="127"/>
      <c r="F16" s="127"/>
      <c r="G16" s="309" t="s">
        <v>3</v>
      </c>
      <c r="H16" s="309"/>
      <c r="I16" s="309"/>
      <c r="J16" s="309"/>
      <c r="K16" s="309"/>
      <c r="L16" s="309"/>
      <c r="M16" s="309"/>
      <c r="N16" s="128" t="s">
        <v>78</v>
      </c>
    </row>
    <row r="17" spans="1:14" ht="15.75" thickBot="1" x14ac:dyDescent="0.3">
      <c r="A17" s="124"/>
      <c r="B17" s="129" t="s">
        <v>136</v>
      </c>
      <c r="C17" s="130" t="s">
        <v>25</v>
      </c>
      <c r="D17" s="130" t="s">
        <v>139</v>
      </c>
      <c r="E17" s="130" t="s">
        <v>137</v>
      </c>
      <c r="F17" s="130" t="s">
        <v>138</v>
      </c>
      <c r="G17" s="130" t="s">
        <v>4</v>
      </c>
      <c r="H17" s="130" t="s">
        <v>5</v>
      </c>
      <c r="I17" s="252" t="s">
        <v>6</v>
      </c>
      <c r="J17" s="130" t="s">
        <v>7</v>
      </c>
      <c r="K17" s="130" t="s">
        <v>8</v>
      </c>
      <c r="L17" s="130" t="s">
        <v>9</v>
      </c>
      <c r="M17" s="130" t="s">
        <v>10</v>
      </c>
      <c r="N17" s="131"/>
    </row>
    <row r="18" spans="1:14" ht="12.75" customHeight="1" x14ac:dyDescent="0.2">
      <c r="A18" s="124"/>
      <c r="B18" s="132"/>
      <c r="C18" s="132"/>
      <c r="D18" s="59"/>
      <c r="E18" s="59"/>
      <c r="F18" s="59"/>
      <c r="G18" s="132"/>
      <c r="H18" s="132"/>
      <c r="I18" s="132"/>
      <c r="J18" s="132"/>
      <c r="K18" s="132"/>
      <c r="L18" s="132"/>
      <c r="M18" s="132"/>
      <c r="N18" s="59"/>
    </row>
    <row r="19" spans="1:14" ht="12.75" customHeight="1" x14ac:dyDescent="0.2">
      <c r="A19" s="308" t="s">
        <v>67</v>
      </c>
      <c r="B19" s="132"/>
      <c r="C19" s="132"/>
      <c r="D19" s="59"/>
      <c r="E19" s="59"/>
      <c r="F19" s="59"/>
      <c r="G19" s="132"/>
      <c r="H19" s="132"/>
      <c r="I19" s="132"/>
      <c r="J19" s="132"/>
      <c r="K19" s="132"/>
      <c r="L19" s="132"/>
      <c r="M19" s="132"/>
      <c r="N19" s="59"/>
    </row>
    <row r="20" spans="1:14" x14ac:dyDescent="0.2">
      <c r="A20" s="308"/>
      <c r="B20" s="132"/>
      <c r="C20" s="132"/>
      <c r="D20" s="59"/>
      <c r="E20" s="59"/>
      <c r="F20" s="59"/>
      <c r="G20" s="132"/>
      <c r="H20" s="132"/>
      <c r="I20" s="132"/>
      <c r="J20" s="132"/>
      <c r="K20" s="132"/>
      <c r="L20" s="132"/>
      <c r="M20" s="132"/>
      <c r="N20" s="59"/>
    </row>
    <row r="21" spans="1:14" x14ac:dyDescent="0.2">
      <c r="A21" s="308"/>
      <c r="B21" s="132"/>
      <c r="C21" s="132"/>
      <c r="D21" s="59"/>
      <c r="E21" s="59"/>
      <c r="F21" s="59"/>
      <c r="G21" s="132"/>
      <c r="H21" s="132"/>
      <c r="I21" s="132"/>
      <c r="J21" s="132"/>
      <c r="K21" s="132"/>
      <c r="L21" s="132"/>
      <c r="M21" s="132"/>
      <c r="N21" s="59"/>
    </row>
    <row r="22" spans="1:14" x14ac:dyDescent="0.2">
      <c r="A22" s="308"/>
      <c r="B22" s="132"/>
      <c r="C22" s="132"/>
      <c r="D22" s="59"/>
      <c r="E22" s="59"/>
      <c r="F22" s="59"/>
      <c r="G22" s="132"/>
      <c r="H22" s="132"/>
      <c r="I22" s="132"/>
      <c r="J22" s="132"/>
      <c r="K22" s="132"/>
      <c r="L22" s="132"/>
      <c r="M22" s="132"/>
      <c r="N22" s="59"/>
    </row>
    <row r="23" spans="1:14" x14ac:dyDescent="0.2">
      <c r="A23" s="308"/>
      <c r="B23" s="132"/>
      <c r="C23" s="132"/>
      <c r="D23" s="59"/>
      <c r="E23" s="59"/>
      <c r="F23" s="59"/>
      <c r="G23" s="132"/>
      <c r="H23" s="132"/>
      <c r="I23" s="132"/>
      <c r="J23" s="132"/>
      <c r="K23" s="132"/>
      <c r="L23" s="132"/>
      <c r="M23" s="132"/>
      <c r="N23" s="59"/>
    </row>
    <row r="24" spans="1:14" x14ac:dyDescent="0.2">
      <c r="A24" s="308"/>
      <c r="B24" s="132"/>
      <c r="C24" s="132"/>
      <c r="D24" s="59"/>
      <c r="E24" s="59"/>
      <c r="F24" s="59"/>
      <c r="G24" s="132"/>
      <c r="H24" s="132"/>
      <c r="I24" s="132"/>
      <c r="J24" s="132"/>
      <c r="K24" s="132"/>
      <c r="L24" s="132"/>
      <c r="M24" s="132"/>
      <c r="N24" s="59"/>
    </row>
    <row r="25" spans="1:14" x14ac:dyDescent="0.2">
      <c r="A25" s="308"/>
      <c r="B25" s="132"/>
      <c r="C25" s="132"/>
      <c r="D25" s="59"/>
      <c r="E25" s="59"/>
      <c r="F25" s="59"/>
      <c r="G25" s="132"/>
      <c r="H25" s="132"/>
      <c r="I25" s="132"/>
      <c r="J25" s="132"/>
      <c r="K25" s="132"/>
      <c r="L25" s="132"/>
      <c r="M25" s="132"/>
      <c r="N25" s="59"/>
    </row>
    <row r="26" spans="1:14" ht="12.75" customHeight="1" x14ac:dyDescent="0.2">
      <c r="A26" s="308"/>
      <c r="B26" s="132"/>
      <c r="C26" s="132"/>
      <c r="D26" s="59"/>
      <c r="E26" s="59"/>
      <c r="F26" s="59"/>
      <c r="G26" s="132"/>
      <c r="H26" s="132"/>
      <c r="I26" s="132"/>
      <c r="J26" s="132"/>
      <c r="K26" s="132"/>
      <c r="L26" s="132"/>
      <c r="M26" s="132"/>
      <c r="N26" s="59"/>
    </row>
    <row r="27" spans="1:14" x14ac:dyDescent="0.2">
      <c r="A27" s="308"/>
      <c r="B27" s="132"/>
      <c r="C27" s="132"/>
      <c r="D27" s="59"/>
      <c r="E27" s="59"/>
      <c r="F27" s="59"/>
      <c r="G27" s="132"/>
      <c r="H27" s="132"/>
      <c r="I27" s="132"/>
      <c r="J27" s="132"/>
      <c r="K27" s="132"/>
      <c r="L27" s="132"/>
      <c r="M27" s="132"/>
      <c r="N27" s="59"/>
    </row>
    <row r="28" spans="1:14" x14ac:dyDescent="0.2">
      <c r="A28" s="308"/>
      <c r="B28" s="132"/>
      <c r="C28" s="132"/>
      <c r="D28" s="59"/>
      <c r="E28" s="59"/>
      <c r="F28" s="59"/>
      <c r="G28" s="132"/>
      <c r="H28" s="132"/>
      <c r="I28" s="132"/>
      <c r="J28" s="132"/>
      <c r="K28" s="132"/>
      <c r="L28" s="132"/>
      <c r="M28" s="132"/>
      <c r="N28" s="59"/>
    </row>
    <row r="29" spans="1:14" x14ac:dyDescent="0.2">
      <c r="A29" s="308"/>
      <c r="B29" s="132"/>
      <c r="C29" s="132"/>
      <c r="D29" s="59"/>
      <c r="E29" s="59"/>
      <c r="F29" s="59"/>
      <c r="G29" s="132"/>
      <c r="H29" s="132"/>
      <c r="I29" s="132"/>
      <c r="J29" s="132"/>
      <c r="K29" s="132"/>
      <c r="L29" s="132"/>
      <c r="M29" s="132"/>
      <c r="N29" s="59"/>
    </row>
    <row r="30" spans="1:14" x14ac:dyDescent="0.2">
      <c r="A30" s="308"/>
      <c r="B30" s="132"/>
      <c r="C30" s="132"/>
      <c r="D30" s="59"/>
      <c r="E30" s="59"/>
      <c r="F30" s="59"/>
      <c r="G30" s="132"/>
      <c r="H30" s="132"/>
      <c r="I30" s="132"/>
      <c r="J30" s="132"/>
      <c r="K30" s="132"/>
      <c r="L30" s="132"/>
      <c r="M30" s="132"/>
      <c r="N30" s="59"/>
    </row>
    <row r="31" spans="1:14" x14ac:dyDescent="0.2">
      <c r="A31" s="308"/>
      <c r="B31" s="132"/>
      <c r="C31" s="132"/>
      <c r="D31" s="59"/>
      <c r="E31" s="59"/>
      <c r="F31" s="59"/>
      <c r="G31" s="132"/>
      <c r="H31" s="132"/>
      <c r="I31" s="132"/>
      <c r="J31" s="132"/>
      <c r="K31" s="132"/>
      <c r="L31" s="132"/>
      <c r="M31" s="132"/>
      <c r="N31" s="59"/>
    </row>
    <row r="32" spans="1:14" ht="15" thickBot="1" x14ac:dyDescent="0.25">
      <c r="A32" s="308"/>
      <c r="B32" s="132"/>
      <c r="C32" s="132"/>
      <c r="D32" s="59"/>
      <c r="E32" s="59"/>
      <c r="F32" s="59"/>
      <c r="G32" s="132"/>
      <c r="H32" s="132"/>
      <c r="I32" s="132"/>
      <c r="J32" s="132"/>
      <c r="K32" s="132"/>
      <c r="L32" s="132"/>
      <c r="M32" s="132"/>
      <c r="N32" s="59"/>
    </row>
    <row r="33" spans="1:14" ht="15" x14ac:dyDescent="0.25">
      <c r="A33" s="124"/>
      <c r="B33" s="126"/>
      <c r="C33" s="127"/>
      <c r="D33" s="127"/>
      <c r="E33" s="127"/>
      <c r="F33" s="127"/>
      <c r="G33" s="309" t="s">
        <v>3</v>
      </c>
      <c r="H33" s="309"/>
      <c r="I33" s="309"/>
      <c r="J33" s="309"/>
      <c r="K33" s="309"/>
      <c r="L33" s="309"/>
      <c r="M33" s="309"/>
      <c r="N33" s="128" t="s">
        <v>78</v>
      </c>
    </row>
    <row r="34" spans="1:14" ht="15.75" thickBot="1" x14ac:dyDescent="0.3">
      <c r="A34" s="124"/>
      <c r="B34" s="129" t="s">
        <v>136</v>
      </c>
      <c r="C34" s="130" t="s">
        <v>25</v>
      </c>
      <c r="D34" s="130" t="s">
        <v>139</v>
      </c>
      <c r="E34" s="130" t="s">
        <v>137</v>
      </c>
      <c r="F34" s="130" t="s">
        <v>138</v>
      </c>
      <c r="G34" s="130" t="s">
        <v>4</v>
      </c>
      <c r="H34" s="130" t="s">
        <v>5</v>
      </c>
      <c r="I34" s="252"/>
      <c r="J34" s="130" t="s">
        <v>6</v>
      </c>
      <c r="K34" s="130" t="s">
        <v>7</v>
      </c>
      <c r="L34" s="130" t="s">
        <v>8</v>
      </c>
      <c r="M34" s="130" t="s">
        <v>9</v>
      </c>
      <c r="N34" s="131"/>
    </row>
    <row r="35" spans="1:14" ht="12.75" customHeight="1" x14ac:dyDescent="0.2">
      <c r="A35" s="124"/>
      <c r="B35" s="132"/>
      <c r="C35" s="132"/>
      <c r="D35" s="59"/>
      <c r="E35" s="59"/>
      <c r="F35" s="59"/>
      <c r="G35" s="132"/>
      <c r="H35" s="132"/>
      <c r="I35" s="132"/>
      <c r="J35" s="132"/>
      <c r="K35" s="132"/>
      <c r="L35" s="132"/>
      <c r="M35" s="132"/>
      <c r="N35" s="59"/>
    </row>
    <row r="36" spans="1:14" x14ac:dyDescent="0.2">
      <c r="A36" s="124"/>
      <c r="B36" s="59"/>
      <c r="C36" s="59"/>
      <c r="D36" s="59"/>
      <c r="E36" s="59"/>
      <c r="F36" s="59"/>
      <c r="G36" s="132"/>
      <c r="H36" s="132"/>
      <c r="I36" s="132"/>
      <c r="J36" s="132"/>
      <c r="K36" s="132"/>
      <c r="L36" s="132"/>
      <c r="M36" s="132"/>
      <c r="N36" s="59"/>
    </row>
    <row r="37" spans="1:14" ht="12.75" customHeight="1" x14ac:dyDescent="0.2">
      <c r="A37" s="308" t="s">
        <v>68</v>
      </c>
      <c r="B37" s="132"/>
      <c r="C37" s="132"/>
      <c r="D37" s="59"/>
      <c r="E37" s="59"/>
      <c r="F37" s="59"/>
      <c r="G37" s="132"/>
      <c r="H37" s="132"/>
      <c r="I37" s="132"/>
      <c r="J37" s="132"/>
      <c r="K37" s="132"/>
      <c r="L37" s="132"/>
      <c r="M37" s="132"/>
      <c r="N37" s="59"/>
    </row>
    <row r="38" spans="1:14" x14ac:dyDescent="0.2">
      <c r="A38" s="308"/>
      <c r="B38" s="59"/>
      <c r="C38" s="59"/>
      <c r="D38" s="59"/>
      <c r="E38" s="59"/>
      <c r="F38" s="59"/>
      <c r="G38" s="132"/>
      <c r="H38" s="132"/>
      <c r="I38" s="132"/>
      <c r="J38" s="132"/>
      <c r="K38" s="132"/>
      <c r="L38" s="132"/>
      <c r="M38" s="132"/>
      <c r="N38" s="59"/>
    </row>
    <row r="39" spans="1:14" x14ac:dyDescent="0.2">
      <c r="A39" s="308"/>
      <c r="B39" s="59"/>
      <c r="C39" s="59"/>
      <c r="D39" s="59"/>
      <c r="E39" s="59"/>
      <c r="F39" s="59"/>
      <c r="G39" s="132"/>
      <c r="H39" s="132"/>
      <c r="I39" s="132"/>
      <c r="J39" s="132"/>
      <c r="K39" s="132"/>
      <c r="L39" s="132"/>
      <c r="M39" s="132"/>
      <c r="N39" s="59"/>
    </row>
    <row r="40" spans="1:14" x14ac:dyDescent="0.2">
      <c r="A40" s="308"/>
      <c r="B40" s="59"/>
      <c r="C40" s="59"/>
      <c r="D40" s="59"/>
      <c r="E40" s="59"/>
      <c r="F40" s="59"/>
      <c r="G40" s="132"/>
      <c r="H40" s="132"/>
      <c r="I40" s="132"/>
      <c r="J40" s="132"/>
      <c r="K40" s="132"/>
      <c r="L40" s="132"/>
      <c r="M40" s="132"/>
      <c r="N40" s="59"/>
    </row>
    <row r="41" spans="1:14" ht="12.75" customHeight="1" x14ac:dyDescent="0.2">
      <c r="A41" s="308"/>
      <c r="B41" s="132"/>
      <c r="C41" s="132"/>
      <c r="D41" s="59"/>
      <c r="E41" s="59"/>
      <c r="F41" s="59"/>
      <c r="G41" s="132"/>
      <c r="H41" s="132"/>
      <c r="I41" s="132"/>
      <c r="J41" s="132"/>
      <c r="K41" s="132"/>
      <c r="L41" s="132"/>
      <c r="M41" s="132"/>
      <c r="N41" s="59"/>
    </row>
    <row r="42" spans="1:14" x14ac:dyDescent="0.2">
      <c r="A42" s="308"/>
      <c r="B42" s="59"/>
      <c r="C42" s="59"/>
      <c r="D42" s="59"/>
      <c r="E42" s="59"/>
      <c r="F42" s="59"/>
      <c r="G42" s="132"/>
      <c r="H42" s="132"/>
      <c r="I42" s="132"/>
      <c r="J42" s="132"/>
      <c r="K42" s="132"/>
      <c r="L42" s="132"/>
      <c r="M42" s="132"/>
      <c r="N42" s="59"/>
    </row>
    <row r="43" spans="1:14" x14ac:dyDescent="0.2">
      <c r="A43" s="308"/>
      <c r="B43" s="59"/>
      <c r="C43" s="59"/>
      <c r="D43" s="59"/>
      <c r="E43" s="59"/>
      <c r="F43" s="59"/>
      <c r="G43" s="132"/>
      <c r="H43" s="132"/>
      <c r="I43" s="132"/>
      <c r="J43" s="132"/>
      <c r="K43" s="132"/>
      <c r="L43" s="132"/>
      <c r="M43" s="132"/>
      <c r="N43" s="59"/>
    </row>
    <row r="44" spans="1:14" x14ac:dyDescent="0.2">
      <c r="A44" s="308"/>
      <c r="B44" s="59"/>
      <c r="C44" s="59"/>
      <c r="D44" s="59"/>
      <c r="E44" s="59"/>
      <c r="F44" s="59"/>
      <c r="G44" s="132"/>
      <c r="H44" s="132"/>
      <c r="I44" s="132"/>
      <c r="J44" s="132"/>
      <c r="K44" s="132"/>
      <c r="L44" s="132"/>
      <c r="M44" s="132"/>
      <c r="N44" s="59"/>
    </row>
    <row r="45" spans="1:14" x14ac:dyDescent="0.2">
      <c r="A45" s="124"/>
      <c r="B45" s="10"/>
    </row>
    <row r="46" spans="1:14" x14ac:dyDescent="0.2">
      <c r="A46" s="124"/>
      <c r="B46" s="133" t="s">
        <v>11</v>
      </c>
      <c r="H46" s="133"/>
      <c r="I46" s="133"/>
    </row>
    <row r="47" spans="1:14" x14ac:dyDescent="0.2">
      <c r="A47" s="124"/>
      <c r="B47" s="134" t="s">
        <v>143</v>
      </c>
      <c r="C47" s="10" t="s">
        <v>12</v>
      </c>
      <c r="H47" s="134"/>
      <c r="I47" s="134"/>
    </row>
    <row r="48" spans="1:14" x14ac:dyDescent="0.2">
      <c r="A48" s="124"/>
      <c r="B48" s="134" t="s">
        <v>16</v>
      </c>
      <c r="C48" s="10" t="s">
        <v>13</v>
      </c>
      <c r="H48" s="134"/>
      <c r="I48" s="134"/>
    </row>
    <row r="49" spans="1:14" x14ac:dyDescent="0.2">
      <c r="A49" s="124"/>
      <c r="B49" s="134" t="s">
        <v>14</v>
      </c>
      <c r="C49" s="10" t="s">
        <v>15</v>
      </c>
      <c r="H49" s="134"/>
      <c r="I49" s="134"/>
    </row>
    <row r="50" spans="1:14" x14ac:dyDescent="0.2">
      <c r="A50" s="124"/>
      <c r="B50" s="133" t="s">
        <v>3</v>
      </c>
      <c r="D50" s="21"/>
      <c r="E50" s="21"/>
      <c r="F50" s="21"/>
      <c r="H50" s="135"/>
      <c r="I50" s="135"/>
      <c r="J50" s="21"/>
      <c r="K50" s="21"/>
      <c r="L50" s="21"/>
      <c r="M50" s="21"/>
    </row>
    <row r="51" spans="1:14" ht="15" customHeight="1" x14ac:dyDescent="0.2">
      <c r="A51" s="124"/>
      <c r="B51" s="134" t="s">
        <v>4</v>
      </c>
      <c r="C51" s="10" t="s">
        <v>86</v>
      </c>
    </row>
    <row r="52" spans="1:14" ht="30" customHeight="1" x14ac:dyDescent="0.2">
      <c r="A52" s="124"/>
      <c r="B52" s="134" t="s">
        <v>5</v>
      </c>
      <c r="C52" s="302" t="s">
        <v>140</v>
      </c>
      <c r="D52" s="302"/>
      <c r="E52" s="302"/>
      <c r="F52" s="302"/>
      <c r="G52" s="302"/>
      <c r="H52" s="302"/>
      <c r="I52" s="302"/>
      <c r="J52" s="302"/>
      <c r="K52" s="302"/>
      <c r="L52" s="302"/>
      <c r="M52" s="302"/>
      <c r="N52" s="302"/>
    </row>
    <row r="53" spans="1:14" ht="27.75" customHeight="1" x14ac:dyDescent="0.2">
      <c r="A53" s="136"/>
      <c r="B53" s="134" t="s">
        <v>6</v>
      </c>
      <c r="C53" s="302" t="s">
        <v>184</v>
      </c>
      <c r="D53" s="302"/>
      <c r="E53" s="302"/>
      <c r="F53" s="302"/>
      <c r="G53" s="302"/>
      <c r="H53" s="302"/>
      <c r="I53" s="302"/>
      <c r="J53" s="302"/>
      <c r="K53" s="302"/>
      <c r="L53" s="302"/>
      <c r="M53" s="302"/>
      <c r="N53" s="302"/>
    </row>
    <row r="54" spans="1:14" x14ac:dyDescent="0.2">
      <c r="A54" s="124"/>
      <c r="B54" s="134" t="s">
        <v>7</v>
      </c>
      <c r="C54" s="10" t="s">
        <v>159</v>
      </c>
    </row>
    <row r="55" spans="1:14" x14ac:dyDescent="0.2">
      <c r="A55" s="124"/>
      <c r="B55" s="134" t="s">
        <v>8</v>
      </c>
      <c r="C55" s="10" t="s">
        <v>158</v>
      </c>
    </row>
    <row r="56" spans="1:14" s="21" customFormat="1" x14ac:dyDescent="0.2">
      <c r="A56" s="123"/>
      <c r="B56" s="135" t="s">
        <v>9</v>
      </c>
      <c r="C56" s="21" t="s">
        <v>141</v>
      </c>
    </row>
    <row r="57" spans="1:14" x14ac:dyDescent="0.2">
      <c r="A57" s="124"/>
      <c r="B57" s="134" t="s">
        <v>10</v>
      </c>
      <c r="C57" s="21" t="s">
        <v>142</v>
      </c>
    </row>
    <row r="58" spans="1:14" x14ac:dyDescent="0.2">
      <c r="A58" s="124"/>
      <c r="B58" s="10"/>
    </row>
    <row r="59" spans="1:14" x14ac:dyDescent="0.2">
      <c r="A59" s="124"/>
      <c r="B59" s="10"/>
    </row>
    <row r="60" spans="1:14" x14ac:dyDescent="0.2">
      <c r="A60" s="124"/>
      <c r="B60" s="10"/>
    </row>
    <row r="61" spans="1:14" x14ac:dyDescent="0.2">
      <c r="A61" s="124"/>
      <c r="B61" s="10"/>
    </row>
    <row r="62" spans="1:14" x14ac:dyDescent="0.2">
      <c r="A62" s="124"/>
      <c r="B62" s="10"/>
    </row>
    <row r="63" spans="1:14" x14ac:dyDescent="0.2">
      <c r="A63" s="124"/>
      <c r="B63" s="10"/>
    </row>
    <row r="64" spans="1:14" x14ac:dyDescent="0.2">
      <c r="A64" s="124"/>
      <c r="B64" s="10"/>
    </row>
    <row r="65" spans="1:2" x14ac:dyDescent="0.2">
      <c r="A65" s="124"/>
      <c r="B65" s="10"/>
    </row>
    <row r="66" spans="1:2" x14ac:dyDescent="0.2">
      <c r="A66" s="124"/>
      <c r="B66" s="10"/>
    </row>
    <row r="67" spans="1:2" x14ac:dyDescent="0.2">
      <c r="A67" s="124"/>
      <c r="B67" s="10"/>
    </row>
    <row r="68" spans="1:2" x14ac:dyDescent="0.2">
      <c r="A68" s="124"/>
      <c r="B68" s="10"/>
    </row>
    <row r="69" spans="1:2" x14ac:dyDescent="0.2">
      <c r="A69" s="124"/>
      <c r="B69" s="10"/>
    </row>
    <row r="70" spans="1:2" x14ac:dyDescent="0.2">
      <c r="A70" s="124"/>
      <c r="B70" s="10"/>
    </row>
    <row r="71" spans="1:2" x14ac:dyDescent="0.2">
      <c r="A71" s="124"/>
      <c r="B71" s="10"/>
    </row>
    <row r="72" spans="1:2" x14ac:dyDescent="0.2">
      <c r="A72" s="124"/>
      <c r="B72" s="10"/>
    </row>
    <row r="73" spans="1:2" x14ac:dyDescent="0.2">
      <c r="A73" s="124"/>
      <c r="B73" s="10"/>
    </row>
    <row r="74" spans="1:2" x14ac:dyDescent="0.2">
      <c r="A74" s="124"/>
      <c r="B74" s="10"/>
    </row>
    <row r="75" spans="1:2" x14ac:dyDescent="0.2">
      <c r="A75" s="124"/>
      <c r="B75" s="10"/>
    </row>
    <row r="76" spans="1:2" x14ac:dyDescent="0.2">
      <c r="A76" s="124"/>
      <c r="B76" s="10"/>
    </row>
  </sheetData>
  <mergeCells count="12">
    <mergeCell ref="C53:N53"/>
    <mergeCell ref="B1:N1"/>
    <mergeCell ref="C2:G2"/>
    <mergeCell ref="C52:N52"/>
    <mergeCell ref="A37:A44"/>
    <mergeCell ref="G16:M16"/>
    <mergeCell ref="G33:M33"/>
    <mergeCell ref="B13:M13"/>
    <mergeCell ref="B14:M14"/>
    <mergeCell ref="A19:A32"/>
    <mergeCell ref="B10:N10"/>
    <mergeCell ref="B11:N11"/>
  </mergeCells>
  <phoneticPr fontId="2" type="noConversion"/>
  <dataValidations count="1">
    <dataValidation type="list" allowBlank="1" showInputMessage="1" showErrorMessage="1" sqref="G35:M44 G18:M32">
      <formula1>$B$47:$B$49</formula1>
    </dataValidation>
  </dataValidations>
  <pageMargins left="0.23" right="0.24" top="0.56000000000000005" bottom="0.22" header="0.17" footer="0.13"/>
  <pageSetup scale="80" orientation="landscape" cellComments="asDisplayed" r:id="rId1"/>
  <headerFooter alignWithMargins="0">
    <oddHeader xml:space="preserve">&amp;C&amp;"-,Regular"&amp;9Ohio Department of Education
Office for Exceptional Children
Subrecipient IDEA fiscal Review
</oddHeader>
    <oddFooter>&amp;C&amp;"-,Regular"
&amp;R&amp;Z&amp;F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Q64"/>
  <sheetViews>
    <sheetView zoomScale="80" zoomScaleNormal="80" zoomScaleSheetLayoutView="100" workbookViewId="0">
      <selection activeCell="J18" sqref="J18"/>
    </sheetView>
  </sheetViews>
  <sheetFormatPr defaultColWidth="5.140625" defaultRowHeight="14.25" x14ac:dyDescent="0.2"/>
  <cols>
    <col min="1" max="1" width="5.140625" style="139"/>
    <col min="2" max="2" width="16" style="10" customWidth="1"/>
    <col min="3" max="3" width="43" style="10" customWidth="1"/>
    <col min="4" max="4" width="38.5703125" style="10" customWidth="1"/>
    <col min="5" max="5" width="10.7109375" style="10" customWidth="1"/>
    <col min="6" max="6" width="8.85546875" style="10" customWidth="1"/>
    <col min="7" max="7" width="8.42578125" style="10" customWidth="1"/>
    <col min="8" max="8" width="10.5703125" style="10" customWidth="1"/>
    <col min="9" max="9" width="8.85546875" style="10" customWidth="1"/>
    <col min="10" max="15" width="4.28515625" style="10" customWidth="1"/>
    <col min="16" max="16" width="26" style="10" customWidth="1"/>
    <col min="17" max="18" width="5.140625" style="10"/>
    <col min="19" max="19" width="14.7109375" style="10" bestFit="1" customWidth="1"/>
    <col min="20" max="16384" width="5.140625" style="10"/>
  </cols>
  <sheetData>
    <row r="1" spans="1:17" s="25" customFormat="1" ht="18.75" customHeight="1" x14ac:dyDescent="0.2">
      <c r="A1" s="137"/>
      <c r="B1" s="328" t="s">
        <v>28</v>
      </c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138"/>
    </row>
    <row r="2" spans="1:17" ht="15" x14ac:dyDescent="0.25">
      <c r="B2" s="140" t="s">
        <v>79</v>
      </c>
      <c r="C2" s="10">
        <f>SOA!C2</f>
        <v>0</v>
      </c>
      <c r="F2" s="16"/>
      <c r="G2" s="16"/>
      <c r="K2" s="16"/>
      <c r="L2" s="16"/>
    </row>
    <row r="3" spans="1:17" ht="15" x14ac:dyDescent="0.25">
      <c r="B3" s="140" t="s">
        <v>81</v>
      </c>
      <c r="C3" s="10">
        <f>SOA!C3</f>
        <v>0</v>
      </c>
      <c r="F3" s="16"/>
      <c r="G3" s="16"/>
      <c r="K3" s="16"/>
      <c r="L3" s="16"/>
    </row>
    <row r="4" spans="1:17" ht="15" x14ac:dyDescent="0.25">
      <c r="B4" s="140" t="s">
        <v>82</v>
      </c>
      <c r="C4" s="141">
        <f>SOA!C4</f>
        <v>0</v>
      </c>
      <c r="D4" s="141"/>
      <c r="F4" s="16"/>
      <c r="G4" s="16"/>
      <c r="K4" s="16"/>
      <c r="L4" s="16"/>
    </row>
    <row r="5" spans="1:17" ht="15" x14ac:dyDescent="0.25">
      <c r="B5" s="140"/>
      <c r="F5" s="16"/>
      <c r="G5" s="16"/>
      <c r="K5" s="21"/>
      <c r="L5" s="21"/>
    </row>
    <row r="6" spans="1:17" ht="15" x14ac:dyDescent="0.25">
      <c r="B6" s="17" t="s">
        <v>186</v>
      </c>
      <c r="C6" s="18"/>
      <c r="D6" s="18"/>
    </row>
    <row r="7" spans="1:17" x14ac:dyDescent="0.2">
      <c r="C7" s="10" t="s">
        <v>83</v>
      </c>
    </row>
    <row r="8" spans="1:17" x14ac:dyDescent="0.2">
      <c r="C8" s="331" t="s">
        <v>123</v>
      </c>
      <c r="D8" s="331"/>
      <c r="E8" s="283"/>
      <c r="F8" s="283"/>
      <c r="G8" s="283"/>
      <c r="H8" s="283"/>
      <c r="I8" s="283"/>
      <c r="J8" s="283"/>
      <c r="K8" s="283"/>
      <c r="L8" s="283"/>
      <c r="M8" s="283"/>
      <c r="N8" s="18"/>
    </row>
    <row r="9" spans="1:17" x14ac:dyDescent="0.2">
      <c r="C9" s="21" t="s">
        <v>122</v>
      </c>
      <c r="D9" s="21"/>
      <c r="E9" s="21"/>
      <c r="H9" s="21"/>
    </row>
    <row r="10" spans="1:17" x14ac:dyDescent="0.2">
      <c r="C10" s="21" t="s">
        <v>40</v>
      </c>
      <c r="D10" s="21"/>
      <c r="E10" s="21"/>
      <c r="F10" s="21"/>
      <c r="G10" s="21"/>
      <c r="H10" s="21"/>
    </row>
    <row r="11" spans="1:17" x14ac:dyDescent="0.2">
      <c r="C11" s="21"/>
      <c r="D11" s="21"/>
      <c r="E11" s="21"/>
      <c r="F11" s="21"/>
      <c r="G11" s="21"/>
      <c r="H11" s="21"/>
    </row>
    <row r="12" spans="1:17" x14ac:dyDescent="0.2">
      <c r="C12" s="21"/>
      <c r="D12" s="21"/>
      <c r="E12" s="21"/>
      <c r="F12" s="21"/>
      <c r="G12" s="21"/>
      <c r="H12" s="21"/>
    </row>
    <row r="13" spans="1:17" ht="15" x14ac:dyDescent="0.25">
      <c r="B13" s="140" t="s">
        <v>71</v>
      </c>
      <c r="C13" s="21" t="s">
        <v>77</v>
      </c>
      <c r="D13" s="21"/>
      <c r="E13" s="21"/>
      <c r="F13" s="21"/>
      <c r="G13" s="21"/>
      <c r="H13" s="21"/>
    </row>
    <row r="14" spans="1:17" x14ac:dyDescent="0.2">
      <c r="B14" s="10" t="s">
        <v>26</v>
      </c>
      <c r="C14" s="21" t="s">
        <v>90</v>
      </c>
      <c r="D14" s="21"/>
      <c r="E14" s="21"/>
      <c r="F14" s="21"/>
      <c r="G14" s="21"/>
      <c r="H14" s="21"/>
    </row>
    <row r="15" spans="1:17" ht="15" thickBot="1" x14ac:dyDescent="0.25">
      <c r="C15" s="330" t="s">
        <v>92</v>
      </c>
      <c r="D15" s="330"/>
      <c r="E15" s="330"/>
      <c r="F15" s="330"/>
      <c r="G15" s="330"/>
      <c r="H15" s="330"/>
      <c r="I15" s="20"/>
      <c r="J15" s="20"/>
      <c r="M15" s="20"/>
      <c r="N15" s="20"/>
    </row>
    <row r="16" spans="1:17" ht="15" x14ac:dyDescent="0.25">
      <c r="B16" s="142"/>
      <c r="C16" s="322" t="s">
        <v>0</v>
      </c>
      <c r="D16" s="143"/>
      <c r="E16" s="324" t="s">
        <v>1</v>
      </c>
      <c r="F16" s="315" t="s">
        <v>137</v>
      </c>
      <c r="G16" s="315" t="s">
        <v>138</v>
      </c>
      <c r="H16" s="313" t="s">
        <v>17</v>
      </c>
      <c r="I16" s="326" t="s">
        <v>2</v>
      </c>
      <c r="J16" s="318" t="s">
        <v>3</v>
      </c>
      <c r="K16" s="319"/>
      <c r="L16" s="319"/>
      <c r="M16" s="320"/>
      <c r="N16" s="321"/>
      <c r="O16" s="321"/>
      <c r="P16" s="144"/>
      <c r="Q16" s="90"/>
    </row>
    <row r="17" spans="1:16" ht="15.75" thickBot="1" x14ac:dyDescent="0.3">
      <c r="B17" s="145" t="s">
        <v>27</v>
      </c>
      <c r="C17" s="323"/>
      <c r="D17" s="146" t="s">
        <v>157</v>
      </c>
      <c r="E17" s="325"/>
      <c r="F17" s="316"/>
      <c r="G17" s="316"/>
      <c r="H17" s="314"/>
      <c r="I17" s="327"/>
      <c r="J17" s="147" t="s">
        <v>4</v>
      </c>
      <c r="K17" s="148" t="s">
        <v>5</v>
      </c>
      <c r="L17" s="148" t="s">
        <v>6</v>
      </c>
      <c r="M17" s="149" t="s">
        <v>7</v>
      </c>
      <c r="N17" s="149" t="s">
        <v>8</v>
      </c>
      <c r="O17" s="149" t="s">
        <v>9</v>
      </c>
      <c r="P17" s="150" t="s">
        <v>78</v>
      </c>
    </row>
    <row r="18" spans="1:16" ht="15" x14ac:dyDescent="0.25">
      <c r="A18" s="317" t="s">
        <v>155</v>
      </c>
      <c r="B18" s="151">
        <v>1</v>
      </c>
      <c r="C18" s="132"/>
      <c r="D18" s="132"/>
      <c r="E18" s="132"/>
      <c r="F18" s="132"/>
      <c r="G18" s="132"/>
      <c r="H18" s="152"/>
      <c r="I18" s="153"/>
      <c r="J18" s="132"/>
      <c r="K18" s="132"/>
      <c r="L18" s="132"/>
      <c r="M18" s="132"/>
      <c r="N18" s="132"/>
      <c r="O18" s="132"/>
      <c r="P18" s="132"/>
    </row>
    <row r="19" spans="1:16" ht="15" x14ac:dyDescent="0.25">
      <c r="A19" s="317"/>
      <c r="B19" s="154">
        <v>2</v>
      </c>
      <c r="C19" s="155"/>
      <c r="D19" s="156"/>
      <c r="E19" s="155"/>
      <c r="F19" s="155"/>
      <c r="G19" s="155"/>
      <c r="H19" s="157"/>
      <c r="I19" s="158"/>
      <c r="J19" s="155"/>
      <c r="K19" s="155"/>
      <c r="L19" s="155"/>
      <c r="M19" s="155"/>
      <c r="N19" s="156"/>
      <c r="O19" s="155"/>
      <c r="P19" s="155"/>
    </row>
    <row r="20" spans="1:16" ht="15" x14ac:dyDescent="0.25">
      <c r="A20" s="317"/>
      <c r="B20" s="154">
        <v>3</v>
      </c>
      <c r="C20" s="155"/>
      <c r="D20" s="156"/>
      <c r="E20" s="155"/>
      <c r="F20" s="155"/>
      <c r="G20" s="155"/>
      <c r="H20" s="157"/>
      <c r="I20" s="158"/>
      <c r="J20" s="155"/>
      <c r="K20" s="155"/>
      <c r="L20" s="155"/>
      <c r="M20" s="155"/>
      <c r="N20" s="156"/>
      <c r="O20" s="155"/>
      <c r="P20" s="155"/>
    </row>
    <row r="21" spans="1:16" ht="15" x14ac:dyDescent="0.25">
      <c r="A21" s="317"/>
      <c r="B21" s="154">
        <v>4</v>
      </c>
      <c r="C21" s="155"/>
      <c r="D21" s="156"/>
      <c r="E21" s="155"/>
      <c r="F21" s="155"/>
      <c r="G21" s="155"/>
      <c r="H21" s="157"/>
      <c r="I21" s="158"/>
      <c r="J21" s="155"/>
      <c r="K21" s="155"/>
      <c r="L21" s="155"/>
      <c r="M21" s="155"/>
      <c r="N21" s="156"/>
      <c r="O21" s="155"/>
      <c r="P21" s="155"/>
    </row>
    <row r="22" spans="1:16" ht="15" x14ac:dyDescent="0.25">
      <c r="A22" s="317"/>
      <c r="B22" s="154">
        <v>5</v>
      </c>
      <c r="C22" s="155"/>
      <c r="D22" s="156"/>
      <c r="E22" s="155"/>
      <c r="F22" s="155"/>
      <c r="G22" s="155"/>
      <c r="H22" s="157"/>
      <c r="I22" s="158"/>
      <c r="J22" s="155"/>
      <c r="K22" s="155"/>
      <c r="L22" s="155"/>
      <c r="M22" s="155"/>
      <c r="N22" s="156"/>
      <c r="O22" s="155"/>
      <c r="P22" s="155"/>
    </row>
    <row r="23" spans="1:16" ht="15" x14ac:dyDescent="0.25">
      <c r="A23" s="317"/>
      <c r="B23" s="154">
        <v>6</v>
      </c>
      <c r="C23" s="155"/>
      <c r="D23" s="156"/>
      <c r="E23" s="155"/>
      <c r="F23" s="155"/>
      <c r="G23" s="155"/>
      <c r="H23" s="157"/>
      <c r="I23" s="158"/>
      <c r="J23" s="155"/>
      <c r="K23" s="155"/>
      <c r="L23" s="155"/>
      <c r="M23" s="155"/>
      <c r="N23" s="156"/>
      <c r="O23" s="155"/>
      <c r="P23" s="155"/>
    </row>
    <row r="24" spans="1:16" ht="15" x14ac:dyDescent="0.25">
      <c r="A24" s="317"/>
      <c r="B24" s="154">
        <v>7</v>
      </c>
      <c r="C24" s="155"/>
      <c r="D24" s="156"/>
      <c r="E24" s="155"/>
      <c r="F24" s="155"/>
      <c r="G24" s="155"/>
      <c r="H24" s="157"/>
      <c r="I24" s="158"/>
      <c r="J24" s="155"/>
      <c r="K24" s="155"/>
      <c r="L24" s="155"/>
      <c r="M24" s="155"/>
      <c r="N24" s="156"/>
      <c r="O24" s="155"/>
      <c r="P24" s="155"/>
    </row>
    <row r="25" spans="1:16" ht="15" x14ac:dyDescent="0.25">
      <c r="A25" s="317"/>
      <c r="B25" s="154">
        <v>8</v>
      </c>
      <c r="C25" s="155"/>
      <c r="D25" s="156"/>
      <c r="E25" s="155"/>
      <c r="F25" s="155"/>
      <c r="G25" s="155"/>
      <c r="H25" s="157"/>
      <c r="I25" s="158"/>
      <c r="J25" s="155"/>
      <c r="K25" s="155"/>
      <c r="L25" s="155"/>
      <c r="M25" s="155"/>
      <c r="N25" s="156"/>
      <c r="O25" s="155"/>
      <c r="P25" s="155"/>
    </row>
    <row r="26" spans="1:16" ht="15" x14ac:dyDescent="0.25">
      <c r="A26" s="317"/>
      <c r="B26" s="154">
        <v>9</v>
      </c>
      <c r="C26" s="155"/>
      <c r="D26" s="156"/>
      <c r="E26" s="155"/>
      <c r="F26" s="155"/>
      <c r="G26" s="155"/>
      <c r="H26" s="157"/>
      <c r="I26" s="158"/>
      <c r="J26" s="155"/>
      <c r="K26" s="155"/>
      <c r="L26" s="155"/>
      <c r="M26" s="155"/>
      <c r="N26" s="156"/>
      <c r="O26" s="155"/>
      <c r="P26" s="155"/>
    </row>
    <row r="27" spans="1:16" ht="15" x14ac:dyDescent="0.25">
      <c r="A27" s="317"/>
      <c r="B27" s="154">
        <v>10</v>
      </c>
      <c r="C27" s="155"/>
      <c r="D27" s="156"/>
      <c r="E27" s="155"/>
      <c r="F27" s="155"/>
      <c r="G27" s="155"/>
      <c r="H27" s="157"/>
      <c r="I27" s="158"/>
      <c r="J27" s="155"/>
      <c r="K27" s="155"/>
      <c r="L27" s="155"/>
      <c r="M27" s="155"/>
      <c r="N27" s="156"/>
      <c r="O27" s="155"/>
      <c r="P27" s="155"/>
    </row>
    <row r="28" spans="1:16" ht="15" x14ac:dyDescent="0.25">
      <c r="A28" s="317"/>
      <c r="B28" s="154">
        <v>11</v>
      </c>
      <c r="C28" s="155"/>
      <c r="D28" s="156"/>
      <c r="E28" s="155"/>
      <c r="F28" s="155"/>
      <c r="G28" s="155"/>
      <c r="H28" s="157"/>
      <c r="I28" s="158"/>
      <c r="J28" s="155"/>
      <c r="K28" s="155"/>
      <c r="L28" s="155"/>
      <c r="M28" s="155"/>
      <c r="N28" s="156"/>
      <c r="O28" s="155"/>
      <c r="P28" s="155"/>
    </row>
    <row r="29" spans="1:16" ht="15" x14ac:dyDescent="0.25">
      <c r="A29" s="317"/>
      <c r="B29" s="154">
        <v>12</v>
      </c>
      <c r="C29" s="155"/>
      <c r="D29" s="156"/>
      <c r="E29" s="155"/>
      <c r="F29" s="155"/>
      <c r="G29" s="155"/>
      <c r="H29" s="157"/>
      <c r="I29" s="158"/>
      <c r="J29" s="155"/>
      <c r="K29" s="155"/>
      <c r="L29" s="155"/>
      <c r="M29" s="155"/>
      <c r="N29" s="156"/>
      <c r="O29" s="155"/>
      <c r="P29" s="155"/>
    </row>
    <row r="30" spans="1:16" ht="15" x14ac:dyDescent="0.25">
      <c r="A30" s="317"/>
      <c r="B30" s="154">
        <v>13</v>
      </c>
      <c r="C30" s="155"/>
      <c r="D30" s="156"/>
      <c r="E30" s="155"/>
      <c r="F30" s="155"/>
      <c r="G30" s="155"/>
      <c r="H30" s="157"/>
      <c r="I30" s="158"/>
      <c r="J30" s="155"/>
      <c r="K30" s="155"/>
      <c r="L30" s="155"/>
      <c r="M30" s="155"/>
      <c r="N30" s="156"/>
      <c r="O30" s="155"/>
      <c r="P30" s="155"/>
    </row>
    <row r="31" spans="1:16" ht="15" x14ac:dyDescent="0.25">
      <c r="A31" s="317"/>
      <c r="B31" s="154">
        <v>14</v>
      </c>
      <c r="C31" s="155"/>
      <c r="D31" s="156"/>
      <c r="E31" s="155"/>
      <c r="F31" s="155"/>
      <c r="G31" s="155"/>
      <c r="H31" s="157"/>
      <c r="I31" s="158"/>
      <c r="J31" s="155"/>
      <c r="K31" s="155"/>
      <c r="L31" s="155"/>
      <c r="M31" s="155"/>
      <c r="N31" s="156"/>
      <c r="O31" s="155"/>
      <c r="P31" s="155"/>
    </row>
    <row r="32" spans="1:16" ht="15" x14ac:dyDescent="0.25">
      <c r="A32" s="317"/>
      <c r="B32" s="154">
        <v>15</v>
      </c>
      <c r="C32" s="155"/>
      <c r="D32" s="156"/>
      <c r="E32" s="155"/>
      <c r="F32" s="155"/>
      <c r="G32" s="155"/>
      <c r="H32" s="157"/>
      <c r="I32" s="158"/>
      <c r="J32" s="155"/>
      <c r="K32" s="155"/>
      <c r="L32" s="155"/>
      <c r="M32" s="155"/>
      <c r="N32" s="156"/>
      <c r="O32" s="155"/>
      <c r="P32" s="155"/>
    </row>
    <row r="33" spans="1:16" ht="15" x14ac:dyDescent="0.25">
      <c r="A33" s="317"/>
      <c r="B33" s="154">
        <v>16</v>
      </c>
      <c r="C33" s="155"/>
      <c r="D33" s="156"/>
      <c r="E33" s="155"/>
      <c r="F33" s="155"/>
      <c r="G33" s="155"/>
      <c r="H33" s="157"/>
      <c r="I33" s="158"/>
      <c r="J33" s="155"/>
      <c r="K33" s="155"/>
      <c r="L33" s="155"/>
      <c r="M33" s="155"/>
      <c r="N33" s="156"/>
      <c r="O33" s="155"/>
      <c r="P33" s="155"/>
    </row>
    <row r="34" spans="1:16" ht="15" x14ac:dyDescent="0.25">
      <c r="A34" s="317"/>
      <c r="B34" s="154">
        <v>17</v>
      </c>
      <c r="C34" s="155"/>
      <c r="D34" s="156"/>
      <c r="E34" s="155"/>
      <c r="F34" s="155"/>
      <c r="G34" s="155"/>
      <c r="H34" s="157"/>
      <c r="I34" s="158"/>
      <c r="J34" s="155"/>
      <c r="K34" s="155"/>
      <c r="L34" s="155"/>
      <c r="M34" s="155"/>
      <c r="N34" s="156"/>
      <c r="O34" s="155"/>
      <c r="P34" s="155"/>
    </row>
    <row r="35" spans="1:16" ht="15" x14ac:dyDescent="0.25">
      <c r="A35" s="317"/>
      <c r="B35" s="154">
        <v>18</v>
      </c>
      <c r="C35" s="155"/>
      <c r="D35" s="156"/>
      <c r="E35" s="155"/>
      <c r="F35" s="155"/>
      <c r="G35" s="155"/>
      <c r="H35" s="157"/>
      <c r="I35" s="158"/>
      <c r="J35" s="155"/>
      <c r="K35" s="155"/>
      <c r="L35" s="155"/>
      <c r="M35" s="155"/>
      <c r="N35" s="156"/>
      <c r="O35" s="155"/>
      <c r="P35" s="155"/>
    </row>
    <row r="36" spans="1:16" ht="15" x14ac:dyDescent="0.25">
      <c r="A36" s="317"/>
      <c r="B36" s="154">
        <v>19</v>
      </c>
      <c r="C36" s="155"/>
      <c r="D36" s="156"/>
      <c r="E36" s="155"/>
      <c r="F36" s="155"/>
      <c r="G36" s="155"/>
      <c r="H36" s="155"/>
      <c r="I36" s="158"/>
      <c r="J36" s="155"/>
      <c r="K36" s="155"/>
      <c r="L36" s="155"/>
      <c r="M36" s="155"/>
      <c r="N36" s="156"/>
      <c r="O36" s="155"/>
      <c r="P36" s="155"/>
    </row>
    <row r="37" spans="1:16" ht="15.75" thickBot="1" x14ac:dyDescent="0.3">
      <c r="A37" s="317"/>
      <c r="B37" s="159">
        <v>20</v>
      </c>
      <c r="C37" s="112"/>
      <c r="D37" s="112"/>
      <c r="E37" s="112"/>
      <c r="F37" s="112"/>
      <c r="G37" s="112"/>
      <c r="H37" s="112"/>
      <c r="I37" s="160"/>
      <c r="J37" s="112"/>
      <c r="K37" s="112"/>
      <c r="L37" s="112"/>
      <c r="M37" s="112"/>
      <c r="N37" s="112"/>
      <c r="O37" s="112"/>
      <c r="P37" s="112"/>
    </row>
    <row r="38" spans="1:16" ht="15" x14ac:dyDescent="0.25">
      <c r="B38" s="142"/>
      <c r="C38" s="322" t="s">
        <v>0</v>
      </c>
      <c r="D38" s="143"/>
      <c r="E38" s="324" t="s">
        <v>1</v>
      </c>
      <c r="F38" s="315" t="s">
        <v>137</v>
      </c>
      <c r="G38" s="315" t="s">
        <v>138</v>
      </c>
      <c r="H38" s="313" t="s">
        <v>17</v>
      </c>
      <c r="I38" s="326" t="s">
        <v>2</v>
      </c>
      <c r="J38" s="318" t="s">
        <v>3</v>
      </c>
      <c r="K38" s="319"/>
      <c r="L38" s="319"/>
      <c r="M38" s="320"/>
      <c r="N38" s="321"/>
      <c r="O38" s="321"/>
      <c r="P38" s="144"/>
    </row>
    <row r="39" spans="1:16" ht="15.75" thickBot="1" x14ac:dyDescent="0.3">
      <c r="B39" s="145" t="s">
        <v>27</v>
      </c>
      <c r="C39" s="323"/>
      <c r="D39" s="146" t="s">
        <v>157</v>
      </c>
      <c r="E39" s="325"/>
      <c r="F39" s="316"/>
      <c r="G39" s="316"/>
      <c r="H39" s="314"/>
      <c r="I39" s="327"/>
      <c r="J39" s="147" t="s">
        <v>4</v>
      </c>
      <c r="K39" s="148" t="s">
        <v>5</v>
      </c>
      <c r="L39" s="148" t="s">
        <v>6</v>
      </c>
      <c r="M39" s="149" t="s">
        <v>7</v>
      </c>
      <c r="N39" s="149" t="s">
        <v>8</v>
      </c>
      <c r="O39" s="149" t="s">
        <v>9</v>
      </c>
      <c r="P39" s="150" t="s">
        <v>78</v>
      </c>
    </row>
    <row r="40" spans="1:16" ht="16.5" customHeight="1" x14ac:dyDescent="0.25">
      <c r="A40" s="317" t="s">
        <v>156</v>
      </c>
      <c r="B40" s="151">
        <v>1</v>
      </c>
      <c r="C40" s="132"/>
      <c r="D40" s="132"/>
      <c r="E40" s="132"/>
      <c r="F40" s="132"/>
      <c r="G40" s="132"/>
      <c r="H40" s="152"/>
      <c r="I40" s="153"/>
      <c r="J40" s="132"/>
      <c r="K40" s="132"/>
      <c r="L40" s="132"/>
      <c r="M40" s="132"/>
      <c r="N40" s="132"/>
      <c r="O40" s="132"/>
      <c r="P40" s="132"/>
    </row>
    <row r="41" spans="1:16" ht="15" x14ac:dyDescent="0.25">
      <c r="A41" s="317"/>
      <c r="B41" s="161">
        <v>2</v>
      </c>
      <c r="C41" s="162"/>
      <c r="D41" s="156"/>
      <c r="E41" s="162"/>
      <c r="F41" s="162"/>
      <c r="G41" s="162"/>
      <c r="H41" s="163"/>
      <c r="I41" s="164"/>
      <c r="J41" s="162"/>
      <c r="K41" s="162"/>
      <c r="L41" s="162"/>
      <c r="M41" s="162"/>
      <c r="N41" s="156"/>
      <c r="O41" s="162"/>
      <c r="P41" s="162"/>
    </row>
    <row r="42" spans="1:16" ht="15" x14ac:dyDescent="0.25">
      <c r="A42" s="317"/>
      <c r="B42" s="161">
        <v>3</v>
      </c>
      <c r="C42" s="162"/>
      <c r="D42" s="156"/>
      <c r="E42" s="162"/>
      <c r="F42" s="162"/>
      <c r="G42" s="162"/>
      <c r="H42" s="163"/>
      <c r="I42" s="164"/>
      <c r="J42" s="162"/>
      <c r="K42" s="162"/>
      <c r="L42" s="162"/>
      <c r="M42" s="162"/>
      <c r="N42" s="156"/>
      <c r="O42" s="162"/>
      <c r="P42" s="162"/>
    </row>
    <row r="43" spans="1:16" ht="15" x14ac:dyDescent="0.25">
      <c r="A43" s="317"/>
      <c r="B43" s="161">
        <v>4</v>
      </c>
      <c r="C43" s="162"/>
      <c r="D43" s="156"/>
      <c r="E43" s="162"/>
      <c r="F43" s="162"/>
      <c r="G43" s="162"/>
      <c r="H43" s="163"/>
      <c r="I43" s="162"/>
      <c r="J43" s="162"/>
      <c r="K43" s="162"/>
      <c r="L43" s="162"/>
      <c r="M43" s="162"/>
      <c r="N43" s="156"/>
      <c r="O43" s="162"/>
      <c r="P43" s="162"/>
    </row>
    <row r="44" spans="1:16" ht="15" x14ac:dyDescent="0.25">
      <c r="A44" s="317"/>
      <c r="B44" s="161">
        <v>5</v>
      </c>
      <c r="C44" s="162"/>
      <c r="D44" s="156"/>
      <c r="E44" s="162"/>
      <c r="F44" s="162"/>
      <c r="G44" s="162"/>
      <c r="H44" s="163"/>
      <c r="I44" s="162"/>
      <c r="J44" s="162"/>
      <c r="K44" s="162"/>
      <c r="L44" s="162"/>
      <c r="M44" s="162"/>
      <c r="N44" s="156"/>
      <c r="O44" s="162"/>
      <c r="P44" s="162"/>
    </row>
    <row r="45" spans="1:16" ht="16.5" customHeight="1" x14ac:dyDescent="0.25">
      <c r="A45" s="317"/>
      <c r="B45" s="161">
        <v>6</v>
      </c>
      <c r="C45" s="162"/>
      <c r="D45" s="156"/>
      <c r="E45" s="162"/>
      <c r="F45" s="162"/>
      <c r="G45" s="162"/>
      <c r="H45" s="163"/>
      <c r="I45" s="164"/>
      <c r="J45" s="162"/>
      <c r="K45" s="162"/>
      <c r="L45" s="162"/>
      <c r="M45" s="162"/>
      <c r="N45" s="156"/>
      <c r="O45" s="162"/>
      <c r="P45" s="162"/>
    </row>
    <row r="46" spans="1:16" ht="15" x14ac:dyDescent="0.25">
      <c r="A46" s="317"/>
      <c r="B46" s="161">
        <v>7</v>
      </c>
      <c r="C46" s="162"/>
      <c r="D46" s="156"/>
      <c r="E46" s="162"/>
      <c r="F46" s="162"/>
      <c r="G46" s="162"/>
      <c r="H46" s="163"/>
      <c r="I46" s="164"/>
      <c r="J46" s="162"/>
      <c r="K46" s="162"/>
      <c r="L46" s="162"/>
      <c r="M46" s="162"/>
      <c r="N46" s="156"/>
      <c r="O46" s="162"/>
      <c r="P46" s="162"/>
    </row>
    <row r="47" spans="1:16" ht="15" x14ac:dyDescent="0.25">
      <c r="A47" s="317"/>
      <c r="B47" s="161">
        <v>8</v>
      </c>
      <c r="C47" s="162"/>
      <c r="D47" s="156"/>
      <c r="E47" s="162"/>
      <c r="F47" s="162"/>
      <c r="G47" s="162"/>
      <c r="H47" s="163"/>
      <c r="I47" s="164"/>
      <c r="J47" s="162"/>
      <c r="K47" s="162"/>
      <c r="L47" s="162"/>
      <c r="M47" s="162"/>
      <c r="N47" s="156"/>
      <c r="O47" s="162"/>
      <c r="P47" s="162"/>
    </row>
    <row r="48" spans="1:16" ht="15" x14ac:dyDescent="0.25">
      <c r="A48" s="317"/>
      <c r="B48" s="161">
        <v>9</v>
      </c>
      <c r="C48" s="162"/>
      <c r="D48" s="156"/>
      <c r="E48" s="162"/>
      <c r="F48" s="162"/>
      <c r="G48" s="162"/>
      <c r="H48" s="163"/>
      <c r="I48" s="162"/>
      <c r="J48" s="162"/>
      <c r="K48" s="162"/>
      <c r="L48" s="162"/>
      <c r="M48" s="162"/>
      <c r="N48" s="156"/>
      <c r="O48" s="162"/>
      <c r="P48" s="162"/>
    </row>
    <row r="49" spans="1:16" ht="15" x14ac:dyDescent="0.25">
      <c r="A49" s="317"/>
      <c r="B49" s="161">
        <v>10</v>
      </c>
      <c r="C49" s="162"/>
      <c r="D49" s="156"/>
      <c r="E49" s="162"/>
      <c r="F49" s="162"/>
      <c r="G49" s="162"/>
      <c r="H49" s="163"/>
      <c r="I49" s="162"/>
      <c r="J49" s="162"/>
      <c r="K49" s="162"/>
      <c r="L49" s="162"/>
      <c r="M49" s="162"/>
      <c r="N49" s="156"/>
      <c r="O49" s="162"/>
      <c r="P49" s="162"/>
    </row>
    <row r="50" spans="1:16" x14ac:dyDescent="0.2">
      <c r="F50" s="21"/>
      <c r="G50" s="21"/>
      <c r="H50" s="165"/>
      <c r="K50" s="21"/>
      <c r="L50" s="21"/>
    </row>
    <row r="51" spans="1:16" x14ac:dyDescent="0.2">
      <c r="B51" s="133" t="s">
        <v>11</v>
      </c>
      <c r="H51" s="11"/>
    </row>
    <row r="52" spans="1:16" x14ac:dyDescent="0.2">
      <c r="B52" s="134" t="s">
        <v>143</v>
      </c>
      <c r="C52" s="10" t="s">
        <v>12</v>
      </c>
    </row>
    <row r="53" spans="1:16" x14ac:dyDescent="0.2">
      <c r="B53" s="134" t="s">
        <v>16</v>
      </c>
      <c r="C53" s="10" t="s">
        <v>13</v>
      </c>
    </row>
    <row r="54" spans="1:16" x14ac:dyDescent="0.2">
      <c r="B54" s="134" t="s">
        <v>14</v>
      </c>
      <c r="C54" s="10" t="s">
        <v>23</v>
      </c>
    </row>
    <row r="56" spans="1:16" x14ac:dyDescent="0.2">
      <c r="B56" s="133" t="s">
        <v>3</v>
      </c>
    </row>
    <row r="57" spans="1:16" x14ac:dyDescent="0.2">
      <c r="B57" s="166" t="s">
        <v>41</v>
      </c>
    </row>
    <row r="58" spans="1:16" ht="15" x14ac:dyDescent="0.25">
      <c r="B58" s="167" t="s">
        <v>4</v>
      </c>
      <c r="C58" s="10" t="s">
        <v>42</v>
      </c>
    </row>
    <row r="59" spans="1:16" ht="15" x14ac:dyDescent="0.25">
      <c r="B59" s="167" t="s">
        <v>5</v>
      </c>
      <c r="C59" s="10" t="s">
        <v>145</v>
      </c>
    </row>
    <row r="60" spans="1:16" ht="15" x14ac:dyDescent="0.25">
      <c r="B60" s="167" t="s">
        <v>6</v>
      </c>
      <c r="C60" s="10" t="s">
        <v>144</v>
      </c>
    </row>
    <row r="61" spans="1:16" ht="15" x14ac:dyDescent="0.25">
      <c r="B61" s="167" t="s">
        <v>7</v>
      </c>
      <c r="C61" s="10" t="s">
        <v>124</v>
      </c>
    </row>
    <row r="62" spans="1:16" ht="15" x14ac:dyDescent="0.25">
      <c r="B62" s="167" t="s">
        <v>8</v>
      </c>
      <c r="C62" s="10" t="s">
        <v>172</v>
      </c>
    </row>
    <row r="63" spans="1:16" ht="15" x14ac:dyDescent="0.25">
      <c r="B63" s="167" t="s">
        <v>9</v>
      </c>
      <c r="C63" s="10" t="s">
        <v>43</v>
      </c>
    </row>
    <row r="64" spans="1:16" ht="15" x14ac:dyDescent="0.25">
      <c r="B64" s="167"/>
    </row>
  </sheetData>
  <mergeCells count="19">
    <mergeCell ref="B1:P1"/>
    <mergeCell ref="J16:O16"/>
    <mergeCell ref="C15:H15"/>
    <mergeCell ref="C8:M8"/>
    <mergeCell ref="F16:F17"/>
    <mergeCell ref="G16:G17"/>
    <mergeCell ref="A18:A37"/>
    <mergeCell ref="C16:C17"/>
    <mergeCell ref="E16:E17"/>
    <mergeCell ref="H16:H17"/>
    <mergeCell ref="I16:I17"/>
    <mergeCell ref="H38:H39"/>
    <mergeCell ref="F38:F39"/>
    <mergeCell ref="G38:G39"/>
    <mergeCell ref="A40:A49"/>
    <mergeCell ref="J38:O38"/>
    <mergeCell ref="C38:C39"/>
    <mergeCell ref="E38:E39"/>
    <mergeCell ref="I38:I39"/>
  </mergeCells>
  <phoneticPr fontId="2" type="noConversion"/>
  <dataValidations count="2">
    <dataValidation type="list" allowBlank="1" showInputMessage="1" showErrorMessage="1" sqref="J18:J37 M18:O37 J40:O49">
      <formula1>$B$52:$B$54</formula1>
    </dataValidation>
    <dataValidation type="list" allowBlank="1" showInputMessage="1" showErrorMessage="1" sqref="K18:L24 K31:L35">
      <formula1>#REF!</formula1>
    </dataValidation>
  </dataValidations>
  <printOptions horizontalCentered="1"/>
  <pageMargins left="0.49921874999999999" right="0.75" top="0.85967261904761905" bottom="1" header="0.388125" footer="0.5"/>
  <pageSetup scale="51" orientation="landscape" r:id="rId1"/>
  <headerFooter alignWithMargins="0">
    <oddHeader>&amp;C&amp;"-,Regular"&amp;11Ohio Department of Education
Office for Exceptional Children
On-Site  IDEA Fiscal Review
&amp;R&amp;"-,Regular"&amp;D
&amp;T</oddHeader>
    <oddFooter>&amp;R&amp;"-,Regular"&amp;Z&amp;F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D58"/>
  <sheetViews>
    <sheetView zoomScale="85" zoomScaleNormal="85" workbookViewId="0">
      <selection activeCell="F22" sqref="F22"/>
    </sheetView>
  </sheetViews>
  <sheetFormatPr defaultColWidth="9.140625" defaultRowHeight="14.25" x14ac:dyDescent="0.2"/>
  <cols>
    <col min="1" max="1" width="3.5703125" style="174" bestFit="1" customWidth="1"/>
    <col min="2" max="2" width="17.28515625" style="10" customWidth="1"/>
    <col min="3" max="3" width="39.42578125" style="10" customWidth="1"/>
    <col min="4" max="4" width="15" style="10" customWidth="1"/>
    <col min="5" max="5" width="13.42578125" style="10" customWidth="1"/>
    <col min="6" max="6" width="11.7109375" style="10" customWidth="1"/>
    <col min="7" max="7" width="15.140625" style="10" customWidth="1"/>
    <col min="8" max="8" width="11.85546875" style="10" customWidth="1"/>
    <col min="9" max="9" width="11.7109375" style="10" customWidth="1"/>
    <col min="10" max="10" width="22.42578125" style="10" customWidth="1"/>
    <col min="11" max="11" width="22" style="10" customWidth="1"/>
    <col min="12" max="14" width="3.85546875" style="10" customWidth="1"/>
    <col min="15" max="15" width="2.85546875" style="10" customWidth="1"/>
    <col min="16" max="16" width="5.5703125" style="10" customWidth="1"/>
    <col min="17" max="17" width="5.85546875" style="10" customWidth="1"/>
    <col min="18" max="18" width="4.85546875" style="10" customWidth="1"/>
    <col min="19" max="19" width="5.140625" style="10" customWidth="1"/>
    <col min="20" max="20" width="30.7109375" style="10" customWidth="1"/>
    <col min="21" max="16384" width="9.140625" style="10"/>
  </cols>
  <sheetData>
    <row r="1" spans="1:30" s="21" customFormat="1" ht="18.75" customHeight="1" x14ac:dyDescent="0.2">
      <c r="A1" s="171"/>
      <c r="B1" s="334" t="s">
        <v>73</v>
      </c>
      <c r="C1" s="335"/>
      <c r="D1" s="335"/>
      <c r="E1" s="335"/>
      <c r="F1" s="335"/>
      <c r="G1" s="335"/>
      <c r="H1" s="335"/>
      <c r="I1" s="335"/>
      <c r="J1" s="335"/>
      <c r="K1" s="335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30" s="21" customFormat="1" x14ac:dyDescent="0.2">
      <c r="A2" s="171"/>
      <c r="B2" s="22" t="s">
        <v>79</v>
      </c>
      <c r="C2" s="14">
        <f>SOA!C2</f>
        <v>0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72"/>
      <c r="Q2" s="172"/>
      <c r="R2" s="10"/>
      <c r="S2" s="10"/>
      <c r="T2" s="16"/>
      <c r="U2" s="16"/>
      <c r="V2" s="16"/>
      <c r="W2" s="16"/>
    </row>
    <row r="3" spans="1:30" s="21" customFormat="1" x14ac:dyDescent="0.2">
      <c r="A3" s="171"/>
      <c r="B3" s="11" t="s">
        <v>81</v>
      </c>
      <c r="C3" s="14">
        <f>SOA!C3</f>
        <v>0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2"/>
      <c r="Q3" s="172"/>
      <c r="R3" s="10"/>
      <c r="S3" s="10"/>
      <c r="T3" s="16"/>
      <c r="U3" s="16"/>
      <c r="V3" s="16"/>
      <c r="W3" s="16"/>
    </row>
    <row r="4" spans="1:30" s="21" customFormat="1" x14ac:dyDescent="0.2">
      <c r="A4" s="171"/>
      <c r="B4" s="11" t="s">
        <v>82</v>
      </c>
      <c r="C4" s="173">
        <f>SOA!C4</f>
        <v>0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72"/>
      <c r="Q4" s="172"/>
      <c r="R4" s="10"/>
      <c r="S4" s="10"/>
      <c r="T4" s="16"/>
      <c r="U4" s="16"/>
      <c r="V4" s="16"/>
      <c r="W4" s="16"/>
    </row>
    <row r="5" spans="1:30" x14ac:dyDescent="0.2">
      <c r="N5" s="10" t="s">
        <v>66</v>
      </c>
      <c r="P5" s="172"/>
      <c r="Q5" s="172"/>
    </row>
    <row r="6" spans="1:30" ht="15" x14ac:dyDescent="0.25">
      <c r="B6" s="140" t="s">
        <v>181</v>
      </c>
    </row>
    <row r="7" spans="1:30" x14ac:dyDescent="0.2">
      <c r="B7" s="10" t="s">
        <v>53</v>
      </c>
    </row>
    <row r="8" spans="1:30" x14ac:dyDescent="0.2">
      <c r="B8" s="21" t="s">
        <v>149</v>
      </c>
    </row>
    <row r="9" spans="1:30" ht="27" customHeight="1" x14ac:dyDescent="0.2">
      <c r="B9" s="302" t="s">
        <v>121</v>
      </c>
      <c r="C9" s="302"/>
      <c r="D9" s="302"/>
      <c r="E9" s="302"/>
      <c r="F9" s="302"/>
      <c r="G9" s="302"/>
      <c r="H9" s="302"/>
      <c r="I9" s="302"/>
      <c r="J9" s="302"/>
      <c r="K9" s="302"/>
      <c r="L9" s="124"/>
      <c r="M9" s="124"/>
      <c r="N9" s="124"/>
      <c r="O9" s="124"/>
      <c r="P9" s="124"/>
      <c r="Q9" s="124"/>
      <c r="R9" s="124"/>
      <c r="S9" s="124"/>
      <c r="T9" s="312" t="s">
        <v>66</v>
      </c>
      <c r="U9" s="312"/>
      <c r="V9" s="312"/>
      <c r="W9" s="312"/>
      <c r="X9" s="312"/>
      <c r="Y9" s="312"/>
      <c r="Z9" s="312"/>
      <c r="AA9" s="312"/>
      <c r="AB9" s="312"/>
      <c r="AC9" s="312"/>
      <c r="AD9" s="312"/>
    </row>
    <row r="10" spans="1:30" ht="15.75" customHeight="1" thickBot="1" x14ac:dyDescent="0.25">
      <c r="A10" s="10"/>
    </row>
    <row r="11" spans="1:30" ht="15" x14ac:dyDescent="0.25">
      <c r="B11" s="175"/>
      <c r="C11" s="176" t="s">
        <v>160</v>
      </c>
      <c r="D11" s="247"/>
      <c r="E11" s="249"/>
      <c r="F11" s="249"/>
      <c r="G11" s="249"/>
      <c r="H11" s="249"/>
      <c r="I11" s="249"/>
      <c r="J11" s="247"/>
      <c r="K11" s="338" t="s">
        <v>169</v>
      </c>
    </row>
    <row r="12" spans="1:30" s="124" customFormat="1" ht="44.25" customHeight="1" thickBot="1" x14ac:dyDescent="0.3">
      <c r="A12" s="177"/>
      <c r="B12" s="194" t="s">
        <v>20</v>
      </c>
      <c r="C12" s="195" t="s">
        <v>165</v>
      </c>
      <c r="D12" s="245" t="s">
        <v>175</v>
      </c>
      <c r="E12" s="245" t="s">
        <v>167</v>
      </c>
      <c r="F12" s="245" t="s">
        <v>166</v>
      </c>
      <c r="G12" s="245" t="s">
        <v>168</v>
      </c>
      <c r="H12" s="245" t="s">
        <v>170</v>
      </c>
      <c r="I12" s="245" t="s">
        <v>176</v>
      </c>
      <c r="J12" s="248" t="s">
        <v>174</v>
      </c>
      <c r="K12" s="339"/>
    </row>
    <row r="13" spans="1:30" x14ac:dyDescent="0.2">
      <c r="A13" s="336" t="s">
        <v>67</v>
      </c>
      <c r="B13" s="196"/>
      <c r="C13" s="132"/>
      <c r="D13" s="132"/>
      <c r="E13" s="152"/>
      <c r="F13" s="250"/>
      <c r="G13" s="152"/>
      <c r="H13" s="152"/>
      <c r="I13" s="152"/>
      <c r="J13" s="153"/>
      <c r="K13" s="77"/>
    </row>
    <row r="14" spans="1:30" x14ac:dyDescent="0.2">
      <c r="A14" s="336"/>
      <c r="B14" s="82"/>
      <c r="C14" s="59"/>
      <c r="D14" s="59"/>
      <c r="E14" s="58"/>
      <c r="F14" s="58"/>
      <c r="G14" s="58"/>
      <c r="H14" s="58"/>
      <c r="I14" s="58"/>
      <c r="J14" s="59"/>
      <c r="K14" s="197"/>
    </row>
    <row r="15" spans="1:30" x14ac:dyDescent="0.2">
      <c r="A15" s="336"/>
      <c r="B15" s="82"/>
      <c r="C15" s="59"/>
      <c r="D15" s="59"/>
      <c r="E15" s="58"/>
      <c r="F15" s="58"/>
      <c r="G15" s="58"/>
      <c r="H15" s="58"/>
      <c r="I15" s="58"/>
      <c r="J15" s="59"/>
      <c r="K15" s="197"/>
    </row>
    <row r="16" spans="1:30" x14ac:dyDescent="0.2">
      <c r="A16" s="336"/>
      <c r="B16" s="82"/>
      <c r="C16" s="59"/>
      <c r="D16" s="59"/>
      <c r="E16" s="58"/>
      <c r="F16" s="58"/>
      <c r="G16" s="58"/>
      <c r="H16" s="58"/>
      <c r="I16" s="58"/>
      <c r="J16" s="59"/>
      <c r="K16" s="197"/>
    </row>
    <row r="17" spans="1:20" x14ac:dyDescent="0.2">
      <c r="A17" s="336"/>
      <c r="B17" s="82"/>
      <c r="C17" s="59"/>
      <c r="D17" s="59"/>
      <c r="E17" s="58"/>
      <c r="F17" s="58"/>
      <c r="G17" s="58"/>
      <c r="H17" s="58"/>
      <c r="I17" s="58"/>
      <c r="J17" s="59"/>
      <c r="K17" s="197"/>
    </row>
    <row r="18" spans="1:20" ht="15" thickBot="1" x14ac:dyDescent="0.25">
      <c r="A18" s="337"/>
      <c r="B18" s="198"/>
      <c r="C18" s="190"/>
      <c r="D18" s="190"/>
      <c r="E18" s="191"/>
      <c r="F18" s="192"/>
      <c r="G18" s="192"/>
      <c r="H18" s="192"/>
      <c r="I18" s="192"/>
      <c r="J18" s="193"/>
      <c r="K18" s="122"/>
    </row>
    <row r="19" spans="1:20" x14ac:dyDescent="0.2">
      <c r="A19" s="189"/>
      <c r="B19" s="178"/>
      <c r="C19" s="55"/>
      <c r="D19" s="55"/>
      <c r="E19" s="179"/>
      <c r="F19" s="180"/>
      <c r="G19" s="180"/>
      <c r="H19" s="180"/>
      <c r="I19" s="180"/>
      <c r="J19" s="181"/>
      <c r="K19" s="11"/>
    </row>
    <row r="20" spans="1:20" ht="15" thickBot="1" x14ac:dyDescent="0.25">
      <c r="A20" s="189"/>
      <c r="B20" s="178"/>
      <c r="C20" s="55"/>
      <c r="D20" s="55"/>
      <c r="E20" s="179"/>
      <c r="F20" s="180"/>
      <c r="G20" s="180"/>
      <c r="H20" s="180"/>
      <c r="I20" s="180"/>
      <c r="J20" s="181"/>
      <c r="K20" s="11"/>
    </row>
    <row r="21" spans="1:20" ht="15" x14ac:dyDescent="0.25">
      <c r="B21" s="175"/>
      <c r="C21" s="244" t="s">
        <v>160</v>
      </c>
      <c r="D21" s="249"/>
      <c r="E21" s="249"/>
      <c r="F21" s="249"/>
      <c r="G21" s="249"/>
      <c r="H21" s="249"/>
      <c r="I21" s="249"/>
      <c r="J21" s="249"/>
      <c r="K21" s="338" t="s">
        <v>169</v>
      </c>
    </row>
    <row r="22" spans="1:20" ht="44.25" customHeight="1" thickBot="1" x14ac:dyDescent="0.3">
      <c r="B22" s="194" t="s">
        <v>20</v>
      </c>
      <c r="C22" s="195" t="s">
        <v>165</v>
      </c>
      <c r="D22" s="245" t="s">
        <v>175</v>
      </c>
      <c r="E22" s="245" t="s">
        <v>167</v>
      </c>
      <c r="F22" s="246" t="s">
        <v>166</v>
      </c>
      <c r="G22" s="246" t="s">
        <v>168</v>
      </c>
      <c r="H22" s="246" t="s">
        <v>170</v>
      </c>
      <c r="I22" s="246" t="s">
        <v>176</v>
      </c>
      <c r="J22" s="246" t="s">
        <v>173</v>
      </c>
      <c r="K22" s="339"/>
    </row>
    <row r="23" spans="1:20" x14ac:dyDescent="0.2">
      <c r="A23" s="333" t="s">
        <v>68</v>
      </c>
      <c r="B23" s="196"/>
      <c r="C23" s="132"/>
      <c r="D23" s="132"/>
      <c r="E23" s="152"/>
      <c r="F23" s="152"/>
      <c r="G23" s="152"/>
      <c r="H23" s="152"/>
      <c r="I23" s="152"/>
      <c r="J23" s="132"/>
      <c r="K23" s="77"/>
    </row>
    <row r="24" spans="1:20" x14ac:dyDescent="0.2">
      <c r="A24" s="333"/>
      <c r="B24" s="82"/>
      <c r="C24" s="59"/>
      <c r="D24" s="59"/>
      <c r="E24" s="58"/>
      <c r="F24" s="58"/>
      <c r="G24" s="58"/>
      <c r="H24" s="58"/>
      <c r="I24" s="58"/>
      <c r="J24" s="59"/>
      <c r="K24" s="197"/>
    </row>
    <row r="25" spans="1:20" x14ac:dyDescent="0.2">
      <c r="A25" s="333"/>
      <c r="B25" s="82"/>
      <c r="C25" s="59"/>
      <c r="D25" s="59"/>
      <c r="E25" s="58"/>
      <c r="F25" s="58"/>
      <c r="G25" s="58"/>
      <c r="H25" s="58"/>
      <c r="I25" s="58"/>
      <c r="J25" s="59"/>
      <c r="K25" s="197"/>
    </row>
    <row r="26" spans="1:20" x14ac:dyDescent="0.2">
      <c r="A26" s="333"/>
      <c r="B26" s="82"/>
      <c r="C26" s="59"/>
      <c r="D26" s="59"/>
      <c r="E26" s="58"/>
      <c r="F26" s="58"/>
      <c r="G26" s="58"/>
      <c r="H26" s="58"/>
      <c r="I26" s="58"/>
      <c r="J26" s="59"/>
      <c r="K26" s="197"/>
    </row>
    <row r="27" spans="1:20" x14ac:dyDescent="0.2">
      <c r="A27" s="333"/>
      <c r="B27" s="82"/>
      <c r="C27" s="59"/>
      <c r="D27" s="59"/>
      <c r="E27" s="58"/>
      <c r="F27" s="58"/>
      <c r="G27" s="58"/>
      <c r="H27" s="58"/>
      <c r="I27" s="58"/>
      <c r="J27" s="59"/>
      <c r="K27" s="197"/>
    </row>
    <row r="28" spans="1:20" ht="18" customHeight="1" thickBot="1" x14ac:dyDescent="0.25">
      <c r="A28" s="333"/>
      <c r="B28" s="198"/>
      <c r="C28" s="190"/>
      <c r="D28" s="190"/>
      <c r="E28" s="191"/>
      <c r="F28" s="191"/>
      <c r="G28" s="191"/>
      <c r="H28" s="191"/>
      <c r="I28" s="191"/>
      <c r="J28" s="190"/>
      <c r="K28" s="80"/>
    </row>
    <row r="29" spans="1:20" x14ac:dyDescent="0.2">
      <c r="A29" s="182"/>
      <c r="B29" s="11"/>
      <c r="C29" s="11"/>
      <c r="D29" s="11"/>
      <c r="E29" s="165"/>
      <c r="F29" s="165"/>
      <c r="G29" s="165"/>
      <c r="H29" s="165"/>
      <c r="I29" s="165"/>
      <c r="J29" s="11"/>
      <c r="K29" s="11"/>
      <c r="L29" s="11"/>
      <c r="M29" s="11"/>
      <c r="N29" s="11"/>
      <c r="O29" s="11"/>
      <c r="P29" s="183"/>
      <c r="Q29" s="183"/>
      <c r="R29" s="183"/>
      <c r="S29" s="183"/>
      <c r="T29" s="11"/>
    </row>
    <row r="30" spans="1:20" x14ac:dyDescent="0.2">
      <c r="A30" s="182"/>
      <c r="B30" s="133" t="s">
        <v>11</v>
      </c>
      <c r="D30" s="11"/>
      <c r="E30" s="165"/>
      <c r="F30" s="165"/>
      <c r="G30" s="165"/>
      <c r="H30" s="165"/>
      <c r="I30" s="165"/>
      <c r="J30" s="11"/>
      <c r="K30" s="11"/>
      <c r="L30" s="11"/>
      <c r="M30" s="11"/>
      <c r="N30" s="11"/>
      <c r="O30" s="11"/>
      <c r="P30" s="183"/>
      <c r="Q30" s="183"/>
      <c r="R30" s="183"/>
      <c r="S30" s="183"/>
      <c r="T30" s="11"/>
    </row>
    <row r="31" spans="1:20" x14ac:dyDescent="0.2">
      <c r="A31" s="182"/>
      <c r="B31" s="134" t="s">
        <v>143</v>
      </c>
      <c r="C31" s="10" t="s">
        <v>12</v>
      </c>
      <c r="D31" s="11"/>
      <c r="E31" s="165"/>
      <c r="F31" s="165"/>
      <c r="G31" s="165"/>
      <c r="H31" s="165"/>
      <c r="I31" s="165"/>
      <c r="J31" s="11"/>
      <c r="K31" s="11"/>
      <c r="L31" s="11"/>
      <c r="M31" s="11"/>
      <c r="N31" s="11"/>
      <c r="O31" s="11"/>
      <c r="P31" s="183"/>
      <c r="Q31" s="183"/>
      <c r="R31" s="183"/>
      <c r="S31" s="183"/>
      <c r="T31" s="11"/>
    </row>
    <row r="32" spans="1:20" x14ac:dyDescent="0.2">
      <c r="A32" s="182"/>
      <c r="B32" s="134" t="s">
        <v>16</v>
      </c>
      <c r="C32" s="10" t="s">
        <v>13</v>
      </c>
      <c r="D32" s="11"/>
      <c r="E32" s="165"/>
      <c r="F32" s="165"/>
      <c r="G32" s="165"/>
      <c r="H32" s="165"/>
      <c r="I32" s="165"/>
      <c r="J32" s="11"/>
      <c r="K32" s="11"/>
      <c r="L32" s="11"/>
      <c r="M32" s="11"/>
      <c r="N32" s="11"/>
      <c r="O32" s="11"/>
      <c r="P32" s="183"/>
      <c r="Q32" s="183"/>
      <c r="R32" s="183"/>
      <c r="S32" s="183"/>
      <c r="T32" s="11"/>
    </row>
    <row r="33" spans="1:20" x14ac:dyDescent="0.2">
      <c r="A33" s="182"/>
      <c r="B33" s="134" t="s">
        <v>14</v>
      </c>
      <c r="C33" s="10" t="s">
        <v>15</v>
      </c>
      <c r="D33" s="11"/>
      <c r="E33" s="165"/>
      <c r="F33" s="165"/>
      <c r="G33" s="165"/>
      <c r="H33" s="165"/>
      <c r="I33" s="165"/>
      <c r="J33" s="11"/>
      <c r="K33" s="11"/>
      <c r="L33" s="11"/>
      <c r="M33" s="11"/>
      <c r="N33" s="11"/>
      <c r="O33" s="11"/>
      <c r="P33" s="183"/>
      <c r="Q33" s="183"/>
      <c r="R33" s="183"/>
      <c r="S33" s="183"/>
      <c r="T33" s="11"/>
    </row>
    <row r="34" spans="1:20" x14ac:dyDescent="0.2">
      <c r="B34" s="133" t="s">
        <v>3</v>
      </c>
    </row>
    <row r="35" spans="1:20" ht="15" x14ac:dyDescent="0.25">
      <c r="B35" s="168" t="s">
        <v>19</v>
      </c>
      <c r="K35" s="332"/>
      <c r="L35" s="332"/>
      <c r="M35" s="332"/>
      <c r="N35" s="332"/>
      <c r="O35" s="332"/>
      <c r="P35" s="332"/>
      <c r="Q35" s="332"/>
      <c r="R35" s="332"/>
      <c r="S35" s="332"/>
    </row>
    <row r="36" spans="1:20" ht="15" x14ac:dyDescent="0.25">
      <c r="B36" s="168"/>
      <c r="G36" s="184" t="s">
        <v>171</v>
      </c>
      <c r="H36" s="25"/>
      <c r="K36" s="40"/>
      <c r="L36" s="40"/>
      <c r="M36" s="40"/>
      <c r="N36" s="40"/>
      <c r="O36" s="40"/>
      <c r="P36" s="40"/>
      <c r="Q36" s="40"/>
      <c r="R36" s="40"/>
      <c r="S36" s="40"/>
    </row>
    <row r="37" spans="1:20" x14ac:dyDescent="0.2">
      <c r="G37" s="162"/>
      <c r="H37" s="11"/>
      <c r="K37" s="11"/>
      <c r="L37" s="11"/>
      <c r="M37" s="11"/>
      <c r="N37" s="11"/>
      <c r="O37" s="11"/>
      <c r="P37" s="183"/>
      <c r="Q37" s="183"/>
      <c r="R37" s="183"/>
      <c r="S37" s="183"/>
    </row>
    <row r="38" spans="1:20" ht="15" x14ac:dyDescent="0.25">
      <c r="B38" s="167" t="s">
        <v>4</v>
      </c>
      <c r="C38" s="10" t="s">
        <v>76</v>
      </c>
      <c r="G38" s="162"/>
      <c r="H38" s="11"/>
      <c r="K38" s="11"/>
      <c r="L38" s="11"/>
      <c r="M38" s="11"/>
      <c r="N38" s="11"/>
      <c r="O38" s="11"/>
      <c r="P38" s="183"/>
      <c r="Q38" s="183"/>
      <c r="R38" s="183"/>
      <c r="S38" s="183"/>
    </row>
    <row r="39" spans="1:20" ht="15" x14ac:dyDescent="0.25">
      <c r="B39" s="167" t="s">
        <v>5</v>
      </c>
      <c r="C39" s="10" t="s">
        <v>125</v>
      </c>
      <c r="E39" s="11"/>
      <c r="F39" s="11"/>
      <c r="G39" s="162"/>
      <c r="H39" s="11"/>
      <c r="I39" s="11"/>
      <c r="J39" s="11"/>
      <c r="K39" s="11"/>
      <c r="L39" s="11"/>
      <c r="M39" s="11"/>
      <c r="N39" s="11"/>
      <c r="O39" s="11"/>
      <c r="P39" s="183"/>
      <c r="Q39" s="183"/>
      <c r="R39" s="183"/>
      <c r="S39" s="183"/>
    </row>
    <row r="40" spans="1:20" ht="15" x14ac:dyDescent="0.25">
      <c r="B40" s="169" t="s">
        <v>6</v>
      </c>
      <c r="C40" s="11" t="s">
        <v>126</v>
      </c>
      <c r="D40" s="11"/>
      <c r="E40" s="11"/>
      <c r="F40" s="11"/>
      <c r="G40" s="162"/>
      <c r="H40" s="11"/>
      <c r="I40" s="11"/>
      <c r="J40" s="11"/>
      <c r="K40" s="11"/>
      <c r="L40" s="11"/>
      <c r="M40" s="11"/>
      <c r="N40" s="11"/>
      <c r="O40" s="11"/>
      <c r="P40" s="183"/>
      <c r="Q40" s="183"/>
      <c r="R40" s="183"/>
      <c r="S40" s="183"/>
    </row>
    <row r="41" spans="1:20" ht="15" x14ac:dyDescent="0.25">
      <c r="B41" s="169" t="s">
        <v>7</v>
      </c>
      <c r="C41" s="11" t="s">
        <v>134</v>
      </c>
      <c r="D41" s="11"/>
      <c r="E41" s="11"/>
      <c r="F41" s="11"/>
      <c r="G41" s="162"/>
      <c r="H41" s="11"/>
      <c r="I41" s="11"/>
      <c r="J41" s="11"/>
      <c r="K41" s="11"/>
      <c r="L41" s="11"/>
      <c r="M41" s="11"/>
      <c r="N41" s="11"/>
      <c r="O41" s="11"/>
      <c r="P41" s="183"/>
      <c r="Q41" s="183"/>
      <c r="R41" s="183"/>
      <c r="S41" s="183"/>
    </row>
    <row r="42" spans="1:20" ht="15" x14ac:dyDescent="0.25">
      <c r="B42" s="169" t="s">
        <v>118</v>
      </c>
      <c r="C42" s="11" t="s">
        <v>127</v>
      </c>
      <c r="D42" s="11"/>
      <c r="G42" s="162"/>
      <c r="H42" s="11"/>
    </row>
    <row r="43" spans="1:20" ht="15" x14ac:dyDescent="0.25">
      <c r="A43" s="10"/>
      <c r="B43" s="167" t="s">
        <v>9</v>
      </c>
      <c r="C43" s="10" t="s">
        <v>21</v>
      </c>
      <c r="G43" s="162"/>
      <c r="H43" s="11"/>
    </row>
    <row r="44" spans="1:20" s="185" customFormat="1" x14ac:dyDescent="0.2">
      <c r="A44" s="185" t="s">
        <v>146</v>
      </c>
      <c r="G44" s="186"/>
      <c r="H44" s="187"/>
    </row>
    <row r="45" spans="1:20" ht="15" x14ac:dyDescent="0.25">
      <c r="B45" s="167" t="s">
        <v>10</v>
      </c>
      <c r="C45" s="10" t="s">
        <v>85</v>
      </c>
      <c r="G45" s="162"/>
      <c r="H45" s="11"/>
    </row>
    <row r="46" spans="1:20" ht="15" x14ac:dyDescent="0.25">
      <c r="B46" s="170" t="s">
        <v>87</v>
      </c>
      <c r="C46" s="10" t="s">
        <v>84</v>
      </c>
      <c r="G46" s="162"/>
      <c r="H46" s="11"/>
      <c r="K46" s="11"/>
      <c r="L46" s="11"/>
      <c r="M46" s="11"/>
      <c r="N46" s="11"/>
      <c r="O46" s="11"/>
      <c r="P46" s="183"/>
      <c r="Q46" s="183"/>
      <c r="R46" s="183"/>
      <c r="S46" s="183"/>
    </row>
    <row r="47" spans="1:20" ht="15" x14ac:dyDescent="0.25">
      <c r="B47" s="170"/>
      <c r="C47" s="10" t="s">
        <v>54</v>
      </c>
      <c r="G47" s="162"/>
      <c r="H47" s="11"/>
      <c r="K47" s="11"/>
      <c r="L47" s="11"/>
      <c r="M47" s="11"/>
      <c r="N47" s="11"/>
      <c r="O47" s="11"/>
      <c r="P47" s="183"/>
      <c r="Q47" s="183"/>
      <c r="R47" s="183"/>
      <c r="S47" s="183"/>
    </row>
    <row r="48" spans="1:20" ht="15" x14ac:dyDescent="0.25">
      <c r="B48" s="170" t="s">
        <v>88</v>
      </c>
      <c r="C48" s="10" t="s">
        <v>55</v>
      </c>
      <c r="G48" s="162"/>
      <c r="H48" s="11"/>
    </row>
    <row r="49" spans="1:19" x14ac:dyDescent="0.2">
      <c r="B49" s="135"/>
      <c r="C49" s="10" t="s">
        <v>74</v>
      </c>
      <c r="G49" s="162"/>
      <c r="H49" s="11"/>
    </row>
    <row r="50" spans="1:19" x14ac:dyDescent="0.2">
      <c r="B50" s="134"/>
      <c r="C50" s="10" t="s">
        <v>22</v>
      </c>
    </row>
    <row r="51" spans="1:19" x14ac:dyDescent="0.2">
      <c r="A51" s="10"/>
    </row>
    <row r="52" spans="1:19" x14ac:dyDescent="0.2">
      <c r="L52" s="11"/>
      <c r="M52" s="11"/>
      <c r="N52" s="11"/>
    </row>
    <row r="53" spans="1:19" x14ac:dyDescent="0.2">
      <c r="C53" s="188"/>
      <c r="L53" s="11"/>
      <c r="M53" s="11"/>
      <c r="N53" s="11"/>
    </row>
    <row r="54" spans="1:19" x14ac:dyDescent="0.2">
      <c r="L54" s="11"/>
      <c r="M54" s="11"/>
      <c r="N54" s="11"/>
    </row>
    <row r="55" spans="1:19" x14ac:dyDescent="0.2">
      <c r="L55" s="11"/>
      <c r="M55" s="11"/>
      <c r="N55" s="11"/>
    </row>
    <row r="58" spans="1:19" x14ac:dyDescent="0.2">
      <c r="K58" s="185"/>
      <c r="L58" s="185"/>
      <c r="M58" s="185"/>
      <c r="N58" s="185"/>
      <c r="O58" s="185"/>
      <c r="P58" s="185"/>
      <c r="Q58" s="185"/>
      <c r="R58" s="185"/>
      <c r="S58" s="185"/>
    </row>
  </sheetData>
  <mergeCells count="8">
    <mergeCell ref="K35:S35"/>
    <mergeCell ref="A23:A28"/>
    <mergeCell ref="T9:AD9"/>
    <mergeCell ref="B9:K9"/>
    <mergeCell ref="B1:K1"/>
    <mergeCell ref="A13:A18"/>
    <mergeCell ref="K11:K12"/>
    <mergeCell ref="K21:K22"/>
  </mergeCells>
  <phoneticPr fontId="2" type="noConversion"/>
  <dataValidations count="2">
    <dataValidation type="list" allowBlank="1" showInputMessage="1" showErrorMessage="1" sqref="P29:S33 P46:S47 P37:S41">
      <formula1>#REF!</formula1>
    </dataValidation>
    <dataValidation type="list" allowBlank="1" showInputMessage="1" showErrorMessage="1" sqref="K29:O33 K46:O47 K37:O41">
      <formula1>$B$31:$B$33</formula1>
    </dataValidation>
  </dataValidations>
  <printOptions horizontalCentered="1"/>
  <pageMargins left="0.23" right="0.23" top="0.64" bottom="0.41" header="0.17" footer="0.16"/>
  <pageSetup scale="80" orientation="landscape" r:id="rId1"/>
  <headerFooter alignWithMargins="0">
    <oddHeader xml:space="preserve">&amp;C&amp;"-,Regular"&amp;9Ohio Department of Education
Office for Exceptional Children
Subrecipient Monitoring Review
</oddHeader>
    <oddFooter>&amp;C&amp;"-,Regular"&amp;11
&amp;R&amp;Z&amp;F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1"/>
  <sheetViews>
    <sheetView zoomScale="85" zoomScaleNormal="85" workbookViewId="0">
      <selection activeCell="B15" sqref="B15"/>
    </sheetView>
  </sheetViews>
  <sheetFormatPr defaultColWidth="10.7109375" defaultRowHeight="14.25" x14ac:dyDescent="0.2"/>
  <cols>
    <col min="1" max="1" width="6.5703125" style="10" customWidth="1"/>
    <col min="2" max="2" width="17" style="10" customWidth="1"/>
    <col min="3" max="16384" width="10.7109375" style="10"/>
  </cols>
  <sheetData>
    <row r="1" spans="1:13" ht="18" customHeight="1" x14ac:dyDescent="0.2">
      <c r="A1" s="139"/>
      <c r="B1" s="344" t="s">
        <v>106</v>
      </c>
      <c r="C1" s="345"/>
      <c r="D1" s="345"/>
      <c r="E1" s="345"/>
      <c r="F1" s="345"/>
      <c r="G1" s="345"/>
      <c r="H1" s="345"/>
      <c r="I1" s="345"/>
      <c r="J1" s="345"/>
      <c r="K1" s="345"/>
      <c r="L1" s="346"/>
    </row>
    <row r="2" spans="1:13" x14ac:dyDescent="0.2">
      <c r="A2" s="139"/>
      <c r="B2" s="10" t="s">
        <v>79</v>
      </c>
      <c r="C2" s="10">
        <f>SOA!C2</f>
        <v>0</v>
      </c>
    </row>
    <row r="3" spans="1:13" x14ac:dyDescent="0.2">
      <c r="A3" s="139"/>
      <c r="B3" s="10" t="s">
        <v>81</v>
      </c>
      <c r="C3" s="10">
        <f>SOA!C3</f>
        <v>0</v>
      </c>
    </row>
    <row r="4" spans="1:13" x14ac:dyDescent="0.2">
      <c r="A4" s="139"/>
      <c r="B4" s="10" t="s">
        <v>82</v>
      </c>
      <c r="C4" s="141">
        <f>SOA!C4</f>
        <v>0</v>
      </c>
    </row>
    <row r="5" spans="1:13" ht="15" x14ac:dyDescent="0.25">
      <c r="A5" s="139"/>
      <c r="B5" s="140"/>
    </row>
    <row r="6" spans="1:13" ht="15" x14ac:dyDescent="0.25">
      <c r="A6" s="139"/>
      <c r="B6" s="17" t="s">
        <v>183</v>
      </c>
      <c r="C6" s="18"/>
    </row>
    <row r="7" spans="1:13" x14ac:dyDescent="0.2">
      <c r="A7" s="139"/>
      <c r="B7" s="307" t="s">
        <v>182</v>
      </c>
      <c r="C7" s="307"/>
      <c r="D7" s="307"/>
      <c r="E7" s="307"/>
      <c r="F7" s="307"/>
      <c r="G7" s="307"/>
      <c r="H7" s="307"/>
      <c r="I7" s="307"/>
      <c r="J7" s="307"/>
      <c r="K7" s="307"/>
      <c r="L7" s="307"/>
    </row>
    <row r="8" spans="1:13" x14ac:dyDescent="0.2">
      <c r="A8" s="139"/>
      <c r="B8" s="347" t="s">
        <v>93</v>
      </c>
      <c r="C8" s="347"/>
      <c r="D8" s="347"/>
      <c r="E8" s="347"/>
      <c r="F8" s="347"/>
      <c r="G8" s="347"/>
      <c r="H8" s="347"/>
      <c r="I8" s="347"/>
      <c r="J8" s="347"/>
      <c r="K8" s="347"/>
    </row>
    <row r="9" spans="1:13" x14ac:dyDescent="0.2">
      <c r="A9" s="139"/>
      <c r="B9" s="199" t="s">
        <v>103</v>
      </c>
      <c r="C9" s="10" t="s">
        <v>94</v>
      </c>
    </row>
    <row r="10" spans="1:13" x14ac:dyDescent="0.2">
      <c r="A10" s="139"/>
      <c r="B10" s="199" t="s">
        <v>104</v>
      </c>
      <c r="C10" s="10" t="s">
        <v>101</v>
      </c>
    </row>
    <row r="11" spans="1:13" x14ac:dyDescent="0.2">
      <c r="A11" s="139"/>
      <c r="B11" s="199" t="s">
        <v>105</v>
      </c>
      <c r="C11" s="10" t="s">
        <v>102</v>
      </c>
    </row>
    <row r="12" spans="1:13" ht="15" thickBot="1" x14ac:dyDescent="0.25">
      <c r="A12" s="139"/>
      <c r="B12" s="199" t="s">
        <v>148</v>
      </c>
      <c r="C12" s="283" t="s">
        <v>147</v>
      </c>
      <c r="D12" s="283"/>
      <c r="E12" s="283"/>
      <c r="F12" s="283"/>
      <c r="G12" s="283"/>
      <c r="H12" s="283"/>
      <c r="I12" s="283"/>
      <c r="J12" s="283"/>
      <c r="K12" s="283"/>
    </row>
    <row r="13" spans="1:13" s="201" customFormat="1" ht="15" customHeight="1" thickBot="1" x14ac:dyDescent="0.25">
      <c r="A13" s="200"/>
      <c r="B13" s="348" t="s">
        <v>108</v>
      </c>
      <c r="C13" s="349"/>
      <c r="D13" s="349"/>
      <c r="E13" s="350"/>
      <c r="F13" s="200"/>
      <c r="G13" s="200"/>
      <c r="H13" s="200"/>
      <c r="I13" s="200"/>
      <c r="J13" s="200"/>
      <c r="K13" s="200"/>
      <c r="L13" s="200"/>
      <c r="M13" s="200"/>
    </row>
    <row r="14" spans="1:13" s="201" customFormat="1" ht="15" x14ac:dyDescent="0.25">
      <c r="A14" s="200"/>
      <c r="B14" s="202" t="s">
        <v>4</v>
      </c>
      <c r="C14" s="203" t="s">
        <v>5</v>
      </c>
      <c r="D14" s="203" t="s">
        <v>6</v>
      </c>
      <c r="E14" s="204" t="s">
        <v>7</v>
      </c>
      <c r="F14" s="341" t="s">
        <v>89</v>
      </c>
      <c r="G14" s="341"/>
      <c r="H14" s="341"/>
      <c r="I14" s="341"/>
      <c r="J14" s="341"/>
      <c r="K14" s="341"/>
      <c r="L14" s="341"/>
    </row>
    <row r="15" spans="1:13" s="201" customFormat="1" ht="12.75" customHeight="1" x14ac:dyDescent="0.2">
      <c r="A15" s="340" t="s">
        <v>95</v>
      </c>
      <c r="B15" s="205"/>
      <c r="C15" s="205"/>
      <c r="D15" s="205"/>
      <c r="E15" s="205"/>
      <c r="F15" s="342"/>
      <c r="G15" s="342"/>
      <c r="H15" s="342"/>
      <c r="I15" s="342"/>
      <c r="J15" s="342"/>
      <c r="K15" s="342"/>
      <c r="L15" s="342"/>
    </row>
    <row r="16" spans="1:13" s="201" customFormat="1" ht="12.75" customHeight="1" x14ac:dyDescent="0.2">
      <c r="A16" s="340"/>
      <c r="B16" s="206"/>
      <c r="C16" s="206"/>
      <c r="D16" s="206"/>
      <c r="E16" s="206"/>
      <c r="F16" s="207"/>
      <c r="G16" s="207"/>
      <c r="H16" s="207"/>
      <c r="I16" s="207"/>
      <c r="J16" s="207"/>
      <c r="K16" s="207"/>
      <c r="L16" s="207"/>
    </row>
    <row r="17" spans="1:13" s="201" customFormat="1" ht="12.75" customHeight="1" x14ac:dyDescent="0.2">
      <c r="A17" s="340"/>
      <c r="B17" s="208" t="s">
        <v>11</v>
      </c>
      <c r="E17" s="209"/>
      <c r="F17" s="209"/>
      <c r="G17" s="200"/>
      <c r="H17" s="200"/>
      <c r="I17" s="200"/>
      <c r="J17" s="200"/>
      <c r="K17" s="200"/>
      <c r="L17" s="200"/>
    </row>
    <row r="18" spans="1:13" s="201" customFormat="1" ht="12.75" customHeight="1" x14ac:dyDescent="0.2">
      <c r="A18" s="340"/>
      <c r="B18" s="210" t="s">
        <v>143</v>
      </c>
      <c r="C18" s="201" t="s">
        <v>12</v>
      </c>
      <c r="E18" s="211"/>
      <c r="F18" s="211"/>
      <c r="G18" s="200"/>
      <c r="H18" s="200"/>
      <c r="I18" s="200"/>
      <c r="J18" s="200"/>
      <c r="K18" s="200"/>
      <c r="L18" s="200"/>
    </row>
    <row r="19" spans="1:13" s="201" customFormat="1" x14ac:dyDescent="0.2">
      <c r="A19" s="340"/>
      <c r="B19" s="210" t="s">
        <v>16</v>
      </c>
      <c r="C19" s="201" t="s">
        <v>13</v>
      </c>
      <c r="E19" s="211"/>
      <c r="F19" s="211"/>
      <c r="G19" s="200"/>
      <c r="H19" s="200"/>
      <c r="I19" s="200"/>
      <c r="J19" s="200"/>
      <c r="K19" s="200"/>
      <c r="L19" s="200"/>
    </row>
    <row r="20" spans="1:13" s="201" customFormat="1" x14ac:dyDescent="0.2">
      <c r="A20" s="340"/>
      <c r="B20" s="210" t="s">
        <v>14</v>
      </c>
      <c r="C20" s="201" t="s">
        <v>23</v>
      </c>
      <c r="E20" s="211"/>
      <c r="F20" s="211"/>
      <c r="G20" s="200"/>
      <c r="H20" s="200"/>
      <c r="I20" s="200"/>
      <c r="J20" s="200"/>
      <c r="K20" s="200"/>
      <c r="L20" s="200"/>
    </row>
    <row r="21" spans="1:13" s="201" customFormat="1" x14ac:dyDescent="0.2">
      <c r="A21" s="340"/>
      <c r="E21" s="211"/>
      <c r="F21" s="211"/>
      <c r="G21" s="200"/>
      <c r="H21" s="200"/>
      <c r="I21" s="200"/>
      <c r="J21" s="200"/>
      <c r="K21" s="200"/>
      <c r="L21" s="200"/>
    </row>
    <row r="22" spans="1:13" s="201" customFormat="1" x14ac:dyDescent="0.2">
      <c r="A22" s="200"/>
      <c r="B22" s="208" t="s">
        <v>3</v>
      </c>
      <c r="E22" s="212"/>
      <c r="F22" s="212"/>
      <c r="G22" s="213"/>
      <c r="H22" s="213"/>
      <c r="I22" s="213"/>
      <c r="J22" s="213"/>
      <c r="K22" s="213"/>
      <c r="L22" s="213"/>
      <c r="M22" s="200"/>
    </row>
    <row r="23" spans="1:13" s="201" customFormat="1" x14ac:dyDescent="0.2">
      <c r="A23" s="200"/>
      <c r="B23" s="214" t="s">
        <v>4</v>
      </c>
      <c r="C23" s="343" t="s">
        <v>97</v>
      </c>
      <c r="D23" s="343"/>
      <c r="E23" s="343"/>
      <c r="F23" s="343"/>
      <c r="G23" s="343"/>
      <c r="H23" s="343"/>
      <c r="I23" s="343"/>
      <c r="J23" s="215"/>
      <c r="K23" s="215"/>
      <c r="L23" s="215"/>
      <c r="M23" s="200"/>
    </row>
    <row r="24" spans="1:13" s="201" customFormat="1" x14ac:dyDescent="0.2">
      <c r="A24" s="200"/>
      <c r="B24" s="214" t="s">
        <v>5</v>
      </c>
      <c r="C24" s="343" t="s">
        <v>96</v>
      </c>
      <c r="D24" s="343"/>
      <c r="E24" s="343"/>
      <c r="F24" s="343"/>
      <c r="G24" s="343"/>
      <c r="H24" s="343"/>
      <c r="I24" s="343"/>
      <c r="J24" s="215"/>
      <c r="K24" s="215"/>
      <c r="L24" s="215"/>
      <c r="M24" s="200"/>
    </row>
    <row r="25" spans="1:13" s="201" customFormat="1" x14ac:dyDescent="0.2">
      <c r="A25" s="200"/>
      <c r="B25" s="214" t="s">
        <v>6</v>
      </c>
      <c r="C25" s="343" t="s">
        <v>98</v>
      </c>
      <c r="D25" s="343"/>
      <c r="E25" s="343"/>
      <c r="F25" s="343"/>
      <c r="G25" s="343"/>
      <c r="H25" s="343"/>
      <c r="I25" s="215"/>
      <c r="J25" s="215"/>
      <c r="K25" s="215"/>
      <c r="L25" s="215"/>
      <c r="M25" s="200"/>
    </row>
    <row r="26" spans="1:13" s="201" customFormat="1" x14ac:dyDescent="0.2">
      <c r="A26" s="200"/>
      <c r="B26" s="214" t="s">
        <v>7</v>
      </c>
      <c r="C26" s="343" t="s">
        <v>99</v>
      </c>
      <c r="D26" s="343"/>
      <c r="E26" s="343"/>
      <c r="F26" s="343"/>
      <c r="G26" s="343"/>
      <c r="H26" s="343"/>
      <c r="I26" s="343"/>
      <c r="J26" s="215"/>
      <c r="K26" s="215"/>
      <c r="L26" s="215"/>
      <c r="M26" s="200"/>
    </row>
    <row r="27" spans="1:13" s="201" customFormat="1" x14ac:dyDescent="0.2">
      <c r="A27" s="20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200"/>
    </row>
    <row r="28" spans="1:13" s="206" customForma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215"/>
    </row>
    <row r="29" spans="1:13" s="206" customForma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215"/>
    </row>
    <row r="30" spans="1:13" s="206" customForma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215"/>
    </row>
    <row r="31" spans="1:13" s="206" customFormat="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215"/>
    </row>
  </sheetData>
  <mergeCells count="12">
    <mergeCell ref="C25:H25"/>
    <mergeCell ref="C26:I26"/>
    <mergeCell ref="B1:L1"/>
    <mergeCell ref="B7:L7"/>
    <mergeCell ref="B8:K8"/>
    <mergeCell ref="B13:E13"/>
    <mergeCell ref="C12:K12"/>
    <mergeCell ref="A15:A21"/>
    <mergeCell ref="F14:L14"/>
    <mergeCell ref="F15:L15"/>
    <mergeCell ref="C23:I23"/>
    <mergeCell ref="C24:I24"/>
  </mergeCells>
  <phoneticPr fontId="9" type="noConversion"/>
  <dataValidations count="1">
    <dataValidation type="list" allowBlank="1" showInputMessage="1" showErrorMessage="1" sqref="B15:E16">
      <formula1>$B$18:$B$20</formula1>
    </dataValidation>
  </dataValidations>
  <pageMargins left="0.2" right="0.2" top="0.73" bottom="0.61" header="0.17" footer="0.16"/>
  <pageSetup orientation="landscape" r:id="rId1"/>
  <headerFooter alignWithMargins="0">
    <oddHeader>&amp;COhio Department of Education
Office for Exceptional Children
On-Site  IDEA Fiscal Review</oddHeader>
    <oddFooter>&amp;R&amp;Z&amp;F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B1:G25"/>
  <sheetViews>
    <sheetView zoomScale="80" zoomScaleNormal="80" zoomScalePageLayoutView="400" workbookViewId="0">
      <selection activeCell="C15" sqref="C15"/>
    </sheetView>
  </sheetViews>
  <sheetFormatPr defaultColWidth="9.140625" defaultRowHeight="14.25" x14ac:dyDescent="0.2"/>
  <cols>
    <col min="1" max="1" width="4.42578125" style="124" customWidth="1"/>
    <col min="2" max="2" width="18.5703125" style="230" customWidth="1"/>
    <col min="3" max="3" width="33" style="124" customWidth="1"/>
    <col min="4" max="4" width="22.42578125" style="124" customWidth="1"/>
    <col min="5" max="5" width="37.5703125" style="124" customWidth="1"/>
    <col min="6" max="16384" width="9.140625" style="124"/>
  </cols>
  <sheetData>
    <row r="1" spans="2:7" ht="15" x14ac:dyDescent="0.25">
      <c r="B1" s="351" t="s">
        <v>65</v>
      </c>
      <c r="C1" s="352"/>
      <c r="D1" s="352"/>
      <c r="E1" s="302"/>
    </row>
    <row r="2" spans="2:7" ht="15" x14ac:dyDescent="0.25">
      <c r="B2" s="7" t="str">
        <f>SOA!B2</f>
        <v>School District:</v>
      </c>
      <c r="C2" s="353">
        <f>SOA!C2</f>
        <v>0</v>
      </c>
      <c r="D2" s="354"/>
      <c r="E2" s="354"/>
    </row>
    <row r="3" spans="2:7" ht="15" x14ac:dyDescent="0.25">
      <c r="B3" s="7" t="str">
        <f>SOA!B3</f>
        <v>Reviewer:</v>
      </c>
      <c r="C3" s="6">
        <f>SOA!C3</f>
        <v>0</v>
      </c>
      <c r="D3" s="216"/>
      <c r="E3" s="217"/>
    </row>
    <row r="4" spans="2:7" ht="15" x14ac:dyDescent="0.25">
      <c r="B4" s="7" t="str">
        <f>SOA!B4</f>
        <v>Date:</v>
      </c>
      <c r="C4" s="8">
        <f>SOA!C4</f>
        <v>0</v>
      </c>
      <c r="D4" s="216"/>
      <c r="E4" s="217"/>
    </row>
    <row r="5" spans="2:7" ht="27.75" customHeight="1" x14ac:dyDescent="0.25">
      <c r="B5" s="1" t="s">
        <v>63</v>
      </c>
      <c r="C5" s="5"/>
    </row>
    <row r="6" spans="2:7" ht="15" x14ac:dyDescent="0.25">
      <c r="B6" s="2"/>
      <c r="C6" s="4" t="s">
        <v>64</v>
      </c>
    </row>
    <row r="7" spans="2:7" ht="15" x14ac:dyDescent="0.25">
      <c r="B7" s="2"/>
      <c r="C7" s="359" t="s">
        <v>177</v>
      </c>
      <c r="D7" s="302"/>
      <c r="E7" s="302"/>
    </row>
    <row r="8" spans="2:7" ht="27.75" customHeight="1" x14ac:dyDescent="0.25">
      <c r="B8" s="5"/>
      <c r="C8" s="359" t="s">
        <v>80</v>
      </c>
      <c r="D8" s="302"/>
      <c r="E8" s="302"/>
      <c r="F8" s="302"/>
      <c r="G8" s="3"/>
    </row>
    <row r="9" spans="2:7" ht="15" x14ac:dyDescent="0.25">
      <c r="B9" s="2"/>
      <c r="C9" s="5"/>
    </row>
    <row r="10" spans="2:7" ht="14.45" customHeight="1" x14ac:dyDescent="0.25">
      <c r="B10" s="358" t="s">
        <v>112</v>
      </c>
      <c r="C10" s="358"/>
      <c r="D10" s="358"/>
      <c r="E10" s="358"/>
    </row>
    <row r="11" spans="2:7" ht="15" x14ac:dyDescent="0.25">
      <c r="B11" s="2" t="s">
        <v>26</v>
      </c>
    </row>
    <row r="12" spans="2:7" ht="15.75" thickBot="1" x14ac:dyDescent="0.3">
      <c r="B12" s="2"/>
      <c r="C12" s="5"/>
    </row>
    <row r="13" spans="2:7" ht="15" x14ac:dyDescent="0.2">
      <c r="B13" s="355" t="s">
        <v>108</v>
      </c>
      <c r="C13" s="356"/>
      <c r="D13" s="356"/>
      <c r="E13" s="218"/>
    </row>
    <row r="14" spans="2:7" ht="15" x14ac:dyDescent="0.25">
      <c r="B14" s="219" t="s">
        <v>4</v>
      </c>
      <c r="C14" s="220" t="s">
        <v>5</v>
      </c>
      <c r="D14" s="221" t="s">
        <v>6</v>
      </c>
      <c r="E14" s="222" t="s">
        <v>89</v>
      </c>
    </row>
    <row r="15" spans="2:7" ht="15.75" thickBot="1" x14ac:dyDescent="0.3">
      <c r="B15" s="223"/>
      <c r="C15" s="224"/>
      <c r="D15" s="223"/>
      <c r="E15" s="225"/>
    </row>
    <row r="17" spans="2:5" ht="15" x14ac:dyDescent="0.25">
      <c r="B17" s="226" t="s">
        <v>11</v>
      </c>
      <c r="C17" s="227"/>
    </row>
    <row r="18" spans="2:5" ht="15" x14ac:dyDescent="0.25">
      <c r="B18" s="228" t="s">
        <v>143</v>
      </c>
      <c r="C18" s="227" t="s">
        <v>12</v>
      </c>
    </row>
    <row r="19" spans="2:5" ht="15" x14ac:dyDescent="0.25">
      <c r="B19" s="228" t="s">
        <v>16</v>
      </c>
      <c r="C19" s="227" t="s">
        <v>13</v>
      </c>
    </row>
    <row r="20" spans="2:5" ht="15" x14ac:dyDescent="0.25">
      <c r="B20" s="228" t="s">
        <v>14</v>
      </c>
      <c r="C20" s="227" t="s">
        <v>15</v>
      </c>
    </row>
    <row r="22" spans="2:5" ht="15" x14ac:dyDescent="0.25">
      <c r="B22" s="226" t="s">
        <v>3</v>
      </c>
    </row>
    <row r="23" spans="2:5" ht="15" x14ac:dyDescent="0.25">
      <c r="B23" s="229" t="s">
        <v>4</v>
      </c>
      <c r="C23" s="4" t="s">
        <v>110</v>
      </c>
    </row>
    <row r="24" spans="2:5" ht="30" x14ac:dyDescent="0.25">
      <c r="B24" s="229" t="s">
        <v>5</v>
      </c>
      <c r="C24" s="5" t="s">
        <v>109</v>
      </c>
    </row>
    <row r="25" spans="2:5" ht="15" x14ac:dyDescent="0.25">
      <c r="B25" s="229" t="s">
        <v>6</v>
      </c>
      <c r="C25" s="357" t="s">
        <v>111</v>
      </c>
      <c r="D25" s="357"/>
      <c r="E25" s="357"/>
    </row>
  </sheetData>
  <dataConsolidate/>
  <mergeCells count="7">
    <mergeCell ref="B1:E1"/>
    <mergeCell ref="C2:E2"/>
    <mergeCell ref="B13:D13"/>
    <mergeCell ref="C25:E25"/>
    <mergeCell ref="B10:E10"/>
    <mergeCell ref="C8:F8"/>
    <mergeCell ref="C7:E7"/>
  </mergeCells>
  <phoneticPr fontId="9" type="noConversion"/>
  <dataValidations count="1">
    <dataValidation type="list" allowBlank="1" showInputMessage="1" showErrorMessage="1" sqref="B15:D15">
      <formula1>$B$18:$B$20</formula1>
    </dataValidation>
  </dataValidations>
  <pageMargins left="0.7" right="0.7" top="0.92708333333333304" bottom="0.75" header="0.3" footer="0.3"/>
  <pageSetup orientation="landscape" r:id="rId1"/>
  <headerFooter>
    <oddHeader>&amp;COhio Department of Education
Office for Exceptional Children
On-Site IDEA fiscal Review</oddHeader>
    <oddFooter>&amp;R&amp;Z&amp;F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K41"/>
  <sheetViews>
    <sheetView zoomScale="85" zoomScaleNormal="85" workbookViewId="0">
      <selection activeCell="K19" sqref="K19"/>
    </sheetView>
  </sheetViews>
  <sheetFormatPr defaultColWidth="9.140625" defaultRowHeight="14.25" x14ac:dyDescent="0.2"/>
  <cols>
    <col min="1" max="1" width="3.85546875" style="10" customWidth="1"/>
    <col min="2" max="2" width="16.140625" style="9" customWidth="1"/>
    <col min="3" max="10" width="10.85546875" style="10" customWidth="1"/>
    <col min="11" max="11" width="44.7109375" style="10" customWidth="1"/>
    <col min="12" max="16384" width="9.140625" style="10"/>
  </cols>
  <sheetData>
    <row r="1" spans="2:11" ht="18.75" customHeight="1" x14ac:dyDescent="0.2">
      <c r="B1" s="231"/>
      <c r="C1" s="367" t="s">
        <v>75</v>
      </c>
      <c r="D1" s="367"/>
      <c r="E1" s="367"/>
      <c r="F1" s="367"/>
      <c r="G1" s="367"/>
      <c r="H1" s="367"/>
      <c r="I1" s="367"/>
      <c r="J1" s="367"/>
      <c r="K1" s="368"/>
    </row>
    <row r="2" spans="2:11" x14ac:dyDescent="0.2">
      <c r="B2" s="9" t="str">
        <f>SOA!B2</f>
        <v>School District:</v>
      </c>
      <c r="C2" s="11">
        <f>SOA!C2</f>
        <v>0</v>
      </c>
    </row>
    <row r="3" spans="2:11" x14ac:dyDescent="0.2">
      <c r="B3" s="9" t="str">
        <f>SOA!B3</f>
        <v>Reviewer:</v>
      </c>
      <c r="C3" s="11">
        <f>SOA!C3</f>
        <v>0</v>
      </c>
    </row>
    <row r="4" spans="2:11" x14ac:dyDescent="0.2">
      <c r="B4" s="9" t="str">
        <f>SOA!B4</f>
        <v>Date:</v>
      </c>
      <c r="C4" s="12">
        <f>SOA!C4</f>
        <v>0</v>
      </c>
    </row>
    <row r="6" spans="2:11" ht="15" x14ac:dyDescent="0.2">
      <c r="B6" s="232" t="s">
        <v>116</v>
      </c>
      <c r="C6" s="283" t="s">
        <v>150</v>
      </c>
      <c r="D6" s="283"/>
      <c r="E6" s="283"/>
      <c r="F6" s="283"/>
      <c r="G6" s="283"/>
      <c r="H6" s="283"/>
      <c r="I6" s="283"/>
      <c r="J6" s="283"/>
      <c r="K6" s="283"/>
    </row>
    <row r="8" spans="2:11" ht="15" x14ac:dyDescent="0.2">
      <c r="B8" s="232" t="s">
        <v>114</v>
      </c>
      <c r="C8" s="10" t="s">
        <v>115</v>
      </c>
    </row>
    <row r="9" spans="2:11" ht="15" x14ac:dyDescent="0.2">
      <c r="B9" s="232"/>
      <c r="C9" s="10" t="s">
        <v>117</v>
      </c>
    </row>
    <row r="10" spans="2:11" x14ac:dyDescent="0.2">
      <c r="B10" s="233"/>
      <c r="F10" s="10" t="s">
        <v>66</v>
      </c>
    </row>
    <row r="11" spans="2:11" ht="15" hidden="1" x14ac:dyDescent="0.2">
      <c r="B11" s="372" t="s">
        <v>56</v>
      </c>
      <c r="C11" s="372"/>
      <c r="D11" s="372"/>
      <c r="E11" s="372"/>
    </row>
    <row r="12" spans="2:11" hidden="1" x14ac:dyDescent="0.2">
      <c r="B12" s="371" t="s">
        <v>57</v>
      </c>
      <c r="C12" s="371"/>
      <c r="D12" s="371"/>
      <c r="E12" s="369"/>
      <c r="F12" s="369"/>
      <c r="G12" s="370"/>
      <c r="H12" s="370"/>
      <c r="I12" s="370"/>
      <c r="J12" s="370"/>
      <c r="K12" s="369"/>
    </row>
    <row r="13" spans="2:11" hidden="1" x14ac:dyDescent="0.2">
      <c r="B13" s="234" t="s">
        <v>58</v>
      </c>
      <c r="C13" s="59"/>
      <c r="D13" s="235"/>
      <c r="E13" s="369"/>
      <c r="F13" s="369"/>
      <c r="G13" s="370"/>
      <c r="H13" s="370"/>
      <c r="I13" s="370"/>
      <c r="J13" s="370"/>
      <c r="K13" s="369"/>
    </row>
    <row r="14" spans="2:11" hidden="1" x14ac:dyDescent="0.2">
      <c r="E14" s="18"/>
      <c r="F14" s="18"/>
      <c r="G14" s="18"/>
      <c r="H14" s="18"/>
      <c r="I14" s="18"/>
      <c r="J14" s="18"/>
      <c r="K14" s="18"/>
    </row>
    <row r="15" spans="2:11" hidden="1" x14ac:dyDescent="0.2"/>
    <row r="16" spans="2:11" ht="15" thickBot="1" x14ac:dyDescent="0.25"/>
    <row r="17" spans="2:11" ht="15" x14ac:dyDescent="0.2">
      <c r="B17" s="364" t="s">
        <v>108</v>
      </c>
      <c r="C17" s="365"/>
      <c r="D17" s="365"/>
      <c r="E17" s="365"/>
      <c r="F17" s="366"/>
      <c r="G17" s="236"/>
      <c r="H17" s="236"/>
      <c r="I17" s="236"/>
      <c r="J17" s="236"/>
      <c r="K17" s="218"/>
    </row>
    <row r="18" spans="2:11" ht="15" x14ac:dyDescent="0.25">
      <c r="B18" s="237" t="s">
        <v>4</v>
      </c>
      <c r="C18" s="238" t="s">
        <v>5</v>
      </c>
      <c r="D18" s="238" t="s">
        <v>6</v>
      </c>
      <c r="E18" s="239" t="s">
        <v>7</v>
      </c>
      <c r="F18" s="239" t="s">
        <v>8</v>
      </c>
      <c r="G18" s="240" t="s">
        <v>9</v>
      </c>
      <c r="H18" s="240" t="s">
        <v>10</v>
      </c>
      <c r="I18" s="240" t="s">
        <v>87</v>
      </c>
      <c r="J18" s="240" t="s">
        <v>88</v>
      </c>
      <c r="K18" s="241" t="s">
        <v>89</v>
      </c>
    </row>
    <row r="19" spans="2:11" s="21" customFormat="1" ht="15" x14ac:dyDescent="0.25">
      <c r="B19" s="205" t="s">
        <v>14</v>
      </c>
      <c r="C19" s="205" t="s">
        <v>14</v>
      </c>
      <c r="D19" s="205" t="s">
        <v>14</v>
      </c>
      <c r="E19" s="205" t="s">
        <v>14</v>
      </c>
      <c r="F19" s="205" t="s">
        <v>14</v>
      </c>
      <c r="G19" s="205" t="s">
        <v>14</v>
      </c>
      <c r="H19" s="205" t="s">
        <v>14</v>
      </c>
      <c r="I19" s="205" t="s">
        <v>14</v>
      </c>
      <c r="J19" s="205" t="s">
        <v>14</v>
      </c>
      <c r="K19" s="254" t="s">
        <v>187</v>
      </c>
    </row>
    <row r="20" spans="2:11" s="21" customFormat="1" ht="15" x14ac:dyDescent="0.25">
      <c r="B20" s="253"/>
      <c r="C20" s="253"/>
      <c r="D20" s="253"/>
      <c r="E20" s="253"/>
      <c r="F20" s="253"/>
      <c r="G20" s="253"/>
      <c r="H20" s="253"/>
      <c r="I20" s="253"/>
      <c r="J20" s="253"/>
      <c r="K20" s="254"/>
    </row>
    <row r="21" spans="2:11" ht="15" x14ac:dyDescent="0.25">
      <c r="B21" s="253"/>
      <c r="C21" s="253"/>
      <c r="D21" s="253"/>
      <c r="E21" s="253"/>
      <c r="F21" s="253"/>
      <c r="G21" s="253"/>
      <c r="H21" s="253"/>
      <c r="I21" s="253"/>
      <c r="J21" s="253"/>
      <c r="K21" s="254"/>
    </row>
    <row r="23" spans="2:11" x14ac:dyDescent="0.2">
      <c r="B23" s="208" t="s">
        <v>11</v>
      </c>
      <c r="C23" s="201"/>
    </row>
    <row r="24" spans="2:11" x14ac:dyDescent="0.2">
      <c r="B24" s="210" t="s">
        <v>143</v>
      </c>
      <c r="C24" s="201" t="s">
        <v>12</v>
      </c>
    </row>
    <row r="25" spans="2:11" x14ac:dyDescent="0.2">
      <c r="B25" s="210" t="s">
        <v>16</v>
      </c>
      <c r="C25" s="201" t="s">
        <v>13</v>
      </c>
    </row>
    <row r="26" spans="2:11" x14ac:dyDescent="0.2">
      <c r="B26" s="210" t="s">
        <v>14</v>
      </c>
      <c r="C26" s="201" t="s">
        <v>15</v>
      </c>
    </row>
    <row r="27" spans="2:11" x14ac:dyDescent="0.2">
      <c r="B27" s="210"/>
      <c r="C27" s="201"/>
    </row>
    <row r="28" spans="2:11" x14ac:dyDescent="0.2">
      <c r="B28" s="242" t="s">
        <v>3</v>
      </c>
    </row>
    <row r="29" spans="2:11" x14ac:dyDescent="0.2">
      <c r="B29" s="243" t="s">
        <v>113</v>
      </c>
      <c r="C29" s="363" t="s">
        <v>133</v>
      </c>
      <c r="D29" s="363"/>
      <c r="E29" s="363"/>
      <c r="F29" s="363"/>
      <c r="G29" s="363"/>
      <c r="H29" s="363"/>
      <c r="I29" s="363"/>
      <c r="J29" s="363"/>
      <c r="K29" s="363"/>
    </row>
    <row r="30" spans="2:11" ht="13.15" customHeight="1" x14ac:dyDescent="0.2">
      <c r="B30" s="243" t="s">
        <v>5</v>
      </c>
      <c r="C30" s="361" t="s">
        <v>128</v>
      </c>
      <c r="D30" s="361"/>
      <c r="E30" s="361"/>
      <c r="F30" s="361"/>
      <c r="G30" s="361"/>
      <c r="H30" s="361"/>
      <c r="I30" s="361"/>
      <c r="J30" s="361"/>
      <c r="K30" s="361"/>
    </row>
    <row r="31" spans="2:11" x14ac:dyDescent="0.2">
      <c r="B31" s="243" t="s">
        <v>6</v>
      </c>
      <c r="C31" s="362" t="s">
        <v>129</v>
      </c>
      <c r="D31" s="362"/>
      <c r="E31" s="362"/>
      <c r="F31" s="362"/>
      <c r="G31" s="362"/>
      <c r="H31" s="362"/>
      <c r="I31" s="362"/>
      <c r="J31" s="362"/>
      <c r="K31" s="362"/>
    </row>
    <row r="32" spans="2:11" ht="13.15" customHeight="1" x14ac:dyDescent="0.2">
      <c r="B32" s="243" t="s">
        <v>7</v>
      </c>
      <c r="C32" s="361" t="s">
        <v>130</v>
      </c>
      <c r="D32" s="361"/>
      <c r="E32" s="361"/>
      <c r="F32" s="361"/>
      <c r="G32" s="361"/>
      <c r="H32" s="361"/>
      <c r="I32" s="361"/>
      <c r="J32" s="361"/>
      <c r="K32" s="361"/>
    </row>
    <row r="33" spans="2:11" ht="12.75" customHeight="1" x14ac:dyDescent="0.2">
      <c r="B33" s="243" t="s">
        <v>8</v>
      </c>
      <c r="C33" s="361" t="s">
        <v>131</v>
      </c>
      <c r="D33" s="361"/>
      <c r="E33" s="361"/>
      <c r="F33" s="361"/>
      <c r="G33" s="361"/>
      <c r="H33" s="361"/>
      <c r="I33" s="361"/>
      <c r="J33" s="361"/>
      <c r="K33" s="361"/>
    </row>
    <row r="34" spans="2:11" x14ac:dyDescent="0.2">
      <c r="B34" s="243" t="s">
        <v>9</v>
      </c>
      <c r="C34" s="10" t="s">
        <v>161</v>
      </c>
    </row>
    <row r="35" spans="2:11" x14ac:dyDescent="0.2">
      <c r="B35" s="243" t="s">
        <v>10</v>
      </c>
      <c r="C35" s="10" t="s">
        <v>162</v>
      </c>
    </row>
    <row r="36" spans="2:11" x14ac:dyDescent="0.2">
      <c r="B36" s="243" t="s">
        <v>87</v>
      </c>
      <c r="C36" s="10" t="s">
        <v>163</v>
      </c>
    </row>
    <row r="37" spans="2:11" x14ac:dyDescent="0.2">
      <c r="B37" s="243" t="s">
        <v>88</v>
      </c>
      <c r="C37" s="10" t="s">
        <v>164</v>
      </c>
    </row>
    <row r="38" spans="2:11" x14ac:dyDescent="0.2">
      <c r="B38" s="243"/>
    </row>
    <row r="41" spans="2:11" ht="17.25" customHeight="1" x14ac:dyDescent="0.2">
      <c r="B41" s="360" t="s">
        <v>135</v>
      </c>
      <c r="C41" s="302"/>
      <c r="D41" s="302"/>
      <c r="E41" s="302"/>
      <c r="F41" s="302"/>
      <c r="G41" s="302"/>
      <c r="H41" s="302"/>
      <c r="I41" s="302"/>
      <c r="J41" s="302"/>
      <c r="K41" s="302"/>
    </row>
  </sheetData>
  <mergeCells count="13">
    <mergeCell ref="C29:K29"/>
    <mergeCell ref="B17:F17"/>
    <mergeCell ref="C1:K1"/>
    <mergeCell ref="E13:K13"/>
    <mergeCell ref="E12:K12"/>
    <mergeCell ref="B12:D12"/>
    <mergeCell ref="B11:E11"/>
    <mergeCell ref="C6:K6"/>
    <mergeCell ref="B41:K41"/>
    <mergeCell ref="C30:K30"/>
    <mergeCell ref="C31:K31"/>
    <mergeCell ref="C32:K32"/>
    <mergeCell ref="C33:K33"/>
  </mergeCells>
  <phoneticPr fontId="2" type="noConversion"/>
  <dataValidations count="1">
    <dataValidation type="list" allowBlank="1" showInputMessage="1" showErrorMessage="1" sqref="B19:J19">
      <formula1>$B$24:$B$26</formula1>
    </dataValidation>
  </dataValidations>
  <pageMargins left="0.23" right="0.23" top="0.59" bottom="0.52" header="0.17" footer="0.16"/>
  <pageSetup scale="95" orientation="landscape" r:id="rId1"/>
  <headerFooter alignWithMargins="0">
    <oddHeader xml:space="preserve">&amp;COffice for Exceptional Children
On-Site Monitoring Review
</oddHeader>
    <oddFooter>&amp;R&amp;Z&amp;F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SOA</vt:lpstr>
      <vt:lpstr>Payroll Exp</vt:lpstr>
      <vt:lpstr>Non-Payroll Exp</vt:lpstr>
      <vt:lpstr>equipment_Cap.outlay</vt:lpstr>
      <vt:lpstr>NP Child Find</vt:lpstr>
      <vt:lpstr>Public Notification</vt:lpstr>
      <vt:lpstr>Redirection</vt:lpstr>
      <vt:lpstr>SOA!mainbody</vt:lpstr>
      <vt:lpstr>'Non-Payroll Exp'!Print_Area</vt:lpstr>
      <vt:lpstr>Redirection!Print_Area</vt:lpstr>
      <vt:lpstr>SOA!Print_Area</vt:lpstr>
      <vt:lpstr>Y</vt:lpstr>
    </vt:vector>
  </TitlesOfParts>
  <Company>ODE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Jeff.Jordan</dc:creator>
  <cp:lastModifiedBy>donna.horn</cp:lastModifiedBy>
  <cp:lastPrinted>2010-12-09T13:16:41Z</cp:lastPrinted>
  <dcterms:created xsi:type="dcterms:W3CDTF">2004-08-19T19:01:15Z</dcterms:created>
  <dcterms:modified xsi:type="dcterms:W3CDTF">2014-04-11T15:01:16Z</dcterms:modified>
</cp:coreProperties>
</file>