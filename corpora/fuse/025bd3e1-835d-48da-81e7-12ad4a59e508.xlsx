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<sst xmlns="http://schemas.openxmlformats.org/spreadsheetml/2006/main" count="93" uniqueCount="93">
  <si>
    <t/>
  </si>
  <si>
    <t>ID:</t>
  </si>
  <si>
    <t>00171780</t>
  </si>
  <si>
    <t>Notes/Supplemental Information:</t>
  </si>
  <si>
    <t xml:space="preserve">Only for purposes of calculating alternative minimum taxable (AMT) income under Section 55 of the Internal Revenue Code of 1986, Realty Income Corporation apportions $0.0487708 per common share; $0.0140191 per Class D preferred share; $0.0615888 per Class E preferred share; and $0.0505281 per Class F preferred share, attributable to AMT depreciation assuming a full year of ownership (except Class D preferred which assumes 2 months of ownership and Class F preferred which assumes 10 months of ownership.  Shareholders are encouraged to consult with their tax advisors as to their specific tax treatment of Realty Income Corporation dividends.</t>
  </si>
  <si>
    <t>REIT Name:</t>
  </si>
  <si>
    <t>Realty Income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</si>
  <si>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</si>
  <si>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</si>
  <si>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</si>
  <si>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</si>
  <si>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</si>
  <si>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</si>
  <si>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</si>
  <si>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</si>
  <si>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</si>
  <si>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</si>
  <si>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</si>
  <si>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</si>
  <si>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</si>
  <si>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</si>
  <si>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</si>
  <si>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</si>
  <si>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</si>
  <si>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</si>
  <si>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</si>
  <si>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</si>
  <si>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</si>
  <si>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</si>
  <si>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</si>
  <si>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</si>
  <si>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</si>
  <si>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</si>
  <si>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</si>
  <si>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</si>
  <si>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</si>
  <si>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</si>
  <si>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</si>
  <si>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</si>
  <si>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</si>
  <si>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</si>
  <si>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</si>
  <si>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</si>
  <si>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</si>
  <si>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</si>
  <si>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</si>
  <si>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</si>
  <si>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</si>
  <si>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</si>
  <si>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</si>
  <si>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</si>
  <si>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</si>
  <si>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</si>
  <si>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</si>
  <si>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</si>
  <si>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</si>
  <si>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</si>
  <si>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</si>
  <si>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</si>
  <si>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</si>
  <si>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</si>
  <si>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</si>
  <si>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</si>
  <si>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</si>
  <si>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</si>
  <si>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</si>
  <si>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</si>
  <si>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</si>
  <si>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</si>
  <si>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</si>
  <si>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</si>
  <si>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</si>
  <si>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</si>
  <si>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</si>
  <si>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</si>
  <si>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</si>
  <si>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</si>
  <si>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</si>
  <si>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</si>
  <si>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</si>
  <si>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</si>
  <si>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</si>
  <si>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</si>
  <si>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</si>
  <si>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</si>
  <si>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</si>
  <si>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O</t>
  </si>
  <si>
    <t>Preferred D</t>
  </si>
  <si>
    <t>OPrD</t>
  </si>
  <si>
    <t>Preferred E</t>
  </si>
  <si>
    <t>OPrE</t>
  </si>
  <si>
    <t>Preferred F</t>
  </si>
  <si>
    <t>OPrF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</si>
</sst>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0000_);_(&quot;$&quot;* \(#,##0.000000\);_(&quot;$&quot;* &quot;-&quot;??_);_(@_)"/>
    <numFmt numFmtId="165" formatCode="0_);\(0\)"/>
    <numFmt numFmtId="166" formatCode="&quot;$&quot;#,##0.0000000"/>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8"/>
      <color theme="1" tint="0"/>
      <name val="Calibri"/>
      <family val="2"/>
      <scheme val="minor"/>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1">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66" fontId="9" fillId="0" borderId="0" xfId="0">
      <protection locked="0"/>
    </xf>
    <xf numFmtId="164" fontId="1" fillId="0" borderId="33" xfId="0"/>
    <xf numFmtId="14" fontId="1" fillId="0" borderId="18" xfId="0">
      <alignment horizontal="left"/>
      <protection locked="0"/>
    </xf>
    <xf numFmtId="0" fontId="3" fillId="4" borderId="4" xfId="0">
      <alignment horizontal="lef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37" fontId="1" fillId="0" borderId="0" xfId="0">
      <alignment horizontal="center"/>
      <protection locked="0"/>
    </xf>
    <xf numFmtId="165" fontId="1" fillId="0" borderId="0" xfId="0">
      <protection locked="0"/>
    </xf>
    <xf numFmtId="14" fontId="1" fillId="0" borderId="0" xfId="0">
      <alignment horizontal="right"/>
      <protection locked="0"/>
    </xf>
    <xf numFmtId="166" fontId="1" fillId="0" borderId="0" xfId="0">
      <protection locked="0"/>
    </xf>
    <xf numFmtId="14" fontId="1" fillId="0" borderId="0" xfId="0">
      <alignment horizontal="right"/>
      <protection locked="0"/>
    </xf>
    <xf numFmtId="0" fontId="10" fillId="0" borderId="5" xfId="0">
      <alignment vertical="top" wrapText="1"/>
      <protection locked="0"/>
    </xf>
    <xf numFmtId="0" fontId="10" fillId="0" borderId="6" xfId="0">
      <alignment vertical="top" wrapText="1"/>
      <protection locked="0"/>
    </xf>
    <xf numFmtId="0" fontId="10" fillId="0" borderId="10" xfId="0">
      <alignment vertical="top" wrapText="1"/>
      <protection locked="0"/>
    </xf>
    <xf numFmtId="0" fontId="10" fillId="0" borderId="0" xfId="0">
      <alignment vertical="top" wrapText="1"/>
      <protection locked="0"/>
    </xf>
    <xf numFmtId="0" fontId="10" fillId="0" borderId="11" xfId="0">
      <alignment vertical="top" wrapText="1"/>
      <protection locked="0"/>
    </xf>
    <xf numFmtId="0" fontId="10" fillId="0" borderId="15" xfId="0">
      <alignment vertical="top" wrapText="1"/>
      <protection locked="0"/>
    </xf>
    <xf numFmtId="0" fontId="10" fillId="0" borderId="16" xfId="0">
      <alignment vertical="top" wrapText="1"/>
      <protection locked="0"/>
    </xf>
    <xf numFmtId="0" fontId="10" fillId="0" borderId="17" xfId="0">
      <alignment vertical="top" wrapText="1"/>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90"/>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bestFit="1" width="10.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bestFit="1" width="10.570312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2" t="s">
        <v>4</v>
      </c>
      <c r="L2" s="103"/>
      <c r="M2" s="103"/>
      <c r="N2" s="103"/>
      <c r="O2" s="103"/>
      <c r="P2" s="103"/>
      <c r="Q2" s="104"/>
    </row>
    <row r="3">
      <c r="A3" s="3" t="s">
        <v>5</v>
      </c>
      <c r="B3" s="8" t="s">
        <v>6</v>
      </c>
      <c r="C3" s="9"/>
      <c r="D3" s="9"/>
      <c r="E3" s="9"/>
      <c r="F3" s="10"/>
      <c r="G3" s="11"/>
      <c r="H3" s="12"/>
      <c r="J3" s="12"/>
      <c r="K3" s="105"/>
      <c r="L3" s="106"/>
      <c r="M3" s="106"/>
      <c r="N3" s="106"/>
      <c r="O3" s="106"/>
      <c r="P3" s="106"/>
      <c r="Q3" s="107"/>
      <c r="R3" s="12"/>
      <c r="S3" s="12"/>
      <c r="T3" s="12"/>
      <c r="U3" s="12"/>
      <c r="V3" s="12"/>
      <c r="W3" s="12"/>
      <c r="X3" s="12"/>
      <c r="Y3" s="12"/>
      <c r="Z3" s="12"/>
      <c r="AA3" s="12"/>
      <c r="AB3" s="12"/>
      <c r="AC3" s="12"/>
      <c r="AD3" s="12"/>
    </row>
    <row r="4" ht="26.25" customHeight="1">
      <c r="A4" s="3" t="s">
        <v>7</v>
      </c>
      <c r="B4" s="13">
        <v>2012</v>
      </c>
      <c r="C4" s="14"/>
      <c r="D4" s="14"/>
      <c r="E4" s="14"/>
      <c r="F4" s="14"/>
      <c r="G4" s="15"/>
      <c r="K4" s="105"/>
      <c r="L4" s="106"/>
      <c r="M4" s="106"/>
      <c r="N4" s="106"/>
      <c r="O4" s="106"/>
      <c r="P4" s="106"/>
      <c r="Q4" s="107"/>
    </row>
    <row r="5">
      <c r="A5" s="12"/>
      <c r="B5" s="12"/>
      <c r="C5" s="12"/>
      <c r="D5" s="12"/>
      <c r="E5" s="12"/>
      <c r="F5" s="12"/>
      <c r="G5" s="12"/>
      <c r="H5" s="12"/>
      <c r="J5" s="12"/>
      <c r="K5" s="108"/>
      <c r="L5" s="109"/>
      <c r="M5" s="109"/>
      <c r="N5" s="109"/>
      <c r="O5" s="109"/>
      <c r="P5" s="109"/>
      <c r="Q5" s="110"/>
      <c r="R5" s="12"/>
      <c r="S5" s="12"/>
      <c r="T5" s="12"/>
      <c r="U5" s="12"/>
      <c r="V5" s="12"/>
      <c r="W5" s="12"/>
      <c r="X5" s="12"/>
      <c r="Y5" s="12"/>
      <c r="Z5" s="12"/>
      <c r="AA5" s="12"/>
      <c r="AB5" s="12"/>
      <c r="AC5" s="12"/>
      <c r="AD5" s="12"/>
    </row>
    <row r="6">
      <c r="A6" s="7" t="s">
        <v>8</v>
      </c>
      <c r="B6" s="91">
        <v>41291</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3" t="s">
        <v>10</v>
      </c>
      <c r="B9" s="93"/>
      <c r="C9" s="93"/>
      <c r="D9" s="93"/>
      <c r="E9" s="93"/>
      <c r="F9" s="93"/>
      <c r="G9" s="93"/>
      <c r="H9" s="93"/>
      <c r="I9" s="93"/>
      <c r="J9" s="93"/>
      <c r="K9" s="93"/>
      <c r="L9" s="93"/>
      <c r="M9" s="93"/>
      <c r="N9" s="19"/>
      <c r="O9" s="19"/>
      <c r="P9" s="19"/>
      <c r="Q9" s="12"/>
      <c r="R9" s="12"/>
      <c r="S9" s="12"/>
      <c r="T9" s="12"/>
      <c r="U9" s="12"/>
      <c r="V9" s="12"/>
      <c r="W9" s="12"/>
      <c r="X9" s="12"/>
      <c r="Y9" s="12"/>
      <c r="Z9" s="12"/>
      <c r="AA9" s="12"/>
      <c r="AB9" s="12"/>
      <c r="AC9" s="12"/>
      <c r="AD9" s="12"/>
    </row>
    <row r="10">
      <c r="A10" s="93"/>
      <c r="B10" s="93"/>
      <c r="C10" s="93"/>
      <c r="D10" s="93"/>
      <c r="E10" s="93"/>
      <c r="F10" s="93"/>
      <c r="G10" s="93"/>
      <c r="H10" s="93"/>
      <c r="I10" s="93"/>
      <c r="J10" s="93"/>
      <c r="K10" s="93"/>
      <c r="L10" s="93"/>
      <c r="M10" s="93"/>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4" t="s">
        <v>11</v>
      </c>
      <c r="B13" s="94"/>
      <c r="C13" s="94"/>
      <c r="D13" s="94"/>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95" t="s">
        <v>13</v>
      </c>
      <c r="L15" s="96"/>
      <c r="M15" s="97"/>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8" t="s">
        <v>85</v>
      </c>
      <c r="B20" s="99">
        <v>756109104</v>
      </c>
      <c r="C20" s="98" t="s">
        <v>86</v>
      </c>
      <c r="D20" s="61"/>
      <c r="E20" s="61"/>
      <c r="F20" s="61"/>
      <c r="G20" s="100">
        <v>40910</v>
      </c>
      <c r="H20" s="100">
        <v>40906</v>
      </c>
      <c r="I20" s="100">
        <v>40925</v>
      </c>
      <c r="J20" s="101">
        <v>0.1455</v>
      </c>
      <c r="K20" s="63">
        <v>0</v>
      </c>
      <c r="L20" s="63">
        <v>0</v>
      </c>
      <c r="M20" s="101">
        <f>+J20</f>
      </c>
      <c r="N20" s="101">
        <v>0.1097844</v>
      </c>
      <c r="O20" s="63">
        <v>0</v>
      </c>
      <c r="P20" s="55"/>
      <c r="Q20" s="101">
        <v>0.1097844</v>
      </c>
      <c r="R20" s="63">
        <v>0</v>
      </c>
      <c r="S20" s="55"/>
      <c r="T20" s="55"/>
      <c r="U20" s="63">
        <v>0</v>
      </c>
      <c r="V20" s="63">
        <v>0</v>
      </c>
      <c r="W20" s="63">
        <v>0</v>
      </c>
      <c r="X20" s="55"/>
      <c r="Y20" s="63">
        <v>0</v>
      </c>
      <c r="Z20" s="89">
        <v>0.0357156</v>
      </c>
      <c r="AA20" s="55"/>
      <c r="AB20" s="63">
        <v>0</v>
      </c>
      <c r="AC20" s="63">
        <v>0</v>
      </c>
      <c r="AD20" s="55"/>
      <c r="AE20" s="55"/>
      <c r="AF20" s="66"/>
      <c r="AG20" s="37"/>
    </row>
    <row r="21">
      <c r="A21" s="98" t="s">
        <v>85</v>
      </c>
      <c r="B21" s="99">
        <v>756109104</v>
      </c>
      <c r="C21" s="98" t="s">
        <v>86</v>
      </c>
      <c r="D21" s="61"/>
      <c r="E21" s="61"/>
      <c r="F21" s="61"/>
      <c r="G21" s="100">
        <v>40940</v>
      </c>
      <c r="H21" s="100">
        <v>40938</v>
      </c>
      <c r="I21" s="100">
        <v>40954</v>
      </c>
      <c r="J21" s="101">
        <f>+J20</f>
      </c>
      <c r="K21" s="63">
        <v>0</v>
      </c>
      <c r="L21" s="63">
        <v>0</v>
      </c>
      <c r="M21" s="101">
        <f ref="M21:M31" t="shared" si="1">+J21</f>
      </c>
      <c r="N21" s="101">
        <v>0.1097844</v>
      </c>
      <c r="O21" s="63">
        <v>0</v>
      </c>
      <c r="P21" s="55"/>
      <c r="Q21" s="101">
        <v>0.1097844</v>
      </c>
      <c r="R21" s="63">
        <v>0</v>
      </c>
      <c r="S21" s="55"/>
      <c r="T21" s="55"/>
      <c r="U21" s="63">
        <v>0</v>
      </c>
      <c r="V21" s="63">
        <v>0</v>
      </c>
      <c r="W21" s="63">
        <v>0</v>
      </c>
      <c r="X21" s="55"/>
      <c r="Y21" s="63">
        <v>0</v>
      </c>
      <c r="Z21" s="89">
        <v>0.0357156</v>
      </c>
      <c r="AA21" s="55"/>
      <c r="AB21" s="63">
        <v>0</v>
      </c>
      <c r="AC21" s="63">
        <v>0</v>
      </c>
      <c r="AD21" s="55"/>
      <c r="AE21" s="55"/>
      <c r="AF21" s="66"/>
      <c r="AG21" s="37"/>
    </row>
    <row r="22">
      <c r="A22" s="98" t="s">
        <v>85</v>
      </c>
      <c r="B22" s="99">
        <v>756109104</v>
      </c>
      <c r="C22" s="98" t="s">
        <v>86</v>
      </c>
      <c r="D22" s="61"/>
      <c r="E22" s="61"/>
      <c r="F22" s="61"/>
      <c r="G22" s="100">
        <v>40969</v>
      </c>
      <c r="H22" s="100">
        <v>40967</v>
      </c>
      <c r="I22" s="100">
        <v>40983</v>
      </c>
      <c r="J22" s="101">
        <f>+J21</f>
      </c>
      <c r="K22" s="63">
        <v>0</v>
      </c>
      <c r="L22" s="63">
        <v>0</v>
      </c>
      <c r="M22" s="101">
        <f t="shared" si="1"/>
      </c>
      <c r="N22" s="101">
        <v>0.1097844</v>
      </c>
      <c r="O22" s="63">
        <v>0</v>
      </c>
      <c r="P22" s="55"/>
      <c r="Q22" s="101">
        <v>0.1097844</v>
      </c>
      <c r="R22" s="63">
        <v>0</v>
      </c>
      <c r="S22" s="55"/>
      <c r="T22" s="55"/>
      <c r="U22" s="63">
        <v>0</v>
      </c>
      <c r="V22" s="63">
        <v>0</v>
      </c>
      <c r="W22" s="63">
        <v>0</v>
      </c>
      <c r="X22" s="55"/>
      <c r="Y22" s="63">
        <v>0</v>
      </c>
      <c r="Z22" s="89">
        <v>0.0357156</v>
      </c>
      <c r="AA22" s="55"/>
      <c r="AB22" s="63">
        <v>0</v>
      </c>
      <c r="AC22" s="63">
        <v>0</v>
      </c>
      <c r="AD22" s="55"/>
      <c r="AE22" s="55"/>
      <c r="AF22" s="66"/>
      <c r="AG22" s="37"/>
    </row>
    <row r="23">
      <c r="A23" s="98" t="s">
        <v>85</v>
      </c>
      <c r="B23" s="99">
        <v>756109104</v>
      </c>
      <c r="C23" s="98" t="s">
        <v>86</v>
      </c>
      <c r="D23" s="61"/>
      <c r="E23" s="61"/>
      <c r="F23" s="61"/>
      <c r="G23" s="100">
        <v>41001</v>
      </c>
      <c r="H23" s="100">
        <v>40997</v>
      </c>
      <c r="I23" s="100">
        <v>41015</v>
      </c>
      <c r="J23" s="101">
        <v>0.1458125</v>
      </c>
      <c r="K23" s="63">
        <v>0</v>
      </c>
      <c r="L23" s="63">
        <v>0</v>
      </c>
      <c r="M23" s="101">
        <f t="shared" si="1"/>
      </c>
      <c r="N23" s="101">
        <v>0.1100202</v>
      </c>
      <c r="O23" s="63">
        <v>0</v>
      </c>
      <c r="P23" s="55"/>
      <c r="Q23" s="101">
        <v>0.1100202</v>
      </c>
      <c r="R23" s="63">
        <v>0</v>
      </c>
      <c r="S23" s="55"/>
      <c r="T23" s="55"/>
      <c r="U23" s="63">
        <v>0</v>
      </c>
      <c r="V23" s="63">
        <v>0</v>
      </c>
      <c r="W23" s="63">
        <v>0</v>
      </c>
      <c r="X23" s="55"/>
      <c r="Y23" s="63">
        <v>0</v>
      </c>
      <c r="Z23" s="89">
        <v>0.0357923</v>
      </c>
      <c r="AA23" s="55"/>
      <c r="AB23" s="63">
        <v>0</v>
      </c>
      <c r="AC23" s="63">
        <v>0</v>
      </c>
      <c r="AD23" s="55"/>
      <c r="AE23" s="55"/>
      <c r="AF23" s="66"/>
      <c r="AG23" s="37"/>
    </row>
    <row r="24">
      <c r="A24" s="98" t="s">
        <v>85</v>
      </c>
      <c r="B24" s="99">
        <v>756109104</v>
      </c>
      <c r="C24" s="98" t="s">
        <v>86</v>
      </c>
      <c r="D24" s="61"/>
      <c r="E24" s="61"/>
      <c r="F24" s="61"/>
      <c r="G24" s="100">
        <v>41030</v>
      </c>
      <c r="H24" s="100">
        <v>41028</v>
      </c>
      <c r="I24" s="100">
        <v>41044</v>
      </c>
      <c r="J24" s="101">
        <f>+J23</f>
      </c>
      <c r="K24" s="63">
        <v>0</v>
      </c>
      <c r="L24" s="63">
        <v>0</v>
      </c>
      <c r="M24" s="101">
        <f t="shared" si="1"/>
      </c>
      <c r="N24" s="101">
        <v>0.1100202</v>
      </c>
      <c r="O24" s="63">
        <v>0</v>
      </c>
      <c r="P24" s="55"/>
      <c r="Q24" s="101">
        <v>0.1100202</v>
      </c>
      <c r="R24" s="63">
        <v>0</v>
      </c>
      <c r="S24" s="55"/>
      <c r="T24" s="55"/>
      <c r="U24" s="63">
        <v>0</v>
      </c>
      <c r="V24" s="63">
        <v>0</v>
      </c>
      <c r="W24" s="63">
        <v>0</v>
      </c>
      <c r="X24" s="55"/>
      <c r="Y24" s="63">
        <v>0</v>
      </c>
      <c r="Z24" s="89">
        <v>0.0357923</v>
      </c>
      <c r="AA24" s="55"/>
      <c r="AB24" s="63">
        <v>0</v>
      </c>
      <c r="AC24" s="63">
        <v>0</v>
      </c>
      <c r="AD24" s="55"/>
      <c r="AE24" s="55"/>
      <c r="AF24" s="66"/>
      <c r="AG24" s="37"/>
    </row>
    <row r="25">
      <c r="A25" s="98" t="s">
        <v>85</v>
      </c>
      <c r="B25" s="99">
        <v>756109104</v>
      </c>
      <c r="C25" s="98" t="s">
        <v>86</v>
      </c>
      <c r="D25" s="61"/>
      <c r="E25" s="61"/>
      <c r="F25" s="61"/>
      <c r="G25" s="100">
        <v>41061</v>
      </c>
      <c r="H25" s="100">
        <v>41059</v>
      </c>
      <c r="I25" s="100">
        <v>41075</v>
      </c>
      <c r="J25" s="101">
        <f>+J24</f>
      </c>
      <c r="K25" s="63">
        <v>0</v>
      </c>
      <c r="L25" s="63">
        <v>0</v>
      </c>
      <c r="M25" s="101">
        <f t="shared" si="1"/>
      </c>
      <c r="N25" s="101">
        <v>0.1100202</v>
      </c>
      <c r="O25" s="63">
        <v>0</v>
      </c>
      <c r="P25" s="55"/>
      <c r="Q25" s="101">
        <v>0.1100202</v>
      </c>
      <c r="R25" s="63">
        <v>0</v>
      </c>
      <c r="S25" s="55"/>
      <c r="T25" s="55"/>
      <c r="U25" s="63">
        <v>0</v>
      </c>
      <c r="V25" s="63">
        <v>0</v>
      </c>
      <c r="W25" s="63">
        <v>0</v>
      </c>
      <c r="X25" s="55"/>
      <c r="Y25" s="63">
        <v>0</v>
      </c>
      <c r="Z25" s="89">
        <v>0.0357923</v>
      </c>
      <c r="AA25" s="55"/>
      <c r="AB25" s="63">
        <v>0</v>
      </c>
      <c r="AC25" s="63">
        <v>0</v>
      </c>
      <c r="AD25" s="55"/>
      <c r="AE25" s="55"/>
      <c r="AF25" s="66"/>
      <c r="AG25" s="37"/>
    </row>
    <row r="26">
      <c r="A26" s="98" t="s">
        <v>85</v>
      </c>
      <c r="B26" s="99">
        <v>756109104</v>
      </c>
      <c r="C26" s="98" t="s">
        <v>86</v>
      </c>
      <c r="D26" s="61"/>
      <c r="E26" s="61"/>
      <c r="F26" s="61"/>
      <c r="G26" s="100">
        <v>41092</v>
      </c>
      <c r="H26" s="100">
        <v>41088</v>
      </c>
      <c r="I26" s="100">
        <v>41106</v>
      </c>
      <c r="J26" s="101">
        <v>0.146125</v>
      </c>
      <c r="K26" s="63">
        <v>0</v>
      </c>
      <c r="L26" s="63">
        <v>0</v>
      </c>
      <c r="M26" s="101">
        <f t="shared" si="1"/>
      </c>
      <c r="N26" s="101">
        <v>0.110256</v>
      </c>
      <c r="O26" s="63">
        <v>0</v>
      </c>
      <c r="P26" s="55"/>
      <c r="Q26" s="101">
        <v>0.110256</v>
      </c>
      <c r="R26" s="63">
        <v>0</v>
      </c>
      <c r="S26" s="55"/>
      <c r="T26" s="55"/>
      <c r="U26" s="63">
        <v>0</v>
      </c>
      <c r="V26" s="63">
        <v>0</v>
      </c>
      <c r="W26" s="63">
        <v>0</v>
      </c>
      <c r="X26" s="55"/>
      <c r="Y26" s="63">
        <v>0</v>
      </c>
      <c r="Z26" s="89">
        <v>0.035869</v>
      </c>
      <c r="AA26" s="55"/>
      <c r="AB26" s="63">
        <v>0</v>
      </c>
      <c r="AC26" s="63">
        <v>0</v>
      </c>
      <c r="AD26" s="55"/>
      <c r="AE26" s="55"/>
      <c r="AF26" s="66"/>
      <c r="AG26" s="37"/>
    </row>
    <row r="27">
      <c r="A27" s="98" t="s">
        <v>85</v>
      </c>
      <c r="B27" s="99">
        <v>756109104</v>
      </c>
      <c r="C27" s="98" t="s">
        <v>86</v>
      </c>
      <c r="D27" s="61"/>
      <c r="E27" s="61"/>
      <c r="F27" s="61"/>
      <c r="G27" s="100">
        <v>41122</v>
      </c>
      <c r="H27" s="100">
        <v>41120</v>
      </c>
      <c r="I27" s="100">
        <v>41136</v>
      </c>
      <c r="J27" s="101">
        <f>+J26</f>
      </c>
      <c r="K27" s="63">
        <v>0</v>
      </c>
      <c r="L27" s="63">
        <v>0</v>
      </c>
      <c r="M27" s="101">
        <f t="shared" si="1"/>
      </c>
      <c r="N27" s="101">
        <v>0.110256</v>
      </c>
      <c r="O27" s="63">
        <v>0</v>
      </c>
      <c r="P27" s="55"/>
      <c r="Q27" s="101">
        <v>0.110256</v>
      </c>
      <c r="R27" s="63">
        <v>0</v>
      </c>
      <c r="S27" s="55"/>
      <c r="T27" s="55"/>
      <c r="U27" s="63">
        <v>0</v>
      </c>
      <c r="V27" s="63">
        <v>0</v>
      </c>
      <c r="W27" s="63">
        <v>0</v>
      </c>
      <c r="X27" s="55"/>
      <c r="Y27" s="63">
        <v>0</v>
      </c>
      <c r="Z27" s="89">
        <v>0.035869</v>
      </c>
      <c r="AA27" s="55"/>
      <c r="AB27" s="63">
        <v>0</v>
      </c>
      <c r="AC27" s="63">
        <v>0</v>
      </c>
      <c r="AD27" s="55"/>
      <c r="AE27" s="55"/>
      <c r="AF27" s="66"/>
      <c r="AG27" s="37"/>
    </row>
    <row r="28">
      <c r="A28" s="98" t="s">
        <v>85</v>
      </c>
      <c r="B28" s="99">
        <v>756109104</v>
      </c>
      <c r="C28" s="98" t="s">
        <v>86</v>
      </c>
      <c r="D28" s="61"/>
      <c r="E28" s="61"/>
      <c r="F28" s="61"/>
      <c r="G28" s="100">
        <v>41156</v>
      </c>
      <c r="H28" s="100">
        <v>41151</v>
      </c>
      <c r="I28" s="100">
        <v>41169</v>
      </c>
      <c r="J28" s="101">
        <v>0.151125</v>
      </c>
      <c r="K28" s="63">
        <v>0</v>
      </c>
      <c r="L28" s="63">
        <v>0</v>
      </c>
      <c r="M28" s="101">
        <f t="shared" si="1"/>
      </c>
      <c r="N28" s="101">
        <v>0.1140287</v>
      </c>
      <c r="O28" s="63">
        <v>0</v>
      </c>
      <c r="P28" s="68"/>
      <c r="Q28" s="101">
        <v>0.1140287</v>
      </c>
      <c r="R28" s="63">
        <v>0</v>
      </c>
      <c r="S28" s="68"/>
      <c r="T28" s="68"/>
      <c r="U28" s="53">
        <v>0</v>
      </c>
      <c r="V28" s="53">
        <v>0</v>
      </c>
      <c r="W28" s="53">
        <v>0</v>
      </c>
      <c r="X28" s="68"/>
      <c r="Y28" s="53">
        <v>0</v>
      </c>
      <c r="Z28" s="89">
        <v>0.0370963</v>
      </c>
      <c r="AA28" s="68"/>
      <c r="AB28" s="53">
        <v>0</v>
      </c>
      <c r="AC28" s="53">
        <v>0</v>
      </c>
      <c r="AD28" s="68"/>
      <c r="AE28" s="68"/>
      <c r="AF28" s="70"/>
      <c r="AG28" s="37"/>
    </row>
    <row r="29">
      <c r="A29" s="98" t="s">
        <v>85</v>
      </c>
      <c r="B29" s="99">
        <v>756109104</v>
      </c>
      <c r="C29" s="98" t="s">
        <v>86</v>
      </c>
      <c r="D29" s="61"/>
      <c r="E29" s="61"/>
      <c r="F29" s="61"/>
      <c r="G29" s="100">
        <v>41183</v>
      </c>
      <c r="H29" s="100">
        <v>41179</v>
      </c>
      <c r="I29" s="100">
        <v>41197</v>
      </c>
      <c r="J29" s="101">
        <v>0.1514375</v>
      </c>
      <c r="K29" s="63">
        <v>0</v>
      </c>
      <c r="L29" s="63">
        <v>0</v>
      </c>
      <c r="M29" s="101">
        <f t="shared" si="1"/>
      </c>
      <c r="N29" s="101">
        <v>0.1142646</v>
      </c>
      <c r="O29" s="63">
        <v>0</v>
      </c>
      <c r="P29" s="68"/>
      <c r="Q29" s="101">
        <v>0.1142646</v>
      </c>
      <c r="R29" s="63">
        <v>0</v>
      </c>
      <c r="S29" s="68"/>
      <c r="T29" s="68"/>
      <c r="U29" s="53">
        <v>0</v>
      </c>
      <c r="V29" s="53">
        <v>0</v>
      </c>
      <c r="W29" s="53">
        <v>0</v>
      </c>
      <c r="X29" s="68"/>
      <c r="Y29" s="53">
        <v>0</v>
      </c>
      <c r="Z29" s="89">
        <v>0.0371729</v>
      </c>
      <c r="AA29" s="68"/>
      <c r="AB29" s="53">
        <v>0</v>
      </c>
      <c r="AC29" s="53">
        <v>0</v>
      </c>
      <c r="AD29" s="68"/>
      <c r="AE29" s="68"/>
      <c r="AF29" s="70"/>
      <c r="AG29" s="37"/>
    </row>
    <row r="30">
      <c r="A30" s="98" t="s">
        <v>85</v>
      </c>
      <c r="B30" s="99">
        <v>756109104</v>
      </c>
      <c r="C30" s="98" t="s">
        <v>86</v>
      </c>
      <c r="D30" s="61"/>
      <c r="E30" s="61"/>
      <c r="F30" s="61"/>
      <c r="G30" s="100">
        <v>41214</v>
      </c>
      <c r="H30" s="100">
        <v>41212</v>
      </c>
      <c r="I30" s="100">
        <v>41228</v>
      </c>
      <c r="J30" s="101">
        <f>+J29</f>
      </c>
      <c r="K30" s="63">
        <v>0</v>
      </c>
      <c r="L30" s="63">
        <v>0</v>
      </c>
      <c r="M30" s="101">
        <f t="shared" si="1"/>
      </c>
      <c r="N30" s="101">
        <v>0.1142645</v>
      </c>
      <c r="O30" s="63">
        <v>0</v>
      </c>
      <c r="P30" s="68"/>
      <c r="Q30" s="101">
        <v>0.1142645</v>
      </c>
      <c r="R30" s="63">
        <v>0</v>
      </c>
      <c r="S30" s="68"/>
      <c r="T30" s="68"/>
      <c r="U30" s="53">
        <v>0</v>
      </c>
      <c r="V30" s="53">
        <v>0</v>
      </c>
      <c r="W30" s="53">
        <v>0</v>
      </c>
      <c r="X30" s="68"/>
      <c r="Y30" s="53">
        <v>0</v>
      </c>
      <c r="Z30" s="89">
        <v>0.037173</v>
      </c>
      <c r="AA30" s="68"/>
      <c r="AB30" s="53">
        <v>0</v>
      </c>
      <c r="AC30" s="53">
        <v>0</v>
      </c>
      <c r="AD30" s="68"/>
      <c r="AE30" s="68"/>
      <c r="AF30" s="70"/>
      <c r="AG30" s="37"/>
    </row>
    <row r="31">
      <c r="A31" s="98" t="s">
        <v>85</v>
      </c>
      <c r="B31" s="99">
        <v>756109104</v>
      </c>
      <c r="C31" s="98" t="s">
        <v>86</v>
      </c>
      <c r="D31" s="73"/>
      <c r="E31" s="73"/>
      <c r="F31" s="73"/>
      <c r="G31" s="100">
        <v>41246</v>
      </c>
      <c r="H31" s="100">
        <v>41242</v>
      </c>
      <c r="I31" s="100">
        <v>41260</v>
      </c>
      <c r="J31" s="101">
        <f>+J30</f>
      </c>
      <c r="K31" s="63">
        <v>0</v>
      </c>
      <c r="L31" s="63">
        <v>0</v>
      </c>
      <c r="M31" s="101">
        <f t="shared" si="1"/>
      </c>
      <c r="N31" s="101">
        <v>0.1142645</v>
      </c>
      <c r="O31" s="63">
        <v>0</v>
      </c>
      <c r="P31" s="68"/>
      <c r="Q31" s="101">
        <v>0.1142645</v>
      </c>
      <c r="R31" s="63">
        <v>0</v>
      </c>
      <c r="S31" s="68"/>
      <c r="T31" s="68"/>
      <c r="U31" s="53">
        <v>0</v>
      </c>
      <c r="V31" s="53">
        <v>0</v>
      </c>
      <c r="W31" s="53">
        <v>0</v>
      </c>
      <c r="X31" s="68"/>
      <c r="Y31" s="53">
        <v>0</v>
      </c>
      <c r="Z31" s="89">
        <v>0.037173</v>
      </c>
      <c r="AA31" s="68"/>
      <c r="AB31" s="53">
        <v>0</v>
      </c>
      <c r="AC31" s="53">
        <v>0</v>
      </c>
      <c r="AD31" s="68"/>
      <c r="AE31" s="68"/>
      <c r="AF31" s="70"/>
      <c r="AG31" s="37"/>
    </row>
    <row r="32">
      <c r="A32" s="83">
        <f>IF(COUNTA(M20:M31)=0,"",IF(COUNTA(F20:F31)=0,IF(COUNTA(D20:D31)=0,"Totals - Final","Totals - Estimated"),"Totals - Corrected"))</f>
      </c>
      <c r="B32" s="86">
        <f>IF(ISNA(INDEX(B20:B31,MAX(MATCH(REPT("z",255),B20:B31)))),"",INDEX(B20:B31,MAX(MATCH(REPT("z",255),B20:B31))))</f>
      </c>
      <c r="C32" s="86">
        <f>IF(ISNA(INDEX(C20:C31,MAX(MATCH(REPT("z",255),C20:C31)))),"",INDEX(C20:C31,MAX(MATCH(REPT("z",255),C20:C31))))</f>
      </c>
      <c r="D32" s="86">
        <f>IF(ISNA(INDEX(A20:A31,MAX(MATCH(REPT("z",255),A20:A31)))),"",INDEX(A20:A31,MAX(MATCH(REPT("z",255),A20:A31))))</f>
      </c>
      <c r="E32" s="84"/>
      <c r="F32" s="84"/>
      <c r="G32" s="85"/>
      <c r="H32" s="85"/>
      <c r="I32" s="85"/>
      <c r="J32" s="75">
        <f>SUM(IF(NOT(ISBLANK($B19:$B31)),J19:J31,""))</f>
      </c>
      <c r="K32" s="75">
        <f ref="K32:K32" t="array">SUM(IF(NOT(ISBLANK($B19:$B31)),K19:K31,""))</f>
      </c>
      <c r="L32" s="75">
        <f ref="L32:L32" t="array">SUM(IF(NOT(ISBLANK($B19:$B31)),L19:L31,""))</f>
      </c>
      <c r="M32" s="75">
        <f ref="M32:M32" t="array">SUM(IF(NOT(ISBLANK($B19:$B31)),M19:M31,""))</f>
      </c>
      <c r="N32" s="75">
        <f ref="N32:N32" t="array">SUM(IF(NOT(ISBLANK($B19:$B31)),N19:N31,""))</f>
      </c>
      <c r="O32" s="75">
        <f ref="O32:O32" t="array">SUM(IF(NOT(ISBLANK($B19:$B31)),O19:O31,""))</f>
      </c>
      <c r="P32" s="76"/>
      <c r="Q32" s="75">
        <f ref="Q32:Q32" t="array">SUM(IF(NOT(ISBLANK($B19:$B31)),Q19:Q31,""))</f>
      </c>
      <c r="R32" s="75">
        <f ref="R32:R32" t="array">SUM(IF(NOT(ISBLANK($B19:$B31)),R19:R31,""))</f>
      </c>
      <c r="S32" s="76"/>
      <c r="T32" s="76"/>
      <c r="U32" s="75">
        <f ref="U32:U32" t="array">SUM(IF(NOT(ISBLANK($B19:$B31)),U19:U31,""))</f>
      </c>
      <c r="V32" s="75">
        <f ref="V32:V32" t="array">SUM(IF(NOT(ISBLANK($B19:$B31)),V19:V31,""))</f>
      </c>
      <c r="W32" s="75">
        <f ref="W32:W32" t="array">SUM(IF(NOT(ISBLANK($B19:$B31)),W19:W31,""))</f>
      </c>
      <c r="X32" s="76"/>
      <c r="Y32" s="75">
        <f ref="Y32:Y32" t="array">SUM(IF(NOT(ISBLANK($B19:$B31)),Y19:Y31,""))</f>
      </c>
      <c r="Z32" s="75">
        <f ref="Z32:Z32" t="array">SUM(IF(NOT(ISBLANK($B19:$B31)),Z19:Z31,""))</f>
      </c>
      <c r="AA32" s="76"/>
      <c r="AB32" s="75">
        <f ref="AB32:AB32" t="array">SUM(IF(NOT(ISBLANK($B19:$B31)),AB19:AB31,""))</f>
      </c>
      <c r="AC32" s="75">
        <f ref="AC32:AC32" t="array">SUM(IF(NOT(ISBLANK($B19:$B31)),AC19:AC31,""))</f>
      </c>
      <c r="AD32" s="76"/>
      <c r="AE32" s="76"/>
      <c r="AF32" s="77"/>
      <c r="AG32" s="78">
        <v>1</v>
      </c>
    </row>
    <row r="33" ht="0" hidden="1">
      <c r="A33" s="49"/>
      <c r="B33" s="50"/>
      <c r="C33" s="50"/>
      <c r="D33" s="79"/>
      <c r="E33" s="79"/>
      <c r="F33" s="79"/>
      <c r="G33" s="80"/>
      <c r="H33" s="80"/>
      <c r="I33" s="80"/>
      <c r="J33" s="52"/>
      <c r="K33" s="53"/>
      <c r="L33" s="53"/>
      <c r="M33" s="53"/>
      <c r="N33" s="52"/>
      <c r="O33" s="54"/>
      <c r="P33" s="81"/>
      <c r="Q33" s="56"/>
      <c r="R33" s="52"/>
      <c r="S33" s="81"/>
      <c r="T33" s="81"/>
      <c r="U33" s="52"/>
      <c r="V33" s="52"/>
      <c r="W33" s="52"/>
      <c r="X33" s="81"/>
      <c r="Y33" s="52"/>
      <c r="Z33" s="52"/>
      <c r="AA33" s="81"/>
      <c r="AB33" s="52"/>
      <c r="AC33" s="52"/>
      <c r="AD33" s="81"/>
      <c r="AE33" s="81"/>
      <c r="AF33" s="82"/>
      <c r="AG33" s="37"/>
    </row>
    <row r="34">
      <c r="A34" s="98" t="s">
        <v>87</v>
      </c>
      <c r="B34" s="99">
        <v>756109609</v>
      </c>
      <c r="C34" s="98" t="s">
        <v>88</v>
      </c>
      <c r="D34" s="61"/>
      <c r="E34" s="61"/>
      <c r="F34" s="61"/>
      <c r="G34" s="100">
        <v>40909</v>
      </c>
      <c r="H34" s="100">
        <v>40906</v>
      </c>
      <c r="I34" s="100">
        <v>40925</v>
      </c>
      <c r="J34" s="101">
        <v>0.1536459</v>
      </c>
      <c r="K34" s="63">
        <v>0</v>
      </c>
      <c r="L34" s="63">
        <v>0</v>
      </c>
      <c r="M34" s="101">
        <v>0.1536459</v>
      </c>
      <c r="N34" s="101">
        <v>0.1536459</v>
      </c>
      <c r="O34" s="63">
        <v>0</v>
      </c>
      <c r="P34" s="55"/>
      <c r="Q34" s="101">
        <v>0.1536459</v>
      </c>
      <c r="R34" s="63">
        <v>0</v>
      </c>
      <c r="S34" s="55"/>
      <c r="T34" s="55"/>
      <c r="U34" s="63">
        <v>0</v>
      </c>
      <c r="V34" s="63">
        <v>0</v>
      </c>
      <c r="W34" s="63">
        <v>0</v>
      </c>
      <c r="X34" s="55"/>
      <c r="Y34" s="63">
        <v>0</v>
      </c>
      <c r="Z34" s="63">
        <v>0</v>
      </c>
      <c r="AA34" s="90">
        <v>0</v>
      </c>
      <c r="AB34" s="53">
        <v>0</v>
      </c>
      <c r="AC34" s="53">
        <v>0</v>
      </c>
      <c r="AD34" s="55"/>
      <c r="AE34" s="55"/>
      <c r="AF34" s="66"/>
      <c r="AG34" s="37"/>
    </row>
    <row r="35">
      <c r="A35" s="98" t="s">
        <v>87</v>
      </c>
      <c r="B35" s="99">
        <v>756109609</v>
      </c>
      <c r="C35" s="98" t="s">
        <v>88</v>
      </c>
      <c r="D35" s="61"/>
      <c r="E35" s="61"/>
      <c r="F35" s="61"/>
      <c r="G35" s="100">
        <v>40940</v>
      </c>
      <c r="H35" s="100">
        <v>40938</v>
      </c>
      <c r="I35" s="100">
        <v>40954</v>
      </c>
      <c r="J35" s="101">
        <v>0.1536459</v>
      </c>
      <c r="K35" s="63">
        <v>0</v>
      </c>
      <c r="L35" s="63">
        <v>0</v>
      </c>
      <c r="M35" s="101">
        <v>0.1536459</v>
      </c>
      <c r="N35" s="101">
        <v>0.1536459</v>
      </c>
      <c r="O35" s="63">
        <v>0</v>
      </c>
      <c r="P35" s="55"/>
      <c r="Q35" s="101">
        <v>0.1536459</v>
      </c>
      <c r="R35" s="63">
        <v>0</v>
      </c>
      <c r="S35" s="55"/>
      <c r="T35" s="55"/>
      <c r="U35" s="63">
        <v>0</v>
      </c>
      <c r="V35" s="63">
        <v>0</v>
      </c>
      <c r="W35" s="63">
        <v>0</v>
      </c>
      <c r="X35" s="55"/>
      <c r="Y35" s="53">
        <v>0</v>
      </c>
      <c r="Z35" s="53">
        <v>0</v>
      </c>
      <c r="AA35" s="55"/>
      <c r="AB35" s="53">
        <v>0</v>
      </c>
      <c r="AC35" s="53">
        <v>0</v>
      </c>
      <c r="AD35" s="55"/>
      <c r="AE35" s="55"/>
      <c r="AF35" s="66"/>
      <c r="AG35" s="37"/>
    </row>
    <row r="36">
      <c r="A36" s="98" t="s">
        <v>87</v>
      </c>
      <c r="B36" s="99">
        <v>756109609</v>
      </c>
      <c r="C36" s="98" t="s">
        <v>88</v>
      </c>
      <c r="D36" s="61"/>
      <c r="E36" s="61"/>
      <c r="F36" s="61"/>
      <c r="G36" s="100">
        <v>40969</v>
      </c>
      <c r="H36" s="100"/>
      <c r="I36" s="100">
        <v>40969</v>
      </c>
      <c r="J36" s="101">
        <v>0.0768229</v>
      </c>
      <c r="K36" s="63">
        <v>0</v>
      </c>
      <c r="L36" s="63">
        <v>0</v>
      </c>
      <c r="M36" s="101">
        <v>0.0768229</v>
      </c>
      <c r="N36" s="101">
        <v>0.0768229</v>
      </c>
      <c r="O36" s="63">
        <v>0</v>
      </c>
      <c r="P36" s="68"/>
      <c r="Q36" s="101">
        <v>0.0768229</v>
      </c>
      <c r="R36" s="63">
        <v>0</v>
      </c>
      <c r="S36" s="68"/>
      <c r="T36" s="68"/>
      <c r="U36" s="63">
        <v>0</v>
      </c>
      <c r="V36" s="63">
        <v>0</v>
      </c>
      <c r="W36" s="63">
        <v>0</v>
      </c>
      <c r="X36" s="68"/>
      <c r="Y36" s="53">
        <v>0</v>
      </c>
      <c r="Z36" s="53">
        <v>0</v>
      </c>
      <c r="AA36" s="68"/>
      <c r="AB36" s="53">
        <v>0</v>
      </c>
      <c r="AC36" s="53">
        <v>0</v>
      </c>
      <c r="AD36" s="68"/>
      <c r="AE36" s="68"/>
      <c r="AF36" s="70"/>
      <c r="AG36" s="37"/>
    </row>
    <row r="37">
      <c r="A37" s="71"/>
      <c r="B37" s="72"/>
      <c r="C37" s="72"/>
      <c r="D37" s="73"/>
      <c r="E37" s="73"/>
      <c r="F37" s="73"/>
      <c r="G37" s="74"/>
      <c r="H37" s="74"/>
      <c r="I37" s="74"/>
      <c r="J37" s="53"/>
      <c r="K37" s="53"/>
      <c r="L37" s="53"/>
      <c r="M37" s="53"/>
      <c r="N37" s="53"/>
      <c r="O37" s="67"/>
      <c r="P37" s="68"/>
      <c r="Q37" s="69"/>
      <c r="R37" s="53"/>
      <c r="S37" s="68"/>
      <c r="T37" s="68"/>
      <c r="U37" s="53"/>
      <c r="V37" s="53"/>
      <c r="W37" s="53"/>
      <c r="X37" s="68"/>
      <c r="Y37" s="53"/>
      <c r="Z37" s="53"/>
      <c r="AA37" s="68"/>
      <c r="AB37" s="53"/>
      <c r="AC37" s="53"/>
      <c r="AD37" s="68"/>
      <c r="AE37" s="68"/>
      <c r="AF37" s="70"/>
      <c r="AG37" s="37"/>
    </row>
    <row r="38">
      <c r="A38" s="83">
        <f>IF(COUNTA(M34:M37)=0,"",IF(COUNTA(F34:F37)=0,IF(COUNTA(D34:D37)=0,"Totals - Final","Totals - Estimated"),"Totals - Corrected"))</f>
      </c>
      <c r="B38" s="86">
        <f>IF(ISNA(INDEX(B34:B37,MAX(MATCH(REPT("z",255),B34:B37)))),"",INDEX(B34:B37,MAX(MATCH(REPT("z",255),B34:B37))))</f>
      </c>
      <c r="C38" s="86">
        <f>IF(ISNA(INDEX(C34:C37,MAX(MATCH(REPT("z",255),C34:C37)))),"",INDEX(C34:C37,MAX(MATCH(REPT("z",255),C34:C37))))</f>
      </c>
      <c r="D38" s="86">
        <f>IF(ISNA(INDEX(A34:A37,MAX(MATCH(REPT("z",255),A34:A37)))),"",INDEX(A34:A37,MAX(MATCH(REPT("z",255),A34:A37))))</f>
      </c>
      <c r="E38" s="84"/>
      <c r="F38" s="84"/>
      <c r="G38" s="85"/>
      <c r="H38" s="85"/>
      <c r="I38" s="85"/>
      <c r="J38" s="75">
        <f ref="J38:J38" t="array">SUM(IF(NOT(ISBLANK($B33:$B37)),J33:J37,""))</f>
      </c>
      <c r="K38" s="75">
        <f ref="K38:K38" t="array">SUM(IF(NOT(ISBLANK($B33:$B37)),K33:K37,""))</f>
      </c>
      <c r="L38" s="75">
        <f ref="L38:L38" t="array">SUM(IF(NOT(ISBLANK($B33:$B37)),L33:L37,""))</f>
      </c>
      <c r="M38" s="75">
        <f ref="M38:M38" t="array">SUM(IF(NOT(ISBLANK($B33:$B37)),M33:M37,""))</f>
      </c>
      <c r="N38" s="75">
        <f ref="N38:N38" t="array">SUM(IF(NOT(ISBLANK($B33:$B37)),N33:N37,""))</f>
      </c>
      <c r="O38" s="75">
        <f ref="O38:O38" t="array">SUM(IF(NOT(ISBLANK($B33:$B37)),O33:O37,""))</f>
      </c>
      <c r="P38" s="76"/>
      <c r="Q38" s="75">
        <f ref="Q38:Q38" t="array">SUM(IF(NOT(ISBLANK($B33:$B37)),Q33:Q37,""))</f>
      </c>
      <c r="R38" s="75">
        <f ref="R38:R38" t="array">SUM(IF(NOT(ISBLANK($B33:$B37)),R33:R37,""))</f>
      </c>
      <c r="S38" s="76"/>
      <c r="T38" s="76"/>
      <c r="U38" s="75">
        <f ref="U38:U38" t="array">SUM(IF(NOT(ISBLANK($B33:$B37)),U33:U37,""))</f>
      </c>
      <c r="V38" s="75">
        <f ref="V38:V38" t="array">SUM(IF(NOT(ISBLANK($B33:$B37)),V33:V37,""))</f>
      </c>
      <c r="W38" s="75">
        <f ref="W38:W38" t="array">SUM(IF(NOT(ISBLANK($B33:$B37)),W33:W37,""))</f>
      </c>
      <c r="X38" s="76"/>
      <c r="Y38" s="75">
        <f ref="Y38:Y38" t="array">SUM(IF(NOT(ISBLANK($B33:$B37)),Y33:Y37,""))</f>
      </c>
      <c r="Z38" s="75">
        <f ref="Z38:Z38" t="array">SUM(IF(NOT(ISBLANK($B33:$B37)),Z33:Z37,""))</f>
      </c>
      <c r="AA38" s="76"/>
      <c r="AB38" s="75">
        <f ref="AB38:AB38" t="array">SUM(IF(NOT(ISBLANK($B33:$B37)),AB33:AB37,""))</f>
      </c>
      <c r="AC38" s="75">
        <f ref="AC38:AC38" t="array">SUM(IF(NOT(ISBLANK($B33:$B37)),AC33:AC37,""))</f>
      </c>
      <c r="AD38" s="76"/>
      <c r="AE38" s="76"/>
      <c r="AF38" s="77"/>
      <c r="AG38" s="78">
        <v>1</v>
      </c>
    </row>
    <row r="39" ht="0" hidden="1">
      <c r="A39" s="49"/>
      <c r="B39" s="50"/>
      <c r="C39" s="50"/>
      <c r="D39" s="79"/>
      <c r="E39" s="79"/>
      <c r="F39" s="79"/>
      <c r="G39" s="80"/>
      <c r="H39" s="80"/>
      <c r="I39" s="80"/>
      <c r="J39" s="52"/>
      <c r="K39" s="53"/>
      <c r="L39" s="53"/>
      <c r="M39" s="53"/>
      <c r="N39" s="52"/>
      <c r="O39" s="54"/>
      <c r="P39" s="81"/>
      <c r="Q39" s="56"/>
      <c r="R39" s="52"/>
      <c r="S39" s="81"/>
      <c r="T39" s="81"/>
      <c r="U39" s="52"/>
      <c r="V39" s="52"/>
      <c r="W39" s="52"/>
      <c r="X39" s="81"/>
      <c r="Y39" s="52"/>
      <c r="Z39" s="52"/>
      <c r="AA39" s="81"/>
      <c r="AB39" s="52"/>
      <c r="AC39" s="52"/>
      <c r="AD39" s="81"/>
      <c r="AE39" s="81"/>
      <c r="AF39" s="82"/>
      <c r="AG39" s="37"/>
    </row>
    <row r="40">
      <c r="A40" s="98" t="s">
        <v>89</v>
      </c>
      <c r="B40" s="99">
        <v>756109708</v>
      </c>
      <c r="C40" s="98" t="s">
        <v>90</v>
      </c>
      <c r="D40" s="61"/>
      <c r="E40" s="61"/>
      <c r="F40" s="61"/>
      <c r="G40" s="100">
        <v>40909</v>
      </c>
      <c r="H40" s="100">
        <v>40906</v>
      </c>
      <c r="I40" s="100">
        <v>40925</v>
      </c>
      <c r="J40" s="101">
        <v>0.140625</v>
      </c>
      <c r="K40" s="63">
        <v>0</v>
      </c>
      <c r="L40" s="63">
        <v>0</v>
      </c>
      <c r="M40" s="101">
        <v>0.140625</v>
      </c>
      <c r="N40" s="101">
        <v>0.140625</v>
      </c>
      <c r="O40" s="63">
        <v>0</v>
      </c>
      <c r="P40" s="55"/>
      <c r="Q40" s="101">
        <v>0.140625</v>
      </c>
      <c r="R40" s="63">
        <v>0</v>
      </c>
      <c r="S40" s="55"/>
      <c r="T40" s="55"/>
      <c r="U40" s="63">
        <v>0</v>
      </c>
      <c r="V40" s="63">
        <v>0</v>
      </c>
      <c r="W40" s="63">
        <v>0</v>
      </c>
      <c r="X40" s="55"/>
      <c r="Y40" s="53">
        <v>0</v>
      </c>
      <c r="Z40" s="53">
        <v>0</v>
      </c>
      <c r="AA40" s="55"/>
      <c r="AB40" s="53">
        <v>0</v>
      </c>
      <c r="AC40" s="53">
        <v>0</v>
      </c>
      <c r="AD40" s="55"/>
      <c r="AE40" s="55"/>
      <c r="AF40" s="66"/>
      <c r="AG40" s="37"/>
    </row>
    <row r="41">
      <c r="A41" s="98" t="s">
        <v>89</v>
      </c>
      <c r="B41" s="99">
        <v>756109708</v>
      </c>
      <c r="C41" s="98" t="s">
        <v>90</v>
      </c>
      <c r="D41" s="61"/>
      <c r="E41" s="61"/>
      <c r="F41" s="61"/>
      <c r="G41" s="100">
        <v>40940</v>
      </c>
      <c r="H41" s="100">
        <v>40938</v>
      </c>
      <c r="I41" s="100">
        <v>40954</v>
      </c>
      <c r="J41" s="101">
        <v>0.140625</v>
      </c>
      <c r="K41" s="63">
        <v>0</v>
      </c>
      <c r="L41" s="63">
        <v>0</v>
      </c>
      <c r="M41" s="101">
        <v>0.140625</v>
      </c>
      <c r="N41" s="101">
        <v>0.140625</v>
      </c>
      <c r="O41" s="63">
        <v>0</v>
      </c>
      <c r="P41" s="55"/>
      <c r="Q41" s="101">
        <v>0.140625</v>
      </c>
      <c r="R41" s="63">
        <v>0</v>
      </c>
      <c r="S41" s="55"/>
      <c r="T41" s="55"/>
      <c r="U41" s="63">
        <v>0</v>
      </c>
      <c r="V41" s="63">
        <v>0</v>
      </c>
      <c r="W41" s="63">
        <v>0</v>
      </c>
      <c r="X41" s="55"/>
      <c r="Y41" s="53">
        <v>0</v>
      </c>
      <c r="Z41" s="53">
        <v>0</v>
      </c>
      <c r="AA41" s="55"/>
      <c r="AB41" s="53">
        <v>0</v>
      </c>
      <c r="AC41" s="53">
        <v>0</v>
      </c>
      <c r="AD41" s="55"/>
      <c r="AE41" s="55"/>
      <c r="AF41" s="66"/>
      <c r="AG41" s="37"/>
    </row>
    <row r="42">
      <c r="A42" s="98" t="s">
        <v>89</v>
      </c>
      <c r="B42" s="99">
        <v>756109708</v>
      </c>
      <c r="C42" s="98" t="s">
        <v>90</v>
      </c>
      <c r="D42" s="61"/>
      <c r="E42" s="61"/>
      <c r="F42" s="61"/>
      <c r="G42" s="100">
        <v>40969</v>
      </c>
      <c r="H42" s="100">
        <v>40967</v>
      </c>
      <c r="I42" s="100">
        <v>40983</v>
      </c>
      <c r="J42" s="101">
        <v>0.140625</v>
      </c>
      <c r="K42" s="63">
        <v>0</v>
      </c>
      <c r="L42" s="63">
        <v>0</v>
      </c>
      <c r="M42" s="101">
        <v>0.140625</v>
      </c>
      <c r="N42" s="101">
        <v>0.140625</v>
      </c>
      <c r="O42" s="63">
        <v>0</v>
      </c>
      <c r="P42" s="55"/>
      <c r="Q42" s="101">
        <v>0.140625</v>
      </c>
      <c r="R42" s="63">
        <v>0</v>
      </c>
      <c r="S42" s="55"/>
      <c r="T42" s="55"/>
      <c r="U42" s="63">
        <v>0</v>
      </c>
      <c r="V42" s="63">
        <v>0</v>
      </c>
      <c r="W42" s="63">
        <v>0</v>
      </c>
      <c r="X42" s="55"/>
      <c r="Y42" s="53">
        <v>0</v>
      </c>
      <c r="Z42" s="53">
        <v>0</v>
      </c>
      <c r="AA42" s="55"/>
      <c r="AB42" s="53">
        <v>0</v>
      </c>
      <c r="AC42" s="53">
        <v>0</v>
      </c>
      <c r="AD42" s="55"/>
      <c r="AE42" s="55"/>
      <c r="AF42" s="66"/>
      <c r="AG42" s="37"/>
    </row>
    <row r="43">
      <c r="A43" s="98" t="s">
        <v>89</v>
      </c>
      <c r="B43" s="99">
        <v>756109708</v>
      </c>
      <c r="C43" s="98" t="s">
        <v>90</v>
      </c>
      <c r="D43" s="61"/>
      <c r="E43" s="61"/>
      <c r="F43" s="61"/>
      <c r="G43" s="100">
        <v>41000</v>
      </c>
      <c r="H43" s="100">
        <v>40997</v>
      </c>
      <c r="I43" s="100">
        <v>41015</v>
      </c>
      <c r="J43" s="101">
        <v>0.140625</v>
      </c>
      <c r="K43" s="63">
        <v>0</v>
      </c>
      <c r="L43" s="63">
        <v>0</v>
      </c>
      <c r="M43" s="101">
        <v>0.140625</v>
      </c>
      <c r="N43" s="101">
        <v>0.140625</v>
      </c>
      <c r="O43" s="63">
        <v>0</v>
      </c>
      <c r="P43" s="55"/>
      <c r="Q43" s="101">
        <v>0.140625</v>
      </c>
      <c r="R43" s="63">
        <v>0</v>
      </c>
      <c r="S43" s="55"/>
      <c r="T43" s="55"/>
      <c r="U43" s="63">
        <v>0</v>
      </c>
      <c r="V43" s="63">
        <v>0</v>
      </c>
      <c r="W43" s="63">
        <v>0</v>
      </c>
      <c r="X43" s="55"/>
      <c r="Y43" s="53">
        <v>0</v>
      </c>
      <c r="Z43" s="53">
        <v>0</v>
      </c>
      <c r="AA43" s="55"/>
      <c r="AB43" s="53">
        <v>0</v>
      </c>
      <c r="AC43" s="53">
        <v>0</v>
      </c>
      <c r="AD43" s="55"/>
      <c r="AE43" s="55"/>
      <c r="AF43" s="66"/>
      <c r="AG43" s="37"/>
    </row>
    <row r="44">
      <c r="A44" s="98" t="s">
        <v>89</v>
      </c>
      <c r="B44" s="99">
        <v>756109708</v>
      </c>
      <c r="C44" s="98" t="s">
        <v>90</v>
      </c>
      <c r="D44" s="61"/>
      <c r="E44" s="61"/>
      <c r="F44" s="61"/>
      <c r="G44" s="100">
        <v>41030</v>
      </c>
      <c r="H44" s="100">
        <v>41028</v>
      </c>
      <c r="I44" s="100">
        <v>41044</v>
      </c>
      <c r="J44" s="101">
        <v>0.140625</v>
      </c>
      <c r="K44" s="63">
        <v>0</v>
      </c>
      <c r="L44" s="63">
        <v>0</v>
      </c>
      <c r="M44" s="101">
        <v>0.140625</v>
      </c>
      <c r="N44" s="101">
        <v>0.140625</v>
      </c>
      <c r="O44" s="63">
        <v>0</v>
      </c>
      <c r="P44" s="55"/>
      <c r="Q44" s="101">
        <v>0.140625</v>
      </c>
      <c r="R44" s="63">
        <v>0</v>
      </c>
      <c r="S44" s="55"/>
      <c r="T44" s="55"/>
      <c r="U44" s="63">
        <v>0</v>
      </c>
      <c r="V44" s="63">
        <v>0</v>
      </c>
      <c r="W44" s="63">
        <v>0</v>
      </c>
      <c r="X44" s="55"/>
      <c r="Y44" s="53">
        <v>0</v>
      </c>
      <c r="Z44" s="53">
        <v>0</v>
      </c>
      <c r="AA44" s="55"/>
      <c r="AB44" s="53">
        <v>0</v>
      </c>
      <c r="AC44" s="53">
        <v>0</v>
      </c>
      <c r="AD44" s="55"/>
      <c r="AE44" s="55"/>
      <c r="AF44" s="66"/>
      <c r="AG44" s="37"/>
    </row>
    <row r="45">
      <c r="A45" s="98" t="s">
        <v>89</v>
      </c>
      <c r="B45" s="99">
        <v>756109708</v>
      </c>
      <c r="C45" s="98" t="s">
        <v>90</v>
      </c>
      <c r="D45" s="73"/>
      <c r="E45" s="73"/>
      <c r="F45" s="73"/>
      <c r="G45" s="100">
        <v>41061</v>
      </c>
      <c r="H45" s="100">
        <v>41059</v>
      </c>
      <c r="I45" s="100">
        <v>41075</v>
      </c>
      <c r="J45" s="101">
        <v>0.140625</v>
      </c>
      <c r="K45" s="63">
        <v>0</v>
      </c>
      <c r="L45" s="63">
        <v>0</v>
      </c>
      <c r="M45" s="101">
        <v>0.140625</v>
      </c>
      <c r="N45" s="101">
        <v>0.140625</v>
      </c>
      <c r="O45" s="63">
        <v>0</v>
      </c>
      <c r="P45" s="68"/>
      <c r="Q45" s="101">
        <v>0.140625</v>
      </c>
      <c r="R45" s="63">
        <v>0</v>
      </c>
      <c r="S45" s="68"/>
      <c r="T45" s="68"/>
      <c r="U45" s="63">
        <v>0</v>
      </c>
      <c r="V45" s="63">
        <v>0</v>
      </c>
      <c r="W45" s="63">
        <v>0</v>
      </c>
      <c r="X45" s="68"/>
      <c r="Y45" s="53">
        <v>0</v>
      </c>
      <c r="Z45" s="53">
        <v>0</v>
      </c>
      <c r="AA45" s="68"/>
      <c r="AB45" s="53">
        <v>0</v>
      </c>
      <c r="AC45" s="53">
        <v>0</v>
      </c>
      <c r="AD45" s="68"/>
      <c r="AE45" s="68"/>
      <c r="AF45" s="70"/>
      <c r="AG45" s="37"/>
    </row>
    <row r="46">
      <c r="A46" s="98" t="s">
        <v>89</v>
      </c>
      <c r="B46" s="99">
        <v>756109708</v>
      </c>
      <c r="C46" s="98" t="s">
        <v>90</v>
      </c>
      <c r="D46" s="73"/>
      <c r="E46" s="73"/>
      <c r="F46" s="73"/>
      <c r="G46" s="100">
        <v>41091</v>
      </c>
      <c r="H46" s="100">
        <v>41088</v>
      </c>
      <c r="I46" s="100">
        <v>41106</v>
      </c>
      <c r="J46" s="101">
        <v>0.140625</v>
      </c>
      <c r="K46" s="63">
        <v>0</v>
      </c>
      <c r="L46" s="63">
        <v>0</v>
      </c>
      <c r="M46" s="101">
        <v>0.140625</v>
      </c>
      <c r="N46" s="101">
        <v>0.140625</v>
      </c>
      <c r="O46" s="63">
        <v>0</v>
      </c>
      <c r="P46" s="68"/>
      <c r="Q46" s="101">
        <v>0.140625</v>
      </c>
      <c r="R46" s="63">
        <v>0</v>
      </c>
      <c r="S46" s="68"/>
      <c r="T46" s="68"/>
      <c r="U46" s="63">
        <v>0</v>
      </c>
      <c r="V46" s="63">
        <v>0</v>
      </c>
      <c r="W46" s="63">
        <v>0</v>
      </c>
      <c r="X46" s="68"/>
      <c r="Y46" s="53">
        <v>0</v>
      </c>
      <c r="Z46" s="53">
        <v>0</v>
      </c>
      <c r="AA46" s="68"/>
      <c r="AB46" s="53">
        <v>0</v>
      </c>
      <c r="AC46" s="53">
        <v>0</v>
      </c>
      <c r="AD46" s="68"/>
      <c r="AE46" s="68"/>
      <c r="AF46" s="70"/>
      <c r="AG46" s="37"/>
    </row>
    <row r="47">
      <c r="A47" s="98" t="s">
        <v>89</v>
      </c>
      <c r="B47" s="99">
        <v>756109708</v>
      </c>
      <c r="C47" s="98" t="s">
        <v>90</v>
      </c>
      <c r="D47" s="73"/>
      <c r="E47" s="73"/>
      <c r="F47" s="73"/>
      <c r="G47" s="100">
        <v>41122</v>
      </c>
      <c r="H47" s="100">
        <v>41120</v>
      </c>
      <c r="I47" s="100">
        <v>41136</v>
      </c>
      <c r="J47" s="101">
        <v>0.140625</v>
      </c>
      <c r="K47" s="63">
        <v>0</v>
      </c>
      <c r="L47" s="63">
        <v>0</v>
      </c>
      <c r="M47" s="101">
        <v>0.140625</v>
      </c>
      <c r="N47" s="101">
        <v>0.140625</v>
      </c>
      <c r="O47" s="63">
        <v>0</v>
      </c>
      <c r="P47" s="68"/>
      <c r="Q47" s="101">
        <v>0.140625</v>
      </c>
      <c r="R47" s="63">
        <v>0</v>
      </c>
      <c r="S47" s="68"/>
      <c r="T47" s="68"/>
      <c r="U47" s="63">
        <v>0</v>
      </c>
      <c r="V47" s="63">
        <v>0</v>
      </c>
      <c r="W47" s="63">
        <v>0</v>
      </c>
      <c r="X47" s="68"/>
      <c r="Y47" s="53">
        <v>0</v>
      </c>
      <c r="Z47" s="53">
        <v>0</v>
      </c>
      <c r="AA47" s="68"/>
      <c r="AB47" s="53">
        <v>0</v>
      </c>
      <c r="AC47" s="53">
        <v>0</v>
      </c>
      <c r="AD47" s="68"/>
      <c r="AE47" s="68"/>
      <c r="AF47" s="70"/>
      <c r="AG47" s="37"/>
    </row>
    <row r="48">
      <c r="A48" s="98" t="s">
        <v>89</v>
      </c>
      <c r="B48" s="99">
        <v>756109708</v>
      </c>
      <c r="C48" s="98" t="s">
        <v>90</v>
      </c>
      <c r="D48" s="73"/>
      <c r="E48" s="73"/>
      <c r="F48" s="73"/>
      <c r="G48" s="100">
        <v>41153</v>
      </c>
      <c r="H48" s="100">
        <v>41151</v>
      </c>
      <c r="I48" s="100">
        <v>41169</v>
      </c>
      <c r="J48" s="101">
        <v>0.140625</v>
      </c>
      <c r="K48" s="63">
        <v>0</v>
      </c>
      <c r="L48" s="63">
        <v>0</v>
      </c>
      <c r="M48" s="101">
        <v>0.140625</v>
      </c>
      <c r="N48" s="101">
        <v>0.140625</v>
      </c>
      <c r="O48" s="63">
        <v>0</v>
      </c>
      <c r="P48" s="68"/>
      <c r="Q48" s="101">
        <v>0.140625</v>
      </c>
      <c r="R48" s="63">
        <v>0</v>
      </c>
      <c r="S48" s="68"/>
      <c r="T48" s="68"/>
      <c r="U48" s="63">
        <v>0</v>
      </c>
      <c r="V48" s="63">
        <v>0</v>
      </c>
      <c r="W48" s="63">
        <v>0</v>
      </c>
      <c r="X48" s="68"/>
      <c r="Y48" s="53">
        <v>0</v>
      </c>
      <c r="Z48" s="53">
        <v>0</v>
      </c>
      <c r="AA48" s="68"/>
      <c r="AB48" s="53">
        <v>0</v>
      </c>
      <c r="AC48" s="53">
        <v>0</v>
      </c>
      <c r="AD48" s="68"/>
      <c r="AE48" s="68"/>
      <c r="AF48" s="70"/>
      <c r="AG48" s="37"/>
    </row>
    <row r="49">
      <c r="A49" s="98" t="s">
        <v>89</v>
      </c>
      <c r="B49" s="99">
        <v>756109708</v>
      </c>
      <c r="C49" s="98" t="s">
        <v>90</v>
      </c>
      <c r="D49" s="73"/>
      <c r="E49" s="73"/>
      <c r="F49" s="73"/>
      <c r="G49" s="100">
        <v>41183</v>
      </c>
      <c r="H49" s="100">
        <v>41179</v>
      </c>
      <c r="I49" s="100">
        <v>41197</v>
      </c>
      <c r="J49" s="101">
        <v>0.140625</v>
      </c>
      <c r="K49" s="63">
        <v>0</v>
      </c>
      <c r="L49" s="63">
        <v>0</v>
      </c>
      <c r="M49" s="101">
        <v>0.140625</v>
      </c>
      <c r="N49" s="101">
        <v>0.140625</v>
      </c>
      <c r="O49" s="63">
        <v>0</v>
      </c>
      <c r="P49" s="68"/>
      <c r="Q49" s="101">
        <v>0.140625</v>
      </c>
      <c r="R49" s="63">
        <v>0</v>
      </c>
      <c r="S49" s="68"/>
      <c r="T49" s="68"/>
      <c r="U49" s="63">
        <v>0</v>
      </c>
      <c r="V49" s="63">
        <v>0</v>
      </c>
      <c r="W49" s="63">
        <v>0</v>
      </c>
      <c r="X49" s="68"/>
      <c r="Y49" s="53">
        <v>0</v>
      </c>
      <c r="Z49" s="53">
        <v>0</v>
      </c>
      <c r="AA49" s="68"/>
      <c r="AB49" s="53">
        <v>0</v>
      </c>
      <c r="AC49" s="53">
        <v>0</v>
      </c>
      <c r="AD49" s="68"/>
      <c r="AE49" s="68"/>
      <c r="AF49" s="70"/>
      <c r="AG49" s="37"/>
    </row>
    <row r="50">
      <c r="A50" s="98" t="s">
        <v>89</v>
      </c>
      <c r="B50" s="99">
        <v>756109708</v>
      </c>
      <c r="C50" s="98" t="s">
        <v>90</v>
      </c>
      <c r="D50" s="73"/>
      <c r="E50" s="73"/>
      <c r="F50" s="73"/>
      <c r="G50" s="102">
        <v>41214</v>
      </c>
      <c r="H50" s="100">
        <v>41212</v>
      </c>
      <c r="I50" s="100">
        <v>41228</v>
      </c>
      <c r="J50" s="101">
        <v>0.140625</v>
      </c>
      <c r="K50" s="63">
        <v>0</v>
      </c>
      <c r="L50" s="63">
        <v>0</v>
      </c>
      <c r="M50" s="101">
        <v>0.140625</v>
      </c>
      <c r="N50" s="101">
        <v>0.140625</v>
      </c>
      <c r="O50" s="63">
        <v>0</v>
      </c>
      <c r="P50" s="68"/>
      <c r="Q50" s="101">
        <v>0.140625</v>
      </c>
      <c r="R50" s="63">
        <v>0</v>
      </c>
      <c r="S50" s="68"/>
      <c r="T50" s="68"/>
      <c r="U50" s="63">
        <v>0</v>
      </c>
      <c r="V50" s="63">
        <v>0</v>
      </c>
      <c r="W50" s="63">
        <v>0</v>
      </c>
      <c r="X50" s="68"/>
      <c r="Y50" s="53">
        <v>0</v>
      </c>
      <c r="Z50" s="53">
        <v>0</v>
      </c>
      <c r="AA50" s="68"/>
      <c r="AB50" s="53">
        <v>0</v>
      </c>
      <c r="AC50" s="53">
        <v>0</v>
      </c>
      <c r="AD50" s="68"/>
      <c r="AE50" s="68"/>
      <c r="AF50" s="70"/>
      <c r="AG50" s="37"/>
    </row>
    <row r="51">
      <c r="A51" s="98" t="s">
        <v>89</v>
      </c>
      <c r="B51" s="99">
        <v>756109708</v>
      </c>
      <c r="C51" s="98" t="s">
        <v>90</v>
      </c>
      <c r="D51" s="73"/>
      <c r="E51" s="73"/>
      <c r="F51" s="73"/>
      <c r="G51" s="100">
        <v>41244</v>
      </c>
      <c r="H51" s="100">
        <v>41242</v>
      </c>
      <c r="I51" s="100">
        <v>41260</v>
      </c>
      <c r="J51" s="101">
        <v>0.140625</v>
      </c>
      <c r="K51" s="63">
        <v>0</v>
      </c>
      <c r="L51" s="63">
        <v>0</v>
      </c>
      <c r="M51" s="101">
        <v>0.140625</v>
      </c>
      <c r="N51" s="101">
        <v>0.140625</v>
      </c>
      <c r="O51" s="63">
        <v>0</v>
      </c>
      <c r="P51" s="68"/>
      <c r="Q51" s="101">
        <v>0.140625</v>
      </c>
      <c r="R51" s="63">
        <v>0</v>
      </c>
      <c r="S51" s="68"/>
      <c r="T51" s="68"/>
      <c r="U51" s="63">
        <v>0</v>
      </c>
      <c r="V51" s="63">
        <v>0</v>
      </c>
      <c r="W51" s="63">
        <v>0</v>
      </c>
      <c r="X51" s="68"/>
      <c r="Y51" s="53">
        <v>0</v>
      </c>
      <c r="Z51" s="53">
        <v>0</v>
      </c>
      <c r="AA51" s="68"/>
      <c r="AB51" s="53">
        <v>0</v>
      </c>
      <c r="AC51" s="53">
        <v>0</v>
      </c>
      <c r="AD51" s="68"/>
      <c r="AE51" s="68"/>
      <c r="AF51" s="70"/>
      <c r="AG51" s="37"/>
    </row>
    <row r="52">
      <c r="A52" s="83">
        <f>IF(COUNTA(M40:M51)=0,"",IF(COUNTA(F40:F51)=0,IF(COUNTA(D40:D51)=0,"Totals - Final","Totals - Estimated"),"Totals - Corrected"))</f>
      </c>
      <c r="B52" s="86">
        <f>IF(ISNA(INDEX(B40:B51,MAX(MATCH(REPT("z",255),B40:B51)))),"",INDEX(B40:B51,MAX(MATCH(REPT("z",255),B40:B51))))</f>
      </c>
      <c r="C52" s="86">
        <f>IF(ISNA(INDEX(C40:C51,MAX(MATCH(REPT("z",255),C40:C51)))),"",INDEX(C40:C51,MAX(MATCH(REPT("z",255),C40:C51))))</f>
      </c>
      <c r="D52" s="86">
        <f>IF(ISNA(INDEX(A40:A51,MAX(MATCH(REPT("z",255),A40:A51)))),"",INDEX(A40:A51,MAX(MATCH(REPT("z",255),A40:A51))))</f>
      </c>
      <c r="E52" s="84"/>
      <c r="F52" s="84"/>
      <c r="G52" s="85"/>
      <c r="H52" s="85"/>
      <c r="I52" s="85"/>
      <c r="J52" s="75">
        <f ref="J52:J52" t="array">SUM(IF(NOT(ISBLANK($B39:$B51)),J39:J51,""))</f>
      </c>
      <c r="K52" s="75">
        <f ref="K52:K52" t="array">SUM(IF(NOT(ISBLANK($B39:$B51)),K39:K51,""))</f>
      </c>
      <c r="L52" s="75">
        <f ref="L52:L52" t="array">SUM(IF(NOT(ISBLANK($B39:$B51)),L39:L51,""))</f>
      </c>
      <c r="M52" s="75">
        <f ref="M52:M52" t="array">SUM(IF(NOT(ISBLANK($B39:$B51)),M39:M51,""))</f>
      </c>
      <c r="N52" s="75">
        <f ref="N52:N52" t="array">SUM(IF(NOT(ISBLANK($B39:$B51)),N39:N51,""))</f>
      </c>
      <c r="O52" s="75">
        <f ref="O52:O52" t="array">SUM(IF(NOT(ISBLANK($B39:$B51)),O39:O51,""))</f>
      </c>
      <c r="P52" s="76"/>
      <c r="Q52" s="75">
        <f ref="Q52:Q52" t="array">SUM(IF(NOT(ISBLANK($B39:$B51)),Q39:Q51,""))</f>
      </c>
      <c r="R52" s="75">
        <f ref="R52:R52" t="array">SUM(IF(NOT(ISBLANK($B39:$B51)),R39:R51,""))</f>
      </c>
      <c r="S52" s="76"/>
      <c r="T52" s="76"/>
      <c r="U52" s="75">
        <f ref="U52:U52" t="array">SUM(IF(NOT(ISBLANK($B39:$B51)),U39:U51,""))</f>
      </c>
      <c r="V52" s="75">
        <f ref="V52:V52" t="array">SUM(IF(NOT(ISBLANK($B39:$B51)),V39:V51,""))</f>
      </c>
      <c r="W52" s="75">
        <f ref="W52:W52" t="array">SUM(IF(NOT(ISBLANK($B39:$B51)),W39:W51,""))</f>
      </c>
      <c r="X52" s="76"/>
      <c r="Y52" s="75">
        <f ref="Y52:Y52" t="array">SUM(IF(NOT(ISBLANK($B39:$B51)),Y39:Y51,""))</f>
      </c>
      <c r="Z52" s="75">
        <f ref="Z52:Z52" t="array">SUM(IF(NOT(ISBLANK($B39:$B51)),Z39:Z51,""))</f>
      </c>
      <c r="AA52" s="76"/>
      <c r="AB52" s="75">
        <f ref="AB52:AB52" t="array">SUM(IF(NOT(ISBLANK($B39:$B51)),AB39:AB51,""))</f>
      </c>
      <c r="AC52" s="75">
        <f ref="AC52:AC52" t="array">SUM(IF(NOT(ISBLANK($B39:$B51)),AC39:AC51,""))</f>
      </c>
      <c r="AD52" s="76"/>
      <c r="AE52" s="76"/>
      <c r="AF52" s="77"/>
      <c r="AG52" s="78">
        <v>1</v>
      </c>
    </row>
    <row r="53" ht="0" hidden="1">
      <c r="A53" s="49"/>
      <c r="B53" s="50"/>
      <c r="C53" s="50"/>
      <c r="D53" s="79"/>
      <c r="E53" s="79"/>
      <c r="F53" s="79"/>
      <c r="G53" s="80"/>
      <c r="H53" s="80"/>
      <c r="I53" s="80"/>
      <c r="J53" s="52"/>
      <c r="K53" s="53"/>
      <c r="L53" s="53"/>
      <c r="M53" s="53"/>
      <c r="N53" s="52"/>
      <c r="O53" s="54"/>
      <c r="P53" s="81"/>
      <c r="Q53" s="56"/>
      <c r="R53" s="52"/>
      <c r="S53" s="81"/>
      <c r="T53" s="81"/>
      <c r="U53" s="52"/>
      <c r="V53" s="52"/>
      <c r="W53" s="52"/>
      <c r="X53" s="81"/>
      <c r="Y53" s="52"/>
      <c r="Z53" s="52"/>
      <c r="AA53" s="81"/>
      <c r="AB53" s="52"/>
      <c r="AC53" s="52"/>
      <c r="AD53" s="81"/>
      <c r="AE53" s="81"/>
      <c r="AF53" s="82"/>
      <c r="AG53" s="37"/>
    </row>
    <row r="54">
      <c r="A54" s="98" t="s">
        <v>91</v>
      </c>
      <c r="B54" s="99">
        <v>756109807</v>
      </c>
      <c r="C54" s="98" t="s">
        <v>92</v>
      </c>
      <c r="D54" s="61"/>
      <c r="E54" s="61"/>
      <c r="F54" s="61"/>
      <c r="G54" s="100">
        <v>40969</v>
      </c>
      <c r="H54" s="100">
        <v>40967</v>
      </c>
      <c r="I54" s="100">
        <v>40983</v>
      </c>
      <c r="J54" s="101">
        <v>0.1702257</v>
      </c>
      <c r="K54" s="63">
        <v>0</v>
      </c>
      <c r="L54" s="63">
        <v>0</v>
      </c>
      <c r="M54" s="101">
        <v>0.1702257</v>
      </c>
      <c r="N54" s="101">
        <v>0.1702257</v>
      </c>
      <c r="O54" s="63">
        <v>0</v>
      </c>
      <c r="P54" s="55"/>
      <c r="Q54" s="101">
        <v>0.1702257</v>
      </c>
      <c r="R54" s="63">
        <v>0</v>
      </c>
      <c r="S54" s="55"/>
      <c r="T54" s="55"/>
      <c r="U54" s="63">
        <v>0</v>
      </c>
      <c r="V54" s="63">
        <v>0</v>
      </c>
      <c r="W54" s="63">
        <v>0</v>
      </c>
      <c r="X54" s="55"/>
      <c r="Y54" s="63">
        <v>0</v>
      </c>
      <c r="Z54" s="63">
        <v>0</v>
      </c>
      <c r="AA54" s="55"/>
      <c r="AB54" s="63">
        <v>0</v>
      </c>
      <c r="AC54" s="63">
        <v>0</v>
      </c>
      <c r="AD54" s="55"/>
      <c r="AE54" s="55"/>
      <c r="AF54" s="66"/>
      <c r="AG54" s="37"/>
    </row>
    <row r="55">
      <c r="A55" s="98" t="s">
        <v>91</v>
      </c>
      <c r="B55" s="99">
        <v>756109807</v>
      </c>
      <c r="C55" s="98" t="s">
        <v>92</v>
      </c>
      <c r="D55" s="61"/>
      <c r="E55" s="61"/>
      <c r="F55" s="61"/>
      <c r="G55" s="100">
        <v>41000</v>
      </c>
      <c r="H55" s="100">
        <v>40997</v>
      </c>
      <c r="I55" s="100">
        <v>41015</v>
      </c>
      <c r="J55" s="101">
        <v>0.138021</v>
      </c>
      <c r="K55" s="63">
        <v>0</v>
      </c>
      <c r="L55" s="63">
        <v>0</v>
      </c>
      <c r="M55" s="101">
        <v>0.138021</v>
      </c>
      <c r="N55" s="101">
        <v>0.138021</v>
      </c>
      <c r="O55" s="63">
        <v>0</v>
      </c>
      <c r="P55" s="55"/>
      <c r="Q55" s="101">
        <v>0.138021</v>
      </c>
      <c r="R55" s="63">
        <v>0</v>
      </c>
      <c r="S55" s="55"/>
      <c r="T55" s="55"/>
      <c r="U55" s="63">
        <v>0</v>
      </c>
      <c r="V55" s="63">
        <v>0</v>
      </c>
      <c r="W55" s="63">
        <v>0</v>
      </c>
      <c r="X55" s="55"/>
      <c r="Y55" s="63">
        <v>0</v>
      </c>
      <c r="Z55" s="63">
        <v>0</v>
      </c>
      <c r="AA55" s="55"/>
      <c r="AB55" s="63">
        <v>0</v>
      </c>
      <c r="AC55" s="63">
        <v>0</v>
      </c>
      <c r="AD55" s="55"/>
      <c r="AE55" s="55"/>
      <c r="AF55" s="66"/>
      <c r="AG55" s="37"/>
    </row>
    <row r="56">
      <c r="A56" s="98" t="s">
        <v>91</v>
      </c>
      <c r="B56" s="99">
        <v>756109807</v>
      </c>
      <c r="C56" s="98" t="s">
        <v>92</v>
      </c>
      <c r="D56" s="61"/>
      <c r="E56" s="61"/>
      <c r="F56" s="61"/>
      <c r="G56" s="100">
        <v>41030</v>
      </c>
      <c r="H56" s="100">
        <v>41028</v>
      </c>
      <c r="I56" s="100">
        <v>41044</v>
      </c>
      <c r="J56" s="101">
        <v>0.138021</v>
      </c>
      <c r="K56" s="63">
        <v>0</v>
      </c>
      <c r="L56" s="63">
        <v>0</v>
      </c>
      <c r="M56" s="101">
        <v>0.138021</v>
      </c>
      <c r="N56" s="101">
        <v>0.138021</v>
      </c>
      <c r="O56" s="63">
        <v>0</v>
      </c>
      <c r="P56" s="55"/>
      <c r="Q56" s="101">
        <v>0.138021</v>
      </c>
      <c r="R56" s="63">
        <v>0</v>
      </c>
      <c r="S56" s="55"/>
      <c r="T56" s="55"/>
      <c r="U56" s="63">
        <v>0</v>
      </c>
      <c r="V56" s="63">
        <v>0</v>
      </c>
      <c r="W56" s="63">
        <v>0</v>
      </c>
      <c r="X56" s="55"/>
      <c r="Y56" s="63">
        <v>0</v>
      </c>
      <c r="Z56" s="63">
        <v>0</v>
      </c>
      <c r="AA56" s="55"/>
      <c r="AB56" s="63">
        <v>0</v>
      </c>
      <c r="AC56" s="63">
        <v>0</v>
      </c>
      <c r="AD56" s="55"/>
      <c r="AE56" s="55"/>
      <c r="AF56" s="66"/>
      <c r="AG56" s="37"/>
    </row>
    <row r="57">
      <c r="A57" s="98" t="s">
        <v>91</v>
      </c>
      <c r="B57" s="99">
        <v>756109807</v>
      </c>
      <c r="C57" s="98" t="s">
        <v>92</v>
      </c>
      <c r="D57" s="61"/>
      <c r="E57" s="61"/>
      <c r="F57" s="61"/>
      <c r="G57" s="100">
        <v>41061</v>
      </c>
      <c r="H57" s="100">
        <v>41059</v>
      </c>
      <c r="I57" s="100">
        <v>41075</v>
      </c>
      <c r="J57" s="101">
        <v>0.138021</v>
      </c>
      <c r="K57" s="63">
        <v>0</v>
      </c>
      <c r="L57" s="63">
        <v>0</v>
      </c>
      <c r="M57" s="101">
        <v>0.138021</v>
      </c>
      <c r="N57" s="101">
        <v>0.138021</v>
      </c>
      <c r="O57" s="63">
        <v>0</v>
      </c>
      <c r="P57" s="55"/>
      <c r="Q57" s="101">
        <v>0.138021</v>
      </c>
      <c r="R57" s="63">
        <v>0</v>
      </c>
      <c r="S57" s="55"/>
      <c r="T57" s="55"/>
      <c r="U57" s="63">
        <v>0</v>
      </c>
      <c r="V57" s="63">
        <v>0</v>
      </c>
      <c r="W57" s="63">
        <v>0</v>
      </c>
      <c r="X57" s="55"/>
      <c r="Y57" s="63">
        <v>0</v>
      </c>
      <c r="Z57" s="63">
        <v>0</v>
      </c>
      <c r="AA57" s="55"/>
      <c r="AB57" s="63">
        <v>0</v>
      </c>
      <c r="AC57" s="63">
        <v>0</v>
      </c>
      <c r="AD57" s="55"/>
      <c r="AE57" s="55"/>
      <c r="AF57" s="66"/>
      <c r="AG57" s="37"/>
    </row>
    <row r="58">
      <c r="A58" s="98" t="s">
        <v>91</v>
      </c>
      <c r="B58" s="99">
        <v>756109807</v>
      </c>
      <c r="C58" s="98" t="s">
        <v>92</v>
      </c>
      <c r="D58" s="61"/>
      <c r="E58" s="61"/>
      <c r="F58" s="61"/>
      <c r="G58" s="100">
        <v>41091</v>
      </c>
      <c r="H58" s="100">
        <v>41088</v>
      </c>
      <c r="I58" s="100">
        <v>41106</v>
      </c>
      <c r="J58" s="101">
        <v>0.138021</v>
      </c>
      <c r="K58" s="63">
        <v>0</v>
      </c>
      <c r="L58" s="63">
        <v>0</v>
      </c>
      <c r="M58" s="101">
        <v>0.138021</v>
      </c>
      <c r="N58" s="101">
        <v>0.138021</v>
      </c>
      <c r="O58" s="63">
        <v>0</v>
      </c>
      <c r="P58" s="55"/>
      <c r="Q58" s="101">
        <v>0.138021</v>
      </c>
      <c r="R58" s="63">
        <v>0</v>
      </c>
      <c r="S58" s="55"/>
      <c r="T58" s="55"/>
      <c r="U58" s="63">
        <v>0</v>
      </c>
      <c r="V58" s="63">
        <v>0</v>
      </c>
      <c r="W58" s="63">
        <v>0</v>
      </c>
      <c r="X58" s="55"/>
      <c r="Y58" s="63">
        <v>0</v>
      </c>
      <c r="Z58" s="63">
        <v>0</v>
      </c>
      <c r="AA58" s="55"/>
      <c r="AB58" s="63">
        <v>0</v>
      </c>
      <c r="AC58" s="63">
        <v>0</v>
      </c>
      <c r="AD58" s="55"/>
      <c r="AE58" s="55"/>
      <c r="AF58" s="66"/>
      <c r="AG58" s="37"/>
    </row>
    <row r="59">
      <c r="A59" s="98" t="s">
        <v>91</v>
      </c>
      <c r="B59" s="99">
        <v>756109807</v>
      </c>
      <c r="C59" s="98" t="s">
        <v>92</v>
      </c>
      <c r="D59" s="61"/>
      <c r="E59" s="61"/>
      <c r="F59" s="61"/>
      <c r="G59" s="100">
        <v>41122</v>
      </c>
      <c r="H59" s="100">
        <v>41120</v>
      </c>
      <c r="I59" s="100">
        <v>41136</v>
      </c>
      <c r="J59" s="101">
        <v>0.138021</v>
      </c>
      <c r="K59" s="63">
        <v>0</v>
      </c>
      <c r="L59" s="63">
        <v>0</v>
      </c>
      <c r="M59" s="101">
        <v>0.138021</v>
      </c>
      <c r="N59" s="101">
        <v>0.138021</v>
      </c>
      <c r="O59" s="63">
        <v>0</v>
      </c>
      <c r="P59" s="55"/>
      <c r="Q59" s="101">
        <v>0.138021</v>
      </c>
      <c r="R59" s="63">
        <v>0</v>
      </c>
      <c r="S59" s="55"/>
      <c r="T59" s="55"/>
      <c r="U59" s="63">
        <v>0</v>
      </c>
      <c r="V59" s="63">
        <v>0</v>
      </c>
      <c r="W59" s="63">
        <v>0</v>
      </c>
      <c r="X59" s="55"/>
      <c r="Y59" s="63">
        <v>0</v>
      </c>
      <c r="Z59" s="63">
        <v>0</v>
      </c>
      <c r="AA59" s="55"/>
      <c r="AB59" s="63">
        <v>0</v>
      </c>
      <c r="AC59" s="63">
        <v>0</v>
      </c>
      <c r="AD59" s="55"/>
      <c r="AE59" s="55"/>
      <c r="AF59" s="66"/>
      <c r="AG59" s="37"/>
    </row>
    <row r="60">
      <c r="A60" s="98" t="s">
        <v>91</v>
      </c>
      <c r="B60" s="99">
        <v>756109807</v>
      </c>
      <c r="C60" s="98" t="s">
        <v>92</v>
      </c>
      <c r="D60" s="61"/>
      <c r="E60" s="61"/>
      <c r="F60" s="61"/>
      <c r="G60" s="100">
        <v>41153</v>
      </c>
      <c r="H60" s="100">
        <v>41151</v>
      </c>
      <c r="I60" s="100">
        <v>41169</v>
      </c>
      <c r="J60" s="101">
        <v>0.138021</v>
      </c>
      <c r="K60" s="63">
        <v>0</v>
      </c>
      <c r="L60" s="63">
        <v>0</v>
      </c>
      <c r="M60" s="101">
        <v>0.138021</v>
      </c>
      <c r="N60" s="101">
        <v>0.138021</v>
      </c>
      <c r="O60" s="63">
        <v>0</v>
      </c>
      <c r="P60" s="55"/>
      <c r="Q60" s="101">
        <v>0.138021</v>
      </c>
      <c r="R60" s="63">
        <v>0</v>
      </c>
      <c r="S60" s="55"/>
      <c r="T60" s="55"/>
      <c r="U60" s="63">
        <v>0</v>
      </c>
      <c r="V60" s="63">
        <v>0</v>
      </c>
      <c r="W60" s="63">
        <v>0</v>
      </c>
      <c r="X60" s="55"/>
      <c r="Y60" s="63">
        <v>0</v>
      </c>
      <c r="Z60" s="63">
        <v>0</v>
      </c>
      <c r="AA60" s="55"/>
      <c r="AB60" s="63">
        <v>0</v>
      </c>
      <c r="AC60" s="63">
        <v>0</v>
      </c>
      <c r="AD60" s="55"/>
      <c r="AE60" s="55"/>
      <c r="AF60" s="66"/>
      <c r="AG60" s="37"/>
    </row>
    <row r="61">
      <c r="A61" s="98" t="s">
        <v>91</v>
      </c>
      <c r="B61" s="99">
        <v>756109807</v>
      </c>
      <c r="C61" s="98" t="s">
        <v>92</v>
      </c>
      <c r="D61" s="61"/>
      <c r="E61" s="61"/>
      <c r="F61" s="61"/>
      <c r="G61" s="100">
        <v>41183</v>
      </c>
      <c r="H61" s="100">
        <v>41179</v>
      </c>
      <c r="I61" s="100">
        <v>41197</v>
      </c>
      <c r="J61" s="101">
        <v>0.138021</v>
      </c>
      <c r="K61" s="63">
        <v>0</v>
      </c>
      <c r="L61" s="63">
        <v>0</v>
      </c>
      <c r="M61" s="101">
        <v>0.138021</v>
      </c>
      <c r="N61" s="101">
        <v>0.138021</v>
      </c>
      <c r="O61" s="63">
        <v>0</v>
      </c>
      <c r="P61" s="55"/>
      <c r="Q61" s="101">
        <v>0.138021</v>
      </c>
      <c r="R61" s="63">
        <v>0</v>
      </c>
      <c r="S61" s="55"/>
      <c r="T61" s="55"/>
      <c r="U61" s="63">
        <v>0</v>
      </c>
      <c r="V61" s="63">
        <v>0</v>
      </c>
      <c r="W61" s="63">
        <v>0</v>
      </c>
      <c r="X61" s="55"/>
      <c r="Y61" s="63">
        <v>0</v>
      </c>
      <c r="Z61" s="63">
        <v>0</v>
      </c>
      <c r="AA61" s="55"/>
      <c r="AB61" s="63">
        <v>0</v>
      </c>
      <c r="AC61" s="63">
        <v>0</v>
      </c>
      <c r="AD61" s="55"/>
      <c r="AE61" s="55"/>
      <c r="AF61" s="66"/>
      <c r="AG61" s="37"/>
    </row>
    <row r="62">
      <c r="A62" s="98" t="s">
        <v>91</v>
      </c>
      <c r="B62" s="99">
        <v>756109807</v>
      </c>
      <c r="C62" s="98" t="s">
        <v>92</v>
      </c>
      <c r="D62" s="73"/>
      <c r="E62" s="73"/>
      <c r="F62" s="73"/>
      <c r="G62" s="100">
        <v>41214</v>
      </c>
      <c r="H62" s="100">
        <v>41212</v>
      </c>
      <c r="I62" s="100">
        <v>41228</v>
      </c>
      <c r="J62" s="101">
        <v>0.138021</v>
      </c>
      <c r="K62" s="63">
        <v>0</v>
      </c>
      <c r="L62" s="63">
        <v>0</v>
      </c>
      <c r="M62" s="101">
        <v>0.138021</v>
      </c>
      <c r="N62" s="101">
        <v>0.138021</v>
      </c>
      <c r="O62" s="63">
        <v>0</v>
      </c>
      <c r="P62" s="68"/>
      <c r="Q62" s="101">
        <v>0.138021</v>
      </c>
      <c r="R62" s="63">
        <v>0</v>
      </c>
      <c r="S62" s="68"/>
      <c r="T62" s="68"/>
      <c r="U62" s="63">
        <v>0</v>
      </c>
      <c r="V62" s="63">
        <v>0</v>
      </c>
      <c r="W62" s="63">
        <v>0</v>
      </c>
      <c r="X62" s="68"/>
      <c r="Y62" s="63">
        <v>0</v>
      </c>
      <c r="Z62" s="63">
        <v>0</v>
      </c>
      <c r="AA62" s="68"/>
      <c r="AB62" s="63">
        <v>0</v>
      </c>
      <c r="AC62" s="63">
        <v>0</v>
      </c>
      <c r="AD62" s="68"/>
      <c r="AE62" s="68"/>
      <c r="AF62" s="70"/>
      <c r="AG62" s="37"/>
    </row>
    <row r="63">
      <c r="A63" s="98" t="s">
        <v>91</v>
      </c>
      <c r="B63" s="99">
        <v>756109807</v>
      </c>
      <c r="C63" s="98" t="s">
        <v>92</v>
      </c>
      <c r="D63" s="73"/>
      <c r="E63" s="73"/>
      <c r="F63" s="73"/>
      <c r="G63" s="100">
        <v>41244</v>
      </c>
      <c r="H63" s="100">
        <v>41242</v>
      </c>
      <c r="I63" s="100">
        <v>41260</v>
      </c>
      <c r="J63" s="101">
        <v>0.138021</v>
      </c>
      <c r="K63" s="63">
        <v>0</v>
      </c>
      <c r="L63" s="63">
        <v>0</v>
      </c>
      <c r="M63" s="101">
        <v>0.138021</v>
      </c>
      <c r="N63" s="101">
        <v>0.138021</v>
      </c>
      <c r="O63" s="63">
        <v>0</v>
      </c>
      <c r="P63" s="68"/>
      <c r="Q63" s="101">
        <v>0.138021</v>
      </c>
      <c r="R63" s="63">
        <v>0</v>
      </c>
      <c r="S63" s="68"/>
      <c r="T63" s="68"/>
      <c r="U63" s="63">
        <v>0</v>
      </c>
      <c r="V63" s="63">
        <v>0</v>
      </c>
      <c r="W63" s="63">
        <v>0</v>
      </c>
      <c r="X63" s="68"/>
      <c r="Y63" s="63">
        <v>0</v>
      </c>
      <c r="Z63" s="63">
        <v>0</v>
      </c>
      <c r="AA63" s="68"/>
      <c r="AB63" s="63">
        <v>0</v>
      </c>
      <c r="AC63" s="63">
        <v>0</v>
      </c>
      <c r="AD63" s="68"/>
      <c r="AE63" s="68"/>
      <c r="AF63" s="70"/>
      <c r="AG63" s="37"/>
    </row>
    <row r="64">
      <c r="A64" s="83">
        <f>IF(COUNTA(M60:M63)=0,"",IF(COUNTA(F60:F63)=0,IF(COUNTA(D60:D63)=0,"Totals - Final","Totals - Estimated"),"Totals - Corrected"))</f>
      </c>
      <c r="B64" s="86">
        <f>IF(ISNA(INDEX(B60:B63,MAX(MATCH(REPT("z",255),B60:B63)))),"",INDEX(B60:B63,MAX(MATCH(REPT("z",255),B60:B63))))</f>
      </c>
      <c r="C64" s="86">
        <f>IF(ISNA(INDEX(C60:C63,MAX(MATCH(REPT("z",255),C60:C63)))),"",INDEX(C60:C63,MAX(MATCH(REPT("z",255),C60:C63))))</f>
      </c>
      <c r="D64" s="86">
        <f>IF(ISNA(INDEX(A60:A63,MAX(MATCH(REPT("z",255),A60:A63)))),"",INDEX(A60:A63,MAX(MATCH(REPT("z",255),A60:A63))))</f>
      </c>
      <c r="E64" s="84"/>
      <c r="F64" s="84"/>
      <c r="G64" s="85"/>
      <c r="H64" s="85"/>
      <c r="I64" s="85"/>
      <c r="J64" s="75">
        <f ref="J64:J64" t="array">SUM(IF(NOT(ISBLANK($B53:$B63)),J53:J63,""))</f>
      </c>
      <c r="K64" s="75">
        <f ref="K64:K64" t="array">SUM(IF(NOT(ISBLANK($B53:$B63)),K53:K63,""))</f>
      </c>
      <c r="L64" s="75">
        <f ref="L64:L64" t="array">SUM(IF(NOT(ISBLANK($B53:$B63)),L53:L63,""))</f>
      </c>
      <c r="M64" s="75">
        <f ref="M64:M64" t="array">SUM(IF(NOT(ISBLANK($B53:$B63)),M53:M63,""))</f>
      </c>
      <c r="N64" s="75">
        <f ref="N64:N64" t="array">SUM(IF(NOT(ISBLANK($B53:$B63)),N53:N63,""))</f>
      </c>
      <c r="O64" s="75">
        <f ref="O64:O64" t="array">SUM(IF(NOT(ISBLANK($B53:$B63)),O53:O63,""))</f>
      </c>
      <c r="P64" s="76"/>
      <c r="Q64" s="75">
        <f ref="Q64:Q64" t="array">SUM(IF(NOT(ISBLANK($B53:$B63)),Q53:Q63,""))</f>
      </c>
      <c r="R64" s="75">
        <f ref="R64:R64" t="array">SUM(IF(NOT(ISBLANK($B53:$B63)),R53:R63,""))</f>
      </c>
      <c r="S64" s="76"/>
      <c r="T64" s="76"/>
      <c r="U64" s="75">
        <f ref="U64:U64" t="array">SUM(IF(NOT(ISBLANK($B53:$B63)),U53:U63,""))</f>
      </c>
      <c r="V64" s="75">
        <f ref="V64:V64" t="array">SUM(IF(NOT(ISBLANK($B53:$B63)),V53:V63,""))</f>
      </c>
      <c r="W64" s="75">
        <f ref="W64:W64" t="array">SUM(IF(NOT(ISBLANK($B53:$B63)),W53:W63,""))</f>
      </c>
      <c r="X64" s="76"/>
      <c r="Y64" s="75">
        <f ref="Y64:Y64" t="array">SUM(IF(NOT(ISBLANK($B53:$B63)),Y53:Y63,""))</f>
      </c>
      <c r="Z64" s="75">
        <f ref="Z64:Z64" t="array">SUM(IF(NOT(ISBLANK($B53:$B63)),Z53:Z63,""))</f>
      </c>
      <c r="AA64" s="76"/>
      <c r="AB64" s="75">
        <f ref="AB64:AB64" t="array">SUM(IF(NOT(ISBLANK($B53:$B63)),AB53:AB63,""))</f>
      </c>
      <c r="AC64" s="75">
        <f ref="AC64:AC64" t="array">SUM(IF(NOT(ISBLANK($B53:$B63)),AC53:AC63,""))</f>
      </c>
      <c r="AD64" s="76"/>
      <c r="AE64" s="76"/>
      <c r="AF64" s="77"/>
      <c r="AG64" s="78">
        <v>1</v>
      </c>
    </row>
    <row r="65" ht="0" hidden="1">
      <c r="A65" s="49"/>
      <c r="B65" s="50"/>
      <c r="C65" s="50"/>
      <c r="D65" s="79"/>
      <c r="E65" s="79"/>
      <c r="F65" s="79"/>
      <c r="G65" s="80"/>
      <c r="H65" s="80"/>
      <c r="I65" s="80"/>
      <c r="J65" s="52"/>
      <c r="K65" s="53"/>
      <c r="L65" s="53"/>
      <c r="M65" s="53"/>
      <c r="N65" s="52"/>
      <c r="O65" s="54"/>
      <c r="P65" s="81"/>
      <c r="Q65" s="56"/>
      <c r="R65" s="52"/>
      <c r="S65" s="81"/>
      <c r="T65" s="81"/>
      <c r="U65" s="52"/>
      <c r="V65" s="52"/>
      <c r="W65" s="52"/>
      <c r="X65" s="81"/>
      <c r="Y65" s="52"/>
      <c r="Z65" s="52"/>
      <c r="AA65" s="81"/>
      <c r="AB65" s="52"/>
      <c r="AC65" s="52"/>
      <c r="AD65" s="81"/>
      <c r="AE65" s="81"/>
      <c r="AF65" s="82"/>
      <c r="AG65" s="37"/>
    </row>
    <row r="66">
      <c r="A66" s="59"/>
      <c r="B66" s="60"/>
      <c r="C66" s="60"/>
      <c r="D66" s="61"/>
      <c r="E66" s="61"/>
      <c r="F66" s="61"/>
      <c r="G66" s="62"/>
      <c r="H66" s="62"/>
      <c r="I66" s="62"/>
      <c r="J66" s="63"/>
      <c r="K66" s="53"/>
      <c r="L66" s="53"/>
      <c r="M66" s="53"/>
      <c r="N66" s="63"/>
      <c r="O66" s="64"/>
      <c r="P66" s="55"/>
      <c r="Q66" s="65"/>
      <c r="R66" s="63"/>
      <c r="S66" s="55"/>
      <c r="T66" s="55"/>
      <c r="U66" s="63"/>
      <c r="V66" s="63"/>
      <c r="W66" s="63"/>
      <c r="X66" s="55"/>
      <c r="Y66" s="63"/>
      <c r="Z66" s="63"/>
      <c r="AA66" s="55"/>
      <c r="AB66" s="63"/>
      <c r="AC66" s="63"/>
      <c r="AD66" s="55"/>
      <c r="AE66" s="55"/>
      <c r="AF66" s="66"/>
      <c r="AG66" s="37"/>
    </row>
    <row r="67">
      <c r="A67" s="59"/>
      <c r="B67" s="60"/>
      <c r="C67" s="60"/>
      <c r="D67" s="61"/>
      <c r="E67" s="61"/>
      <c r="F67" s="61"/>
      <c r="G67" s="62"/>
      <c r="H67" s="62"/>
      <c r="I67" s="62"/>
      <c r="J67" s="63"/>
      <c r="K67" s="53"/>
      <c r="L67" s="53"/>
      <c r="M67" s="53"/>
      <c r="N67" s="63"/>
      <c r="O67" s="64"/>
      <c r="P67" s="55"/>
      <c r="Q67" s="65"/>
      <c r="R67" s="63"/>
      <c r="S67" s="55"/>
      <c r="T67" s="55"/>
      <c r="U67" s="63"/>
      <c r="V67" s="63"/>
      <c r="W67" s="63"/>
      <c r="X67" s="55"/>
      <c r="Y67" s="63"/>
      <c r="Z67" s="63"/>
      <c r="AA67" s="55"/>
      <c r="AB67" s="63"/>
      <c r="AC67" s="63"/>
      <c r="AD67" s="55"/>
      <c r="AE67" s="55"/>
      <c r="AF67" s="66"/>
      <c r="AG67" s="37"/>
    </row>
    <row r="68">
      <c r="A68" s="71"/>
      <c r="B68" s="72"/>
      <c r="C68" s="72"/>
      <c r="D68" s="73"/>
      <c r="E68" s="73"/>
      <c r="F68" s="73"/>
      <c r="G68" s="74"/>
      <c r="H68" s="74"/>
      <c r="I68" s="74"/>
      <c r="J68" s="53"/>
      <c r="K68" s="53"/>
      <c r="L68" s="53"/>
      <c r="M68" s="53"/>
      <c r="N68" s="53"/>
      <c r="O68" s="67"/>
      <c r="P68" s="68"/>
      <c r="Q68" s="69"/>
      <c r="R68" s="53"/>
      <c r="S68" s="68"/>
      <c r="T68" s="68"/>
      <c r="U68" s="53"/>
      <c r="V68" s="53"/>
      <c r="W68" s="53"/>
      <c r="X68" s="68"/>
      <c r="Y68" s="53"/>
      <c r="Z68" s="53"/>
      <c r="AA68" s="68"/>
      <c r="AB68" s="53"/>
      <c r="AC68" s="53"/>
      <c r="AD68" s="68"/>
      <c r="AE68" s="68"/>
      <c r="AF68" s="70"/>
      <c r="AG68" s="37"/>
    </row>
    <row r="69">
      <c r="A69" s="71"/>
      <c r="B69" s="72"/>
      <c r="C69" s="72"/>
      <c r="D69" s="73"/>
      <c r="E69" s="73"/>
      <c r="F69" s="73"/>
      <c r="G69" s="74"/>
      <c r="H69" s="74"/>
      <c r="I69" s="74"/>
      <c r="J69" s="53"/>
      <c r="K69" s="53"/>
      <c r="L69" s="53"/>
      <c r="M69" s="53"/>
      <c r="N69" s="53"/>
      <c r="O69" s="67"/>
      <c r="P69" s="68"/>
      <c r="Q69" s="69"/>
      <c r="R69" s="53"/>
      <c r="S69" s="68"/>
      <c r="T69" s="68"/>
      <c r="U69" s="53"/>
      <c r="V69" s="53"/>
      <c r="W69" s="53"/>
      <c r="X69" s="68"/>
      <c r="Y69" s="53"/>
      <c r="Z69" s="53"/>
      <c r="AA69" s="68"/>
      <c r="AB69" s="53"/>
      <c r="AC69" s="53"/>
      <c r="AD69" s="68"/>
      <c r="AE69" s="68"/>
      <c r="AF69" s="70"/>
      <c r="AG69" s="37"/>
    </row>
    <row r="70">
      <c r="A70" s="83">
        <f>IF(COUNTA(M66:M69)=0,"",IF(COUNTA(F66:F69)=0,IF(COUNTA(D66:D69)=0,"Totals - Final","Totals - Estimated"),"Totals - Corrected"))</f>
      </c>
      <c r="B70" s="86">
        <f>IF(ISNA(INDEX(B66:B69,MAX(MATCH(REPT("z",255),B66:B69)))),"",INDEX(B66:B69,MAX(MATCH(REPT("z",255),B66:B69))))</f>
      </c>
      <c r="C70" s="86">
        <f>IF(ISNA(INDEX(C66:C69,MAX(MATCH(REPT("z",255),C66:C69)))),"",INDEX(C66:C69,MAX(MATCH(REPT("z",255),C66:C69))))</f>
      </c>
      <c r="D70" s="86">
        <f>IF(ISNA(INDEX(A66:A69,MAX(MATCH(REPT("z",255),A66:A69)))),"",INDEX(A66:A69,MAX(MATCH(REPT("z",255),A66:A69))))</f>
      </c>
      <c r="E70" s="84"/>
      <c r="F70" s="84"/>
      <c r="G70" s="85"/>
      <c r="H70" s="85"/>
      <c r="I70" s="85"/>
      <c r="J70" s="75">
        <f ref="J70:J70" t="array">SUM(IF(NOT(ISBLANK($B65:$B69)),J65:J69,""))</f>
      </c>
      <c r="K70" s="75">
        <f ref="K70:K70" t="array">SUM(IF(NOT(ISBLANK($B65:$B69)),K65:K69,""))</f>
      </c>
      <c r="L70" s="75">
        <f ref="L70:L70" t="array">SUM(IF(NOT(ISBLANK($B65:$B69)),L65:L69,""))</f>
      </c>
      <c r="M70" s="75">
        <f ref="M70:M70" t="array">SUM(IF(NOT(ISBLANK($B65:$B69)),M65:M69,""))</f>
      </c>
      <c r="N70" s="75">
        <f ref="N70:N70" t="array">SUM(IF(NOT(ISBLANK($B65:$B69)),N65:N69,""))</f>
      </c>
      <c r="O70" s="75">
        <f ref="O70:O70" t="array">SUM(IF(NOT(ISBLANK($B65:$B69)),O65:O69,""))</f>
      </c>
      <c r="P70" s="76"/>
      <c r="Q70" s="75">
        <f ref="Q70:Q70" t="array">SUM(IF(NOT(ISBLANK($B65:$B69)),Q65:Q69,""))</f>
      </c>
      <c r="R70" s="75">
        <f ref="R70:R70" t="array">SUM(IF(NOT(ISBLANK($B65:$B69)),R65:R69,""))</f>
      </c>
      <c r="S70" s="76"/>
      <c r="T70" s="76"/>
      <c r="U70" s="75">
        <f ref="U70:U70" t="array">SUM(IF(NOT(ISBLANK($B65:$B69)),U65:U69,""))</f>
      </c>
      <c r="V70" s="75">
        <f ref="V70:V70" t="array">SUM(IF(NOT(ISBLANK($B65:$B69)),V65:V69,""))</f>
      </c>
      <c r="W70" s="75">
        <f ref="W70:W70" t="array">SUM(IF(NOT(ISBLANK($B65:$B69)),W65:W69,""))</f>
      </c>
      <c r="X70" s="76"/>
      <c r="Y70" s="75">
        <f ref="Y70:Y70" t="array">SUM(IF(NOT(ISBLANK($B65:$B69)),Y65:Y69,""))</f>
      </c>
      <c r="Z70" s="75">
        <f ref="Z70:Z70" t="array">SUM(IF(NOT(ISBLANK($B65:$B69)),Z65:Z69,""))</f>
      </c>
      <c r="AA70" s="76"/>
      <c r="AB70" s="75">
        <f ref="AB70:AB70" t="array">SUM(IF(NOT(ISBLANK($B65:$B69)),AB65:AB69,""))</f>
      </c>
      <c r="AC70" s="75">
        <f ref="AC70:AC70" t="array">SUM(IF(NOT(ISBLANK($B65:$B69)),AC65:AC69,""))</f>
      </c>
      <c r="AD70" s="76"/>
      <c r="AE70" s="76"/>
      <c r="AF70" s="77"/>
      <c r="AG70" s="78">
        <v>1</v>
      </c>
    </row>
    <row r="71" ht="0" hidden="1">
      <c r="A71" s="49"/>
      <c r="B71" s="50"/>
      <c r="C71" s="50"/>
      <c r="D71" s="79"/>
      <c r="E71" s="79"/>
      <c r="F71" s="79"/>
      <c r="G71" s="80"/>
      <c r="H71" s="80"/>
      <c r="I71" s="80"/>
      <c r="J71" s="52"/>
      <c r="K71" s="53"/>
      <c r="L71" s="53"/>
      <c r="M71" s="53"/>
      <c r="N71" s="52"/>
      <c r="O71" s="54"/>
      <c r="P71" s="81"/>
      <c r="Q71" s="56"/>
      <c r="R71" s="52"/>
      <c r="S71" s="81"/>
      <c r="T71" s="81"/>
      <c r="U71" s="52"/>
      <c r="V71" s="52"/>
      <c r="W71" s="52"/>
      <c r="X71" s="81"/>
      <c r="Y71" s="52"/>
      <c r="Z71" s="52"/>
      <c r="AA71" s="81"/>
      <c r="AB71" s="52"/>
      <c r="AC71" s="52"/>
      <c r="AD71" s="81"/>
      <c r="AE71" s="81"/>
      <c r="AF71" s="82"/>
      <c r="AG71" s="37"/>
    </row>
    <row r="72">
      <c r="A72" s="59"/>
      <c r="B72" s="60"/>
      <c r="C72" s="60"/>
      <c r="D72" s="61"/>
      <c r="E72" s="61"/>
      <c r="F72" s="61"/>
      <c r="G72" s="62"/>
      <c r="H72" s="62"/>
      <c r="I72" s="62"/>
      <c r="J72" s="63"/>
      <c r="K72" s="53"/>
      <c r="L72" s="53"/>
      <c r="M72" s="53"/>
      <c r="N72" s="63"/>
      <c r="O72" s="64"/>
      <c r="P72" s="55"/>
      <c r="Q72" s="65"/>
      <c r="R72" s="63"/>
      <c r="S72" s="55"/>
      <c r="T72" s="55"/>
      <c r="U72" s="63"/>
      <c r="V72" s="63"/>
      <c r="W72" s="63"/>
      <c r="X72" s="55"/>
      <c r="Y72" s="63"/>
      <c r="Z72" s="63"/>
      <c r="AA72" s="55"/>
      <c r="AB72" s="63"/>
      <c r="AC72" s="63"/>
      <c r="AD72" s="55"/>
      <c r="AE72" s="55"/>
      <c r="AF72" s="66"/>
      <c r="AG72" s="37"/>
    </row>
    <row r="73">
      <c r="A73" s="59"/>
      <c r="B73" s="60"/>
      <c r="C73" s="60"/>
      <c r="D73" s="61"/>
      <c r="E73" s="61"/>
      <c r="F73" s="61"/>
      <c r="G73" s="62"/>
      <c r="H73" s="62"/>
      <c r="I73" s="62"/>
      <c r="J73" s="63"/>
      <c r="K73" s="53"/>
      <c r="L73" s="53"/>
      <c r="M73" s="53"/>
      <c r="N73" s="63"/>
      <c r="O73" s="64"/>
      <c r="P73" s="55"/>
      <c r="Q73" s="65"/>
      <c r="R73" s="63"/>
      <c r="S73" s="55"/>
      <c r="T73" s="55"/>
      <c r="U73" s="63"/>
      <c r="V73" s="63"/>
      <c r="W73" s="63"/>
      <c r="X73" s="55"/>
      <c r="Y73" s="63"/>
      <c r="Z73" s="63"/>
      <c r="AA73" s="55"/>
      <c r="AB73" s="63"/>
      <c r="AC73" s="63"/>
      <c r="AD73" s="55"/>
      <c r="AE73" s="55"/>
      <c r="AF73" s="66"/>
      <c r="AG73" s="37"/>
    </row>
    <row r="74">
      <c r="A74" s="71"/>
      <c r="B74" s="72"/>
      <c r="C74" s="72"/>
      <c r="D74" s="73"/>
      <c r="E74" s="73"/>
      <c r="F74" s="73"/>
      <c r="G74" s="74"/>
      <c r="H74" s="74"/>
      <c r="I74" s="74"/>
      <c r="J74" s="53"/>
      <c r="K74" s="53"/>
      <c r="L74" s="53"/>
      <c r="M74" s="53"/>
      <c r="N74" s="53"/>
      <c r="O74" s="67"/>
      <c r="P74" s="68"/>
      <c r="Q74" s="69"/>
      <c r="R74" s="53"/>
      <c r="S74" s="68"/>
      <c r="T74" s="68"/>
      <c r="U74" s="53"/>
      <c r="V74" s="53"/>
      <c r="W74" s="53"/>
      <c r="X74" s="68"/>
      <c r="Y74" s="53"/>
      <c r="Z74" s="53"/>
      <c r="AA74" s="68"/>
      <c r="AB74" s="53"/>
      <c r="AC74" s="53"/>
      <c r="AD74" s="68"/>
      <c r="AE74" s="68"/>
      <c r="AF74" s="70"/>
      <c r="AG74" s="37"/>
    </row>
    <row r="75">
      <c r="A75" s="71"/>
      <c r="B75" s="72"/>
      <c r="C75" s="72"/>
      <c r="D75" s="73"/>
      <c r="E75" s="73"/>
      <c r="F75" s="73"/>
      <c r="G75" s="74"/>
      <c r="H75" s="74"/>
      <c r="I75" s="74"/>
      <c r="J75" s="53"/>
      <c r="K75" s="53"/>
      <c r="L75" s="53"/>
      <c r="M75" s="53"/>
      <c r="N75" s="53"/>
      <c r="O75" s="67"/>
      <c r="P75" s="68"/>
      <c r="Q75" s="69"/>
      <c r="R75" s="53"/>
      <c r="S75" s="68"/>
      <c r="T75" s="68"/>
      <c r="U75" s="53"/>
      <c r="V75" s="53"/>
      <c r="W75" s="53"/>
      <c r="X75" s="68"/>
      <c r="Y75" s="53"/>
      <c r="Z75" s="53"/>
      <c r="AA75" s="68"/>
      <c r="AB75" s="53"/>
      <c r="AC75" s="53"/>
      <c r="AD75" s="68"/>
      <c r="AE75" s="68"/>
      <c r="AF75" s="70"/>
      <c r="AG75" s="37"/>
    </row>
    <row r="76">
      <c r="A76" s="83">
        <f>IF(COUNTA(M72:M75)=0,"",IF(COUNTA(F72:F75)=0,IF(COUNTA(D72:D75)=0,"Totals - Final","Totals - Estimated"),"Totals - Corrected"))</f>
      </c>
      <c r="B76" s="86">
        <f>IF(ISNA(INDEX(B72:B75,MAX(MATCH(REPT("z",255),B72:B75)))),"",INDEX(B72:B75,MAX(MATCH(REPT("z",255),B72:B75))))</f>
      </c>
      <c r="C76" s="86">
        <f>IF(ISNA(INDEX(C72:C75,MAX(MATCH(REPT("z",255),C72:C75)))),"",INDEX(C72:C75,MAX(MATCH(REPT("z",255),C72:C75))))</f>
      </c>
      <c r="D76" s="86">
        <f>IF(ISNA(INDEX(A72:A75,MAX(MATCH(REPT("z",255),A72:A75)))),"",INDEX(A72:A75,MAX(MATCH(REPT("z",255),A72:A75))))</f>
      </c>
      <c r="E76" s="84"/>
      <c r="F76" s="84"/>
      <c r="G76" s="85"/>
      <c r="H76" s="85"/>
      <c r="I76" s="85"/>
      <c r="J76" s="75">
        <f ref="J76:J76" t="array">SUM(IF(NOT(ISBLANK($B71:$B75)),J71:J75,""))</f>
      </c>
      <c r="K76" s="75">
        <f ref="K76:K76" t="array">SUM(IF(NOT(ISBLANK($B71:$B75)),K71:K75,""))</f>
      </c>
      <c r="L76" s="75">
        <f ref="L76:L76" t="array">SUM(IF(NOT(ISBLANK($B71:$B75)),L71:L75,""))</f>
      </c>
      <c r="M76" s="75">
        <f ref="M76:M76" t="array">SUM(IF(NOT(ISBLANK($B71:$B75)),M71:M75,""))</f>
      </c>
      <c r="N76" s="75">
        <f ref="N76:N76" t="array">SUM(IF(NOT(ISBLANK($B71:$B75)),N71:N75,""))</f>
      </c>
      <c r="O76" s="75">
        <f ref="O76:O76" t="array">SUM(IF(NOT(ISBLANK($B71:$B75)),O71:O75,""))</f>
      </c>
      <c r="P76" s="76"/>
      <c r="Q76" s="75">
        <f ref="Q76:Q76" t="array">SUM(IF(NOT(ISBLANK($B71:$B75)),Q71:Q75,""))</f>
      </c>
      <c r="R76" s="75">
        <f ref="R76:R76" t="array">SUM(IF(NOT(ISBLANK($B71:$B75)),R71:R75,""))</f>
      </c>
      <c r="S76" s="76"/>
      <c r="T76" s="76"/>
      <c r="U76" s="75">
        <f ref="U76:U76" t="array">SUM(IF(NOT(ISBLANK($B71:$B75)),U71:U75,""))</f>
      </c>
      <c r="V76" s="75">
        <f ref="V76:V76" t="array">SUM(IF(NOT(ISBLANK($B71:$B75)),V71:V75,""))</f>
      </c>
      <c r="W76" s="75">
        <f ref="W76:W76" t="array">SUM(IF(NOT(ISBLANK($B71:$B75)),W71:W75,""))</f>
      </c>
      <c r="X76" s="76"/>
      <c r="Y76" s="75">
        <f ref="Y76:Y76" t="array">SUM(IF(NOT(ISBLANK($B71:$B75)),Y71:Y75,""))</f>
      </c>
      <c r="Z76" s="75">
        <f ref="Z76:Z76" t="array">SUM(IF(NOT(ISBLANK($B71:$B75)),Z71:Z75,""))</f>
      </c>
      <c r="AA76" s="76"/>
      <c r="AB76" s="75">
        <f ref="AB76:AB76" t="array">SUM(IF(NOT(ISBLANK($B71:$B75)),AB71:AB75,""))</f>
      </c>
      <c r="AC76" s="75">
        <f ref="AC76:AC76" t="array">SUM(IF(NOT(ISBLANK($B71:$B75)),AC71:AC75,""))</f>
      </c>
      <c r="AD76" s="76"/>
      <c r="AE76" s="76"/>
      <c r="AF76" s="77"/>
      <c r="AG76" s="78">
        <v>1</v>
      </c>
    </row>
    <row r="77" ht="0" hidden="1">
      <c r="A77" s="49"/>
      <c r="B77" s="50"/>
      <c r="C77" s="50"/>
      <c r="D77" s="79"/>
      <c r="E77" s="79"/>
      <c r="F77" s="79"/>
      <c r="G77" s="80"/>
      <c r="H77" s="80"/>
      <c r="I77" s="80"/>
      <c r="J77" s="52"/>
      <c r="K77" s="53"/>
      <c r="L77" s="53"/>
      <c r="M77" s="53"/>
      <c r="N77" s="52"/>
      <c r="O77" s="54"/>
      <c r="P77" s="81"/>
      <c r="Q77" s="56"/>
      <c r="R77" s="52"/>
      <c r="S77" s="81"/>
      <c r="T77" s="81"/>
      <c r="U77" s="52"/>
      <c r="V77" s="52"/>
      <c r="W77" s="52"/>
      <c r="X77" s="81"/>
      <c r="Y77" s="52"/>
      <c r="Z77" s="52"/>
      <c r="AA77" s="81"/>
      <c r="AB77" s="52"/>
      <c r="AC77" s="52"/>
      <c r="AD77" s="81"/>
      <c r="AE77" s="81"/>
      <c r="AF77" s="82"/>
      <c r="AG77" s="37"/>
    </row>
    <row r="78">
      <c r="A78" s="59"/>
      <c r="B78" s="60"/>
      <c r="C78" s="60"/>
      <c r="D78" s="61"/>
      <c r="E78" s="61"/>
      <c r="F78" s="61"/>
      <c r="G78" s="62"/>
      <c r="H78" s="62"/>
      <c r="I78" s="62"/>
      <c r="J78" s="63"/>
      <c r="K78" s="53"/>
      <c r="L78" s="53"/>
      <c r="M78" s="53"/>
      <c r="N78" s="63"/>
      <c r="O78" s="64"/>
      <c r="P78" s="55"/>
      <c r="Q78" s="65"/>
      <c r="R78" s="63"/>
      <c r="S78" s="55"/>
      <c r="T78" s="55"/>
      <c r="U78" s="63"/>
      <c r="V78" s="63"/>
      <c r="W78" s="63"/>
      <c r="X78" s="55"/>
      <c r="Y78" s="63"/>
      <c r="Z78" s="63"/>
      <c r="AA78" s="55"/>
      <c r="AB78" s="63"/>
      <c r="AC78" s="63"/>
      <c r="AD78" s="55"/>
      <c r="AE78" s="55"/>
      <c r="AF78" s="66"/>
      <c r="AG78" s="37"/>
    </row>
    <row r="79">
      <c r="A79" s="59"/>
      <c r="B79" s="60"/>
      <c r="C79" s="60"/>
      <c r="D79" s="61"/>
      <c r="E79" s="61"/>
      <c r="F79" s="61"/>
      <c r="G79" s="62"/>
      <c r="H79" s="62"/>
      <c r="I79" s="62"/>
      <c r="J79" s="63"/>
      <c r="K79" s="53"/>
      <c r="L79" s="53"/>
      <c r="M79" s="53"/>
      <c r="N79" s="63"/>
      <c r="O79" s="64"/>
      <c r="P79" s="55"/>
      <c r="Q79" s="65"/>
      <c r="R79" s="63"/>
      <c r="S79" s="55"/>
      <c r="T79" s="55"/>
      <c r="U79" s="63"/>
      <c r="V79" s="63"/>
      <c r="W79" s="63"/>
      <c r="X79" s="55"/>
      <c r="Y79" s="63"/>
      <c r="Z79" s="63"/>
      <c r="AA79" s="55"/>
      <c r="AB79" s="63"/>
      <c r="AC79" s="63"/>
      <c r="AD79" s="55"/>
      <c r="AE79" s="55"/>
      <c r="AF79" s="66"/>
      <c r="AG79" s="37"/>
    </row>
    <row r="80">
      <c r="A80" s="71"/>
      <c r="B80" s="72"/>
      <c r="C80" s="72"/>
      <c r="D80" s="73"/>
      <c r="E80" s="73"/>
      <c r="F80" s="73"/>
      <c r="G80" s="74"/>
      <c r="H80" s="74"/>
      <c r="I80" s="74"/>
      <c r="J80" s="53"/>
      <c r="K80" s="53"/>
      <c r="L80" s="53"/>
      <c r="M80" s="53"/>
      <c r="N80" s="53"/>
      <c r="O80" s="67"/>
      <c r="P80" s="68"/>
      <c r="Q80" s="69"/>
      <c r="R80" s="53"/>
      <c r="S80" s="68"/>
      <c r="T80" s="68"/>
      <c r="U80" s="53"/>
      <c r="V80" s="53"/>
      <c r="W80" s="53"/>
      <c r="X80" s="68"/>
      <c r="Y80" s="53"/>
      <c r="Z80" s="53"/>
      <c r="AA80" s="68"/>
      <c r="AB80" s="53"/>
      <c r="AC80" s="53"/>
      <c r="AD80" s="68"/>
      <c r="AE80" s="68"/>
      <c r="AF80" s="70"/>
      <c r="AG80" s="37"/>
    </row>
    <row r="81">
      <c r="A81" s="71"/>
      <c r="B81" s="72"/>
      <c r="C81" s="72"/>
      <c r="D81" s="73"/>
      <c r="E81" s="73"/>
      <c r="F81" s="73"/>
      <c r="G81" s="74"/>
      <c r="H81" s="74"/>
      <c r="I81" s="74"/>
      <c r="J81" s="53"/>
      <c r="K81" s="53"/>
      <c r="L81" s="53"/>
      <c r="M81" s="53"/>
      <c r="N81" s="53"/>
      <c r="O81" s="67"/>
      <c r="P81" s="68"/>
      <c r="Q81" s="69"/>
      <c r="R81" s="53"/>
      <c r="S81" s="68"/>
      <c r="T81" s="68"/>
      <c r="U81" s="53"/>
      <c r="V81" s="53"/>
      <c r="W81" s="53"/>
      <c r="X81" s="68"/>
      <c r="Y81" s="53"/>
      <c r="Z81" s="53"/>
      <c r="AA81" s="68"/>
      <c r="AB81" s="53"/>
      <c r="AC81" s="53"/>
      <c r="AD81" s="68"/>
      <c r="AE81" s="68"/>
      <c r="AF81" s="70"/>
      <c r="AG81" s="37"/>
    </row>
    <row r="82">
      <c r="A82" s="83">
        <f>IF(COUNTA(M78:M81)=0,"",IF(COUNTA(F78:F81)=0,IF(COUNTA(D78:D81)=0,"Totals - Final","Totals - Estimated"),"Totals - Corrected"))</f>
      </c>
      <c r="B82" s="86">
        <f>IF(ISNA(INDEX(B78:B81,MAX(MATCH(REPT("z",255),B78:B81)))),"",INDEX(B78:B81,MAX(MATCH(REPT("z",255),B78:B81))))</f>
      </c>
      <c r="C82" s="86">
        <f>IF(ISNA(INDEX(C78:C81,MAX(MATCH(REPT("z",255),C78:C81)))),"",INDEX(C78:C81,MAX(MATCH(REPT("z",255),C78:C81))))</f>
      </c>
      <c r="D82" s="86">
        <f>IF(ISNA(INDEX(A78:A81,MAX(MATCH(REPT("z",255),A78:A81)))),"",INDEX(A78:A81,MAX(MATCH(REPT("z",255),A78:A81))))</f>
      </c>
      <c r="E82" s="84"/>
      <c r="F82" s="84"/>
      <c r="G82" s="85"/>
      <c r="H82" s="85"/>
      <c r="I82" s="85"/>
      <c r="J82" s="75">
        <f ref="J82:J82" t="array">SUM(IF(NOT(ISBLANK($B77:$B81)),J77:J81,""))</f>
      </c>
      <c r="K82" s="75">
        <f ref="K82:K82" t="array">SUM(IF(NOT(ISBLANK($B77:$B81)),K77:K81,""))</f>
      </c>
      <c r="L82" s="75">
        <f ref="L82:L82" t="array">SUM(IF(NOT(ISBLANK($B77:$B81)),L77:L81,""))</f>
      </c>
      <c r="M82" s="75">
        <f ref="M82:M82" t="array">SUM(IF(NOT(ISBLANK($B77:$B81)),M77:M81,""))</f>
      </c>
      <c r="N82" s="75">
        <f ref="N82:N82" t="array">SUM(IF(NOT(ISBLANK($B77:$B81)),N77:N81,""))</f>
      </c>
      <c r="O82" s="75">
        <f ref="O82:O82" t="array">SUM(IF(NOT(ISBLANK($B77:$B81)),O77:O81,""))</f>
      </c>
      <c r="P82" s="76"/>
      <c r="Q82" s="75">
        <f ref="Q82:Q82" t="array">SUM(IF(NOT(ISBLANK($B77:$B81)),Q77:Q81,""))</f>
      </c>
      <c r="R82" s="75">
        <f ref="R82:R82" t="array">SUM(IF(NOT(ISBLANK($B77:$B81)),R77:R81,""))</f>
      </c>
      <c r="S82" s="76"/>
      <c r="T82" s="76"/>
      <c r="U82" s="75">
        <f ref="U82:U82" t="array">SUM(IF(NOT(ISBLANK($B77:$B81)),U77:U81,""))</f>
      </c>
      <c r="V82" s="75">
        <f ref="V82:V82" t="array">SUM(IF(NOT(ISBLANK($B77:$B81)),V77:V81,""))</f>
      </c>
      <c r="W82" s="75">
        <f ref="W82:W82" t="array">SUM(IF(NOT(ISBLANK($B77:$B81)),W77:W81,""))</f>
      </c>
      <c r="X82" s="76"/>
      <c r="Y82" s="75">
        <f ref="Y82:Y82" t="array">SUM(IF(NOT(ISBLANK($B77:$B81)),Y77:Y81,""))</f>
      </c>
      <c r="Z82" s="75">
        <f ref="Z82:Z82" t="array">SUM(IF(NOT(ISBLANK($B77:$B81)),Z77:Z81,""))</f>
      </c>
      <c r="AA82" s="76"/>
      <c r="AB82" s="75">
        <f ref="AB82:AB82" t="array">SUM(IF(NOT(ISBLANK($B77:$B81)),AB77:AB81,""))</f>
      </c>
      <c r="AC82" s="75">
        <f ref="AC82:AC82" t="array">SUM(IF(NOT(ISBLANK($B77:$B81)),AC77:AC81,""))</f>
      </c>
      <c r="AD82" s="76"/>
      <c r="AE82" s="76"/>
      <c r="AF82" s="77"/>
      <c r="AG82" s="78">
        <v>1</v>
      </c>
    </row>
    <row r="83" ht="0" hidden="1">
      <c r="A83" s="49"/>
      <c r="B83" s="50"/>
      <c r="C83" s="50"/>
      <c r="D83" s="79"/>
      <c r="E83" s="79"/>
      <c r="F83" s="79"/>
      <c r="G83" s="80"/>
      <c r="H83" s="80"/>
      <c r="I83" s="80"/>
      <c r="J83" s="52"/>
      <c r="K83" s="53"/>
      <c r="L83" s="53"/>
      <c r="M83" s="53"/>
      <c r="N83" s="52"/>
      <c r="O83" s="54"/>
      <c r="P83" s="81"/>
      <c r="Q83" s="56"/>
      <c r="R83" s="52"/>
      <c r="S83" s="81"/>
      <c r="T83" s="81"/>
      <c r="U83" s="52"/>
      <c r="V83" s="52"/>
      <c r="W83" s="52"/>
      <c r="X83" s="81"/>
      <c r="Y83" s="52"/>
      <c r="Z83" s="52"/>
      <c r="AA83" s="81"/>
      <c r="AB83" s="52"/>
      <c r="AC83" s="52"/>
      <c r="AD83" s="81"/>
      <c r="AE83" s="81"/>
      <c r="AF83" s="82"/>
      <c r="AG83" s="37"/>
    </row>
    <row r="84">
      <c r="A84" s="59"/>
      <c r="B84" s="60"/>
      <c r="C84" s="60"/>
      <c r="D84" s="61"/>
      <c r="E84" s="61"/>
      <c r="F84" s="61"/>
      <c r="G84" s="62"/>
      <c r="H84" s="62"/>
      <c r="I84" s="62"/>
      <c r="J84" s="63"/>
      <c r="K84" s="53"/>
      <c r="L84" s="53"/>
      <c r="M84" s="53"/>
      <c r="N84" s="63"/>
      <c r="O84" s="64"/>
      <c r="P84" s="55"/>
      <c r="Q84" s="65"/>
      <c r="R84" s="63"/>
      <c r="S84" s="55"/>
      <c r="T84" s="55"/>
      <c r="U84" s="63"/>
      <c r="V84" s="63"/>
      <c r="W84" s="63"/>
      <c r="X84" s="55"/>
      <c r="Y84" s="63"/>
      <c r="Z84" s="63"/>
      <c r="AA84" s="55"/>
      <c r="AB84" s="63"/>
      <c r="AC84" s="63"/>
      <c r="AD84" s="55"/>
      <c r="AE84" s="55"/>
      <c r="AF84" s="66"/>
      <c r="AG84" s="37"/>
    </row>
    <row r="85">
      <c r="A85" s="59"/>
      <c r="B85" s="60"/>
      <c r="C85" s="60"/>
      <c r="D85" s="61"/>
      <c r="E85" s="61"/>
      <c r="F85" s="61"/>
      <c r="G85" s="62"/>
      <c r="H85" s="62"/>
      <c r="I85" s="62"/>
      <c r="J85" s="63"/>
      <c r="K85" s="53"/>
      <c r="L85" s="53"/>
      <c r="M85" s="53"/>
      <c r="N85" s="63"/>
      <c r="O85" s="64"/>
      <c r="P85" s="55"/>
      <c r="Q85" s="65"/>
      <c r="R85" s="63"/>
      <c r="S85" s="55"/>
      <c r="T85" s="55"/>
      <c r="U85" s="63"/>
      <c r="V85" s="63"/>
      <c r="W85" s="63"/>
      <c r="X85" s="55"/>
      <c r="Y85" s="63"/>
      <c r="Z85" s="63"/>
      <c r="AA85" s="55"/>
      <c r="AB85" s="63"/>
      <c r="AC85" s="63"/>
      <c r="AD85" s="55"/>
      <c r="AE85" s="55"/>
      <c r="AF85" s="66"/>
      <c r="AG85" s="37"/>
    </row>
    <row r="86">
      <c r="A86" s="71"/>
      <c r="B86" s="72"/>
      <c r="C86" s="72"/>
      <c r="D86" s="73"/>
      <c r="E86" s="73"/>
      <c r="F86" s="73"/>
      <c r="G86" s="74"/>
      <c r="H86" s="74"/>
      <c r="I86" s="74"/>
      <c r="J86" s="53"/>
      <c r="K86" s="53"/>
      <c r="L86" s="53"/>
      <c r="M86" s="53"/>
      <c r="N86" s="53"/>
      <c r="O86" s="67"/>
      <c r="P86" s="68"/>
      <c r="Q86" s="69"/>
      <c r="R86" s="53"/>
      <c r="S86" s="68"/>
      <c r="T86" s="68"/>
      <c r="U86" s="53"/>
      <c r="V86" s="53"/>
      <c r="W86" s="53"/>
      <c r="X86" s="68"/>
      <c r="Y86" s="53"/>
      <c r="Z86" s="53"/>
      <c r="AA86" s="68"/>
      <c r="AB86" s="53"/>
      <c r="AC86" s="53"/>
      <c r="AD86" s="68"/>
      <c r="AE86" s="68"/>
      <c r="AF86" s="70"/>
      <c r="AG86" s="37"/>
    </row>
    <row r="87">
      <c r="A87" s="71"/>
      <c r="B87" s="72"/>
      <c r="C87" s="72"/>
      <c r="D87" s="73"/>
      <c r="E87" s="73"/>
      <c r="F87" s="73"/>
      <c r="G87" s="74"/>
      <c r="H87" s="74"/>
      <c r="I87" s="74"/>
      <c r="J87" s="53"/>
      <c r="K87" s="53"/>
      <c r="L87" s="53"/>
      <c r="M87" s="53"/>
      <c r="N87" s="53"/>
      <c r="O87" s="67"/>
      <c r="P87" s="68"/>
      <c r="Q87" s="69"/>
      <c r="R87" s="53"/>
      <c r="S87" s="68"/>
      <c r="T87" s="68"/>
      <c r="U87" s="53"/>
      <c r="V87" s="53"/>
      <c r="W87" s="53"/>
      <c r="X87" s="68"/>
      <c r="Y87" s="53"/>
      <c r="Z87" s="53"/>
      <c r="AA87" s="68"/>
      <c r="AB87" s="53"/>
      <c r="AC87" s="53"/>
      <c r="AD87" s="68"/>
      <c r="AE87" s="68"/>
      <c r="AF87" s="70"/>
      <c r="AG87" s="37"/>
    </row>
    <row r="88">
      <c r="A88" s="83">
        <f>IF(COUNTA(M84:M87)=0,"",IF(COUNTA(F84:F87)=0,IF(COUNTA(D84:D87)=0,"Totals - Final","Totals - Estimated"),"Totals - Corrected"))</f>
      </c>
      <c r="B88" s="86">
        <f>IF(ISNA(INDEX(B84:B87,MAX(MATCH(REPT("z",255),B84:B87)))),"",INDEX(B84:B87,MAX(MATCH(REPT("z",255),B84:B87))))</f>
      </c>
      <c r="C88" s="86">
        <f>IF(ISNA(INDEX(C84:C87,MAX(MATCH(REPT("z",255),C84:C87)))),"",INDEX(C84:C87,MAX(MATCH(REPT("z",255),C84:C87))))</f>
      </c>
      <c r="D88" s="86">
        <f>IF(ISNA(INDEX(A84:A87,MAX(MATCH(REPT("z",255),A84:A87)))),"",INDEX(A84:A87,MAX(MATCH(REPT("z",255),A84:A87))))</f>
      </c>
      <c r="E88" s="84"/>
      <c r="F88" s="84"/>
      <c r="G88" s="85"/>
      <c r="H88" s="85"/>
      <c r="I88" s="85"/>
      <c r="J88" s="75">
        <f ref="J88:J88" t="array">SUM(IF(NOT(ISBLANK($B83:$B87)),J83:J87,""))</f>
      </c>
      <c r="K88" s="75">
        <f ref="K88:K88" t="array">SUM(IF(NOT(ISBLANK($B83:$B87)),K83:K87,""))</f>
      </c>
      <c r="L88" s="75">
        <f ref="L88:L88" t="array">SUM(IF(NOT(ISBLANK($B83:$B87)),L83:L87,""))</f>
      </c>
      <c r="M88" s="75">
        <f ref="M88:M88" t="array">SUM(IF(NOT(ISBLANK($B83:$B87)),M83:M87,""))</f>
      </c>
      <c r="N88" s="75">
        <f ref="N88:N88" t="array">SUM(IF(NOT(ISBLANK($B83:$B87)),N83:N87,""))</f>
      </c>
      <c r="O88" s="75">
        <f ref="O88:O88" t="array">SUM(IF(NOT(ISBLANK($B83:$B87)),O83:O87,""))</f>
      </c>
      <c r="P88" s="76"/>
      <c r="Q88" s="75">
        <f ref="Q88:Q88" t="array">SUM(IF(NOT(ISBLANK($B83:$B87)),Q83:Q87,""))</f>
      </c>
      <c r="R88" s="75">
        <f ref="R88:R88" t="array">SUM(IF(NOT(ISBLANK($B83:$B87)),R83:R87,""))</f>
      </c>
      <c r="S88" s="76"/>
      <c r="T88" s="76"/>
      <c r="U88" s="75">
        <f ref="U88:U88" t="array">SUM(IF(NOT(ISBLANK($B83:$B87)),U83:U87,""))</f>
      </c>
      <c r="V88" s="75">
        <f ref="V88:V88" t="array">SUM(IF(NOT(ISBLANK($B83:$B87)),V83:V87,""))</f>
      </c>
      <c r="W88" s="75">
        <f ref="W88:W88" t="array">SUM(IF(NOT(ISBLANK($B83:$B87)),W83:W87,""))</f>
      </c>
      <c r="X88" s="76"/>
      <c r="Y88" s="75">
        <f ref="Y88:Y88" t="array">SUM(IF(NOT(ISBLANK($B83:$B87)),Y83:Y87,""))</f>
      </c>
      <c r="Z88" s="75">
        <f ref="Z88:Z88" t="array">SUM(IF(NOT(ISBLANK($B83:$B87)),Z83:Z87,""))</f>
      </c>
      <c r="AA88" s="76"/>
      <c r="AB88" s="75">
        <f ref="AB88:AB88" t="array">SUM(IF(NOT(ISBLANK($B83:$B87)),AB83:AB87,""))</f>
      </c>
      <c r="AC88" s="75">
        <f ref="AC88:AC88" t="array">SUM(IF(NOT(ISBLANK($B83:$B87)),AC83:AC87,""))</f>
      </c>
      <c r="AD88" s="76"/>
      <c r="AE88" s="76"/>
      <c r="AF88" s="77"/>
      <c r="AG88" s="78">
        <v>1</v>
      </c>
    </row>
    <row r="89" ht="0" hidden="1">
      <c r="A89" s="49"/>
      <c r="B89" s="50"/>
      <c r="C89" s="50"/>
      <c r="D89" s="79"/>
      <c r="E89" s="79"/>
      <c r="F89" s="79"/>
      <c r="G89" s="80"/>
      <c r="H89" s="80"/>
      <c r="I89" s="80"/>
      <c r="J89" s="52"/>
      <c r="K89" s="53"/>
      <c r="L89" s="53"/>
      <c r="M89" s="53"/>
      <c r="N89" s="52"/>
      <c r="O89" s="54"/>
      <c r="P89" s="81"/>
      <c r="Q89" s="56"/>
      <c r="R89" s="52"/>
      <c r="S89" s="81"/>
      <c r="T89" s="81"/>
      <c r="U89" s="52"/>
      <c r="V89" s="52"/>
      <c r="W89" s="52"/>
      <c r="X89" s="81"/>
      <c r="Y89" s="52"/>
      <c r="Z89" s="52"/>
      <c r="AA89" s="81"/>
      <c r="AB89" s="52"/>
      <c r="AC89" s="52"/>
      <c r="AD89" s="81"/>
      <c r="AE89" s="81"/>
      <c r="AF89" s="82"/>
      <c r="AG89" s="37"/>
    </row>
    <row r="90">
      <c r="A90" s="59"/>
      <c r="B90" s="60"/>
      <c r="C90" s="60"/>
      <c r="D90" s="61"/>
      <c r="E90" s="61"/>
      <c r="F90" s="61"/>
      <c r="G90" s="62"/>
      <c r="H90" s="62"/>
      <c r="I90" s="62"/>
      <c r="J90" s="63"/>
      <c r="K90" s="53"/>
      <c r="L90" s="53"/>
      <c r="M90" s="53"/>
      <c r="N90" s="63"/>
      <c r="O90" s="64"/>
      <c r="P90" s="55"/>
      <c r="Q90" s="65"/>
      <c r="R90" s="63"/>
      <c r="S90" s="55"/>
      <c r="T90" s="55"/>
      <c r="U90" s="63"/>
      <c r="V90" s="63"/>
      <c r="W90" s="63"/>
      <c r="X90" s="55"/>
      <c r="Y90" s="63"/>
      <c r="Z90" s="63"/>
      <c r="AA90" s="55"/>
      <c r="AB90" s="63"/>
      <c r="AC90" s="63"/>
      <c r="AD90" s="55"/>
      <c r="AE90" s="55"/>
      <c r="AF90" s="66"/>
      <c r="AG90" s="37"/>
    </row>
    <row r="91">
      <c r="A91" s="59"/>
      <c r="B91" s="60"/>
      <c r="C91" s="60"/>
      <c r="D91" s="61"/>
      <c r="E91" s="61"/>
      <c r="F91" s="61"/>
      <c r="G91" s="62"/>
      <c r="H91" s="62"/>
      <c r="I91" s="62"/>
      <c r="J91" s="63"/>
      <c r="K91" s="53"/>
      <c r="L91" s="53"/>
      <c r="M91" s="53"/>
      <c r="N91" s="63"/>
      <c r="O91" s="64"/>
      <c r="P91" s="55"/>
      <c r="Q91" s="65"/>
      <c r="R91" s="63"/>
      <c r="S91" s="55"/>
      <c r="T91" s="55"/>
      <c r="U91" s="63"/>
      <c r="V91" s="63"/>
      <c r="W91" s="63"/>
      <c r="X91" s="55"/>
      <c r="Y91" s="63"/>
      <c r="Z91" s="63"/>
      <c r="AA91" s="55"/>
      <c r="AB91" s="63"/>
      <c r="AC91" s="63"/>
      <c r="AD91" s="55"/>
      <c r="AE91" s="55"/>
      <c r="AF91" s="66"/>
      <c r="AG91" s="37"/>
    </row>
    <row r="92">
      <c r="A92" s="71"/>
      <c r="B92" s="72"/>
      <c r="C92" s="72"/>
      <c r="D92" s="73"/>
      <c r="E92" s="73"/>
      <c r="F92" s="73"/>
      <c r="G92" s="74"/>
      <c r="H92" s="74"/>
      <c r="I92" s="74"/>
      <c r="J92" s="53"/>
      <c r="K92" s="53"/>
      <c r="L92" s="53"/>
      <c r="M92" s="53"/>
      <c r="N92" s="53"/>
      <c r="O92" s="67"/>
      <c r="P92" s="68"/>
      <c r="Q92" s="69"/>
      <c r="R92" s="53"/>
      <c r="S92" s="68"/>
      <c r="T92" s="68"/>
      <c r="U92" s="53"/>
      <c r="V92" s="53"/>
      <c r="W92" s="53"/>
      <c r="X92" s="68"/>
      <c r="Y92" s="53"/>
      <c r="Z92" s="53"/>
      <c r="AA92" s="68"/>
      <c r="AB92" s="53"/>
      <c r="AC92" s="53"/>
      <c r="AD92" s="68"/>
      <c r="AE92" s="68"/>
      <c r="AF92" s="70"/>
      <c r="AG92" s="37"/>
    </row>
    <row r="93">
      <c r="A93" s="71"/>
      <c r="B93" s="72"/>
      <c r="C93" s="72"/>
      <c r="D93" s="73"/>
      <c r="E93" s="73"/>
      <c r="F93" s="73"/>
      <c r="G93" s="74"/>
      <c r="H93" s="74"/>
      <c r="I93" s="74"/>
      <c r="J93" s="53"/>
      <c r="K93" s="53"/>
      <c r="L93" s="53"/>
      <c r="M93" s="53"/>
      <c r="N93" s="53"/>
      <c r="O93" s="67"/>
      <c r="P93" s="68"/>
      <c r="Q93" s="69"/>
      <c r="R93" s="53"/>
      <c r="S93" s="68"/>
      <c r="T93" s="68"/>
      <c r="U93" s="53"/>
      <c r="V93" s="53"/>
      <c r="W93" s="53"/>
      <c r="X93" s="68"/>
      <c r="Y93" s="53"/>
      <c r="Z93" s="53"/>
      <c r="AA93" s="68"/>
      <c r="AB93" s="53"/>
      <c r="AC93" s="53"/>
      <c r="AD93" s="68"/>
      <c r="AE93" s="68"/>
      <c r="AF93" s="70"/>
      <c r="AG93" s="37"/>
    </row>
    <row r="94">
      <c r="A94" s="83">
        <f>IF(COUNTA(M90:M93)=0,"",IF(COUNTA(F90:F93)=0,IF(COUNTA(D90:D93)=0,"Totals - Final","Totals - Estimated"),"Totals - Corrected"))</f>
      </c>
      <c r="B94" s="86">
        <f>IF(ISNA(INDEX(B90:B93,MAX(MATCH(REPT("z",255),B90:B93)))),"",INDEX(B90:B93,MAX(MATCH(REPT("z",255),B90:B93))))</f>
      </c>
      <c r="C94" s="86">
        <f>IF(ISNA(INDEX(C90:C93,MAX(MATCH(REPT("z",255),C90:C93)))),"",INDEX(C90:C93,MAX(MATCH(REPT("z",255),C90:C93))))</f>
      </c>
      <c r="D94" s="86">
        <f>IF(ISNA(INDEX(A90:A93,MAX(MATCH(REPT("z",255),A90:A93)))),"",INDEX(A90:A93,MAX(MATCH(REPT("z",255),A90:A93))))</f>
      </c>
      <c r="E94" s="84"/>
      <c r="F94" s="84"/>
      <c r="G94" s="85"/>
      <c r="H94" s="85"/>
      <c r="I94" s="85"/>
      <c r="J94" s="75">
        <f ref="J94:J94" t="array">SUM(IF(NOT(ISBLANK($B89:$B93)),J89:J93,""))</f>
      </c>
      <c r="K94" s="75">
        <f ref="K94:K94" t="array">SUM(IF(NOT(ISBLANK($B89:$B93)),K89:K93,""))</f>
      </c>
      <c r="L94" s="75">
        <f ref="L94:L94" t="array">SUM(IF(NOT(ISBLANK($B89:$B93)),L89:L93,""))</f>
      </c>
      <c r="M94" s="75">
        <f ref="M94:M94" t="array">SUM(IF(NOT(ISBLANK($B89:$B93)),M89:M93,""))</f>
      </c>
      <c r="N94" s="75">
        <f ref="N94:N94" t="array">SUM(IF(NOT(ISBLANK($B89:$B93)),N89:N93,""))</f>
      </c>
      <c r="O94" s="75">
        <f ref="O94:O94" t="array">SUM(IF(NOT(ISBLANK($B89:$B93)),O89:O93,""))</f>
      </c>
      <c r="P94" s="76"/>
      <c r="Q94" s="75">
        <f ref="Q94:Q94" t="array">SUM(IF(NOT(ISBLANK($B89:$B93)),Q89:Q93,""))</f>
      </c>
      <c r="R94" s="75">
        <f ref="R94:R94" t="array">SUM(IF(NOT(ISBLANK($B89:$B93)),R89:R93,""))</f>
      </c>
      <c r="S94" s="76"/>
      <c r="T94" s="76"/>
      <c r="U94" s="75">
        <f ref="U94:U94" t="array">SUM(IF(NOT(ISBLANK($B89:$B93)),U89:U93,""))</f>
      </c>
      <c r="V94" s="75">
        <f ref="V94:V94" t="array">SUM(IF(NOT(ISBLANK($B89:$B93)),V89:V93,""))</f>
      </c>
      <c r="W94" s="75">
        <f ref="W94:W94" t="array">SUM(IF(NOT(ISBLANK($B89:$B93)),W89:W93,""))</f>
      </c>
      <c r="X94" s="76"/>
      <c r="Y94" s="75">
        <f ref="Y94:Y94" t="array">SUM(IF(NOT(ISBLANK($B89:$B93)),Y89:Y93,""))</f>
      </c>
      <c r="Z94" s="75">
        <f ref="Z94:Z94" t="array">SUM(IF(NOT(ISBLANK($B89:$B93)),Z89:Z93,""))</f>
      </c>
      <c r="AA94" s="76"/>
      <c r="AB94" s="75">
        <f ref="AB94:AB94" t="array">SUM(IF(NOT(ISBLANK($B89:$B93)),AB89:AB93,""))</f>
      </c>
      <c r="AC94" s="75">
        <f ref="AC94:AC94" t="array">SUM(IF(NOT(ISBLANK($B89:$B93)),AC89:AC93,""))</f>
      </c>
      <c r="AD94" s="76"/>
      <c r="AE94" s="76"/>
      <c r="AF94" s="77"/>
      <c r="AG94" s="78">
        <v>1</v>
      </c>
    </row>
    <row r="95" ht="0" hidden="1">
      <c r="A95" s="49"/>
      <c r="B95" s="50"/>
      <c r="C95" s="50"/>
      <c r="D95" s="79"/>
      <c r="E95" s="79"/>
      <c r="F95" s="79"/>
      <c r="G95" s="80"/>
      <c r="H95" s="80"/>
      <c r="I95" s="80"/>
      <c r="J95" s="52"/>
      <c r="K95" s="53"/>
      <c r="L95" s="53"/>
      <c r="M95" s="53"/>
      <c r="N95" s="52"/>
      <c r="O95" s="54"/>
      <c r="P95" s="81"/>
      <c r="Q95" s="56"/>
      <c r="R95" s="52"/>
      <c r="S95" s="81"/>
      <c r="T95" s="81"/>
      <c r="U95" s="52"/>
      <c r="V95" s="52"/>
      <c r="W95" s="52"/>
      <c r="X95" s="81"/>
      <c r="Y95" s="52"/>
      <c r="Z95" s="52"/>
      <c r="AA95" s="81"/>
      <c r="AB95" s="52"/>
      <c r="AC95" s="52"/>
      <c r="AD95" s="81"/>
      <c r="AE95" s="81"/>
      <c r="AF95" s="82"/>
      <c r="AG95" s="37"/>
    </row>
    <row r="96">
      <c r="A96" s="59"/>
      <c r="B96" s="60"/>
      <c r="C96" s="60"/>
      <c r="D96" s="61"/>
      <c r="E96" s="61"/>
      <c r="F96" s="61"/>
      <c r="G96" s="62"/>
      <c r="H96" s="62"/>
      <c r="I96" s="62"/>
      <c r="J96" s="63"/>
      <c r="K96" s="53"/>
      <c r="L96" s="53"/>
      <c r="M96" s="53"/>
      <c r="N96" s="63"/>
      <c r="O96" s="64"/>
      <c r="P96" s="55"/>
      <c r="Q96" s="65"/>
      <c r="R96" s="63"/>
      <c r="S96" s="55"/>
      <c r="T96" s="55"/>
      <c r="U96" s="63"/>
      <c r="V96" s="63"/>
      <c r="W96" s="63"/>
      <c r="X96" s="55"/>
      <c r="Y96" s="63"/>
      <c r="Z96" s="63"/>
      <c r="AA96" s="55"/>
      <c r="AB96" s="63"/>
      <c r="AC96" s="63"/>
      <c r="AD96" s="55"/>
      <c r="AE96" s="55"/>
      <c r="AF96" s="66"/>
      <c r="AG96" s="37"/>
    </row>
    <row r="97">
      <c r="A97" s="59"/>
      <c r="B97" s="60"/>
      <c r="C97" s="60"/>
      <c r="D97" s="61"/>
      <c r="E97" s="61"/>
      <c r="F97" s="61"/>
      <c r="G97" s="62"/>
      <c r="H97" s="62"/>
      <c r="I97" s="62"/>
      <c r="J97" s="63"/>
      <c r="K97" s="53"/>
      <c r="L97" s="53"/>
      <c r="M97" s="53"/>
      <c r="N97" s="63"/>
      <c r="O97" s="64"/>
      <c r="P97" s="55"/>
      <c r="Q97" s="65"/>
      <c r="R97" s="63"/>
      <c r="S97" s="55"/>
      <c r="T97" s="55"/>
      <c r="U97" s="63"/>
      <c r="V97" s="63"/>
      <c r="W97" s="63"/>
      <c r="X97" s="55"/>
      <c r="Y97" s="63"/>
      <c r="Z97" s="63"/>
      <c r="AA97" s="55"/>
      <c r="AB97" s="63"/>
      <c r="AC97" s="63"/>
      <c r="AD97" s="55"/>
      <c r="AE97" s="55"/>
      <c r="AF97" s="66"/>
      <c r="AG97" s="37"/>
    </row>
    <row r="98">
      <c r="A98" s="71"/>
      <c r="B98" s="72"/>
      <c r="C98" s="72"/>
      <c r="D98" s="73"/>
      <c r="E98" s="73"/>
      <c r="F98" s="73"/>
      <c r="G98" s="74"/>
      <c r="H98" s="74"/>
      <c r="I98" s="74"/>
      <c r="J98" s="53"/>
      <c r="K98" s="53"/>
      <c r="L98" s="53"/>
      <c r="M98" s="53"/>
      <c r="N98" s="53"/>
      <c r="O98" s="67"/>
      <c r="P98" s="68"/>
      <c r="Q98" s="69"/>
      <c r="R98" s="53"/>
      <c r="S98" s="68"/>
      <c r="T98" s="68"/>
      <c r="U98" s="53"/>
      <c r="V98" s="53"/>
      <c r="W98" s="53"/>
      <c r="X98" s="68"/>
      <c r="Y98" s="53"/>
      <c r="Z98" s="53"/>
      <c r="AA98" s="68"/>
      <c r="AB98" s="53"/>
      <c r="AC98" s="53"/>
      <c r="AD98" s="68"/>
      <c r="AE98" s="68"/>
      <c r="AF98" s="70"/>
      <c r="AG98" s="37"/>
    </row>
    <row r="99">
      <c r="A99" s="71"/>
      <c r="B99" s="72"/>
      <c r="C99" s="72"/>
      <c r="D99" s="73"/>
      <c r="E99" s="73"/>
      <c r="F99" s="73"/>
      <c r="G99" s="74"/>
      <c r="H99" s="74"/>
      <c r="I99" s="74"/>
      <c r="J99" s="53"/>
      <c r="K99" s="53"/>
      <c r="L99" s="53"/>
      <c r="M99" s="53"/>
      <c r="N99" s="53"/>
      <c r="O99" s="67"/>
      <c r="P99" s="68"/>
      <c r="Q99" s="69"/>
      <c r="R99" s="53"/>
      <c r="S99" s="68"/>
      <c r="T99" s="68"/>
      <c r="U99" s="53"/>
      <c r="V99" s="53"/>
      <c r="W99" s="53"/>
      <c r="X99" s="68"/>
      <c r="Y99" s="53"/>
      <c r="Z99" s="53"/>
      <c r="AA99" s="68"/>
      <c r="AB99" s="53"/>
      <c r="AC99" s="53"/>
      <c r="AD99" s="68"/>
      <c r="AE99" s="68"/>
      <c r="AF99" s="70"/>
      <c r="AG99" s="37"/>
    </row>
    <row r="100">
      <c r="A100" s="83">
        <f>IF(COUNTA(M96:M99)=0,"",IF(COUNTA(F96:F99)=0,IF(COUNTA(D96:D99)=0,"Totals - Final","Totals - Estimated"),"Totals - Corrected"))</f>
      </c>
      <c r="B100" s="86">
        <f>IF(ISNA(INDEX(B96:B99,MAX(MATCH(REPT("z",255),B96:B99)))),"",INDEX(B96:B99,MAX(MATCH(REPT("z",255),B96:B99))))</f>
      </c>
      <c r="C100" s="86">
        <f>IF(ISNA(INDEX(C96:C99,MAX(MATCH(REPT("z",255),C96:C99)))),"",INDEX(C96:C99,MAX(MATCH(REPT("z",255),C96:C99))))</f>
      </c>
      <c r="D100" s="86">
        <f>IF(ISNA(INDEX(A96:A99,MAX(MATCH(REPT("z",255),A96:A99)))),"",INDEX(A96:A99,MAX(MATCH(REPT("z",255),A96:A99))))</f>
      </c>
      <c r="E100" s="84"/>
      <c r="F100" s="84"/>
      <c r="G100" s="85"/>
      <c r="H100" s="85"/>
      <c r="I100" s="85"/>
      <c r="J100" s="75">
        <f ref="J100:J100" t="array">SUM(IF(NOT(ISBLANK($B95:$B99)),J95:J99,""))</f>
      </c>
      <c r="K100" s="75">
        <f ref="K100:K100" t="array">SUM(IF(NOT(ISBLANK($B95:$B99)),K95:K99,""))</f>
      </c>
      <c r="L100" s="75">
        <f ref="L100:L100" t="array">SUM(IF(NOT(ISBLANK($B95:$B99)),L95:L99,""))</f>
      </c>
      <c r="M100" s="75">
        <f ref="M100:M100" t="array">SUM(IF(NOT(ISBLANK($B95:$B99)),M95:M99,""))</f>
      </c>
      <c r="N100" s="75">
        <f ref="N100:N100" t="array">SUM(IF(NOT(ISBLANK($B95:$B99)),N95:N99,""))</f>
      </c>
      <c r="O100" s="75">
        <f ref="O100:O100" t="array">SUM(IF(NOT(ISBLANK($B95:$B99)),O95:O99,""))</f>
      </c>
      <c r="P100" s="76"/>
      <c r="Q100" s="75">
        <f ref="Q100:Q100" t="array">SUM(IF(NOT(ISBLANK($B95:$B99)),Q95:Q99,""))</f>
      </c>
      <c r="R100" s="75">
        <f ref="R100:R100" t="array">SUM(IF(NOT(ISBLANK($B95:$B99)),R95:R99,""))</f>
      </c>
      <c r="S100" s="76"/>
      <c r="T100" s="76"/>
      <c r="U100" s="75">
        <f ref="U100:U100" t="array">SUM(IF(NOT(ISBLANK($B95:$B99)),U95:U99,""))</f>
      </c>
      <c r="V100" s="75">
        <f ref="V100:V100" t="array">SUM(IF(NOT(ISBLANK($B95:$B99)),V95:V99,""))</f>
      </c>
      <c r="W100" s="75">
        <f ref="W100:W100" t="array">SUM(IF(NOT(ISBLANK($B95:$B99)),W95:W99,""))</f>
      </c>
      <c r="X100" s="76"/>
      <c r="Y100" s="75">
        <f ref="Y100:Y100" t="array">SUM(IF(NOT(ISBLANK($B95:$B99)),Y95:Y99,""))</f>
      </c>
      <c r="Z100" s="75">
        <f ref="Z100:Z100" t="array">SUM(IF(NOT(ISBLANK($B95:$B99)),Z95:Z99,""))</f>
      </c>
      <c r="AA100" s="76"/>
      <c r="AB100" s="75">
        <f ref="AB100:AB100" t="array">SUM(IF(NOT(ISBLANK($B95:$B99)),AB95:AB99,""))</f>
      </c>
      <c r="AC100" s="75">
        <f ref="AC100:AC100" t="array">SUM(IF(NOT(ISBLANK($B95:$B99)),AC95:AC99,""))</f>
      </c>
      <c r="AD100" s="76"/>
      <c r="AE100" s="76"/>
      <c r="AF100" s="77"/>
      <c r="AG100" s="78">
        <v>1</v>
      </c>
    </row>
    <row r="101" ht="0" hidden="1">
      <c r="A101" s="49"/>
      <c r="B101" s="50"/>
      <c r="C101" s="50"/>
      <c r="D101" s="79"/>
      <c r="E101" s="79"/>
      <c r="F101" s="79"/>
      <c r="G101" s="80"/>
      <c r="H101" s="80"/>
      <c r="I101" s="80"/>
      <c r="J101" s="52"/>
      <c r="K101" s="53"/>
      <c r="L101" s="53"/>
      <c r="M101" s="53"/>
      <c r="N101" s="52"/>
      <c r="O101" s="54"/>
      <c r="P101" s="81"/>
      <c r="Q101" s="56"/>
      <c r="R101" s="52"/>
      <c r="S101" s="81"/>
      <c r="T101" s="81"/>
      <c r="U101" s="52"/>
      <c r="V101" s="52"/>
      <c r="W101" s="52"/>
      <c r="X101" s="81"/>
      <c r="Y101" s="52"/>
      <c r="Z101" s="52"/>
      <c r="AA101" s="81"/>
      <c r="AB101" s="52"/>
      <c r="AC101" s="52"/>
      <c r="AD101" s="81"/>
      <c r="AE101" s="81"/>
      <c r="AF101" s="82"/>
      <c r="AG101" s="37"/>
    </row>
    <row r="102">
      <c r="A102" s="59"/>
      <c r="B102" s="60"/>
      <c r="C102" s="60"/>
      <c r="D102" s="61"/>
      <c r="E102" s="61"/>
      <c r="F102" s="61"/>
      <c r="G102" s="62"/>
      <c r="H102" s="62"/>
      <c r="I102" s="62"/>
      <c r="J102" s="63"/>
      <c r="K102" s="53"/>
      <c r="L102" s="53"/>
      <c r="M102" s="53"/>
      <c r="N102" s="63"/>
      <c r="O102" s="64"/>
      <c r="P102" s="55"/>
      <c r="Q102" s="65"/>
      <c r="R102" s="63"/>
      <c r="S102" s="55"/>
      <c r="T102" s="55"/>
      <c r="U102" s="63"/>
      <c r="V102" s="63"/>
      <c r="W102" s="63"/>
      <c r="X102" s="55"/>
      <c r="Y102" s="63"/>
      <c r="Z102" s="63"/>
      <c r="AA102" s="55"/>
      <c r="AB102" s="63"/>
      <c r="AC102" s="63"/>
      <c r="AD102" s="55"/>
      <c r="AE102" s="55"/>
      <c r="AF102" s="66"/>
      <c r="AG102" s="37"/>
    </row>
    <row r="103">
      <c r="A103" s="59"/>
      <c r="B103" s="60"/>
      <c r="C103" s="60"/>
      <c r="D103" s="61"/>
      <c r="E103" s="61"/>
      <c r="F103" s="61"/>
      <c r="G103" s="62"/>
      <c r="H103" s="62"/>
      <c r="I103" s="62"/>
      <c r="J103" s="63"/>
      <c r="K103" s="53"/>
      <c r="L103" s="53"/>
      <c r="M103" s="53"/>
      <c r="N103" s="63"/>
      <c r="O103" s="64"/>
      <c r="P103" s="55"/>
      <c r="Q103" s="65"/>
      <c r="R103" s="63"/>
      <c r="S103" s="55"/>
      <c r="T103" s="55"/>
      <c r="U103" s="63"/>
      <c r="V103" s="63"/>
      <c r="W103" s="63"/>
      <c r="X103" s="55"/>
      <c r="Y103" s="63"/>
      <c r="Z103" s="63"/>
      <c r="AA103" s="55"/>
      <c r="AB103" s="63"/>
      <c r="AC103" s="63"/>
      <c r="AD103" s="55"/>
      <c r="AE103" s="55"/>
      <c r="AF103" s="66"/>
      <c r="AG103" s="37"/>
    </row>
    <row r="104">
      <c r="A104" s="71"/>
      <c r="B104" s="72"/>
      <c r="C104" s="72"/>
      <c r="D104" s="73"/>
      <c r="E104" s="73"/>
      <c r="F104" s="73"/>
      <c r="G104" s="74"/>
      <c r="H104" s="74"/>
      <c r="I104" s="74"/>
      <c r="J104" s="53"/>
      <c r="K104" s="53"/>
      <c r="L104" s="53"/>
      <c r="M104" s="53"/>
      <c r="N104" s="53"/>
      <c r="O104" s="67"/>
      <c r="P104" s="68"/>
      <c r="Q104" s="69"/>
      <c r="R104" s="53"/>
      <c r="S104" s="68"/>
      <c r="T104" s="68"/>
      <c r="U104" s="53"/>
      <c r="V104" s="53"/>
      <c r="W104" s="53"/>
      <c r="X104" s="68"/>
      <c r="Y104" s="53"/>
      <c r="Z104" s="53"/>
      <c r="AA104" s="68"/>
      <c r="AB104" s="53"/>
      <c r="AC104" s="53"/>
      <c r="AD104" s="68"/>
      <c r="AE104" s="68"/>
      <c r="AF104" s="70"/>
      <c r="AG104" s="37"/>
    </row>
    <row r="105">
      <c r="A105" s="71"/>
      <c r="B105" s="72"/>
      <c r="C105" s="72"/>
      <c r="D105" s="73"/>
      <c r="E105" s="73"/>
      <c r="F105" s="73"/>
      <c r="G105" s="74"/>
      <c r="H105" s="74"/>
      <c r="I105" s="74"/>
      <c r="J105" s="53"/>
      <c r="K105" s="53"/>
      <c r="L105" s="53"/>
      <c r="M105" s="53"/>
      <c r="N105" s="53"/>
      <c r="O105" s="67"/>
      <c r="P105" s="68"/>
      <c r="Q105" s="69"/>
      <c r="R105" s="53"/>
      <c r="S105" s="68"/>
      <c r="T105" s="68"/>
      <c r="U105" s="53"/>
      <c r="V105" s="53"/>
      <c r="W105" s="53"/>
      <c r="X105" s="68"/>
      <c r="Y105" s="53"/>
      <c r="Z105" s="53"/>
      <c r="AA105" s="68"/>
      <c r="AB105" s="53"/>
      <c r="AC105" s="53"/>
      <c r="AD105" s="68"/>
      <c r="AE105" s="68"/>
      <c r="AF105" s="70"/>
      <c r="AG105" s="37"/>
    </row>
    <row r="106">
      <c r="A106" s="83">
        <f>IF(COUNTA(M102:M105)=0,"",IF(COUNTA(F102:F105)=0,IF(COUNTA(D102:D105)=0,"Totals - Final","Totals - Estimated"),"Totals - Corrected"))</f>
      </c>
      <c r="B106" s="86">
        <f>IF(ISNA(INDEX(B102:B105,MAX(MATCH(REPT("z",255),B102:B105)))),"",INDEX(B102:B105,MAX(MATCH(REPT("z",255),B102:B105))))</f>
      </c>
      <c r="C106" s="86">
        <f>IF(ISNA(INDEX(C102:C105,MAX(MATCH(REPT("z",255),C102:C105)))),"",INDEX(C102:C105,MAX(MATCH(REPT("z",255),C102:C105))))</f>
      </c>
      <c r="D106" s="86">
        <f>IF(ISNA(INDEX(A102:A105,MAX(MATCH(REPT("z",255),A102:A105)))),"",INDEX(A102:A105,MAX(MATCH(REPT("z",255),A102:A105))))</f>
      </c>
      <c r="E106" s="84"/>
      <c r="F106" s="84"/>
      <c r="G106" s="85"/>
      <c r="H106" s="85"/>
      <c r="I106" s="85"/>
      <c r="J106" s="75">
        <f ref="J106:J106" t="array">SUM(IF(NOT(ISBLANK($B101:$B105)),J101:J105,""))</f>
      </c>
      <c r="K106" s="75">
        <f ref="K106:K106" t="array">SUM(IF(NOT(ISBLANK($B101:$B105)),K101:K105,""))</f>
      </c>
      <c r="L106" s="75">
        <f ref="L106:L106" t="array">SUM(IF(NOT(ISBLANK($B101:$B105)),L101:L105,""))</f>
      </c>
      <c r="M106" s="75">
        <f ref="M106:M106" t="array">SUM(IF(NOT(ISBLANK($B101:$B105)),M101:M105,""))</f>
      </c>
      <c r="N106" s="75">
        <f ref="N106:N106" t="array">SUM(IF(NOT(ISBLANK($B101:$B105)),N101:N105,""))</f>
      </c>
      <c r="O106" s="75">
        <f ref="O106:O106" t="array">SUM(IF(NOT(ISBLANK($B101:$B105)),O101:O105,""))</f>
      </c>
      <c r="P106" s="76"/>
      <c r="Q106" s="75">
        <f ref="Q106:Q106" t="array">SUM(IF(NOT(ISBLANK($B101:$B105)),Q101:Q105,""))</f>
      </c>
      <c r="R106" s="75">
        <f ref="R106:R106" t="array">SUM(IF(NOT(ISBLANK($B101:$B105)),R101:R105,""))</f>
      </c>
      <c r="S106" s="76"/>
      <c r="T106" s="76"/>
      <c r="U106" s="75">
        <f ref="U106:U106" t="array">SUM(IF(NOT(ISBLANK($B101:$B105)),U101:U105,""))</f>
      </c>
      <c r="V106" s="75">
        <f ref="V106:V106" t="array">SUM(IF(NOT(ISBLANK($B101:$B105)),V101:V105,""))</f>
      </c>
      <c r="W106" s="75">
        <f ref="W106:W106" t="array">SUM(IF(NOT(ISBLANK($B101:$B105)),W101:W105,""))</f>
      </c>
      <c r="X106" s="76"/>
      <c r="Y106" s="75">
        <f ref="Y106:Y106" t="array">SUM(IF(NOT(ISBLANK($B101:$B105)),Y101:Y105,""))</f>
      </c>
      <c r="Z106" s="75">
        <f ref="Z106:Z106" t="array">SUM(IF(NOT(ISBLANK($B101:$B105)),Z101:Z105,""))</f>
      </c>
      <c r="AA106" s="76"/>
      <c r="AB106" s="75">
        <f ref="AB106:AB106" t="array">SUM(IF(NOT(ISBLANK($B101:$B105)),AB101:AB105,""))</f>
      </c>
      <c r="AC106" s="75">
        <f ref="AC106:AC106" t="array">SUM(IF(NOT(ISBLANK($B101:$B105)),AC101:AC105,""))</f>
      </c>
      <c r="AD106" s="76"/>
      <c r="AE106" s="76"/>
      <c r="AF106" s="77"/>
      <c r="AG106" s="78">
        <v>1</v>
      </c>
    </row>
    <row r="107" ht="0" hidden="1">
      <c r="A107" s="49"/>
      <c r="B107" s="50"/>
      <c r="C107" s="50"/>
      <c r="D107" s="79"/>
      <c r="E107" s="79"/>
      <c r="F107" s="79"/>
      <c r="G107" s="80"/>
      <c r="H107" s="80"/>
      <c r="I107" s="80"/>
      <c r="J107" s="52"/>
      <c r="K107" s="53"/>
      <c r="L107" s="53"/>
      <c r="M107" s="53"/>
      <c r="N107" s="52"/>
      <c r="O107" s="54"/>
      <c r="P107" s="81"/>
      <c r="Q107" s="56"/>
      <c r="R107" s="52"/>
      <c r="S107" s="81"/>
      <c r="T107" s="81"/>
      <c r="U107" s="52"/>
      <c r="V107" s="52"/>
      <c r="W107" s="52"/>
      <c r="X107" s="81"/>
      <c r="Y107" s="52"/>
      <c r="Z107" s="52"/>
      <c r="AA107" s="81"/>
      <c r="AB107" s="52"/>
      <c r="AC107" s="52"/>
      <c r="AD107" s="81"/>
      <c r="AE107" s="81"/>
      <c r="AF107" s="82"/>
      <c r="AG107" s="37"/>
    </row>
    <row r="108">
      <c r="A108" s="59"/>
      <c r="B108" s="60"/>
      <c r="C108" s="60"/>
      <c r="D108" s="61"/>
      <c r="E108" s="61"/>
      <c r="F108" s="61"/>
      <c r="G108" s="62"/>
      <c r="H108" s="62"/>
      <c r="I108" s="62"/>
      <c r="J108" s="63"/>
      <c r="K108" s="53"/>
      <c r="L108" s="53"/>
      <c r="M108" s="53"/>
      <c r="N108" s="63"/>
      <c r="O108" s="64"/>
      <c r="P108" s="55"/>
      <c r="Q108" s="65"/>
      <c r="R108" s="63"/>
      <c r="S108" s="55"/>
      <c r="T108" s="55"/>
      <c r="U108" s="63"/>
      <c r="V108" s="63"/>
      <c r="W108" s="63"/>
      <c r="X108" s="55"/>
      <c r="Y108" s="63"/>
      <c r="Z108" s="63"/>
      <c r="AA108" s="55"/>
      <c r="AB108" s="63"/>
      <c r="AC108" s="63"/>
      <c r="AD108" s="55"/>
      <c r="AE108" s="55"/>
      <c r="AF108" s="66"/>
      <c r="AG108" s="37"/>
    </row>
    <row r="109">
      <c r="A109" s="59"/>
      <c r="B109" s="60"/>
      <c r="C109" s="60"/>
      <c r="D109" s="61"/>
      <c r="E109" s="61"/>
      <c r="F109" s="61"/>
      <c r="G109" s="62"/>
      <c r="H109" s="62"/>
      <c r="I109" s="62"/>
      <c r="J109" s="63"/>
      <c r="K109" s="53"/>
      <c r="L109" s="53"/>
      <c r="M109" s="53"/>
      <c r="N109" s="63"/>
      <c r="O109" s="64"/>
      <c r="P109" s="55"/>
      <c r="Q109" s="65"/>
      <c r="R109" s="63"/>
      <c r="S109" s="55"/>
      <c r="T109" s="55"/>
      <c r="U109" s="63"/>
      <c r="V109" s="63"/>
      <c r="W109" s="63"/>
      <c r="X109" s="55"/>
      <c r="Y109" s="63"/>
      <c r="Z109" s="63"/>
      <c r="AA109" s="55"/>
      <c r="AB109" s="63"/>
      <c r="AC109" s="63"/>
      <c r="AD109" s="55"/>
      <c r="AE109" s="55"/>
      <c r="AF109" s="66"/>
      <c r="AG109" s="37"/>
    </row>
    <row r="110">
      <c r="A110" s="71"/>
      <c r="B110" s="72"/>
      <c r="C110" s="72"/>
      <c r="D110" s="73"/>
      <c r="E110" s="73"/>
      <c r="F110" s="73"/>
      <c r="G110" s="74"/>
      <c r="H110" s="74"/>
      <c r="I110" s="74"/>
      <c r="J110" s="53"/>
      <c r="K110" s="53"/>
      <c r="L110" s="53"/>
      <c r="M110" s="53"/>
      <c r="N110" s="53"/>
      <c r="O110" s="67"/>
      <c r="P110" s="68"/>
      <c r="Q110" s="69"/>
      <c r="R110" s="53"/>
      <c r="S110" s="68"/>
      <c r="T110" s="68"/>
      <c r="U110" s="53"/>
      <c r="V110" s="53"/>
      <c r="W110" s="53"/>
      <c r="X110" s="68"/>
      <c r="Y110" s="53"/>
      <c r="Z110" s="53"/>
      <c r="AA110" s="68"/>
      <c r="AB110" s="53"/>
      <c r="AC110" s="53"/>
      <c r="AD110" s="68"/>
      <c r="AE110" s="68"/>
      <c r="AF110" s="70"/>
      <c r="AG110" s="37"/>
    </row>
    <row r="111">
      <c r="A111" s="71"/>
      <c r="B111" s="72"/>
      <c r="C111" s="72"/>
      <c r="D111" s="73"/>
      <c r="E111" s="73"/>
      <c r="F111" s="73"/>
      <c r="G111" s="74"/>
      <c r="H111" s="74"/>
      <c r="I111" s="74"/>
      <c r="J111" s="53"/>
      <c r="K111" s="53"/>
      <c r="L111" s="53"/>
      <c r="M111" s="53"/>
      <c r="N111" s="53"/>
      <c r="O111" s="67"/>
      <c r="P111" s="68"/>
      <c r="Q111" s="69"/>
      <c r="R111" s="53"/>
      <c r="S111" s="68"/>
      <c r="T111" s="68"/>
      <c r="U111" s="53"/>
      <c r="V111" s="53"/>
      <c r="W111" s="53"/>
      <c r="X111" s="68"/>
      <c r="Y111" s="53"/>
      <c r="Z111" s="53"/>
      <c r="AA111" s="68"/>
      <c r="AB111" s="53"/>
      <c r="AC111" s="53"/>
      <c r="AD111" s="68"/>
      <c r="AE111" s="68"/>
      <c r="AF111" s="70"/>
      <c r="AG111" s="37"/>
    </row>
    <row r="112">
      <c r="A112" s="83">
        <f>IF(COUNTA(M108:M111)=0,"",IF(COUNTA(F108:F111)=0,IF(COUNTA(D108:D111)=0,"Totals - Final","Totals - Estimated"),"Totals - Corrected"))</f>
      </c>
      <c r="B112" s="86">
        <f>IF(ISNA(INDEX(B108:B111,MAX(MATCH(REPT("z",255),B108:B111)))),"",INDEX(B108:B111,MAX(MATCH(REPT("z",255),B108:B111))))</f>
      </c>
      <c r="C112" s="86">
        <f>IF(ISNA(INDEX(C108:C111,MAX(MATCH(REPT("z",255),C108:C111)))),"",INDEX(C108:C111,MAX(MATCH(REPT("z",255),C108:C111))))</f>
      </c>
      <c r="D112" s="86">
        <f>IF(ISNA(INDEX(A108:A111,MAX(MATCH(REPT("z",255),A108:A111)))),"",INDEX(A108:A111,MAX(MATCH(REPT("z",255),A108:A111))))</f>
      </c>
      <c r="E112" s="84"/>
      <c r="F112" s="84"/>
      <c r="G112" s="85"/>
      <c r="H112" s="85"/>
      <c r="I112" s="85"/>
      <c r="J112" s="75">
        <f ref="J112:J112" t="array">SUM(IF(NOT(ISBLANK($B107:$B111)),J107:J111,""))</f>
      </c>
      <c r="K112" s="75">
        <f ref="K112:K112" t="array">SUM(IF(NOT(ISBLANK($B107:$B111)),K107:K111,""))</f>
      </c>
      <c r="L112" s="75">
        <f ref="L112:L112" t="array">SUM(IF(NOT(ISBLANK($B107:$B111)),L107:L111,""))</f>
      </c>
      <c r="M112" s="75">
        <f ref="M112:M112" t="array">SUM(IF(NOT(ISBLANK($B107:$B111)),M107:M111,""))</f>
      </c>
      <c r="N112" s="75">
        <f ref="N112:N112" t="array">SUM(IF(NOT(ISBLANK($B107:$B111)),N107:N111,""))</f>
      </c>
      <c r="O112" s="75">
        <f ref="O112:O112" t="array">SUM(IF(NOT(ISBLANK($B107:$B111)),O107:O111,""))</f>
      </c>
      <c r="P112" s="76"/>
      <c r="Q112" s="75">
        <f ref="Q112:Q112" t="array">SUM(IF(NOT(ISBLANK($B107:$B111)),Q107:Q111,""))</f>
      </c>
      <c r="R112" s="75">
        <f ref="R112:R112" t="array">SUM(IF(NOT(ISBLANK($B107:$B111)),R107:R111,""))</f>
      </c>
      <c r="S112" s="76"/>
      <c r="T112" s="76"/>
      <c r="U112" s="75">
        <f ref="U112:U112" t="array">SUM(IF(NOT(ISBLANK($B107:$B111)),U107:U111,""))</f>
      </c>
      <c r="V112" s="75">
        <f ref="V112:V112" t="array">SUM(IF(NOT(ISBLANK($B107:$B111)),V107:V111,""))</f>
      </c>
      <c r="W112" s="75">
        <f ref="W112:W112" t="array">SUM(IF(NOT(ISBLANK($B107:$B111)),W107:W111,""))</f>
      </c>
      <c r="X112" s="76"/>
      <c r="Y112" s="75">
        <f ref="Y112:Y112" t="array">SUM(IF(NOT(ISBLANK($B107:$B111)),Y107:Y111,""))</f>
      </c>
      <c r="Z112" s="75">
        <f ref="Z112:Z112" t="array">SUM(IF(NOT(ISBLANK($B107:$B111)),Z107:Z111,""))</f>
      </c>
      <c r="AA112" s="76"/>
      <c r="AB112" s="75">
        <f ref="AB112:AB112" t="array">SUM(IF(NOT(ISBLANK($B107:$B111)),AB107:AB111,""))</f>
      </c>
      <c r="AC112" s="75">
        <f ref="AC112:AC112" t="array">SUM(IF(NOT(ISBLANK($B107:$B111)),AC107:AC111,""))</f>
      </c>
      <c r="AD112" s="76"/>
      <c r="AE112" s="76"/>
      <c r="AF112" s="77"/>
      <c r="AG112" s="78">
        <v>1</v>
      </c>
    </row>
    <row r="113" ht="0" hidden="1">
      <c r="A113" s="49"/>
      <c r="B113" s="50"/>
      <c r="C113" s="50"/>
      <c r="D113" s="79"/>
      <c r="E113" s="79"/>
      <c r="F113" s="79"/>
      <c r="G113" s="80"/>
      <c r="H113" s="80"/>
      <c r="I113" s="80"/>
      <c r="J113" s="52"/>
      <c r="K113" s="53"/>
      <c r="L113" s="53"/>
      <c r="M113" s="53"/>
      <c r="N113" s="52"/>
      <c r="O113" s="54"/>
      <c r="P113" s="81"/>
      <c r="Q113" s="56"/>
      <c r="R113" s="52"/>
      <c r="S113" s="81"/>
      <c r="T113" s="81"/>
      <c r="U113" s="52"/>
      <c r="V113" s="52"/>
      <c r="W113" s="52"/>
      <c r="X113" s="81"/>
      <c r="Y113" s="52"/>
      <c r="Z113" s="52"/>
      <c r="AA113" s="81"/>
      <c r="AB113" s="52"/>
      <c r="AC113" s="52"/>
      <c r="AD113" s="81"/>
      <c r="AE113" s="81"/>
      <c r="AF113" s="82"/>
      <c r="AG113" s="37"/>
    </row>
    <row r="114">
      <c r="A114" s="59"/>
      <c r="B114" s="60"/>
      <c r="C114" s="60"/>
      <c r="D114" s="61"/>
      <c r="E114" s="61"/>
      <c r="F114" s="61"/>
      <c r="G114" s="62"/>
      <c r="H114" s="62"/>
      <c r="I114" s="62"/>
      <c r="J114" s="63"/>
      <c r="K114" s="53"/>
      <c r="L114" s="53"/>
      <c r="M114" s="53"/>
      <c r="N114" s="63"/>
      <c r="O114" s="64"/>
      <c r="P114" s="55"/>
      <c r="Q114" s="65"/>
      <c r="R114" s="63"/>
      <c r="S114" s="55"/>
      <c r="T114" s="55"/>
      <c r="U114" s="63"/>
      <c r="V114" s="63"/>
      <c r="W114" s="63"/>
      <c r="X114" s="55"/>
      <c r="Y114" s="63"/>
      <c r="Z114" s="63"/>
      <c r="AA114" s="55"/>
      <c r="AB114" s="63"/>
      <c r="AC114" s="63"/>
      <c r="AD114" s="55"/>
      <c r="AE114" s="55"/>
      <c r="AF114" s="66"/>
      <c r="AG114" s="37"/>
    </row>
    <row r="115">
      <c r="A115" s="59"/>
      <c r="B115" s="60"/>
      <c r="C115" s="60"/>
      <c r="D115" s="61"/>
      <c r="E115" s="61"/>
      <c r="F115" s="61"/>
      <c r="G115" s="62"/>
      <c r="H115" s="62"/>
      <c r="I115" s="62"/>
      <c r="J115" s="63"/>
      <c r="K115" s="53"/>
      <c r="L115" s="53"/>
      <c r="M115" s="53"/>
      <c r="N115" s="63"/>
      <c r="O115" s="64"/>
      <c r="P115" s="55"/>
      <c r="Q115" s="65"/>
      <c r="R115" s="63"/>
      <c r="S115" s="55"/>
      <c r="T115" s="55"/>
      <c r="U115" s="63"/>
      <c r="V115" s="63"/>
      <c r="W115" s="63"/>
      <c r="X115" s="55"/>
      <c r="Y115" s="63"/>
      <c r="Z115" s="63"/>
      <c r="AA115" s="55"/>
      <c r="AB115" s="63"/>
      <c r="AC115" s="63"/>
      <c r="AD115" s="55"/>
      <c r="AE115" s="55"/>
      <c r="AF115" s="66"/>
      <c r="AG115" s="37"/>
    </row>
    <row r="116">
      <c r="A116" s="71"/>
      <c r="B116" s="72"/>
      <c r="C116" s="72"/>
      <c r="D116" s="73"/>
      <c r="E116" s="73"/>
      <c r="F116" s="73"/>
      <c r="G116" s="74"/>
      <c r="H116" s="74"/>
      <c r="I116" s="74"/>
      <c r="J116" s="53"/>
      <c r="K116" s="53"/>
      <c r="L116" s="53"/>
      <c r="M116" s="53"/>
      <c r="N116" s="53"/>
      <c r="O116" s="67"/>
      <c r="P116" s="68"/>
      <c r="Q116" s="69"/>
      <c r="R116" s="53"/>
      <c r="S116" s="68"/>
      <c r="T116" s="68"/>
      <c r="U116" s="53"/>
      <c r="V116" s="53"/>
      <c r="W116" s="53"/>
      <c r="X116" s="68"/>
      <c r="Y116" s="53"/>
      <c r="Z116" s="53"/>
      <c r="AA116" s="68"/>
      <c r="AB116" s="53"/>
      <c r="AC116" s="53"/>
      <c r="AD116" s="68"/>
      <c r="AE116" s="68"/>
      <c r="AF116" s="70"/>
      <c r="AG116" s="37"/>
    </row>
    <row r="117">
      <c r="A117" s="71"/>
      <c r="B117" s="72"/>
      <c r="C117" s="72"/>
      <c r="D117" s="73"/>
      <c r="E117" s="73"/>
      <c r="F117" s="73"/>
      <c r="G117" s="74"/>
      <c r="H117" s="74"/>
      <c r="I117" s="74"/>
      <c r="J117" s="53"/>
      <c r="K117" s="53"/>
      <c r="L117" s="53"/>
      <c r="M117" s="53"/>
      <c r="N117" s="53"/>
      <c r="O117" s="67"/>
      <c r="P117" s="68"/>
      <c r="Q117" s="69"/>
      <c r="R117" s="53"/>
      <c r="S117" s="68"/>
      <c r="T117" s="68"/>
      <c r="U117" s="53"/>
      <c r="V117" s="53"/>
      <c r="W117" s="53"/>
      <c r="X117" s="68"/>
      <c r="Y117" s="53"/>
      <c r="Z117" s="53"/>
      <c r="AA117" s="68"/>
      <c r="AB117" s="53"/>
      <c r="AC117" s="53"/>
      <c r="AD117" s="68"/>
      <c r="AE117" s="68"/>
      <c r="AF117" s="70"/>
      <c r="AG117" s="37"/>
    </row>
    <row r="118">
      <c r="A118" s="83">
        <f>IF(COUNTA(M114:M117)=0,"",IF(COUNTA(F114:F117)=0,IF(COUNTA(D114:D117)=0,"Totals - Final","Totals - Estimated"),"Totals - Corrected"))</f>
      </c>
      <c r="B118" s="86">
        <f>IF(ISNA(INDEX(B114:B117,MAX(MATCH(REPT("z",255),B114:B117)))),"",INDEX(B114:B117,MAX(MATCH(REPT("z",255),B114:B117))))</f>
      </c>
      <c r="C118" s="86">
        <f>IF(ISNA(INDEX(C114:C117,MAX(MATCH(REPT("z",255),C114:C117)))),"",INDEX(C114:C117,MAX(MATCH(REPT("z",255),C114:C117))))</f>
      </c>
      <c r="D118" s="86">
        <f>IF(ISNA(INDEX(A114:A117,MAX(MATCH(REPT("z",255),A114:A117)))),"",INDEX(A114:A117,MAX(MATCH(REPT("z",255),A114:A117))))</f>
      </c>
      <c r="E118" s="84"/>
      <c r="F118" s="84"/>
      <c r="G118" s="85"/>
      <c r="H118" s="85"/>
      <c r="I118" s="85"/>
      <c r="J118" s="75">
        <f ref="J118:J118" t="array">SUM(IF(NOT(ISBLANK($B113:$B117)),J113:J117,""))</f>
      </c>
      <c r="K118" s="75">
        <f ref="K118:K118" t="array">SUM(IF(NOT(ISBLANK($B113:$B117)),K113:K117,""))</f>
      </c>
      <c r="L118" s="75">
        <f ref="L118:L118" t="array">SUM(IF(NOT(ISBLANK($B113:$B117)),L113:L117,""))</f>
      </c>
      <c r="M118" s="75">
        <f ref="M118:M118" t="array">SUM(IF(NOT(ISBLANK($B113:$B117)),M113:M117,""))</f>
      </c>
      <c r="N118" s="75">
        <f ref="N118:N118" t="array">SUM(IF(NOT(ISBLANK($B113:$B117)),N113:N117,""))</f>
      </c>
      <c r="O118" s="75">
        <f ref="O118:O118" t="array">SUM(IF(NOT(ISBLANK($B113:$B117)),O113:O117,""))</f>
      </c>
      <c r="P118" s="76"/>
      <c r="Q118" s="75">
        <f ref="Q118:Q118" t="array">SUM(IF(NOT(ISBLANK($B113:$B117)),Q113:Q117,""))</f>
      </c>
      <c r="R118" s="75">
        <f ref="R118:R118" t="array">SUM(IF(NOT(ISBLANK($B113:$B117)),R113:R117,""))</f>
      </c>
      <c r="S118" s="76"/>
      <c r="T118" s="76"/>
      <c r="U118" s="75">
        <f ref="U118:U118" t="array">SUM(IF(NOT(ISBLANK($B113:$B117)),U113:U117,""))</f>
      </c>
      <c r="V118" s="75">
        <f ref="V118:V118" t="array">SUM(IF(NOT(ISBLANK($B113:$B117)),V113:V117,""))</f>
      </c>
      <c r="W118" s="75">
        <f ref="W118:W118" t="array">SUM(IF(NOT(ISBLANK($B113:$B117)),W113:W117,""))</f>
      </c>
      <c r="X118" s="76"/>
      <c r="Y118" s="75">
        <f ref="Y118:Y118" t="array">SUM(IF(NOT(ISBLANK($B113:$B117)),Y113:Y117,""))</f>
      </c>
      <c r="Z118" s="75">
        <f ref="Z118:Z118" t="array">SUM(IF(NOT(ISBLANK($B113:$B117)),Z113:Z117,""))</f>
      </c>
      <c r="AA118" s="76"/>
      <c r="AB118" s="75">
        <f ref="AB118:AB118" t="array">SUM(IF(NOT(ISBLANK($B113:$B117)),AB113:AB117,""))</f>
      </c>
      <c r="AC118" s="75">
        <f ref="AC118:AC118" t="array">SUM(IF(NOT(ISBLANK($B113:$B117)),AC113:AC117,""))</f>
      </c>
      <c r="AD118" s="76"/>
      <c r="AE118" s="76"/>
      <c r="AF118" s="77"/>
      <c r="AG118" s="78">
        <v>1</v>
      </c>
    </row>
    <row r="119" ht="0" hidden="1">
      <c r="A119" s="49"/>
      <c r="B119" s="50"/>
      <c r="C119" s="50"/>
      <c r="D119" s="79"/>
      <c r="E119" s="79"/>
      <c r="F119" s="79"/>
      <c r="G119" s="80"/>
      <c r="H119" s="80"/>
      <c r="I119" s="80"/>
      <c r="J119" s="52"/>
      <c r="K119" s="53"/>
      <c r="L119" s="53"/>
      <c r="M119" s="53"/>
      <c r="N119" s="52"/>
      <c r="O119" s="54"/>
      <c r="P119" s="81"/>
      <c r="Q119" s="56"/>
      <c r="R119" s="52"/>
      <c r="S119" s="81"/>
      <c r="T119" s="81"/>
      <c r="U119" s="52"/>
      <c r="V119" s="52"/>
      <c r="W119" s="52"/>
      <c r="X119" s="81"/>
      <c r="Y119" s="52"/>
      <c r="Z119" s="52"/>
      <c r="AA119" s="81"/>
      <c r="AB119" s="52"/>
      <c r="AC119" s="52"/>
      <c r="AD119" s="81"/>
      <c r="AE119" s="81"/>
      <c r="AF119" s="82"/>
      <c r="AG119" s="37"/>
    </row>
    <row r="120">
      <c r="A120" s="59"/>
      <c r="B120" s="60"/>
      <c r="C120" s="60"/>
      <c r="D120" s="61"/>
      <c r="E120" s="61"/>
      <c r="F120" s="61"/>
      <c r="G120" s="62"/>
      <c r="H120" s="62"/>
      <c r="I120" s="62"/>
      <c r="J120" s="63"/>
      <c r="K120" s="53"/>
      <c r="L120" s="53"/>
      <c r="M120" s="53"/>
      <c r="N120" s="63"/>
      <c r="O120" s="64"/>
      <c r="P120" s="55"/>
      <c r="Q120" s="65"/>
      <c r="R120" s="63"/>
      <c r="S120" s="55"/>
      <c r="T120" s="55"/>
      <c r="U120" s="63"/>
      <c r="V120" s="63"/>
      <c r="W120" s="63"/>
      <c r="X120" s="55"/>
      <c r="Y120" s="63"/>
      <c r="Z120" s="63"/>
      <c r="AA120" s="55"/>
      <c r="AB120" s="63"/>
      <c r="AC120" s="63"/>
      <c r="AD120" s="55"/>
      <c r="AE120" s="55"/>
      <c r="AF120" s="66"/>
      <c r="AG120" s="37"/>
    </row>
    <row r="121">
      <c r="A121" s="59"/>
      <c r="B121" s="60"/>
      <c r="C121" s="60"/>
      <c r="D121" s="61"/>
      <c r="E121" s="61"/>
      <c r="F121" s="61"/>
      <c r="G121" s="62"/>
      <c r="H121" s="62"/>
      <c r="I121" s="62"/>
      <c r="J121" s="63"/>
      <c r="K121" s="53"/>
      <c r="L121" s="53"/>
      <c r="M121" s="53"/>
      <c r="N121" s="63"/>
      <c r="O121" s="64"/>
      <c r="P121" s="55"/>
      <c r="Q121" s="65"/>
      <c r="R121" s="63"/>
      <c r="S121" s="55"/>
      <c r="T121" s="55"/>
      <c r="U121" s="63"/>
      <c r="V121" s="63"/>
      <c r="W121" s="63"/>
      <c r="X121" s="55"/>
      <c r="Y121" s="63"/>
      <c r="Z121" s="63"/>
      <c r="AA121" s="55"/>
      <c r="AB121" s="63"/>
      <c r="AC121" s="63"/>
      <c r="AD121" s="55"/>
      <c r="AE121" s="55"/>
      <c r="AF121" s="66"/>
      <c r="AG121" s="37"/>
    </row>
    <row r="122">
      <c r="A122" s="71"/>
      <c r="B122" s="72"/>
      <c r="C122" s="72"/>
      <c r="D122" s="73"/>
      <c r="E122" s="73"/>
      <c r="F122" s="73"/>
      <c r="G122" s="74"/>
      <c r="H122" s="74"/>
      <c r="I122" s="74"/>
      <c r="J122" s="53"/>
      <c r="K122" s="53"/>
      <c r="L122" s="53"/>
      <c r="M122" s="53"/>
      <c r="N122" s="53"/>
      <c r="O122" s="67"/>
      <c r="P122" s="68"/>
      <c r="Q122" s="69"/>
      <c r="R122" s="53"/>
      <c r="S122" s="68"/>
      <c r="T122" s="68"/>
      <c r="U122" s="53"/>
      <c r="V122" s="53"/>
      <c r="W122" s="53"/>
      <c r="X122" s="68"/>
      <c r="Y122" s="53"/>
      <c r="Z122" s="53"/>
      <c r="AA122" s="68"/>
      <c r="AB122" s="53"/>
      <c r="AC122" s="53"/>
      <c r="AD122" s="68"/>
      <c r="AE122" s="68"/>
      <c r="AF122" s="70"/>
      <c r="AG122" s="37"/>
    </row>
    <row r="123">
      <c r="A123" s="71"/>
      <c r="B123" s="72"/>
      <c r="C123" s="72"/>
      <c r="D123" s="73"/>
      <c r="E123" s="73"/>
      <c r="F123" s="73"/>
      <c r="G123" s="74"/>
      <c r="H123" s="74"/>
      <c r="I123" s="74"/>
      <c r="J123" s="53"/>
      <c r="K123" s="53"/>
      <c r="L123" s="53"/>
      <c r="M123" s="53"/>
      <c r="N123" s="53"/>
      <c r="O123" s="67"/>
      <c r="P123" s="68"/>
      <c r="Q123" s="69"/>
      <c r="R123" s="53"/>
      <c r="S123" s="68"/>
      <c r="T123" s="68"/>
      <c r="U123" s="53"/>
      <c r="V123" s="53"/>
      <c r="W123" s="53"/>
      <c r="X123" s="68"/>
      <c r="Y123" s="53"/>
      <c r="Z123" s="53"/>
      <c r="AA123" s="68"/>
      <c r="AB123" s="53"/>
      <c r="AC123" s="53"/>
      <c r="AD123" s="68"/>
      <c r="AE123" s="68"/>
      <c r="AF123" s="70"/>
      <c r="AG123" s="37"/>
    </row>
    <row r="124">
      <c r="A124" s="83">
        <f>IF(COUNTA(M120:M123)=0,"",IF(COUNTA(F120:F123)=0,IF(COUNTA(D120:D123)=0,"Totals - Final","Totals - Estimated"),"Totals - Corrected"))</f>
      </c>
      <c r="B124" s="86">
        <f>IF(ISNA(INDEX(B120:B123,MAX(MATCH(REPT("z",255),B120:B123)))),"",INDEX(B120:B123,MAX(MATCH(REPT("z",255),B120:B123))))</f>
      </c>
      <c r="C124" s="86">
        <f>IF(ISNA(INDEX(C120:C123,MAX(MATCH(REPT("z",255),C120:C123)))),"",INDEX(C120:C123,MAX(MATCH(REPT("z",255),C120:C123))))</f>
      </c>
      <c r="D124" s="86">
        <f>IF(ISNA(INDEX(A120:A123,MAX(MATCH(REPT("z",255),A120:A123)))),"",INDEX(A120:A123,MAX(MATCH(REPT("z",255),A120:A123))))</f>
      </c>
      <c r="E124" s="84"/>
      <c r="F124" s="84"/>
      <c r="G124" s="85"/>
      <c r="H124" s="85"/>
      <c r="I124" s="85"/>
      <c r="J124" s="75">
        <f ref="J124:J124" t="array">SUM(IF(NOT(ISBLANK($B119:$B123)),J119:J123,""))</f>
      </c>
      <c r="K124" s="75">
        <f ref="K124:K124" t="array">SUM(IF(NOT(ISBLANK($B119:$B123)),K119:K123,""))</f>
      </c>
      <c r="L124" s="75">
        <f ref="L124:L124" t="array">SUM(IF(NOT(ISBLANK($B119:$B123)),L119:L123,""))</f>
      </c>
      <c r="M124" s="75">
        <f ref="M124:M124" t="array">SUM(IF(NOT(ISBLANK($B119:$B123)),M119:M123,""))</f>
      </c>
      <c r="N124" s="75">
        <f ref="N124:N124" t="array">SUM(IF(NOT(ISBLANK($B119:$B123)),N119:N123,""))</f>
      </c>
      <c r="O124" s="75">
        <f ref="O124:O124" t="array">SUM(IF(NOT(ISBLANK($B119:$B123)),O119:O123,""))</f>
      </c>
      <c r="P124" s="76"/>
      <c r="Q124" s="75">
        <f ref="Q124:Q124" t="array">SUM(IF(NOT(ISBLANK($B119:$B123)),Q119:Q123,""))</f>
      </c>
      <c r="R124" s="75">
        <f ref="R124:R124" t="array">SUM(IF(NOT(ISBLANK($B119:$B123)),R119:R123,""))</f>
      </c>
      <c r="S124" s="76"/>
      <c r="T124" s="76"/>
      <c r="U124" s="75">
        <f ref="U124:U124" t="array">SUM(IF(NOT(ISBLANK($B119:$B123)),U119:U123,""))</f>
      </c>
      <c r="V124" s="75">
        <f ref="V124:V124" t="array">SUM(IF(NOT(ISBLANK($B119:$B123)),V119:V123,""))</f>
      </c>
      <c r="W124" s="75">
        <f ref="W124:W124" t="array">SUM(IF(NOT(ISBLANK($B119:$B123)),W119:W123,""))</f>
      </c>
      <c r="X124" s="76"/>
      <c r="Y124" s="75">
        <f ref="Y124:Y124" t="array">SUM(IF(NOT(ISBLANK($B119:$B123)),Y119:Y123,""))</f>
      </c>
      <c r="Z124" s="75">
        <f ref="Z124:Z124" t="array">SUM(IF(NOT(ISBLANK($B119:$B123)),Z119:Z123,""))</f>
      </c>
      <c r="AA124" s="76"/>
      <c r="AB124" s="75">
        <f ref="AB124:AB124" t="array">SUM(IF(NOT(ISBLANK($B119:$B123)),AB119:AB123,""))</f>
      </c>
      <c r="AC124" s="75">
        <f ref="AC124:AC124" t="array">SUM(IF(NOT(ISBLANK($B119:$B123)),AC119:AC123,""))</f>
      </c>
      <c r="AD124" s="76"/>
      <c r="AE124" s="76"/>
      <c r="AF124" s="77"/>
      <c r="AG124" s="78">
        <v>1</v>
      </c>
    </row>
    <row r="125" ht="0" hidden="1">
      <c r="A125" s="49"/>
      <c r="B125" s="50"/>
      <c r="C125" s="50"/>
      <c r="D125" s="79"/>
      <c r="E125" s="79"/>
      <c r="F125" s="79"/>
      <c r="G125" s="80"/>
      <c r="H125" s="80"/>
      <c r="I125" s="80"/>
      <c r="J125" s="52"/>
      <c r="K125" s="53"/>
      <c r="L125" s="53"/>
      <c r="M125" s="53"/>
      <c r="N125" s="52"/>
      <c r="O125" s="54"/>
      <c r="P125" s="81"/>
      <c r="Q125" s="56"/>
      <c r="R125" s="52"/>
      <c r="S125" s="81"/>
      <c r="T125" s="81"/>
      <c r="U125" s="52"/>
      <c r="V125" s="52"/>
      <c r="W125" s="52"/>
      <c r="X125" s="81"/>
      <c r="Y125" s="52"/>
      <c r="Z125" s="52"/>
      <c r="AA125" s="81"/>
      <c r="AB125" s="52"/>
      <c r="AC125" s="52"/>
      <c r="AD125" s="81"/>
      <c r="AE125" s="81"/>
      <c r="AF125" s="82"/>
      <c r="AG125" s="37"/>
    </row>
    <row r="126">
      <c r="A126" s="59"/>
      <c r="B126" s="60"/>
      <c r="C126" s="60"/>
      <c r="D126" s="61"/>
      <c r="E126" s="61"/>
      <c r="F126" s="61"/>
      <c r="G126" s="62"/>
      <c r="H126" s="62"/>
      <c r="I126" s="62"/>
      <c r="J126" s="63"/>
      <c r="K126" s="53"/>
      <c r="L126" s="53"/>
      <c r="M126" s="53"/>
      <c r="N126" s="63"/>
      <c r="O126" s="64"/>
      <c r="P126" s="55"/>
      <c r="Q126" s="65"/>
      <c r="R126" s="63"/>
      <c r="S126" s="55"/>
      <c r="T126" s="55"/>
      <c r="U126" s="63"/>
      <c r="V126" s="63"/>
      <c r="W126" s="63"/>
      <c r="X126" s="55"/>
      <c r="Y126" s="63"/>
      <c r="Z126" s="63"/>
      <c r="AA126" s="55"/>
      <c r="AB126" s="63"/>
      <c r="AC126" s="63"/>
      <c r="AD126" s="55"/>
      <c r="AE126" s="55"/>
      <c r="AF126" s="66"/>
      <c r="AG126" s="37"/>
    </row>
    <row r="127">
      <c r="A127" s="59"/>
      <c r="B127" s="60"/>
      <c r="C127" s="60"/>
      <c r="D127" s="61"/>
      <c r="E127" s="61"/>
      <c r="F127" s="61"/>
      <c r="G127" s="62"/>
      <c r="H127" s="62"/>
      <c r="I127" s="62"/>
      <c r="J127" s="63"/>
      <c r="K127" s="53"/>
      <c r="L127" s="53"/>
      <c r="M127" s="53"/>
      <c r="N127" s="63"/>
      <c r="O127" s="64"/>
      <c r="P127" s="55"/>
      <c r="Q127" s="65"/>
      <c r="R127" s="63"/>
      <c r="S127" s="55"/>
      <c r="T127" s="55"/>
      <c r="U127" s="63"/>
      <c r="V127" s="63"/>
      <c r="W127" s="63"/>
      <c r="X127" s="55"/>
      <c r="Y127" s="63"/>
      <c r="Z127" s="63"/>
      <c r="AA127" s="55"/>
      <c r="AB127" s="63"/>
      <c r="AC127" s="63"/>
      <c r="AD127" s="55"/>
      <c r="AE127" s="55"/>
      <c r="AF127" s="66"/>
      <c r="AG127" s="37"/>
    </row>
    <row r="128">
      <c r="A128" s="71"/>
      <c r="B128" s="72"/>
      <c r="C128" s="72"/>
      <c r="D128" s="73"/>
      <c r="E128" s="73"/>
      <c r="F128" s="73"/>
      <c r="G128" s="74"/>
      <c r="H128" s="74"/>
      <c r="I128" s="74"/>
      <c r="J128" s="53"/>
      <c r="K128" s="53"/>
      <c r="L128" s="53"/>
      <c r="M128" s="53"/>
      <c r="N128" s="53"/>
      <c r="O128" s="67"/>
      <c r="P128" s="68"/>
      <c r="Q128" s="69"/>
      <c r="R128" s="53"/>
      <c r="S128" s="68"/>
      <c r="T128" s="68"/>
      <c r="U128" s="53"/>
      <c r="V128" s="53"/>
      <c r="W128" s="53"/>
      <c r="X128" s="68"/>
      <c r="Y128" s="53"/>
      <c r="Z128" s="53"/>
      <c r="AA128" s="68"/>
      <c r="AB128" s="53"/>
      <c r="AC128" s="53"/>
      <c r="AD128" s="68"/>
      <c r="AE128" s="68"/>
      <c r="AF128" s="70"/>
      <c r="AG128" s="37"/>
    </row>
    <row r="129">
      <c r="A129" s="71"/>
      <c r="B129" s="72"/>
      <c r="C129" s="72"/>
      <c r="D129" s="73"/>
      <c r="E129" s="73"/>
      <c r="F129" s="73"/>
      <c r="G129" s="74"/>
      <c r="H129" s="74"/>
      <c r="I129" s="74"/>
      <c r="J129" s="53"/>
      <c r="K129" s="53"/>
      <c r="L129" s="53"/>
      <c r="M129" s="53"/>
      <c r="N129" s="53"/>
      <c r="O129" s="67"/>
      <c r="P129" s="68"/>
      <c r="Q129" s="69"/>
      <c r="R129" s="53"/>
      <c r="S129" s="68"/>
      <c r="T129" s="68"/>
      <c r="U129" s="53"/>
      <c r="V129" s="53"/>
      <c r="W129" s="53"/>
      <c r="X129" s="68"/>
      <c r="Y129" s="53"/>
      <c r="Z129" s="53"/>
      <c r="AA129" s="68"/>
      <c r="AB129" s="53"/>
      <c r="AC129" s="53"/>
      <c r="AD129" s="68"/>
      <c r="AE129" s="68"/>
      <c r="AF129" s="70"/>
      <c r="AG129" s="37"/>
    </row>
    <row r="130">
      <c r="A130" s="83">
        <f>IF(COUNTA(M126:M129)=0,"",IF(COUNTA(F126:F129)=0,IF(COUNTA(D126:D129)=0,"Totals - Final","Totals - Estimated"),"Totals - Corrected"))</f>
      </c>
      <c r="B130" s="86">
        <f>IF(ISNA(INDEX(B126:B129,MAX(MATCH(REPT("z",255),B126:B129)))),"",INDEX(B126:B129,MAX(MATCH(REPT("z",255),B126:B129))))</f>
      </c>
      <c r="C130" s="86">
        <f>IF(ISNA(INDEX(C126:C129,MAX(MATCH(REPT("z",255),C126:C129)))),"",INDEX(C126:C129,MAX(MATCH(REPT("z",255),C126:C129))))</f>
      </c>
      <c r="D130" s="86">
        <f>IF(ISNA(INDEX(A126:A129,MAX(MATCH(REPT("z",255),A126:A129)))),"",INDEX(A126:A129,MAX(MATCH(REPT("z",255),A126:A129))))</f>
      </c>
      <c r="E130" s="84"/>
      <c r="F130" s="84"/>
      <c r="G130" s="85"/>
      <c r="H130" s="85"/>
      <c r="I130" s="85"/>
      <c r="J130" s="75">
        <f ref="J130:J130" t="array">SUM(IF(NOT(ISBLANK($B125:$B129)),J125:J129,""))</f>
      </c>
      <c r="K130" s="75">
        <f ref="K130:K130" t="array">SUM(IF(NOT(ISBLANK($B125:$B129)),K125:K129,""))</f>
      </c>
      <c r="L130" s="75">
        <f ref="L130:L130" t="array">SUM(IF(NOT(ISBLANK($B125:$B129)),L125:L129,""))</f>
      </c>
      <c r="M130" s="75">
        <f ref="M130:M130" t="array">SUM(IF(NOT(ISBLANK($B125:$B129)),M125:M129,""))</f>
      </c>
      <c r="N130" s="75">
        <f ref="N130:N130" t="array">SUM(IF(NOT(ISBLANK($B125:$B129)),N125:N129,""))</f>
      </c>
      <c r="O130" s="75">
        <f ref="O130:O130" t="array">SUM(IF(NOT(ISBLANK($B125:$B129)),O125:O129,""))</f>
      </c>
      <c r="P130" s="76"/>
      <c r="Q130" s="75">
        <f ref="Q130:Q130" t="array">SUM(IF(NOT(ISBLANK($B125:$B129)),Q125:Q129,""))</f>
      </c>
      <c r="R130" s="75">
        <f ref="R130:R130" t="array">SUM(IF(NOT(ISBLANK($B125:$B129)),R125:R129,""))</f>
      </c>
      <c r="S130" s="76"/>
      <c r="T130" s="76"/>
      <c r="U130" s="75">
        <f ref="U130:U130" t="array">SUM(IF(NOT(ISBLANK($B125:$B129)),U125:U129,""))</f>
      </c>
      <c r="V130" s="75">
        <f ref="V130:V130" t="array">SUM(IF(NOT(ISBLANK($B125:$B129)),V125:V129,""))</f>
      </c>
      <c r="W130" s="75">
        <f ref="W130:W130" t="array">SUM(IF(NOT(ISBLANK($B125:$B129)),W125:W129,""))</f>
      </c>
      <c r="X130" s="76"/>
      <c r="Y130" s="75">
        <f ref="Y130:Y130" t="array">SUM(IF(NOT(ISBLANK($B125:$B129)),Y125:Y129,""))</f>
      </c>
      <c r="Z130" s="75">
        <f ref="Z130:Z130" t="array">SUM(IF(NOT(ISBLANK($B125:$B129)),Z125:Z129,""))</f>
      </c>
      <c r="AA130" s="76"/>
      <c r="AB130" s="75">
        <f ref="AB130:AB130" t="array">SUM(IF(NOT(ISBLANK($B125:$B129)),AB125:AB129,""))</f>
      </c>
      <c r="AC130" s="75">
        <f ref="AC130:AC130" t="array">SUM(IF(NOT(ISBLANK($B125:$B129)),AC125:AC129,""))</f>
      </c>
      <c r="AD130" s="76"/>
      <c r="AE130" s="76"/>
      <c r="AF130" s="77"/>
      <c r="AG130" s="78">
        <v>1</v>
      </c>
    </row>
    <row r="131" ht="0" hidden="1">
      <c r="A131" s="49"/>
      <c r="B131" s="50"/>
      <c r="C131" s="50"/>
      <c r="D131" s="79"/>
      <c r="E131" s="79"/>
      <c r="F131" s="79"/>
      <c r="G131" s="80"/>
      <c r="H131" s="80"/>
      <c r="I131" s="80"/>
      <c r="J131" s="52"/>
      <c r="K131" s="53"/>
      <c r="L131" s="53"/>
      <c r="M131" s="53"/>
      <c r="N131" s="52"/>
      <c r="O131" s="54"/>
      <c r="P131" s="81"/>
      <c r="Q131" s="56"/>
      <c r="R131" s="52"/>
      <c r="S131" s="81"/>
      <c r="T131" s="81"/>
      <c r="U131" s="52"/>
      <c r="V131" s="52"/>
      <c r="W131" s="52"/>
      <c r="X131" s="81"/>
      <c r="Y131" s="52"/>
      <c r="Z131" s="52"/>
      <c r="AA131" s="81"/>
      <c r="AB131" s="52"/>
      <c r="AC131" s="52"/>
      <c r="AD131" s="81"/>
      <c r="AE131" s="81"/>
      <c r="AF131" s="82"/>
      <c r="AG131" s="37"/>
    </row>
    <row r="132">
      <c r="A132" s="59"/>
      <c r="B132" s="60"/>
      <c r="C132" s="60"/>
      <c r="D132" s="61"/>
      <c r="E132" s="61"/>
      <c r="F132" s="61"/>
      <c r="G132" s="62"/>
      <c r="H132" s="62"/>
      <c r="I132" s="62"/>
      <c r="J132" s="63"/>
      <c r="K132" s="53"/>
      <c r="L132" s="53"/>
      <c r="M132" s="53"/>
      <c r="N132" s="63"/>
      <c r="O132" s="64"/>
      <c r="P132" s="55"/>
      <c r="Q132" s="65"/>
      <c r="R132" s="63"/>
      <c r="S132" s="55"/>
      <c r="T132" s="55"/>
      <c r="U132" s="63"/>
      <c r="V132" s="63"/>
      <c r="W132" s="63"/>
      <c r="X132" s="55"/>
      <c r="Y132" s="63"/>
      <c r="Z132" s="63"/>
      <c r="AA132" s="55"/>
      <c r="AB132" s="63"/>
      <c r="AC132" s="63"/>
      <c r="AD132" s="55"/>
      <c r="AE132" s="55"/>
      <c r="AF132" s="66"/>
      <c r="AG132" s="37"/>
    </row>
    <row r="133">
      <c r="A133" s="59"/>
      <c r="B133" s="60"/>
      <c r="C133" s="60"/>
      <c r="D133" s="61"/>
      <c r="E133" s="61"/>
      <c r="F133" s="61"/>
      <c r="G133" s="62"/>
      <c r="H133" s="62"/>
      <c r="I133" s="62"/>
      <c r="J133" s="63"/>
      <c r="K133" s="53"/>
      <c r="L133" s="53"/>
      <c r="M133" s="53"/>
      <c r="N133" s="63"/>
      <c r="O133" s="64"/>
      <c r="P133" s="55"/>
      <c r="Q133" s="65"/>
      <c r="R133" s="63"/>
      <c r="S133" s="55"/>
      <c r="T133" s="55"/>
      <c r="U133" s="63"/>
      <c r="V133" s="63"/>
      <c r="W133" s="63"/>
      <c r="X133" s="55"/>
      <c r="Y133" s="63"/>
      <c r="Z133" s="63"/>
      <c r="AA133" s="55"/>
      <c r="AB133" s="63"/>
      <c r="AC133" s="63"/>
      <c r="AD133" s="55"/>
      <c r="AE133" s="55"/>
      <c r="AF133" s="66"/>
      <c r="AG133" s="37"/>
    </row>
    <row r="134">
      <c r="A134" s="71"/>
      <c r="B134" s="72"/>
      <c r="C134" s="72"/>
      <c r="D134" s="73"/>
      <c r="E134" s="73"/>
      <c r="F134" s="73"/>
      <c r="G134" s="74"/>
      <c r="H134" s="74"/>
      <c r="I134" s="74"/>
      <c r="J134" s="53"/>
      <c r="K134" s="53"/>
      <c r="L134" s="53"/>
      <c r="M134" s="53"/>
      <c r="N134" s="53"/>
      <c r="O134" s="67"/>
      <c r="P134" s="68"/>
      <c r="Q134" s="69"/>
      <c r="R134" s="53"/>
      <c r="S134" s="68"/>
      <c r="T134" s="68"/>
      <c r="U134" s="53"/>
      <c r="V134" s="53"/>
      <c r="W134" s="53"/>
      <c r="X134" s="68"/>
      <c r="Y134" s="53"/>
      <c r="Z134" s="53"/>
      <c r="AA134" s="68"/>
      <c r="AB134" s="53"/>
      <c r="AC134" s="53"/>
      <c r="AD134" s="68"/>
      <c r="AE134" s="68"/>
      <c r="AF134" s="70"/>
      <c r="AG134" s="37"/>
    </row>
    <row r="135">
      <c r="A135" s="71"/>
      <c r="B135" s="72"/>
      <c r="C135" s="72"/>
      <c r="D135" s="73"/>
      <c r="E135" s="73"/>
      <c r="F135" s="73"/>
      <c r="G135" s="74"/>
      <c r="H135" s="74"/>
      <c r="I135" s="74"/>
      <c r="J135" s="53"/>
      <c r="K135" s="53"/>
      <c r="L135" s="53"/>
      <c r="M135" s="53"/>
      <c r="N135" s="53"/>
      <c r="O135" s="67"/>
      <c r="P135" s="68"/>
      <c r="Q135" s="69"/>
      <c r="R135" s="53"/>
      <c r="S135" s="68"/>
      <c r="T135" s="68"/>
      <c r="U135" s="53"/>
      <c r="V135" s="53"/>
      <c r="W135" s="53"/>
      <c r="X135" s="68"/>
      <c r="Y135" s="53"/>
      <c r="Z135" s="53"/>
      <c r="AA135" s="68"/>
      <c r="AB135" s="53"/>
      <c r="AC135" s="53"/>
      <c r="AD135" s="68"/>
      <c r="AE135" s="68"/>
      <c r="AF135" s="70"/>
      <c r="AG135" s="37"/>
    </row>
    <row r="136">
      <c r="A136" s="83">
        <f>IF(COUNTA(M132:M135)=0,"",IF(COUNTA(F132:F135)=0,IF(COUNTA(D132:D135)=0,"Totals - Final","Totals - Estimated"),"Totals - Corrected"))</f>
      </c>
      <c r="B136" s="86">
        <f>IF(ISNA(INDEX(B132:B135,MAX(MATCH(REPT("z",255),B132:B135)))),"",INDEX(B132:B135,MAX(MATCH(REPT("z",255),B132:B135))))</f>
      </c>
      <c r="C136" s="86">
        <f>IF(ISNA(INDEX(C132:C135,MAX(MATCH(REPT("z",255),C132:C135)))),"",INDEX(C132:C135,MAX(MATCH(REPT("z",255),C132:C135))))</f>
      </c>
      <c r="D136" s="86">
        <f>IF(ISNA(INDEX(A132:A135,MAX(MATCH(REPT("z",255),A132:A135)))),"",INDEX(A132:A135,MAX(MATCH(REPT("z",255),A132:A135))))</f>
      </c>
      <c r="E136" s="84"/>
      <c r="F136" s="84"/>
      <c r="G136" s="85"/>
      <c r="H136" s="85"/>
      <c r="I136" s="85"/>
      <c r="J136" s="75">
        <f ref="J136:J136" t="array">SUM(IF(NOT(ISBLANK($B131:$B135)),J131:J135,""))</f>
      </c>
      <c r="K136" s="75">
        <f ref="K136:K136" t="array">SUM(IF(NOT(ISBLANK($B131:$B135)),K131:K135,""))</f>
      </c>
      <c r="L136" s="75">
        <f ref="L136:L136" t="array">SUM(IF(NOT(ISBLANK($B131:$B135)),L131:L135,""))</f>
      </c>
      <c r="M136" s="75">
        <f ref="M136:M136" t="array">SUM(IF(NOT(ISBLANK($B131:$B135)),M131:M135,""))</f>
      </c>
      <c r="N136" s="75">
        <f ref="N136:N136" t="array">SUM(IF(NOT(ISBLANK($B131:$B135)),N131:N135,""))</f>
      </c>
      <c r="O136" s="75">
        <f ref="O136:O136" t="array">SUM(IF(NOT(ISBLANK($B131:$B135)),O131:O135,""))</f>
      </c>
      <c r="P136" s="76"/>
      <c r="Q136" s="75">
        <f ref="Q136:Q136" t="array">SUM(IF(NOT(ISBLANK($B131:$B135)),Q131:Q135,""))</f>
      </c>
      <c r="R136" s="75">
        <f ref="R136:R136" t="array">SUM(IF(NOT(ISBLANK($B131:$B135)),R131:R135,""))</f>
      </c>
      <c r="S136" s="76"/>
      <c r="T136" s="76"/>
      <c r="U136" s="75">
        <f ref="U136:U136" t="array">SUM(IF(NOT(ISBLANK($B131:$B135)),U131:U135,""))</f>
      </c>
      <c r="V136" s="75">
        <f ref="V136:V136" t="array">SUM(IF(NOT(ISBLANK($B131:$B135)),V131:V135,""))</f>
      </c>
      <c r="W136" s="75">
        <f ref="W136:W136" t="array">SUM(IF(NOT(ISBLANK($B131:$B135)),W131:W135,""))</f>
      </c>
      <c r="X136" s="76"/>
      <c r="Y136" s="75">
        <f ref="Y136:Y136" t="array">SUM(IF(NOT(ISBLANK($B131:$B135)),Y131:Y135,""))</f>
      </c>
      <c r="Z136" s="75">
        <f ref="Z136:Z136" t="array">SUM(IF(NOT(ISBLANK($B131:$B135)),Z131:Z135,""))</f>
      </c>
      <c r="AA136" s="76"/>
      <c r="AB136" s="75">
        <f ref="AB136:AB136" t="array">SUM(IF(NOT(ISBLANK($B131:$B135)),AB131:AB135,""))</f>
      </c>
      <c r="AC136" s="75">
        <f ref="AC136:AC136" t="array">SUM(IF(NOT(ISBLANK($B131:$B135)),AC131:AC135,""))</f>
      </c>
      <c r="AD136" s="76"/>
      <c r="AE136" s="76"/>
      <c r="AF136" s="77"/>
      <c r="AG136" s="78">
        <v>1</v>
      </c>
    </row>
    <row r="137" ht="0" hidden="1">
      <c r="A137" s="49"/>
      <c r="B137" s="50"/>
      <c r="C137" s="50"/>
      <c r="D137" s="79"/>
      <c r="E137" s="79"/>
      <c r="F137" s="79"/>
      <c r="G137" s="80"/>
      <c r="H137" s="80"/>
      <c r="I137" s="80"/>
      <c r="J137" s="52"/>
      <c r="K137" s="53"/>
      <c r="L137" s="53"/>
      <c r="M137" s="53"/>
      <c r="N137" s="52"/>
      <c r="O137" s="54"/>
      <c r="P137" s="81"/>
      <c r="Q137" s="56"/>
      <c r="R137" s="52"/>
      <c r="S137" s="81"/>
      <c r="T137" s="81"/>
      <c r="U137" s="52"/>
      <c r="V137" s="52"/>
      <c r="W137" s="52"/>
      <c r="X137" s="81"/>
      <c r="Y137" s="52"/>
      <c r="Z137" s="52"/>
      <c r="AA137" s="81"/>
      <c r="AB137" s="52"/>
      <c r="AC137" s="52"/>
      <c r="AD137" s="81"/>
      <c r="AE137" s="81"/>
      <c r="AF137" s="82"/>
      <c r="AG137" s="37"/>
    </row>
    <row r="138">
      <c r="A138" s="59"/>
      <c r="B138" s="60"/>
      <c r="C138" s="60"/>
      <c r="D138" s="61"/>
      <c r="E138" s="61"/>
      <c r="F138" s="61"/>
      <c r="G138" s="62"/>
      <c r="H138" s="62"/>
      <c r="I138" s="62"/>
      <c r="J138" s="63"/>
      <c r="K138" s="53"/>
      <c r="L138" s="53"/>
      <c r="M138" s="53"/>
      <c r="N138" s="63"/>
      <c r="O138" s="64"/>
      <c r="P138" s="55"/>
      <c r="Q138" s="65"/>
      <c r="R138" s="63"/>
      <c r="S138" s="55"/>
      <c r="T138" s="55"/>
      <c r="U138" s="63"/>
      <c r="V138" s="63"/>
      <c r="W138" s="63"/>
      <c r="X138" s="55"/>
      <c r="Y138" s="63"/>
      <c r="Z138" s="63"/>
      <c r="AA138" s="55"/>
      <c r="AB138" s="63"/>
      <c r="AC138" s="63"/>
      <c r="AD138" s="55"/>
      <c r="AE138" s="55"/>
      <c r="AF138" s="66"/>
      <c r="AG138" s="37"/>
    </row>
    <row r="139">
      <c r="A139" s="59"/>
      <c r="B139" s="60"/>
      <c r="C139" s="60"/>
      <c r="D139" s="61"/>
      <c r="E139" s="61"/>
      <c r="F139" s="61"/>
      <c r="G139" s="62"/>
      <c r="H139" s="62"/>
      <c r="I139" s="62"/>
      <c r="J139" s="63"/>
      <c r="K139" s="53"/>
      <c r="L139" s="53"/>
      <c r="M139" s="53"/>
      <c r="N139" s="63"/>
      <c r="O139" s="64"/>
      <c r="P139" s="55"/>
      <c r="Q139" s="65"/>
      <c r="R139" s="63"/>
      <c r="S139" s="55"/>
      <c r="T139" s="55"/>
      <c r="U139" s="63"/>
      <c r="V139" s="63"/>
      <c r="W139" s="63"/>
      <c r="X139" s="55"/>
      <c r="Y139" s="63"/>
      <c r="Z139" s="63"/>
      <c r="AA139" s="55"/>
      <c r="AB139" s="63"/>
      <c r="AC139" s="63"/>
      <c r="AD139" s="55"/>
      <c r="AE139" s="55"/>
      <c r="AF139" s="66"/>
      <c r="AG139" s="37"/>
    </row>
    <row r="140">
      <c r="A140" s="71"/>
      <c r="B140" s="72"/>
      <c r="C140" s="72"/>
      <c r="D140" s="73"/>
      <c r="E140" s="73"/>
      <c r="F140" s="73"/>
      <c r="G140" s="74"/>
      <c r="H140" s="74"/>
      <c r="I140" s="74"/>
      <c r="J140" s="53"/>
      <c r="K140" s="53"/>
      <c r="L140" s="53"/>
      <c r="M140" s="53"/>
      <c r="N140" s="53"/>
      <c r="O140" s="67"/>
      <c r="P140" s="68"/>
      <c r="Q140" s="69"/>
      <c r="R140" s="53"/>
      <c r="S140" s="68"/>
      <c r="T140" s="68"/>
      <c r="U140" s="53"/>
      <c r="V140" s="53"/>
      <c r="W140" s="53"/>
      <c r="X140" s="68"/>
      <c r="Y140" s="53"/>
      <c r="Z140" s="53"/>
      <c r="AA140" s="68"/>
      <c r="AB140" s="53"/>
      <c r="AC140" s="53"/>
      <c r="AD140" s="68"/>
      <c r="AE140" s="68"/>
      <c r="AF140" s="70"/>
      <c r="AG140" s="37"/>
    </row>
    <row r="141">
      <c r="A141" s="71"/>
      <c r="B141" s="72"/>
      <c r="C141" s="72"/>
      <c r="D141" s="73"/>
      <c r="E141" s="73"/>
      <c r="F141" s="73"/>
      <c r="G141" s="74"/>
      <c r="H141" s="74"/>
      <c r="I141" s="74"/>
      <c r="J141" s="53"/>
      <c r="K141" s="53"/>
      <c r="L141" s="53"/>
      <c r="M141" s="53"/>
      <c r="N141" s="53"/>
      <c r="O141" s="67"/>
      <c r="P141" s="68"/>
      <c r="Q141" s="69"/>
      <c r="R141" s="53"/>
      <c r="S141" s="68"/>
      <c r="T141" s="68"/>
      <c r="U141" s="53"/>
      <c r="V141" s="53"/>
      <c r="W141" s="53"/>
      <c r="X141" s="68"/>
      <c r="Y141" s="53"/>
      <c r="Z141" s="53"/>
      <c r="AA141" s="68"/>
      <c r="AB141" s="53"/>
      <c r="AC141" s="53"/>
      <c r="AD141" s="68"/>
      <c r="AE141" s="68"/>
      <c r="AF141" s="70"/>
      <c r="AG141" s="37"/>
    </row>
    <row r="142">
      <c r="A142" s="83">
        <f>IF(COUNTA(M138:M141)=0,"",IF(COUNTA(F138:F141)=0,IF(COUNTA(D138:D141)=0,"Totals - Final","Totals - Estimated"),"Totals - Corrected"))</f>
      </c>
      <c r="B142" s="86">
        <f>IF(ISNA(INDEX(B138:B141,MAX(MATCH(REPT("z",255),B138:B141)))),"",INDEX(B138:B141,MAX(MATCH(REPT("z",255),B138:B141))))</f>
      </c>
      <c r="C142" s="86">
        <f>IF(ISNA(INDEX(C138:C141,MAX(MATCH(REPT("z",255),C138:C141)))),"",INDEX(C138:C141,MAX(MATCH(REPT("z",255),C138:C141))))</f>
      </c>
      <c r="D142" s="86">
        <f>IF(ISNA(INDEX(A138:A141,MAX(MATCH(REPT("z",255),A138:A141)))),"",INDEX(A138:A141,MAX(MATCH(REPT("z",255),A138:A141))))</f>
      </c>
      <c r="E142" s="84"/>
      <c r="F142" s="84"/>
      <c r="G142" s="85"/>
      <c r="H142" s="85"/>
      <c r="I142" s="85"/>
      <c r="J142" s="75">
        <f ref="J142:J142" t="array">SUM(IF(NOT(ISBLANK($B137:$B141)),J137:J141,""))</f>
      </c>
      <c r="K142" s="75">
        <f ref="K142:K142" t="array">SUM(IF(NOT(ISBLANK($B137:$B141)),K137:K141,""))</f>
      </c>
      <c r="L142" s="75">
        <f ref="L142:L142" t="array">SUM(IF(NOT(ISBLANK($B137:$B141)),L137:L141,""))</f>
      </c>
      <c r="M142" s="75">
        <f ref="M142:M142" t="array">SUM(IF(NOT(ISBLANK($B137:$B141)),M137:M141,""))</f>
      </c>
      <c r="N142" s="75">
        <f ref="N142:N142" t="array">SUM(IF(NOT(ISBLANK($B137:$B141)),N137:N141,""))</f>
      </c>
      <c r="O142" s="75">
        <f ref="O142:O142" t="array">SUM(IF(NOT(ISBLANK($B137:$B141)),O137:O141,""))</f>
      </c>
      <c r="P142" s="76"/>
      <c r="Q142" s="75">
        <f ref="Q142:Q142" t="array">SUM(IF(NOT(ISBLANK($B137:$B141)),Q137:Q141,""))</f>
      </c>
      <c r="R142" s="75">
        <f ref="R142:R142" t="array">SUM(IF(NOT(ISBLANK($B137:$B141)),R137:R141,""))</f>
      </c>
      <c r="S142" s="76"/>
      <c r="T142" s="76"/>
      <c r="U142" s="75">
        <f ref="U142:U142" t="array">SUM(IF(NOT(ISBLANK($B137:$B141)),U137:U141,""))</f>
      </c>
      <c r="V142" s="75">
        <f ref="V142:V142" t="array">SUM(IF(NOT(ISBLANK($B137:$B141)),V137:V141,""))</f>
      </c>
      <c r="W142" s="75">
        <f ref="W142:W142" t="array">SUM(IF(NOT(ISBLANK($B137:$B141)),W137:W141,""))</f>
      </c>
      <c r="X142" s="76"/>
      <c r="Y142" s="75">
        <f ref="Y142:Y142" t="array">SUM(IF(NOT(ISBLANK($B137:$B141)),Y137:Y141,""))</f>
      </c>
      <c r="Z142" s="75">
        <f ref="Z142:Z142" t="array">SUM(IF(NOT(ISBLANK($B137:$B141)),Z137:Z141,""))</f>
      </c>
      <c r="AA142" s="76"/>
      <c r="AB142" s="75">
        <f ref="AB142:AB142" t="array">SUM(IF(NOT(ISBLANK($B137:$B141)),AB137:AB141,""))</f>
      </c>
      <c r="AC142" s="75">
        <f ref="AC142:AC142" t="array">SUM(IF(NOT(ISBLANK($B137:$B141)),AC137:AC141,""))</f>
      </c>
      <c r="AD142" s="76"/>
      <c r="AE142" s="76"/>
      <c r="AF142" s="77"/>
      <c r="AG142" s="78">
        <v>1</v>
      </c>
    </row>
    <row r="143" ht="0" hidden="1">
      <c r="A143" s="49"/>
      <c r="B143" s="50"/>
      <c r="C143" s="50"/>
      <c r="D143" s="79"/>
      <c r="E143" s="79"/>
      <c r="F143" s="79"/>
      <c r="G143" s="80"/>
      <c r="H143" s="80"/>
      <c r="I143" s="80"/>
      <c r="J143" s="52"/>
      <c r="K143" s="53"/>
      <c r="L143" s="53"/>
      <c r="M143" s="53"/>
      <c r="N143" s="52"/>
      <c r="O143" s="54"/>
      <c r="P143" s="81"/>
      <c r="Q143" s="56"/>
      <c r="R143" s="52"/>
      <c r="S143" s="81"/>
      <c r="T143" s="81"/>
      <c r="U143" s="52"/>
      <c r="V143" s="52"/>
      <c r="W143" s="52"/>
      <c r="X143" s="81"/>
      <c r="Y143" s="52"/>
      <c r="Z143" s="52"/>
      <c r="AA143" s="81"/>
      <c r="AB143" s="52"/>
      <c r="AC143" s="52"/>
      <c r="AD143" s="81"/>
      <c r="AE143" s="81"/>
      <c r="AF143" s="82"/>
      <c r="AG143" s="37"/>
    </row>
    <row r="144">
      <c r="A144" s="59"/>
      <c r="B144" s="60"/>
      <c r="C144" s="60"/>
      <c r="D144" s="61"/>
      <c r="E144" s="61"/>
      <c r="F144" s="61"/>
      <c r="G144" s="62"/>
      <c r="H144" s="62"/>
      <c r="I144" s="62"/>
      <c r="J144" s="63"/>
      <c r="K144" s="53"/>
      <c r="L144" s="53"/>
      <c r="M144" s="53"/>
      <c r="N144" s="63"/>
      <c r="O144" s="64"/>
      <c r="P144" s="55"/>
      <c r="Q144" s="65"/>
      <c r="R144" s="63"/>
      <c r="S144" s="55"/>
      <c r="T144" s="55"/>
      <c r="U144" s="63"/>
      <c r="V144" s="63"/>
      <c r="W144" s="63"/>
      <c r="X144" s="55"/>
      <c r="Y144" s="63"/>
      <c r="Z144" s="63"/>
      <c r="AA144" s="55"/>
      <c r="AB144" s="63"/>
      <c r="AC144" s="63"/>
      <c r="AD144" s="55"/>
      <c r="AE144" s="55"/>
      <c r="AF144" s="66"/>
      <c r="AG144" s="37"/>
    </row>
    <row r="145">
      <c r="A145" s="59"/>
      <c r="B145" s="60"/>
      <c r="C145" s="60"/>
      <c r="D145" s="61"/>
      <c r="E145" s="61"/>
      <c r="F145" s="61"/>
      <c r="G145" s="62"/>
      <c r="H145" s="62"/>
      <c r="I145" s="62"/>
      <c r="J145" s="63"/>
      <c r="K145" s="53"/>
      <c r="L145" s="53"/>
      <c r="M145" s="53"/>
      <c r="N145" s="63"/>
      <c r="O145" s="64"/>
      <c r="P145" s="55"/>
      <c r="Q145" s="65"/>
      <c r="R145" s="63"/>
      <c r="S145" s="55"/>
      <c r="T145" s="55"/>
      <c r="U145" s="63"/>
      <c r="V145" s="63"/>
      <c r="W145" s="63"/>
      <c r="X145" s="55"/>
      <c r="Y145" s="63"/>
      <c r="Z145" s="63"/>
      <c r="AA145" s="55"/>
      <c r="AB145" s="63"/>
      <c r="AC145" s="63"/>
      <c r="AD145" s="55"/>
      <c r="AE145" s="55"/>
      <c r="AF145" s="66"/>
      <c r="AG145" s="37"/>
    </row>
    <row r="146">
      <c r="A146" s="71"/>
      <c r="B146" s="72"/>
      <c r="C146" s="72"/>
      <c r="D146" s="73"/>
      <c r="E146" s="73"/>
      <c r="F146" s="73"/>
      <c r="G146" s="74"/>
      <c r="H146" s="74"/>
      <c r="I146" s="74"/>
      <c r="J146" s="53"/>
      <c r="K146" s="53"/>
      <c r="L146" s="53"/>
      <c r="M146" s="53"/>
      <c r="N146" s="53"/>
      <c r="O146" s="67"/>
      <c r="P146" s="68"/>
      <c r="Q146" s="69"/>
      <c r="R146" s="53"/>
      <c r="S146" s="68"/>
      <c r="T146" s="68"/>
      <c r="U146" s="53"/>
      <c r="V146" s="53"/>
      <c r="W146" s="53"/>
      <c r="X146" s="68"/>
      <c r="Y146" s="53"/>
      <c r="Z146" s="53"/>
      <c r="AA146" s="68"/>
      <c r="AB146" s="53"/>
      <c r="AC146" s="53"/>
      <c r="AD146" s="68"/>
      <c r="AE146" s="68"/>
      <c r="AF146" s="70"/>
      <c r="AG146" s="37"/>
    </row>
    <row r="147">
      <c r="A147" s="71"/>
      <c r="B147" s="72"/>
      <c r="C147" s="72"/>
      <c r="D147" s="73"/>
      <c r="E147" s="73"/>
      <c r="F147" s="73"/>
      <c r="G147" s="74"/>
      <c r="H147" s="74"/>
      <c r="I147" s="74"/>
      <c r="J147" s="53"/>
      <c r="K147" s="53"/>
      <c r="L147" s="53"/>
      <c r="M147" s="53"/>
      <c r="N147" s="53"/>
      <c r="O147" s="67"/>
      <c r="P147" s="68"/>
      <c r="Q147" s="69"/>
      <c r="R147" s="53"/>
      <c r="S147" s="68"/>
      <c r="T147" s="68"/>
      <c r="U147" s="53"/>
      <c r="V147" s="53"/>
      <c r="W147" s="53"/>
      <c r="X147" s="68"/>
      <c r="Y147" s="53"/>
      <c r="Z147" s="53"/>
      <c r="AA147" s="68"/>
      <c r="AB147" s="53"/>
      <c r="AC147" s="53"/>
      <c r="AD147" s="68"/>
      <c r="AE147" s="68"/>
      <c r="AF147" s="70"/>
      <c r="AG147" s="37"/>
    </row>
    <row r="148">
      <c r="A148" s="83">
        <f>IF(COUNTA(M144:M147)=0,"",IF(COUNTA(F144:F147)=0,IF(COUNTA(D144:D147)=0,"Totals - Final","Totals - Estimated"),"Totals - Corrected"))</f>
      </c>
      <c r="B148" s="86">
        <f>IF(ISNA(INDEX(B144:B147,MAX(MATCH(REPT("z",255),B144:B147)))),"",INDEX(B144:B147,MAX(MATCH(REPT("z",255),B144:B147))))</f>
      </c>
      <c r="C148" s="86">
        <f>IF(ISNA(INDEX(C144:C147,MAX(MATCH(REPT("z",255),C144:C147)))),"",INDEX(C144:C147,MAX(MATCH(REPT("z",255),C144:C147))))</f>
      </c>
      <c r="D148" s="86">
        <f>IF(ISNA(INDEX(A144:A147,MAX(MATCH(REPT("z",255),A144:A147)))),"",INDEX(A144:A147,MAX(MATCH(REPT("z",255),A144:A147))))</f>
      </c>
      <c r="E148" s="84"/>
      <c r="F148" s="84"/>
      <c r="G148" s="85"/>
      <c r="H148" s="85"/>
      <c r="I148" s="85"/>
      <c r="J148" s="75">
        <f ref="J148:J148" t="array">SUM(IF(NOT(ISBLANK($B143:$B147)),J143:J147,""))</f>
      </c>
      <c r="K148" s="75">
        <f ref="K148:K148" t="array">SUM(IF(NOT(ISBLANK($B143:$B147)),K143:K147,""))</f>
      </c>
      <c r="L148" s="75">
        <f ref="L148:L148" t="array">SUM(IF(NOT(ISBLANK($B143:$B147)),L143:L147,""))</f>
      </c>
      <c r="M148" s="75">
        <f ref="M148:M148" t="array">SUM(IF(NOT(ISBLANK($B143:$B147)),M143:M147,""))</f>
      </c>
      <c r="N148" s="75">
        <f ref="N148:N148" t="array">SUM(IF(NOT(ISBLANK($B143:$B147)),N143:N147,""))</f>
      </c>
      <c r="O148" s="75">
        <f ref="O148:O148" t="array">SUM(IF(NOT(ISBLANK($B143:$B147)),O143:O147,""))</f>
      </c>
      <c r="P148" s="76"/>
      <c r="Q148" s="75">
        <f ref="Q148:Q148" t="array">SUM(IF(NOT(ISBLANK($B143:$B147)),Q143:Q147,""))</f>
      </c>
      <c r="R148" s="75">
        <f ref="R148:R148" t="array">SUM(IF(NOT(ISBLANK($B143:$B147)),R143:R147,""))</f>
      </c>
      <c r="S148" s="76"/>
      <c r="T148" s="76"/>
      <c r="U148" s="75">
        <f ref="U148:U148" t="array">SUM(IF(NOT(ISBLANK($B143:$B147)),U143:U147,""))</f>
      </c>
      <c r="V148" s="75">
        <f ref="V148:V148" t="array">SUM(IF(NOT(ISBLANK($B143:$B147)),V143:V147,""))</f>
      </c>
      <c r="W148" s="75">
        <f ref="W148:W148" t="array">SUM(IF(NOT(ISBLANK($B143:$B147)),W143:W147,""))</f>
      </c>
      <c r="X148" s="76"/>
      <c r="Y148" s="75">
        <f ref="Y148:Y148" t="array">SUM(IF(NOT(ISBLANK($B143:$B147)),Y143:Y147,""))</f>
      </c>
      <c r="Z148" s="75">
        <f ref="Z148:Z148" t="array">SUM(IF(NOT(ISBLANK($B143:$B147)),Z143:Z147,""))</f>
      </c>
      <c r="AA148" s="76"/>
      <c r="AB148" s="75">
        <f ref="AB148:AB148" t="array">SUM(IF(NOT(ISBLANK($B143:$B147)),AB143:AB147,""))</f>
      </c>
      <c r="AC148" s="75">
        <f ref="AC148:AC148" t="array">SUM(IF(NOT(ISBLANK($B143:$B147)),AC143:AC147,""))</f>
      </c>
      <c r="AD148" s="76"/>
      <c r="AE148" s="76"/>
      <c r="AF148" s="77"/>
      <c r="AG148" s="78">
        <v>1</v>
      </c>
    </row>
    <row r="149" ht="0" hidden="1">
      <c r="A149" s="49"/>
      <c r="B149" s="50"/>
      <c r="C149" s="50"/>
      <c r="D149" s="79"/>
      <c r="E149" s="79"/>
      <c r="F149" s="79"/>
      <c r="G149" s="80"/>
      <c r="H149" s="80"/>
      <c r="I149" s="80"/>
      <c r="J149" s="52"/>
      <c r="K149" s="53"/>
      <c r="L149" s="53"/>
      <c r="M149" s="53"/>
      <c r="N149" s="52"/>
      <c r="O149" s="54"/>
      <c r="P149" s="81"/>
      <c r="Q149" s="56"/>
      <c r="R149" s="52"/>
      <c r="S149" s="81"/>
      <c r="T149" s="81"/>
      <c r="U149" s="52"/>
      <c r="V149" s="52"/>
      <c r="W149" s="52"/>
      <c r="X149" s="81"/>
      <c r="Y149" s="52"/>
      <c r="Z149" s="52"/>
      <c r="AA149" s="81"/>
      <c r="AB149" s="52"/>
      <c r="AC149" s="52"/>
      <c r="AD149" s="81"/>
      <c r="AE149" s="81"/>
      <c r="AF149" s="82"/>
      <c r="AG149" s="37"/>
    </row>
    <row r="150">
      <c r="A150" s="59"/>
      <c r="B150" s="60"/>
      <c r="C150" s="60"/>
      <c r="D150" s="61"/>
      <c r="E150" s="61"/>
      <c r="F150" s="61"/>
      <c r="G150" s="62"/>
      <c r="H150" s="62"/>
      <c r="I150" s="62"/>
      <c r="J150" s="63"/>
      <c r="K150" s="53"/>
      <c r="L150" s="53"/>
      <c r="M150" s="53"/>
      <c r="N150" s="63"/>
      <c r="O150" s="64"/>
      <c r="P150" s="55"/>
      <c r="Q150" s="65"/>
      <c r="R150" s="63"/>
      <c r="S150" s="55"/>
      <c r="T150" s="55"/>
      <c r="U150" s="63"/>
      <c r="V150" s="63"/>
      <c r="W150" s="63"/>
      <c r="X150" s="55"/>
      <c r="Y150" s="63"/>
      <c r="Z150" s="63"/>
      <c r="AA150" s="55"/>
      <c r="AB150" s="63"/>
      <c r="AC150" s="63"/>
      <c r="AD150" s="55"/>
      <c r="AE150" s="55"/>
      <c r="AF150" s="66"/>
      <c r="AG150" s="37"/>
    </row>
    <row r="151">
      <c r="A151" s="59"/>
      <c r="B151" s="60"/>
      <c r="C151" s="60"/>
      <c r="D151" s="61"/>
      <c r="E151" s="61"/>
      <c r="F151" s="61"/>
      <c r="G151" s="62"/>
      <c r="H151" s="62"/>
      <c r="I151" s="62"/>
      <c r="J151" s="63"/>
      <c r="K151" s="53"/>
      <c r="L151" s="53"/>
      <c r="M151" s="53"/>
      <c r="N151" s="63"/>
      <c r="O151" s="64"/>
      <c r="P151" s="55"/>
      <c r="Q151" s="65"/>
      <c r="R151" s="63"/>
      <c r="S151" s="55"/>
      <c r="T151" s="55"/>
      <c r="U151" s="63"/>
      <c r="V151" s="63"/>
      <c r="W151" s="63"/>
      <c r="X151" s="55"/>
      <c r="Y151" s="63"/>
      <c r="Z151" s="63"/>
      <c r="AA151" s="55"/>
      <c r="AB151" s="63"/>
      <c r="AC151" s="63"/>
      <c r="AD151" s="55"/>
      <c r="AE151" s="55"/>
      <c r="AF151" s="66"/>
      <c r="AG151" s="37"/>
    </row>
    <row r="152">
      <c r="A152" s="71"/>
      <c r="B152" s="72"/>
      <c r="C152" s="72"/>
      <c r="D152" s="73"/>
      <c r="E152" s="73"/>
      <c r="F152" s="73"/>
      <c r="G152" s="74"/>
      <c r="H152" s="74"/>
      <c r="I152" s="74"/>
      <c r="J152" s="53"/>
      <c r="K152" s="53"/>
      <c r="L152" s="53"/>
      <c r="M152" s="53"/>
      <c r="N152" s="53"/>
      <c r="O152" s="67"/>
      <c r="P152" s="68"/>
      <c r="Q152" s="69"/>
      <c r="R152" s="53"/>
      <c r="S152" s="68"/>
      <c r="T152" s="68"/>
      <c r="U152" s="53"/>
      <c r="V152" s="53"/>
      <c r="W152" s="53"/>
      <c r="X152" s="68"/>
      <c r="Y152" s="53"/>
      <c r="Z152" s="53"/>
      <c r="AA152" s="68"/>
      <c r="AB152" s="53"/>
      <c r="AC152" s="53"/>
      <c r="AD152" s="68"/>
      <c r="AE152" s="68"/>
      <c r="AF152" s="70"/>
      <c r="AG152" s="37"/>
    </row>
    <row r="153">
      <c r="A153" s="71"/>
      <c r="B153" s="72"/>
      <c r="C153" s="72"/>
      <c r="D153" s="73"/>
      <c r="E153" s="73"/>
      <c r="F153" s="73"/>
      <c r="G153" s="74"/>
      <c r="H153" s="74"/>
      <c r="I153" s="74"/>
      <c r="J153" s="53"/>
      <c r="K153" s="53"/>
      <c r="L153" s="53"/>
      <c r="M153" s="53"/>
      <c r="N153" s="53"/>
      <c r="O153" s="67"/>
      <c r="P153" s="68"/>
      <c r="Q153" s="69"/>
      <c r="R153" s="53"/>
      <c r="S153" s="68"/>
      <c r="T153" s="68"/>
      <c r="U153" s="53"/>
      <c r="V153" s="53"/>
      <c r="W153" s="53"/>
      <c r="X153" s="68"/>
      <c r="Y153" s="53"/>
      <c r="Z153" s="53"/>
      <c r="AA153" s="68"/>
      <c r="AB153" s="53"/>
      <c r="AC153" s="53"/>
      <c r="AD153" s="68"/>
      <c r="AE153" s="68"/>
      <c r="AF153" s="70"/>
      <c r="AG153" s="37"/>
    </row>
    <row r="154">
      <c r="A154" s="83">
        <f>IF(COUNTA(M150:M153)=0,"",IF(COUNTA(F150:F153)=0,IF(COUNTA(D150:D153)=0,"Totals - Final","Totals - Estimated"),"Totals - Corrected"))</f>
      </c>
      <c r="B154" s="86">
        <f>IF(ISNA(INDEX(B150:B153,MAX(MATCH(REPT("z",255),B150:B153)))),"",INDEX(B150:B153,MAX(MATCH(REPT("z",255),B150:B153))))</f>
      </c>
      <c r="C154" s="86">
        <f>IF(ISNA(INDEX(C150:C153,MAX(MATCH(REPT("z",255),C150:C153)))),"",INDEX(C150:C153,MAX(MATCH(REPT("z",255),C150:C153))))</f>
      </c>
      <c r="D154" s="86">
        <f>IF(ISNA(INDEX(A150:A153,MAX(MATCH(REPT("z",255),A150:A153)))),"",INDEX(A150:A153,MAX(MATCH(REPT("z",255),A150:A153))))</f>
      </c>
      <c r="E154" s="84"/>
      <c r="F154" s="84"/>
      <c r="G154" s="85"/>
      <c r="H154" s="85"/>
      <c r="I154" s="85"/>
      <c r="J154" s="75">
        <f ref="J154:J154" t="array">SUM(IF(NOT(ISBLANK($B149:$B153)),J149:J153,""))</f>
      </c>
      <c r="K154" s="75">
        <f ref="K154:K154" t="array">SUM(IF(NOT(ISBLANK($B149:$B153)),K149:K153,""))</f>
      </c>
      <c r="L154" s="75">
        <f ref="L154:L154" t="array">SUM(IF(NOT(ISBLANK($B149:$B153)),L149:L153,""))</f>
      </c>
      <c r="M154" s="75">
        <f ref="M154:M154" t="array">SUM(IF(NOT(ISBLANK($B149:$B153)),M149:M153,""))</f>
      </c>
      <c r="N154" s="75">
        <f ref="N154:N154" t="array">SUM(IF(NOT(ISBLANK($B149:$B153)),N149:N153,""))</f>
      </c>
      <c r="O154" s="75">
        <f ref="O154:O154" t="array">SUM(IF(NOT(ISBLANK($B149:$B153)),O149:O153,""))</f>
      </c>
      <c r="P154" s="76"/>
      <c r="Q154" s="75">
        <f ref="Q154:Q154" t="array">SUM(IF(NOT(ISBLANK($B149:$B153)),Q149:Q153,""))</f>
      </c>
      <c r="R154" s="75">
        <f ref="R154:R154" t="array">SUM(IF(NOT(ISBLANK($B149:$B153)),R149:R153,""))</f>
      </c>
      <c r="S154" s="76"/>
      <c r="T154" s="76"/>
      <c r="U154" s="75">
        <f ref="U154:U154" t="array">SUM(IF(NOT(ISBLANK($B149:$B153)),U149:U153,""))</f>
      </c>
      <c r="V154" s="75">
        <f ref="V154:V154" t="array">SUM(IF(NOT(ISBLANK($B149:$B153)),V149:V153,""))</f>
      </c>
      <c r="W154" s="75">
        <f ref="W154:W154" t="array">SUM(IF(NOT(ISBLANK($B149:$B153)),W149:W153,""))</f>
      </c>
      <c r="X154" s="76"/>
      <c r="Y154" s="75">
        <f ref="Y154:Y154" t="array">SUM(IF(NOT(ISBLANK($B149:$B153)),Y149:Y153,""))</f>
      </c>
      <c r="Z154" s="75">
        <f ref="Z154:Z154" t="array">SUM(IF(NOT(ISBLANK($B149:$B153)),Z149:Z153,""))</f>
      </c>
      <c r="AA154" s="76"/>
      <c r="AB154" s="75">
        <f ref="AB154:AB154" t="array">SUM(IF(NOT(ISBLANK($B149:$B153)),AB149:AB153,""))</f>
      </c>
      <c r="AC154" s="75">
        <f ref="AC154:AC154" t="array">SUM(IF(NOT(ISBLANK($B149:$B153)),AC149:AC153,""))</f>
      </c>
      <c r="AD154" s="76"/>
      <c r="AE154" s="76"/>
      <c r="AF154" s="77"/>
      <c r="AG154" s="78">
        <v>1</v>
      </c>
    </row>
    <row r="155" ht="0" hidden="1">
      <c r="A155" s="49"/>
      <c r="B155" s="50"/>
      <c r="C155" s="50"/>
      <c r="D155" s="79"/>
      <c r="E155" s="79"/>
      <c r="F155" s="79"/>
      <c r="G155" s="80"/>
      <c r="H155" s="80"/>
      <c r="I155" s="80"/>
      <c r="J155" s="52"/>
      <c r="K155" s="53"/>
      <c r="L155" s="53"/>
      <c r="M155" s="53"/>
      <c r="N155" s="52"/>
      <c r="O155" s="54"/>
      <c r="P155" s="81"/>
      <c r="Q155" s="56"/>
      <c r="R155" s="52"/>
      <c r="S155" s="81"/>
      <c r="T155" s="81"/>
      <c r="U155" s="52"/>
      <c r="V155" s="52"/>
      <c r="W155" s="52"/>
      <c r="X155" s="81"/>
      <c r="Y155" s="52"/>
      <c r="Z155" s="52"/>
      <c r="AA155" s="81"/>
      <c r="AB155" s="52"/>
      <c r="AC155" s="52"/>
      <c r="AD155" s="81"/>
      <c r="AE155" s="81"/>
      <c r="AF155" s="82"/>
      <c r="AG155" s="37"/>
    </row>
    <row r="156">
      <c r="A156" s="59"/>
      <c r="B156" s="60"/>
      <c r="C156" s="60"/>
      <c r="D156" s="61"/>
      <c r="E156" s="61"/>
      <c r="F156" s="61"/>
      <c r="G156" s="62"/>
      <c r="H156" s="62"/>
      <c r="I156" s="62"/>
      <c r="J156" s="63"/>
      <c r="K156" s="53"/>
      <c r="L156" s="53"/>
      <c r="M156" s="53"/>
      <c r="N156" s="63"/>
      <c r="O156" s="64"/>
      <c r="P156" s="55"/>
      <c r="Q156" s="65"/>
      <c r="R156" s="63"/>
      <c r="S156" s="55"/>
      <c r="T156" s="55"/>
      <c r="U156" s="63"/>
      <c r="V156" s="63"/>
      <c r="W156" s="63"/>
      <c r="X156" s="55"/>
      <c r="Y156" s="63"/>
      <c r="Z156" s="63"/>
      <c r="AA156" s="55"/>
      <c r="AB156" s="63"/>
      <c r="AC156" s="63"/>
      <c r="AD156" s="55"/>
      <c r="AE156" s="55"/>
      <c r="AF156" s="66"/>
      <c r="AG156" s="37"/>
    </row>
    <row r="157">
      <c r="A157" s="59"/>
      <c r="B157" s="60"/>
      <c r="C157" s="60"/>
      <c r="D157" s="61"/>
      <c r="E157" s="61"/>
      <c r="F157" s="61"/>
      <c r="G157" s="62"/>
      <c r="H157" s="62"/>
      <c r="I157" s="62"/>
      <c r="J157" s="63"/>
      <c r="K157" s="53"/>
      <c r="L157" s="53"/>
      <c r="M157" s="53"/>
      <c r="N157" s="63"/>
      <c r="O157" s="64"/>
      <c r="P157" s="55"/>
      <c r="Q157" s="65"/>
      <c r="R157" s="63"/>
      <c r="S157" s="55"/>
      <c r="T157" s="55"/>
      <c r="U157" s="63"/>
      <c r="V157" s="63"/>
      <c r="W157" s="63"/>
      <c r="X157" s="55"/>
      <c r="Y157" s="63"/>
      <c r="Z157" s="63"/>
      <c r="AA157" s="55"/>
      <c r="AB157" s="63"/>
      <c r="AC157" s="63"/>
      <c r="AD157" s="55"/>
      <c r="AE157" s="55"/>
      <c r="AF157" s="66"/>
      <c r="AG157" s="37"/>
    </row>
    <row r="158">
      <c r="A158" s="71"/>
      <c r="B158" s="72"/>
      <c r="C158" s="72"/>
      <c r="D158" s="73"/>
      <c r="E158" s="73"/>
      <c r="F158" s="73"/>
      <c r="G158" s="74"/>
      <c r="H158" s="74"/>
      <c r="I158" s="74"/>
      <c r="J158" s="53"/>
      <c r="K158" s="53"/>
      <c r="L158" s="53"/>
      <c r="M158" s="53"/>
      <c r="N158" s="53"/>
      <c r="O158" s="67"/>
      <c r="P158" s="68"/>
      <c r="Q158" s="69"/>
      <c r="R158" s="53"/>
      <c r="S158" s="68"/>
      <c r="T158" s="68"/>
      <c r="U158" s="53"/>
      <c r="V158" s="53"/>
      <c r="W158" s="53"/>
      <c r="X158" s="68"/>
      <c r="Y158" s="53"/>
      <c r="Z158" s="53"/>
      <c r="AA158" s="68"/>
      <c r="AB158" s="53"/>
      <c r="AC158" s="53"/>
      <c r="AD158" s="68"/>
      <c r="AE158" s="68"/>
      <c r="AF158" s="70"/>
      <c r="AG158" s="37"/>
    </row>
    <row r="159">
      <c r="A159" s="71"/>
      <c r="B159" s="72"/>
      <c r="C159" s="72"/>
      <c r="D159" s="73"/>
      <c r="E159" s="73"/>
      <c r="F159" s="73"/>
      <c r="G159" s="74"/>
      <c r="H159" s="74"/>
      <c r="I159" s="74"/>
      <c r="J159" s="53"/>
      <c r="K159" s="53"/>
      <c r="L159" s="53"/>
      <c r="M159" s="53"/>
      <c r="N159" s="53"/>
      <c r="O159" s="67"/>
      <c r="P159" s="68"/>
      <c r="Q159" s="69"/>
      <c r="R159" s="53"/>
      <c r="S159" s="68"/>
      <c r="T159" s="68"/>
      <c r="U159" s="53"/>
      <c r="V159" s="53"/>
      <c r="W159" s="53"/>
      <c r="X159" s="68"/>
      <c r="Y159" s="53"/>
      <c r="Z159" s="53"/>
      <c r="AA159" s="68"/>
      <c r="AB159" s="53"/>
      <c r="AC159" s="53"/>
      <c r="AD159" s="68"/>
      <c r="AE159" s="68"/>
      <c r="AF159" s="70"/>
      <c r="AG159" s="37"/>
    </row>
    <row r="160">
      <c r="A160" s="83">
        <f>IF(COUNTA(M156:M159)=0,"",IF(COUNTA(F156:F159)=0,IF(COUNTA(D156:D159)=0,"Totals - Final","Totals - Estimated"),"Totals - Corrected"))</f>
      </c>
      <c r="B160" s="86">
        <f>IF(ISNA(INDEX(B156:B159,MAX(MATCH(REPT("z",255),B156:B159)))),"",INDEX(B156:B159,MAX(MATCH(REPT("z",255),B156:B159))))</f>
      </c>
      <c r="C160" s="86">
        <f>IF(ISNA(INDEX(C156:C159,MAX(MATCH(REPT("z",255),C156:C159)))),"",INDEX(C156:C159,MAX(MATCH(REPT("z",255),C156:C159))))</f>
      </c>
      <c r="D160" s="86">
        <f>IF(ISNA(INDEX(A156:A159,MAX(MATCH(REPT("z",255),A156:A159)))),"",INDEX(A156:A159,MAX(MATCH(REPT("z",255),A156:A159))))</f>
      </c>
      <c r="E160" s="84"/>
      <c r="F160" s="84"/>
      <c r="G160" s="85"/>
      <c r="H160" s="85"/>
      <c r="I160" s="85"/>
      <c r="J160" s="75">
        <f ref="J160:J160" t="array">SUM(IF(NOT(ISBLANK($B155:$B159)),J155:J159,""))</f>
      </c>
      <c r="K160" s="75">
        <f ref="K160:K160" t="array">SUM(IF(NOT(ISBLANK($B155:$B159)),K155:K159,""))</f>
      </c>
      <c r="L160" s="75">
        <f ref="L160:L160" t="array">SUM(IF(NOT(ISBLANK($B155:$B159)),L155:L159,""))</f>
      </c>
      <c r="M160" s="75">
        <f ref="M160:M160" t="array">SUM(IF(NOT(ISBLANK($B155:$B159)),M155:M159,""))</f>
      </c>
      <c r="N160" s="75">
        <f ref="N160:N160" t="array">SUM(IF(NOT(ISBLANK($B155:$B159)),N155:N159,""))</f>
      </c>
      <c r="O160" s="75">
        <f ref="O160:O160" t="array">SUM(IF(NOT(ISBLANK($B155:$B159)),O155:O159,""))</f>
      </c>
      <c r="P160" s="76"/>
      <c r="Q160" s="75">
        <f ref="Q160:Q160" t="array">SUM(IF(NOT(ISBLANK($B155:$B159)),Q155:Q159,""))</f>
      </c>
      <c r="R160" s="75">
        <f ref="R160:R160" t="array">SUM(IF(NOT(ISBLANK($B155:$B159)),R155:R159,""))</f>
      </c>
      <c r="S160" s="76"/>
      <c r="T160" s="76"/>
      <c r="U160" s="75">
        <f ref="U160:U160" t="array">SUM(IF(NOT(ISBLANK($B155:$B159)),U155:U159,""))</f>
      </c>
      <c r="V160" s="75">
        <f ref="V160:V160" t="array">SUM(IF(NOT(ISBLANK($B155:$B159)),V155:V159,""))</f>
      </c>
      <c r="W160" s="75">
        <f ref="W160:W160" t="array">SUM(IF(NOT(ISBLANK($B155:$B159)),W155:W159,""))</f>
      </c>
      <c r="X160" s="76"/>
      <c r="Y160" s="75">
        <f ref="Y160:Y160" t="array">SUM(IF(NOT(ISBLANK($B155:$B159)),Y155:Y159,""))</f>
      </c>
      <c r="Z160" s="75">
        <f ref="Z160:Z160" t="array">SUM(IF(NOT(ISBLANK($B155:$B159)),Z155:Z159,""))</f>
      </c>
      <c r="AA160" s="76"/>
      <c r="AB160" s="75">
        <f ref="AB160:AB160" t="array">SUM(IF(NOT(ISBLANK($B155:$B159)),AB155:AB159,""))</f>
      </c>
      <c r="AC160" s="75">
        <f ref="AC160:AC160" t="array">SUM(IF(NOT(ISBLANK($B155:$B159)),AC155:AC159,""))</f>
      </c>
      <c r="AD160" s="76"/>
      <c r="AE160" s="76"/>
      <c r="AF160" s="77"/>
      <c r="AG160" s="78">
        <v>1</v>
      </c>
    </row>
    <row r="161" ht="0" hidden="1">
      <c r="A161" s="49"/>
      <c r="B161" s="50"/>
      <c r="C161" s="50"/>
      <c r="D161" s="79"/>
      <c r="E161" s="79"/>
      <c r="F161" s="79"/>
      <c r="G161" s="80"/>
      <c r="H161" s="80"/>
      <c r="I161" s="80"/>
      <c r="J161" s="52"/>
      <c r="K161" s="53"/>
      <c r="L161" s="53"/>
      <c r="M161" s="53"/>
      <c r="N161" s="52"/>
      <c r="O161" s="54"/>
      <c r="P161" s="81"/>
      <c r="Q161" s="56"/>
      <c r="R161" s="52"/>
      <c r="S161" s="81"/>
      <c r="T161" s="81"/>
      <c r="U161" s="52"/>
      <c r="V161" s="52"/>
      <c r="W161" s="52"/>
      <c r="X161" s="81"/>
      <c r="Y161" s="52"/>
      <c r="Z161" s="52"/>
      <c r="AA161" s="81"/>
      <c r="AB161" s="52"/>
      <c r="AC161" s="52"/>
      <c r="AD161" s="81"/>
      <c r="AE161" s="81"/>
      <c r="AF161" s="82"/>
      <c r="AG161" s="37"/>
    </row>
    <row r="162">
      <c r="A162" s="59"/>
      <c r="B162" s="60"/>
      <c r="C162" s="60"/>
      <c r="D162" s="61"/>
      <c r="E162" s="61"/>
      <c r="F162" s="61"/>
      <c r="G162" s="62"/>
      <c r="H162" s="62"/>
      <c r="I162" s="62"/>
      <c r="J162" s="63"/>
      <c r="K162" s="53"/>
      <c r="L162" s="53"/>
      <c r="M162" s="53"/>
      <c r="N162" s="63"/>
      <c r="O162" s="64"/>
      <c r="P162" s="55"/>
      <c r="Q162" s="65"/>
      <c r="R162" s="63"/>
      <c r="S162" s="55"/>
      <c r="T162" s="55"/>
      <c r="U162" s="63"/>
      <c r="V162" s="63"/>
      <c r="W162" s="63"/>
      <c r="X162" s="55"/>
      <c r="Y162" s="63"/>
      <c r="Z162" s="63"/>
      <c r="AA162" s="55"/>
      <c r="AB162" s="63"/>
      <c r="AC162" s="63"/>
      <c r="AD162" s="55"/>
      <c r="AE162" s="55"/>
      <c r="AF162" s="66"/>
      <c r="AG162" s="37"/>
    </row>
    <row r="163">
      <c r="A163" s="59"/>
      <c r="B163" s="60"/>
      <c r="C163" s="60"/>
      <c r="D163" s="61"/>
      <c r="E163" s="61"/>
      <c r="F163" s="61"/>
      <c r="G163" s="62"/>
      <c r="H163" s="62"/>
      <c r="I163" s="62"/>
      <c r="J163" s="63"/>
      <c r="K163" s="53"/>
      <c r="L163" s="53"/>
      <c r="M163" s="53"/>
      <c r="N163" s="63"/>
      <c r="O163" s="64"/>
      <c r="P163" s="55"/>
      <c r="Q163" s="65"/>
      <c r="R163" s="63"/>
      <c r="S163" s="55"/>
      <c r="T163" s="55"/>
      <c r="U163" s="63"/>
      <c r="V163" s="63"/>
      <c r="W163" s="63"/>
      <c r="X163" s="55"/>
      <c r="Y163" s="63"/>
      <c r="Z163" s="63"/>
      <c r="AA163" s="55"/>
      <c r="AB163" s="63"/>
      <c r="AC163" s="63"/>
      <c r="AD163" s="55"/>
      <c r="AE163" s="55"/>
      <c r="AF163" s="66"/>
      <c r="AG163" s="37"/>
    </row>
    <row r="164">
      <c r="A164" s="71"/>
      <c r="B164" s="72"/>
      <c r="C164" s="72"/>
      <c r="D164" s="73"/>
      <c r="E164" s="73"/>
      <c r="F164" s="73"/>
      <c r="G164" s="74"/>
      <c r="H164" s="74"/>
      <c r="I164" s="74"/>
      <c r="J164" s="53"/>
      <c r="K164" s="53"/>
      <c r="L164" s="53"/>
      <c r="M164" s="53"/>
      <c r="N164" s="53"/>
      <c r="O164" s="67"/>
      <c r="P164" s="68"/>
      <c r="Q164" s="69"/>
      <c r="R164" s="53"/>
      <c r="S164" s="68"/>
      <c r="T164" s="68"/>
      <c r="U164" s="53"/>
      <c r="V164" s="53"/>
      <c r="W164" s="53"/>
      <c r="X164" s="68"/>
      <c r="Y164" s="53"/>
      <c r="Z164" s="53"/>
      <c r="AA164" s="68"/>
      <c r="AB164" s="53"/>
      <c r="AC164" s="53"/>
      <c r="AD164" s="68"/>
      <c r="AE164" s="68"/>
      <c r="AF164" s="70"/>
      <c r="AG164" s="37"/>
    </row>
    <row r="165">
      <c r="A165" s="71"/>
      <c r="B165" s="72"/>
      <c r="C165" s="72"/>
      <c r="D165" s="73"/>
      <c r="E165" s="73"/>
      <c r="F165" s="73"/>
      <c r="G165" s="74"/>
      <c r="H165" s="74"/>
      <c r="I165" s="74"/>
      <c r="J165" s="53"/>
      <c r="K165" s="53"/>
      <c r="L165" s="53"/>
      <c r="M165" s="53"/>
      <c r="N165" s="53"/>
      <c r="O165" s="67"/>
      <c r="P165" s="68"/>
      <c r="Q165" s="69"/>
      <c r="R165" s="53"/>
      <c r="S165" s="68"/>
      <c r="T165" s="68"/>
      <c r="U165" s="53"/>
      <c r="V165" s="53"/>
      <c r="W165" s="53"/>
      <c r="X165" s="68"/>
      <c r="Y165" s="53"/>
      <c r="Z165" s="53"/>
      <c r="AA165" s="68"/>
      <c r="AB165" s="53"/>
      <c r="AC165" s="53"/>
      <c r="AD165" s="68"/>
      <c r="AE165" s="68"/>
      <c r="AF165" s="70"/>
      <c r="AG165" s="37"/>
    </row>
    <row r="166">
      <c r="A166" s="83">
        <f>IF(COUNTA(M162:M165)=0,"",IF(COUNTA(F162:F165)=0,IF(COUNTA(D162:D165)=0,"Totals - Final","Totals - Estimated"),"Totals - Corrected"))</f>
      </c>
      <c r="B166" s="86">
        <f>IF(ISNA(INDEX(B162:B165,MAX(MATCH(REPT("z",255),B162:B165)))),"",INDEX(B162:B165,MAX(MATCH(REPT("z",255),B162:B165))))</f>
      </c>
      <c r="C166" s="86">
        <f>IF(ISNA(INDEX(C162:C165,MAX(MATCH(REPT("z",255),C162:C165)))),"",INDEX(C162:C165,MAX(MATCH(REPT("z",255),C162:C165))))</f>
      </c>
      <c r="D166" s="86">
        <f>IF(ISNA(INDEX(A162:A165,MAX(MATCH(REPT("z",255),A162:A165)))),"",INDEX(A162:A165,MAX(MATCH(REPT("z",255),A162:A165))))</f>
      </c>
      <c r="E166" s="84"/>
      <c r="F166" s="84"/>
      <c r="G166" s="85"/>
      <c r="H166" s="85"/>
      <c r="I166" s="85"/>
      <c r="J166" s="75">
        <f ref="J166:J166" t="array">SUM(IF(NOT(ISBLANK($B161:$B165)),J161:J165,""))</f>
      </c>
      <c r="K166" s="75">
        <f ref="K166:K166" t="array">SUM(IF(NOT(ISBLANK($B161:$B165)),K161:K165,""))</f>
      </c>
      <c r="L166" s="75">
        <f ref="L166:L166" t="array">SUM(IF(NOT(ISBLANK($B161:$B165)),L161:L165,""))</f>
      </c>
      <c r="M166" s="75">
        <f ref="M166:M166" t="array">SUM(IF(NOT(ISBLANK($B161:$B165)),M161:M165,""))</f>
      </c>
      <c r="N166" s="75">
        <f ref="N166:N166" t="array">SUM(IF(NOT(ISBLANK($B161:$B165)),N161:N165,""))</f>
      </c>
      <c r="O166" s="75">
        <f ref="O166:O166" t="array">SUM(IF(NOT(ISBLANK($B161:$B165)),O161:O165,""))</f>
      </c>
      <c r="P166" s="76"/>
      <c r="Q166" s="75">
        <f ref="Q166:Q166" t="array">SUM(IF(NOT(ISBLANK($B161:$B165)),Q161:Q165,""))</f>
      </c>
      <c r="R166" s="75">
        <f ref="R166:R166" t="array">SUM(IF(NOT(ISBLANK($B161:$B165)),R161:R165,""))</f>
      </c>
      <c r="S166" s="76"/>
      <c r="T166" s="76"/>
      <c r="U166" s="75">
        <f ref="U166:U166" t="array">SUM(IF(NOT(ISBLANK($B161:$B165)),U161:U165,""))</f>
      </c>
      <c r="V166" s="75">
        <f ref="V166:V166" t="array">SUM(IF(NOT(ISBLANK($B161:$B165)),V161:V165,""))</f>
      </c>
      <c r="W166" s="75">
        <f ref="W166:W166" t="array">SUM(IF(NOT(ISBLANK($B161:$B165)),W161:W165,""))</f>
      </c>
      <c r="X166" s="76"/>
      <c r="Y166" s="75">
        <f ref="Y166:Y166" t="array">SUM(IF(NOT(ISBLANK($B161:$B165)),Y161:Y165,""))</f>
      </c>
      <c r="Z166" s="75">
        <f ref="Z166:Z166" t="array">SUM(IF(NOT(ISBLANK($B161:$B165)),Z161:Z165,""))</f>
      </c>
      <c r="AA166" s="76"/>
      <c r="AB166" s="75">
        <f ref="AB166:AB166" t="array">SUM(IF(NOT(ISBLANK($B161:$B165)),AB161:AB165,""))</f>
      </c>
      <c r="AC166" s="75">
        <f ref="AC166:AC166" t="array">SUM(IF(NOT(ISBLANK($B161:$B165)),AC161:AC165,""))</f>
      </c>
      <c r="AD166" s="76"/>
      <c r="AE166" s="76"/>
      <c r="AF166" s="77"/>
      <c r="AG166" s="78">
        <v>1</v>
      </c>
    </row>
    <row r="167" ht="0" hidden="1">
      <c r="A167" s="49"/>
      <c r="B167" s="50"/>
      <c r="C167" s="50"/>
      <c r="D167" s="79"/>
      <c r="E167" s="79"/>
      <c r="F167" s="79"/>
      <c r="G167" s="80"/>
      <c r="H167" s="80"/>
      <c r="I167" s="80"/>
      <c r="J167" s="52"/>
      <c r="K167" s="53"/>
      <c r="L167" s="53"/>
      <c r="M167" s="53"/>
      <c r="N167" s="52"/>
      <c r="O167" s="54"/>
      <c r="P167" s="81"/>
      <c r="Q167" s="56"/>
      <c r="R167" s="52"/>
      <c r="S167" s="81"/>
      <c r="T167" s="81"/>
      <c r="U167" s="52"/>
      <c r="V167" s="52"/>
      <c r="W167" s="52"/>
      <c r="X167" s="81"/>
      <c r="Y167" s="52"/>
      <c r="Z167" s="52"/>
      <c r="AA167" s="81"/>
      <c r="AB167" s="52"/>
      <c r="AC167" s="52"/>
      <c r="AD167" s="81"/>
      <c r="AE167" s="81"/>
      <c r="AF167" s="82"/>
      <c r="AG167" s="37"/>
    </row>
    <row r="168">
      <c r="A168" s="59"/>
      <c r="B168" s="60"/>
      <c r="C168" s="60"/>
      <c r="D168" s="61"/>
      <c r="E168" s="61"/>
      <c r="F168" s="61"/>
      <c r="G168" s="62"/>
      <c r="H168" s="62"/>
      <c r="I168" s="62"/>
      <c r="J168" s="63"/>
      <c r="K168" s="53"/>
      <c r="L168" s="53"/>
      <c r="M168" s="53"/>
      <c r="N168" s="63"/>
      <c r="O168" s="64"/>
      <c r="P168" s="55"/>
      <c r="Q168" s="65"/>
      <c r="R168" s="63"/>
      <c r="S168" s="55"/>
      <c r="T168" s="55"/>
      <c r="U168" s="63"/>
      <c r="V168" s="63"/>
      <c r="W168" s="63"/>
      <c r="X168" s="55"/>
      <c r="Y168" s="63"/>
      <c r="Z168" s="63"/>
      <c r="AA168" s="55"/>
      <c r="AB168" s="63"/>
      <c r="AC168" s="63"/>
      <c r="AD168" s="55"/>
      <c r="AE168" s="55"/>
      <c r="AF168" s="66"/>
      <c r="AG168" s="37"/>
    </row>
    <row r="169">
      <c r="A169" s="59"/>
      <c r="B169" s="60"/>
      <c r="C169" s="60"/>
      <c r="D169" s="61"/>
      <c r="E169" s="61"/>
      <c r="F169" s="61"/>
      <c r="G169" s="62"/>
      <c r="H169" s="62"/>
      <c r="I169" s="62"/>
      <c r="J169" s="63"/>
      <c r="K169" s="53"/>
      <c r="L169" s="53"/>
      <c r="M169" s="53"/>
      <c r="N169" s="63"/>
      <c r="O169" s="64"/>
      <c r="P169" s="55"/>
      <c r="Q169" s="65"/>
      <c r="R169" s="63"/>
      <c r="S169" s="55"/>
      <c r="T169" s="55"/>
      <c r="U169" s="63"/>
      <c r="V169" s="63"/>
      <c r="W169" s="63"/>
      <c r="X169" s="55"/>
      <c r="Y169" s="63"/>
      <c r="Z169" s="63"/>
      <c r="AA169" s="55"/>
      <c r="AB169" s="63"/>
      <c r="AC169" s="63"/>
      <c r="AD169" s="55"/>
      <c r="AE169" s="55"/>
      <c r="AF169" s="66"/>
      <c r="AG169" s="37"/>
    </row>
    <row r="170">
      <c r="A170" s="71"/>
      <c r="B170" s="72"/>
      <c r="C170" s="72"/>
      <c r="D170" s="73"/>
      <c r="E170" s="73"/>
      <c r="F170" s="73"/>
      <c r="G170" s="74"/>
      <c r="H170" s="74"/>
      <c r="I170" s="74"/>
      <c r="J170" s="53"/>
      <c r="K170" s="53"/>
      <c r="L170" s="53"/>
      <c r="M170" s="53"/>
      <c r="N170" s="53"/>
      <c r="O170" s="67"/>
      <c r="P170" s="68"/>
      <c r="Q170" s="69"/>
      <c r="R170" s="53"/>
      <c r="S170" s="68"/>
      <c r="T170" s="68"/>
      <c r="U170" s="53"/>
      <c r="V170" s="53"/>
      <c r="W170" s="53"/>
      <c r="X170" s="68"/>
      <c r="Y170" s="53"/>
      <c r="Z170" s="53"/>
      <c r="AA170" s="68"/>
      <c r="AB170" s="53"/>
      <c r="AC170" s="53"/>
      <c r="AD170" s="68"/>
      <c r="AE170" s="68"/>
      <c r="AF170" s="70"/>
      <c r="AG170" s="37"/>
    </row>
    <row r="171">
      <c r="A171" s="71"/>
      <c r="B171" s="72"/>
      <c r="C171" s="72"/>
      <c r="D171" s="73"/>
      <c r="E171" s="73"/>
      <c r="F171" s="73"/>
      <c r="G171" s="74"/>
      <c r="H171" s="74"/>
      <c r="I171" s="74"/>
      <c r="J171" s="53"/>
      <c r="K171" s="53"/>
      <c r="L171" s="53"/>
      <c r="M171" s="53"/>
      <c r="N171" s="53"/>
      <c r="O171" s="67"/>
      <c r="P171" s="68"/>
      <c r="Q171" s="69"/>
      <c r="R171" s="53"/>
      <c r="S171" s="68"/>
      <c r="T171" s="68"/>
      <c r="U171" s="53"/>
      <c r="V171" s="53"/>
      <c r="W171" s="53"/>
      <c r="X171" s="68"/>
      <c r="Y171" s="53"/>
      <c r="Z171" s="53"/>
      <c r="AA171" s="68"/>
      <c r="AB171" s="53"/>
      <c r="AC171" s="53"/>
      <c r="AD171" s="68"/>
      <c r="AE171" s="68"/>
      <c r="AF171" s="70"/>
      <c r="AG171" s="37"/>
    </row>
    <row r="172">
      <c r="A172" s="83">
        <f>IF(COUNTA(M168:M171)=0,"",IF(COUNTA(F168:F171)=0,IF(COUNTA(D168:D171)=0,"Totals - Final","Totals - Estimated"),"Totals - Corrected"))</f>
      </c>
      <c r="B172" s="86">
        <f>IF(ISNA(INDEX(B168:B171,MAX(MATCH(REPT("z",255),B168:B171)))),"",INDEX(B168:B171,MAX(MATCH(REPT("z",255),B168:B171))))</f>
      </c>
      <c r="C172" s="86">
        <f>IF(ISNA(INDEX(C168:C171,MAX(MATCH(REPT("z",255),C168:C171)))),"",INDEX(C168:C171,MAX(MATCH(REPT("z",255),C168:C171))))</f>
      </c>
      <c r="D172" s="86">
        <f>IF(ISNA(INDEX(A168:A171,MAX(MATCH(REPT("z",255),A168:A171)))),"",INDEX(A168:A171,MAX(MATCH(REPT("z",255),A168:A171))))</f>
      </c>
      <c r="E172" s="84"/>
      <c r="F172" s="84"/>
      <c r="G172" s="85"/>
      <c r="H172" s="85"/>
      <c r="I172" s="85"/>
      <c r="J172" s="75">
        <f ref="J172:J172" t="array">SUM(IF(NOT(ISBLANK($B167:$B171)),J167:J171,""))</f>
      </c>
      <c r="K172" s="75">
        <f ref="K172:K172" t="array">SUM(IF(NOT(ISBLANK($B167:$B171)),K167:K171,""))</f>
      </c>
      <c r="L172" s="75">
        <f ref="L172:L172" t="array">SUM(IF(NOT(ISBLANK($B167:$B171)),L167:L171,""))</f>
      </c>
      <c r="M172" s="75">
        <f ref="M172:M172" t="array">SUM(IF(NOT(ISBLANK($B167:$B171)),M167:M171,""))</f>
      </c>
      <c r="N172" s="75">
        <f ref="N172:N172" t="array">SUM(IF(NOT(ISBLANK($B167:$B171)),N167:N171,""))</f>
      </c>
      <c r="O172" s="75">
        <f ref="O172:O172" t="array">SUM(IF(NOT(ISBLANK($B167:$B171)),O167:O171,""))</f>
      </c>
      <c r="P172" s="76"/>
      <c r="Q172" s="75">
        <f ref="Q172:Q172" t="array">SUM(IF(NOT(ISBLANK($B167:$B171)),Q167:Q171,""))</f>
      </c>
      <c r="R172" s="75">
        <f ref="R172:R172" t="array">SUM(IF(NOT(ISBLANK($B167:$B171)),R167:R171,""))</f>
      </c>
      <c r="S172" s="76"/>
      <c r="T172" s="76"/>
      <c r="U172" s="75">
        <f ref="U172:U172" t="array">SUM(IF(NOT(ISBLANK($B167:$B171)),U167:U171,""))</f>
      </c>
      <c r="V172" s="75">
        <f ref="V172:V172" t="array">SUM(IF(NOT(ISBLANK($B167:$B171)),V167:V171,""))</f>
      </c>
      <c r="W172" s="75">
        <f ref="W172:W172" t="array">SUM(IF(NOT(ISBLANK($B167:$B171)),W167:W171,""))</f>
      </c>
      <c r="X172" s="76"/>
      <c r="Y172" s="75">
        <f ref="Y172:Y172" t="array">SUM(IF(NOT(ISBLANK($B167:$B171)),Y167:Y171,""))</f>
      </c>
      <c r="Z172" s="75">
        <f ref="Z172:Z172" t="array">SUM(IF(NOT(ISBLANK($B167:$B171)),Z167:Z171,""))</f>
      </c>
      <c r="AA172" s="76"/>
      <c r="AB172" s="75">
        <f ref="AB172:AB172" t="array">SUM(IF(NOT(ISBLANK($B167:$B171)),AB167:AB171,""))</f>
      </c>
      <c r="AC172" s="75">
        <f ref="AC172:AC172" t="array">SUM(IF(NOT(ISBLANK($B167:$B171)),AC167:AC171,""))</f>
      </c>
      <c r="AD172" s="76"/>
      <c r="AE172" s="76"/>
      <c r="AF172" s="77"/>
      <c r="AG172" s="78">
        <v>1</v>
      </c>
    </row>
    <row r="173" ht="0" hidden="1">
      <c r="A173" s="49"/>
      <c r="B173" s="50"/>
      <c r="C173" s="50"/>
      <c r="D173" s="79"/>
      <c r="E173" s="79"/>
      <c r="F173" s="79"/>
      <c r="G173" s="80"/>
      <c r="H173" s="80"/>
      <c r="I173" s="80"/>
      <c r="J173" s="52"/>
      <c r="K173" s="53"/>
      <c r="L173" s="53"/>
      <c r="M173" s="53"/>
      <c r="N173" s="52"/>
      <c r="O173" s="54"/>
      <c r="P173" s="81"/>
      <c r="Q173" s="56"/>
      <c r="R173" s="52"/>
      <c r="S173" s="81"/>
      <c r="T173" s="81"/>
      <c r="U173" s="52"/>
      <c r="V173" s="52"/>
      <c r="W173" s="52"/>
      <c r="X173" s="81"/>
      <c r="Y173" s="52"/>
      <c r="Z173" s="52"/>
      <c r="AA173" s="81"/>
      <c r="AB173" s="52"/>
      <c r="AC173" s="52"/>
      <c r="AD173" s="81"/>
      <c r="AE173" s="81"/>
      <c r="AF173" s="82"/>
      <c r="AG173" s="37"/>
    </row>
    <row r="174">
      <c r="A174" s="59"/>
      <c r="B174" s="60"/>
      <c r="C174" s="60"/>
      <c r="D174" s="61"/>
      <c r="E174" s="61"/>
      <c r="F174" s="61"/>
      <c r="G174" s="62"/>
      <c r="H174" s="62"/>
      <c r="I174" s="62"/>
      <c r="J174" s="63"/>
      <c r="K174" s="53"/>
      <c r="L174" s="53"/>
      <c r="M174" s="53"/>
      <c r="N174" s="63"/>
      <c r="O174" s="64"/>
      <c r="P174" s="55"/>
      <c r="Q174" s="65"/>
      <c r="R174" s="63"/>
      <c r="S174" s="55"/>
      <c r="T174" s="55"/>
      <c r="U174" s="63"/>
      <c r="V174" s="63"/>
      <c r="W174" s="63"/>
      <c r="X174" s="55"/>
      <c r="Y174" s="63"/>
      <c r="Z174" s="63"/>
      <c r="AA174" s="55"/>
      <c r="AB174" s="63"/>
      <c r="AC174" s="63"/>
      <c r="AD174" s="55"/>
      <c r="AE174" s="55"/>
      <c r="AF174" s="66"/>
      <c r="AG174" s="37"/>
    </row>
    <row r="175">
      <c r="A175" s="59"/>
      <c r="B175" s="60"/>
      <c r="C175" s="60"/>
      <c r="D175" s="61"/>
      <c r="E175" s="61"/>
      <c r="F175" s="61"/>
      <c r="G175" s="62"/>
      <c r="H175" s="62"/>
      <c r="I175" s="62"/>
      <c r="J175" s="63"/>
      <c r="K175" s="53"/>
      <c r="L175" s="53"/>
      <c r="M175" s="53"/>
      <c r="N175" s="63"/>
      <c r="O175" s="64"/>
      <c r="P175" s="55"/>
      <c r="Q175" s="65"/>
      <c r="R175" s="63"/>
      <c r="S175" s="55"/>
      <c r="T175" s="55"/>
      <c r="U175" s="63"/>
      <c r="V175" s="63"/>
      <c r="W175" s="63"/>
      <c r="X175" s="55"/>
      <c r="Y175" s="63"/>
      <c r="Z175" s="63"/>
      <c r="AA175" s="55"/>
      <c r="AB175" s="63"/>
      <c r="AC175" s="63"/>
      <c r="AD175" s="55"/>
      <c r="AE175" s="55"/>
      <c r="AF175" s="66"/>
      <c r="AG175" s="37"/>
    </row>
    <row r="176">
      <c r="A176" s="71"/>
      <c r="B176" s="72"/>
      <c r="C176" s="72"/>
      <c r="D176" s="73"/>
      <c r="E176" s="73"/>
      <c r="F176" s="73"/>
      <c r="G176" s="74"/>
      <c r="H176" s="74"/>
      <c r="I176" s="74"/>
      <c r="J176" s="53"/>
      <c r="K176" s="53"/>
      <c r="L176" s="53"/>
      <c r="M176" s="53"/>
      <c r="N176" s="53"/>
      <c r="O176" s="67"/>
      <c r="P176" s="68"/>
      <c r="Q176" s="69"/>
      <c r="R176" s="53"/>
      <c r="S176" s="68"/>
      <c r="T176" s="68"/>
      <c r="U176" s="53"/>
      <c r="V176" s="53"/>
      <c r="W176" s="53"/>
      <c r="X176" s="68"/>
      <c r="Y176" s="53"/>
      <c r="Z176" s="53"/>
      <c r="AA176" s="68"/>
      <c r="AB176" s="53"/>
      <c r="AC176" s="53"/>
      <c r="AD176" s="68"/>
      <c r="AE176" s="68"/>
      <c r="AF176" s="70"/>
      <c r="AG176" s="37"/>
    </row>
    <row r="177">
      <c r="A177" s="71"/>
      <c r="B177" s="72"/>
      <c r="C177" s="72"/>
      <c r="D177" s="73"/>
      <c r="E177" s="73"/>
      <c r="F177" s="73"/>
      <c r="G177" s="74"/>
      <c r="H177" s="74"/>
      <c r="I177" s="74"/>
      <c r="J177" s="53"/>
      <c r="K177" s="53"/>
      <c r="L177" s="53"/>
      <c r="M177" s="53"/>
      <c r="N177" s="53"/>
      <c r="O177" s="67"/>
      <c r="P177" s="68"/>
      <c r="Q177" s="69"/>
      <c r="R177" s="53"/>
      <c r="S177" s="68"/>
      <c r="T177" s="68"/>
      <c r="U177" s="53"/>
      <c r="V177" s="53"/>
      <c r="W177" s="53"/>
      <c r="X177" s="68"/>
      <c r="Y177" s="53"/>
      <c r="Z177" s="53"/>
      <c r="AA177" s="68"/>
      <c r="AB177" s="53"/>
      <c r="AC177" s="53"/>
      <c r="AD177" s="68"/>
      <c r="AE177" s="68"/>
      <c r="AF177" s="70"/>
      <c r="AG177" s="37"/>
    </row>
    <row r="178">
      <c r="A178" s="83">
        <f>IF(COUNTA(M174:M177)=0,"",IF(COUNTA(F174:F177)=0,IF(COUNTA(D174:D177)=0,"Totals - Final","Totals - Estimated"),"Totals - Corrected"))</f>
      </c>
      <c r="B178" s="86">
        <f>IF(ISNA(INDEX(B174:B177,MAX(MATCH(REPT("z",255),B174:B177)))),"",INDEX(B174:B177,MAX(MATCH(REPT("z",255),B174:B177))))</f>
      </c>
      <c r="C178" s="86">
        <f>IF(ISNA(INDEX(C174:C177,MAX(MATCH(REPT("z",255),C174:C177)))),"",INDEX(C174:C177,MAX(MATCH(REPT("z",255),C174:C177))))</f>
      </c>
      <c r="D178" s="86">
        <f>IF(ISNA(INDEX(A174:A177,MAX(MATCH(REPT("z",255),A174:A177)))),"",INDEX(A174:A177,MAX(MATCH(REPT("z",255),A174:A177))))</f>
      </c>
      <c r="E178" s="84"/>
      <c r="F178" s="84"/>
      <c r="G178" s="85"/>
      <c r="H178" s="85"/>
      <c r="I178" s="85"/>
      <c r="J178" s="75">
        <f ref="J178:J178" t="array">SUM(IF(NOT(ISBLANK($B173:$B177)),J173:J177,""))</f>
      </c>
      <c r="K178" s="75">
        <f ref="K178:K178" t="array">SUM(IF(NOT(ISBLANK($B173:$B177)),K173:K177,""))</f>
      </c>
      <c r="L178" s="75">
        <f ref="L178:L178" t="array">SUM(IF(NOT(ISBLANK($B173:$B177)),L173:L177,""))</f>
      </c>
      <c r="M178" s="75">
        <f ref="M178:M178" t="array">SUM(IF(NOT(ISBLANK($B173:$B177)),M173:M177,""))</f>
      </c>
      <c r="N178" s="75">
        <f ref="N178:N178" t="array">SUM(IF(NOT(ISBLANK($B173:$B177)),N173:N177,""))</f>
      </c>
      <c r="O178" s="75">
        <f ref="O178:O178" t="array">SUM(IF(NOT(ISBLANK($B173:$B177)),O173:O177,""))</f>
      </c>
      <c r="P178" s="76"/>
      <c r="Q178" s="75">
        <f ref="Q178:Q178" t="array">SUM(IF(NOT(ISBLANK($B173:$B177)),Q173:Q177,""))</f>
      </c>
      <c r="R178" s="75">
        <f ref="R178:R178" t="array">SUM(IF(NOT(ISBLANK($B173:$B177)),R173:R177,""))</f>
      </c>
      <c r="S178" s="76"/>
      <c r="T178" s="76"/>
      <c r="U178" s="75">
        <f ref="U178:U178" t="array">SUM(IF(NOT(ISBLANK($B173:$B177)),U173:U177,""))</f>
      </c>
      <c r="V178" s="75">
        <f ref="V178:V178" t="array">SUM(IF(NOT(ISBLANK($B173:$B177)),V173:V177,""))</f>
      </c>
      <c r="W178" s="75">
        <f ref="W178:W178" t="array">SUM(IF(NOT(ISBLANK($B173:$B177)),W173:W177,""))</f>
      </c>
      <c r="X178" s="76"/>
      <c r="Y178" s="75">
        <f ref="Y178:Y178" t="array">SUM(IF(NOT(ISBLANK($B173:$B177)),Y173:Y177,""))</f>
      </c>
      <c r="Z178" s="75">
        <f ref="Z178:Z178" t="array">SUM(IF(NOT(ISBLANK($B173:$B177)),Z173:Z177,""))</f>
      </c>
      <c r="AA178" s="76"/>
      <c r="AB178" s="75">
        <f ref="AB178:AB178" t="array">SUM(IF(NOT(ISBLANK($B173:$B177)),AB173:AB177,""))</f>
      </c>
      <c r="AC178" s="75">
        <f ref="AC178:AC178" t="array">SUM(IF(NOT(ISBLANK($B173:$B177)),AC173:AC177,""))</f>
      </c>
      <c r="AD178" s="76"/>
      <c r="AE178" s="76"/>
      <c r="AF178" s="77"/>
      <c r="AG178" s="78">
        <v>1</v>
      </c>
    </row>
    <row r="179" ht="0" hidden="1">
      <c r="A179" s="49"/>
      <c r="B179" s="50"/>
      <c r="C179" s="50"/>
      <c r="D179" s="79"/>
      <c r="E179" s="79"/>
      <c r="F179" s="79"/>
      <c r="G179" s="80"/>
      <c r="H179" s="80"/>
      <c r="I179" s="80"/>
      <c r="J179" s="52"/>
      <c r="K179" s="53"/>
      <c r="L179" s="53"/>
      <c r="M179" s="53"/>
      <c r="N179" s="52"/>
      <c r="O179" s="54"/>
      <c r="P179" s="81"/>
      <c r="Q179" s="56"/>
      <c r="R179" s="52"/>
      <c r="S179" s="81"/>
      <c r="T179" s="81"/>
      <c r="U179" s="52"/>
      <c r="V179" s="52"/>
      <c r="W179" s="52"/>
      <c r="X179" s="81"/>
      <c r="Y179" s="52"/>
      <c r="Z179" s="52"/>
      <c r="AA179" s="81"/>
      <c r="AB179" s="52"/>
      <c r="AC179" s="52"/>
      <c r="AD179" s="81"/>
      <c r="AE179" s="81"/>
      <c r="AF179" s="82"/>
      <c r="AG179" s="37"/>
    </row>
    <row r="180">
      <c r="A180" s="59"/>
      <c r="B180" s="60"/>
      <c r="C180" s="60"/>
      <c r="D180" s="61"/>
      <c r="E180" s="61"/>
      <c r="F180" s="61"/>
      <c r="G180" s="62"/>
      <c r="H180" s="62"/>
      <c r="I180" s="62"/>
      <c r="J180" s="63"/>
      <c r="K180" s="53"/>
      <c r="L180" s="53"/>
      <c r="M180" s="53"/>
      <c r="N180" s="63"/>
      <c r="O180" s="64"/>
      <c r="P180" s="55"/>
      <c r="Q180" s="65"/>
      <c r="R180" s="63"/>
      <c r="S180" s="55"/>
      <c r="T180" s="55"/>
      <c r="U180" s="63"/>
      <c r="V180" s="63"/>
      <c r="W180" s="63"/>
      <c r="X180" s="55"/>
      <c r="Y180" s="63"/>
      <c r="Z180" s="63"/>
      <c r="AA180" s="55"/>
      <c r="AB180" s="63"/>
      <c r="AC180" s="63"/>
      <c r="AD180" s="55"/>
      <c r="AE180" s="55"/>
      <c r="AF180" s="66"/>
      <c r="AG180" s="37"/>
    </row>
    <row r="181">
      <c r="A181" s="59"/>
      <c r="B181" s="60"/>
      <c r="C181" s="60"/>
      <c r="D181" s="61"/>
      <c r="E181" s="61"/>
      <c r="F181" s="61"/>
      <c r="G181" s="62"/>
      <c r="H181" s="62"/>
      <c r="I181" s="62"/>
      <c r="J181" s="63"/>
      <c r="K181" s="53"/>
      <c r="L181" s="53"/>
      <c r="M181" s="53"/>
      <c r="N181" s="63"/>
      <c r="O181" s="64"/>
      <c r="P181" s="55"/>
      <c r="Q181" s="65"/>
      <c r="R181" s="63"/>
      <c r="S181" s="55"/>
      <c r="T181" s="55"/>
      <c r="U181" s="63"/>
      <c r="V181" s="63"/>
      <c r="W181" s="63"/>
      <c r="X181" s="55"/>
      <c r="Y181" s="63"/>
      <c r="Z181" s="63"/>
      <c r="AA181" s="55"/>
      <c r="AB181" s="63"/>
      <c r="AC181" s="63"/>
      <c r="AD181" s="55"/>
      <c r="AE181" s="55"/>
      <c r="AF181" s="66"/>
      <c r="AG181" s="37"/>
    </row>
    <row r="182">
      <c r="A182" s="71"/>
      <c r="B182" s="72"/>
      <c r="C182" s="72"/>
      <c r="D182" s="73"/>
      <c r="E182" s="73"/>
      <c r="F182" s="73"/>
      <c r="G182" s="74"/>
      <c r="H182" s="74"/>
      <c r="I182" s="74"/>
      <c r="J182" s="53"/>
      <c r="K182" s="53"/>
      <c r="L182" s="53"/>
      <c r="M182" s="53"/>
      <c r="N182" s="53"/>
      <c r="O182" s="67"/>
      <c r="P182" s="68"/>
      <c r="Q182" s="69"/>
      <c r="R182" s="53"/>
      <c r="S182" s="68"/>
      <c r="T182" s="68"/>
      <c r="U182" s="53"/>
      <c r="V182" s="53"/>
      <c r="W182" s="53"/>
      <c r="X182" s="68"/>
      <c r="Y182" s="53"/>
      <c r="Z182" s="53"/>
      <c r="AA182" s="68"/>
      <c r="AB182" s="53"/>
      <c r="AC182" s="53"/>
      <c r="AD182" s="68"/>
      <c r="AE182" s="68"/>
      <c r="AF182" s="70"/>
      <c r="AG182" s="37"/>
    </row>
    <row r="183">
      <c r="A183" s="71"/>
      <c r="B183" s="72"/>
      <c r="C183" s="72"/>
      <c r="D183" s="73"/>
      <c r="E183" s="73"/>
      <c r="F183" s="73"/>
      <c r="G183" s="74"/>
      <c r="H183" s="74"/>
      <c r="I183" s="74"/>
      <c r="J183" s="53"/>
      <c r="K183" s="53"/>
      <c r="L183" s="53"/>
      <c r="M183" s="53"/>
      <c r="N183" s="53"/>
      <c r="O183" s="67"/>
      <c r="P183" s="68"/>
      <c r="Q183" s="69"/>
      <c r="R183" s="53"/>
      <c r="S183" s="68"/>
      <c r="T183" s="68"/>
      <c r="U183" s="53"/>
      <c r="V183" s="53"/>
      <c r="W183" s="53"/>
      <c r="X183" s="68"/>
      <c r="Y183" s="53"/>
      <c r="Z183" s="53"/>
      <c r="AA183" s="68"/>
      <c r="AB183" s="53"/>
      <c r="AC183" s="53"/>
      <c r="AD183" s="68"/>
      <c r="AE183" s="68"/>
      <c r="AF183" s="70"/>
      <c r="AG183" s="37"/>
    </row>
    <row r="184">
      <c r="A184" s="83">
        <f>IF(COUNTA(M180:M183)=0,"",IF(COUNTA(F180:F183)=0,IF(COUNTA(D180:D183)=0,"Totals - Final","Totals - Estimated"),"Totals - Corrected"))</f>
      </c>
      <c r="B184" s="86">
        <f>IF(ISNA(INDEX(B180:B183,MAX(MATCH(REPT("z",255),B180:B183)))),"",INDEX(B180:B183,MAX(MATCH(REPT("z",255),B180:B183))))</f>
      </c>
      <c r="C184" s="86">
        <f>IF(ISNA(INDEX(C180:C183,MAX(MATCH(REPT("z",255),C180:C183)))),"",INDEX(C180:C183,MAX(MATCH(REPT("z",255),C180:C183))))</f>
      </c>
      <c r="D184" s="86">
        <f>IF(ISNA(INDEX(A180:A183,MAX(MATCH(REPT("z",255),A180:A183)))),"",INDEX(A180:A183,MAX(MATCH(REPT("z",255),A180:A183))))</f>
      </c>
      <c r="E184" s="84"/>
      <c r="F184" s="84"/>
      <c r="G184" s="85"/>
      <c r="H184" s="85"/>
      <c r="I184" s="85"/>
      <c r="J184" s="75">
        <f ref="J184:J184" t="array">SUM(IF(NOT(ISBLANK($B179:$B183)),J179:J183,""))</f>
      </c>
      <c r="K184" s="75">
        <f ref="K184:K184" t="array">SUM(IF(NOT(ISBLANK($B179:$B183)),K179:K183,""))</f>
      </c>
      <c r="L184" s="75">
        <f ref="L184:L184" t="array">SUM(IF(NOT(ISBLANK($B179:$B183)),L179:L183,""))</f>
      </c>
      <c r="M184" s="75">
        <f ref="M184:M184" t="array">SUM(IF(NOT(ISBLANK($B179:$B183)),M179:M183,""))</f>
      </c>
      <c r="N184" s="75">
        <f ref="N184:N184" t="array">SUM(IF(NOT(ISBLANK($B179:$B183)),N179:N183,""))</f>
      </c>
      <c r="O184" s="75">
        <f ref="O184:O184" t="array">SUM(IF(NOT(ISBLANK($B179:$B183)),O179:O183,""))</f>
      </c>
      <c r="P184" s="76"/>
      <c r="Q184" s="75">
        <f ref="Q184:Q184" t="array">SUM(IF(NOT(ISBLANK($B179:$B183)),Q179:Q183,""))</f>
      </c>
      <c r="R184" s="75">
        <f ref="R184:R184" t="array">SUM(IF(NOT(ISBLANK($B179:$B183)),R179:R183,""))</f>
      </c>
      <c r="S184" s="76"/>
      <c r="T184" s="76"/>
      <c r="U184" s="75">
        <f ref="U184:U184" t="array">SUM(IF(NOT(ISBLANK($B179:$B183)),U179:U183,""))</f>
      </c>
      <c r="V184" s="75">
        <f ref="V184:V184" t="array">SUM(IF(NOT(ISBLANK($B179:$B183)),V179:V183,""))</f>
      </c>
      <c r="W184" s="75">
        <f ref="W184:W184" t="array">SUM(IF(NOT(ISBLANK($B179:$B183)),W179:W183,""))</f>
      </c>
      <c r="X184" s="76"/>
      <c r="Y184" s="75">
        <f ref="Y184:Y184" t="array">SUM(IF(NOT(ISBLANK($B179:$B183)),Y179:Y183,""))</f>
      </c>
      <c r="Z184" s="75">
        <f ref="Z184:Z184" t="array">SUM(IF(NOT(ISBLANK($B179:$B183)),Z179:Z183,""))</f>
      </c>
      <c r="AA184" s="76"/>
      <c r="AB184" s="75">
        <f ref="AB184:AB184" t="array">SUM(IF(NOT(ISBLANK($B179:$B183)),AB179:AB183,""))</f>
      </c>
      <c r="AC184" s="75">
        <f ref="AC184:AC184" t="array">SUM(IF(NOT(ISBLANK($B179:$B183)),AC179:AC183,""))</f>
      </c>
      <c r="AD184" s="76"/>
      <c r="AE184" s="76"/>
      <c r="AF184" s="77"/>
      <c r="AG184" s="78">
        <v>1</v>
      </c>
    </row>
    <row r="185" ht="0" hidden="1">
      <c r="A185" s="49"/>
      <c r="B185" s="50"/>
      <c r="C185" s="50"/>
      <c r="D185" s="79"/>
      <c r="E185" s="79"/>
      <c r="F185" s="79"/>
      <c r="G185" s="80"/>
      <c r="H185" s="80"/>
      <c r="I185" s="80"/>
      <c r="J185" s="52"/>
      <c r="K185" s="53"/>
      <c r="L185" s="53"/>
      <c r="M185" s="53"/>
      <c r="N185" s="52"/>
      <c r="O185" s="54"/>
      <c r="P185" s="81"/>
      <c r="Q185" s="56"/>
      <c r="R185" s="52"/>
      <c r="S185" s="81"/>
      <c r="T185" s="81"/>
      <c r="U185" s="52"/>
      <c r="V185" s="52"/>
      <c r="W185" s="52"/>
      <c r="X185" s="81"/>
      <c r="Y185" s="52"/>
      <c r="Z185" s="52"/>
      <c r="AA185" s="81"/>
      <c r="AB185" s="52"/>
      <c r="AC185" s="52"/>
      <c r="AD185" s="81"/>
      <c r="AE185" s="81"/>
      <c r="AF185" s="82"/>
      <c r="AG185" s="37"/>
    </row>
    <row r="186">
      <c r="A186" s="59"/>
      <c r="B186" s="60"/>
      <c r="C186" s="60"/>
      <c r="D186" s="61"/>
      <c r="E186" s="61"/>
      <c r="F186" s="61"/>
      <c r="G186" s="62"/>
      <c r="H186" s="62"/>
      <c r="I186" s="62"/>
      <c r="J186" s="63"/>
      <c r="K186" s="53"/>
      <c r="L186" s="53"/>
      <c r="M186" s="53"/>
      <c r="N186" s="63"/>
      <c r="O186" s="64"/>
      <c r="P186" s="55"/>
      <c r="Q186" s="65"/>
      <c r="R186" s="63"/>
      <c r="S186" s="55"/>
      <c r="T186" s="55"/>
      <c r="U186" s="63"/>
      <c r="V186" s="63"/>
      <c r="W186" s="63"/>
      <c r="X186" s="55"/>
      <c r="Y186" s="63"/>
      <c r="Z186" s="63"/>
      <c r="AA186" s="55"/>
      <c r="AB186" s="63"/>
      <c r="AC186" s="63"/>
      <c r="AD186" s="55"/>
      <c r="AE186" s="55"/>
      <c r="AF186" s="66"/>
      <c r="AG186" s="37"/>
    </row>
    <row r="187">
      <c r="A187" s="59"/>
      <c r="B187" s="60"/>
      <c r="C187" s="60"/>
      <c r="D187" s="61"/>
      <c r="E187" s="61"/>
      <c r="F187" s="61"/>
      <c r="G187" s="62"/>
      <c r="H187" s="62"/>
      <c r="I187" s="62"/>
      <c r="J187" s="63"/>
      <c r="K187" s="53"/>
      <c r="L187" s="53"/>
      <c r="M187" s="53"/>
      <c r="N187" s="63"/>
      <c r="O187" s="64"/>
      <c r="P187" s="55"/>
      <c r="Q187" s="65"/>
      <c r="R187" s="63"/>
      <c r="S187" s="55"/>
      <c r="T187" s="55"/>
      <c r="U187" s="63"/>
      <c r="V187" s="63"/>
      <c r="W187" s="63"/>
      <c r="X187" s="55"/>
      <c r="Y187" s="63"/>
      <c r="Z187" s="63"/>
      <c r="AA187" s="55"/>
      <c r="AB187" s="63"/>
      <c r="AC187" s="63"/>
      <c r="AD187" s="55"/>
      <c r="AE187" s="55"/>
      <c r="AF187" s="66"/>
      <c r="AG187" s="37"/>
    </row>
    <row r="188">
      <c r="A188" s="71"/>
      <c r="B188" s="72"/>
      <c r="C188" s="72"/>
      <c r="D188" s="73"/>
      <c r="E188" s="73"/>
      <c r="F188" s="73"/>
      <c r="G188" s="74"/>
      <c r="H188" s="74"/>
      <c r="I188" s="74"/>
      <c r="J188" s="53"/>
      <c r="K188" s="53"/>
      <c r="L188" s="53"/>
      <c r="M188" s="53"/>
      <c r="N188" s="53"/>
      <c r="O188" s="67"/>
      <c r="P188" s="68"/>
      <c r="Q188" s="69"/>
      <c r="R188" s="53"/>
      <c r="S188" s="68"/>
      <c r="T188" s="68"/>
      <c r="U188" s="53"/>
      <c r="V188" s="53"/>
      <c r="W188" s="53"/>
      <c r="X188" s="68"/>
      <c r="Y188" s="53"/>
      <c r="Z188" s="53"/>
      <c r="AA188" s="68"/>
      <c r="AB188" s="53"/>
      <c r="AC188" s="53"/>
      <c r="AD188" s="68"/>
      <c r="AE188" s="68"/>
      <c r="AF188" s="70"/>
      <c r="AG188" s="37"/>
    </row>
    <row r="189">
      <c r="A189" s="71"/>
      <c r="B189" s="72"/>
      <c r="C189" s="72"/>
      <c r="D189" s="73"/>
      <c r="E189" s="73"/>
      <c r="F189" s="73"/>
      <c r="G189" s="74"/>
      <c r="H189" s="74"/>
      <c r="I189" s="74"/>
      <c r="J189" s="53"/>
      <c r="K189" s="53"/>
      <c r="L189" s="53"/>
      <c r="M189" s="53"/>
      <c r="N189" s="53"/>
      <c r="O189" s="67"/>
      <c r="P189" s="68"/>
      <c r="Q189" s="69"/>
      <c r="R189" s="53"/>
      <c r="S189" s="68"/>
      <c r="T189" s="68"/>
      <c r="U189" s="53"/>
      <c r="V189" s="53"/>
      <c r="W189" s="53"/>
      <c r="X189" s="68"/>
      <c r="Y189" s="53"/>
      <c r="Z189" s="53"/>
      <c r="AA189" s="68"/>
      <c r="AB189" s="53"/>
      <c r="AC189" s="53"/>
      <c r="AD189" s="68"/>
      <c r="AE189" s="68"/>
      <c r="AF189" s="70"/>
      <c r="AG189" s="37"/>
    </row>
    <row r="190">
      <c r="A190" s="83">
        <f>IF(COUNTA(M186:M189)=0,"",IF(COUNTA(F186:F189)=0,IF(COUNTA(D186:D189)=0,"Totals - Final","Totals - Estimated"),"Totals - Corrected"))</f>
      </c>
      <c r="B190" s="86">
        <f>IF(ISNA(INDEX(B186:B189,MAX(MATCH(REPT("z",255),B186:B189)))),"",INDEX(B186:B189,MAX(MATCH(REPT("z",255),B186:B189))))</f>
      </c>
      <c r="C190" s="86">
        <f>IF(ISNA(INDEX(C186:C189,MAX(MATCH(REPT("z",255),C186:C189)))),"",INDEX(C186:C189,MAX(MATCH(REPT("z",255),C186:C189))))</f>
      </c>
      <c r="D190" s="86">
        <f>IF(ISNA(INDEX(A186:A189,MAX(MATCH(REPT("z",255),A186:A189)))),"",INDEX(A186:A189,MAX(MATCH(REPT("z",255),A186:A189))))</f>
      </c>
      <c r="E190" s="84"/>
      <c r="F190" s="84"/>
      <c r="G190" s="85"/>
      <c r="H190" s="85"/>
      <c r="I190" s="85"/>
      <c r="J190" s="75">
        <f ref="J190:J190" t="array">SUM(IF(NOT(ISBLANK($B185:$B189)),J185:J189,""))</f>
      </c>
      <c r="K190" s="75">
        <f ref="K190:K190" t="array">SUM(IF(NOT(ISBLANK($B185:$B189)),K185:K189,""))</f>
      </c>
      <c r="L190" s="75">
        <f ref="L190:L190" t="array">SUM(IF(NOT(ISBLANK($B185:$B189)),L185:L189,""))</f>
      </c>
      <c r="M190" s="75">
        <f ref="M190:M190" t="array">SUM(IF(NOT(ISBLANK($B185:$B189)),M185:M189,""))</f>
      </c>
      <c r="N190" s="75">
        <f ref="N190:N190" t="array">SUM(IF(NOT(ISBLANK($B185:$B189)),N185:N189,""))</f>
      </c>
      <c r="O190" s="75">
        <f ref="O190:O190" t="array">SUM(IF(NOT(ISBLANK($B185:$B189)),O185:O189,""))</f>
      </c>
      <c r="P190" s="76"/>
      <c r="Q190" s="75">
        <f ref="Q190:Q190" t="array">SUM(IF(NOT(ISBLANK($B185:$B189)),Q185:Q189,""))</f>
      </c>
      <c r="R190" s="75">
        <f ref="R190:R190" t="array">SUM(IF(NOT(ISBLANK($B185:$B189)),R185:R189,""))</f>
      </c>
      <c r="S190" s="76"/>
      <c r="T190" s="76"/>
      <c r="U190" s="75">
        <f ref="U190:U190" t="array">SUM(IF(NOT(ISBLANK($B185:$B189)),U185:U189,""))</f>
      </c>
      <c r="V190" s="75">
        <f ref="V190:V190" t="array">SUM(IF(NOT(ISBLANK($B185:$B189)),V185:V189,""))</f>
      </c>
      <c r="W190" s="75">
        <f ref="W190:W190" t="array">SUM(IF(NOT(ISBLANK($B185:$B189)),W185:W189,""))</f>
      </c>
      <c r="X190" s="76"/>
      <c r="Y190" s="75">
        <f ref="Y190:Y190" t="array">SUM(IF(NOT(ISBLANK($B185:$B189)),Y185:Y189,""))</f>
      </c>
      <c r="Z190" s="75">
        <f ref="Z190:Z190" t="array">SUM(IF(NOT(ISBLANK($B185:$B189)),Z185:Z189,""))</f>
      </c>
      <c r="AA190" s="76"/>
      <c r="AB190" s="75">
        <f ref="AB190:AB190" t="array">SUM(IF(NOT(ISBLANK($B185:$B189)),AB185:AB189,""))</f>
      </c>
      <c r="AC190" s="75">
        <f ref="AC190:AC190" t="array">SUM(IF(NOT(ISBLANK($B185:$B189)),AC185:AC189,""))</f>
      </c>
      <c r="AD190" s="76"/>
      <c r="AE190" s="76"/>
      <c r="AF190" s="77"/>
      <c r="AG190" s="78">
        <v>1</v>
      </c>
    </row>
  </sheetData>
  <sheetProtection password="d411" sheet="1" objects="1" scenarios="1" formatCells="0" formatColumns="0" formatRows="0" insertRows="0" deleteRows="0" selectLockedCells="1"/>
  <protectedRanges>
    <protectedRange password="CE88" sqref="A33:AG37 A19:AG31 A39:AG51 A53:AG63 A65:AG69 A71:AG75 A77:AG81 A83:AG87 A89:AG93 A95:AG99 A101:AG105 A107:AG111 A113:AG117 A119:AG123 A125:AG129 A131:AG135 A137:AG141 A143:AG147 A149:AG153 A155:AG159 A161:AG165 A167:AG171 A173:AG177 A179:AG183 A185:AG189" name="Range4"/>
    <protectedRange sqref="B6" name="Range1"/>
    <protectedRange sqref="A39:AG51 A33:AG37 A53:AG63 A65:AG69 A71:AG75 A77:AG81 A83:AG87 A89:AG93 A95:AG99 A101:AG105 A107:AG111 A113:AG117 A119:AG123 A125:AG129 A131:AG135 A137:AG141 A143:AG147 A149:AG153 A155:AG159 A161:AG165 A167:AG171 A173:AG177 A179:AG183 A185:AG189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85:A189 A33:A37 A39:A51 A53:A63 A65:A69 A71:A75 A77:A81 A83:A87 A89:A93 A95:A99 A101:A105 A107:A111 A113:A117 A119:A123 A125:A129 A131:A135 A137:A141 A143:A147 A149:A153 A155:A159 A161:A165 A167:A171 A173:A177 A179:A183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85:F189 F39:F51 F53:F63 F65:F69 F71:F75 F77:F81 F83:F87 F89:F93 F95:F99 F101:F105 F107:F111 F113:F117 F119:F123 F125:F129 F131:F135 F137:F141 F143:F147 F149:F153 F155:F159 F161:F165 F167:F171 F173:F177 F179:F183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85:E189 E39:E51 E53:E63 E65:E69 E71:E75 E77:E81 E83:E87 E89:E93 E95:E99 E101:E105 E107:E111 E113:E117 E119:E123 E125:E129 E131:E135 E137:E141 E143:E147 E149:E153 E155:E159 E161:E165 E167:E171 E173:E177 E179:E183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85:D189 D39:D51 D53:D63 D65:D69 D71:D75 D77:D81 D83:D87 D89:D93 D95:D99 D101:D105 D107:D111 D113:D117 D119:D123 D125:D129 D131:D135 D137:D141 D143:D147 D149:D153 D155:D159 D161:D165 D167:D171 D173:D177 D179:D183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2013-01-17T02:36:21Z</cp:lastPrinted>
  <dcterms:created xsi:type="dcterms:W3CDTF">2012-11-27T14:14:45Z</dcterms:created>
  <dcterms:modified xsi:type="dcterms:W3CDTF">2013-01-17T22:33:00Z</dcterms:modified>
</cp:coreProperties>
</file>