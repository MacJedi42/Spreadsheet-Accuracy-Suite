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00" yWindow="15" windowWidth="13485" windowHeight="8190"/>
  </bookViews>
  <sheets>
    <sheet name="SUMMARY" sheetId="1" r:id="rId1"/>
    <sheet name="UK MD" sheetId="2" r:id="rId2"/>
    <sheet name="UK non-MD" sheetId="4" r:id="rId3"/>
    <sheet name="NOTES" sheetId="7" r:id="rId4"/>
  </sheets>
  <definedNames>
    <definedName name="_xlnm.Print_Area" localSheetId="0">SUMMARY!$A$1:$L$54</definedName>
    <definedName name="_xlnm.Print_Area" localSheetId="2">'UK non-MD'!$A$1:$J$88</definedName>
  </definedNames>
  <calcPr calcId="125725"/>
</workbook>
</file>

<file path=xl/calcChain.xml><?xml version="1.0" encoding="utf-8"?>
<calcChain xmlns="http://schemas.openxmlformats.org/spreadsheetml/2006/main">
  <c r="D56" i="4"/>
  <c r="G44" i="1"/>
  <c r="G34"/>
  <c r="C115" i="2"/>
  <c r="F85" i="4"/>
  <c r="E85"/>
  <c r="E56"/>
  <c r="C38"/>
  <c r="C56"/>
  <c r="E66" i="2"/>
  <c r="H47"/>
  <c r="G115"/>
  <c r="F115"/>
  <c r="E115"/>
  <c r="D115"/>
  <c r="K115"/>
  <c r="J115"/>
  <c r="H115"/>
  <c r="G47"/>
  <c r="F47"/>
  <c r="H34" i="1"/>
  <c r="F34"/>
  <c r="H36"/>
  <c r="G36"/>
  <c r="F36"/>
  <c r="E36"/>
  <c r="F38" i="4" l="1"/>
  <c r="E38"/>
  <c r="E129" i="2" l="1"/>
  <c r="E130"/>
  <c r="D129"/>
  <c r="D130"/>
  <c r="C128"/>
  <c r="C129"/>
  <c r="C130"/>
  <c r="K113"/>
  <c r="K114"/>
  <c r="I113"/>
  <c r="I114"/>
  <c r="J114"/>
  <c r="J113"/>
  <c r="H114"/>
  <c r="H113"/>
  <c r="E114"/>
  <c r="E113"/>
  <c r="C67" i="4"/>
  <c r="G34"/>
  <c r="G35"/>
  <c r="G36"/>
  <c r="G33"/>
  <c r="G37" s="1"/>
  <c r="D36"/>
  <c r="H36" s="1"/>
  <c r="D37"/>
  <c r="H37" s="1"/>
  <c r="J97" i="2"/>
  <c r="K97"/>
  <c r="J96"/>
  <c r="K96"/>
  <c r="H97"/>
  <c r="I97"/>
  <c r="H96"/>
  <c r="I96"/>
  <c r="C98"/>
  <c r="M80"/>
  <c r="M81"/>
  <c r="L80"/>
  <c r="L81"/>
  <c r="K80"/>
  <c r="K81"/>
  <c r="J80"/>
  <c r="J81"/>
  <c r="I80"/>
  <c r="I81"/>
  <c r="H80"/>
  <c r="H81"/>
  <c r="D71"/>
  <c r="D72"/>
  <c r="D73"/>
  <c r="D74"/>
  <c r="D75"/>
  <c r="D76"/>
  <c r="D77"/>
  <c r="D78"/>
  <c r="D79"/>
  <c r="D80"/>
  <c r="D81"/>
  <c r="D70"/>
  <c r="D66" l="1"/>
  <c r="C66"/>
  <c r="F55"/>
  <c r="F56"/>
  <c r="F57"/>
  <c r="F58"/>
  <c r="F59"/>
  <c r="F60"/>
  <c r="F61"/>
  <c r="F62"/>
  <c r="F63"/>
  <c r="F64"/>
  <c r="K64" s="1"/>
  <c r="M64" s="1"/>
  <c r="F65"/>
  <c r="K65" s="1"/>
  <c r="M65" s="1"/>
  <c r="F54"/>
  <c r="F66" s="1"/>
  <c r="D65"/>
  <c r="J65" l="1"/>
  <c r="L65" s="1"/>
  <c r="J64"/>
  <c r="L64" s="1"/>
  <c r="D35" i="4"/>
  <c r="H35" s="1"/>
  <c r="J112" i="2" l="1"/>
  <c r="K112"/>
  <c r="H112"/>
  <c r="I112"/>
  <c r="D64"/>
  <c r="D128"/>
  <c r="J111"/>
  <c r="K111" s="1"/>
  <c r="H111"/>
  <c r="I111" s="1"/>
  <c r="C111"/>
  <c r="J95"/>
  <c r="K95" s="1"/>
  <c r="H95"/>
  <c r="I95" s="1"/>
  <c r="C95"/>
  <c r="K79"/>
  <c r="L79" s="1"/>
  <c r="M79" s="1"/>
  <c r="H79"/>
  <c r="I79" s="1"/>
  <c r="J79" s="1"/>
  <c r="K63"/>
  <c r="J63"/>
  <c r="E128"/>
  <c r="D63"/>
  <c r="M63" s="1"/>
  <c r="D67" i="4"/>
  <c r="D85"/>
  <c r="C85"/>
  <c r="D119" i="2"/>
  <c r="D120"/>
  <c r="D121"/>
  <c r="D122"/>
  <c r="D123"/>
  <c r="D124"/>
  <c r="D125"/>
  <c r="D126"/>
  <c r="D127"/>
  <c r="C120"/>
  <c r="C121"/>
  <c r="C122"/>
  <c r="C123"/>
  <c r="C124"/>
  <c r="C125"/>
  <c r="C126"/>
  <c r="C127"/>
  <c r="C119"/>
  <c r="L63" l="1"/>
  <c r="F44" i="1"/>
  <c r="F47"/>
  <c r="F46"/>
  <c r="E47"/>
  <c r="E46"/>
  <c r="H37"/>
  <c r="G37"/>
  <c r="H38"/>
  <c r="H44"/>
  <c r="G38"/>
  <c r="F37"/>
  <c r="F38"/>
  <c r="E37"/>
  <c r="H46"/>
  <c r="G46"/>
  <c r="F67" i="4"/>
  <c r="H47" i="1" s="1"/>
  <c r="E67" i="4"/>
  <c r="G47" i="1" s="1"/>
  <c r="G38" i="4"/>
  <c r="D33"/>
  <c r="D34"/>
  <c r="H34" s="1"/>
  <c r="E34" i="1"/>
  <c r="D38" i="4" l="1"/>
  <c r="H33"/>
  <c r="H38" s="1"/>
  <c r="F48" i="1"/>
  <c r="H48"/>
  <c r="G48"/>
  <c r="E38"/>
  <c r="E44"/>
  <c r="E48" s="1"/>
  <c r="K55" i="2" l="1"/>
  <c r="K56"/>
  <c r="K57"/>
  <c r="K58"/>
  <c r="K59"/>
  <c r="K60"/>
  <c r="K61"/>
  <c r="K62"/>
  <c r="K54"/>
  <c r="K66" s="1"/>
  <c r="K71"/>
  <c r="L71" s="1"/>
  <c r="M71" s="1"/>
  <c r="K72"/>
  <c r="L72" s="1"/>
  <c r="M72" s="1"/>
  <c r="K73"/>
  <c r="L73" s="1"/>
  <c r="M73" s="1"/>
  <c r="K74"/>
  <c r="L74" s="1"/>
  <c r="M74" s="1"/>
  <c r="K75"/>
  <c r="L75" s="1"/>
  <c r="M75" s="1"/>
  <c r="K76"/>
  <c r="L76" s="1"/>
  <c r="M76" s="1"/>
  <c r="K77"/>
  <c r="L77" s="1"/>
  <c r="M77" s="1"/>
  <c r="K78"/>
  <c r="L78" s="1"/>
  <c r="M78" s="1"/>
  <c r="H45"/>
  <c r="J103"/>
  <c r="K103" s="1"/>
  <c r="J104"/>
  <c r="K104" s="1"/>
  <c r="J105"/>
  <c r="K105" s="1"/>
  <c r="J106"/>
  <c r="K106" s="1"/>
  <c r="J107"/>
  <c r="K107" s="1"/>
  <c r="J108"/>
  <c r="K108" s="1"/>
  <c r="J109"/>
  <c r="K109" s="1"/>
  <c r="J110"/>
  <c r="K110" s="1"/>
  <c r="J102"/>
  <c r="J87"/>
  <c r="K87" s="1"/>
  <c r="J88"/>
  <c r="K88" s="1"/>
  <c r="J89"/>
  <c r="K89" s="1"/>
  <c r="J90"/>
  <c r="K90" s="1"/>
  <c r="J91"/>
  <c r="K91" s="1"/>
  <c r="J92"/>
  <c r="K92" s="1"/>
  <c r="J93"/>
  <c r="K93" s="1"/>
  <c r="J94"/>
  <c r="K94" s="1"/>
  <c r="H46"/>
  <c r="J86"/>
  <c r="K86" s="1"/>
  <c r="K98" s="1"/>
  <c r="E46" s="1"/>
  <c r="H103"/>
  <c r="I103" s="1"/>
  <c r="H104"/>
  <c r="I104" s="1"/>
  <c r="H105"/>
  <c r="I105" s="1"/>
  <c r="H106"/>
  <c r="I106" s="1"/>
  <c r="H107"/>
  <c r="I107" s="1"/>
  <c r="H108"/>
  <c r="I108" s="1"/>
  <c r="H109"/>
  <c r="I109" s="1"/>
  <c r="H110"/>
  <c r="I110" s="1"/>
  <c r="D36" i="1"/>
  <c r="H102" i="2"/>
  <c r="C103"/>
  <c r="C104"/>
  <c r="C105"/>
  <c r="C106"/>
  <c r="C107"/>
  <c r="C108"/>
  <c r="C109"/>
  <c r="C110"/>
  <c r="C36" i="1"/>
  <c r="J36" s="1"/>
  <c r="C102" i="2"/>
  <c r="C47" s="1"/>
  <c r="C46" i="1" s="1"/>
  <c r="J46" s="1"/>
  <c r="G66" i="2"/>
  <c r="H66"/>
  <c r="I66"/>
  <c r="E82"/>
  <c r="F82"/>
  <c r="G82"/>
  <c r="H87"/>
  <c r="I87" s="1"/>
  <c r="H88"/>
  <c r="I88" s="1"/>
  <c r="H89"/>
  <c r="I89" s="1"/>
  <c r="H90"/>
  <c r="I90" s="1"/>
  <c r="H91"/>
  <c r="I91" s="1"/>
  <c r="H92"/>
  <c r="I92" s="1"/>
  <c r="H93"/>
  <c r="I93" s="1"/>
  <c r="H94"/>
  <c r="I94" s="1"/>
  <c r="G46"/>
  <c r="D37" i="1" s="1"/>
  <c r="H86" i="2"/>
  <c r="I86" s="1"/>
  <c r="I98" s="1"/>
  <c r="D46" s="1"/>
  <c r="D47" i="1" s="1"/>
  <c r="C87" i="2"/>
  <c r="C88"/>
  <c r="C89"/>
  <c r="C90"/>
  <c r="C91"/>
  <c r="C92"/>
  <c r="C93"/>
  <c r="C94"/>
  <c r="F46"/>
  <c r="C37" i="1" s="1"/>
  <c r="J37" s="1"/>
  <c r="C86" i="2"/>
  <c r="D98"/>
  <c r="E98"/>
  <c r="F98"/>
  <c r="G98"/>
  <c r="H98"/>
  <c r="C46"/>
  <c r="C47" i="1" s="1"/>
  <c r="J47" s="1"/>
  <c r="F45" i="2"/>
  <c r="C35" i="1" s="1"/>
  <c r="E120" i="2"/>
  <c r="E121"/>
  <c r="E122"/>
  <c r="E123"/>
  <c r="E124"/>
  <c r="E125"/>
  <c r="E126"/>
  <c r="E127"/>
  <c r="H71"/>
  <c r="I71" s="1"/>
  <c r="J71" s="1"/>
  <c r="H72"/>
  <c r="I72" s="1"/>
  <c r="J72" s="1"/>
  <c r="H73"/>
  <c r="I73" s="1"/>
  <c r="J73" s="1"/>
  <c r="H74"/>
  <c r="I74" s="1"/>
  <c r="J74" s="1"/>
  <c r="H75"/>
  <c r="I75" s="1"/>
  <c r="J75" s="1"/>
  <c r="H76"/>
  <c r="I76" s="1"/>
  <c r="J76" s="1"/>
  <c r="H77"/>
  <c r="I77" s="1"/>
  <c r="J77" s="1"/>
  <c r="H78"/>
  <c r="I78" s="1"/>
  <c r="J78" s="1"/>
  <c r="G45"/>
  <c r="D35" i="1" s="1"/>
  <c r="J55" i="2"/>
  <c r="J56"/>
  <c r="J57"/>
  <c r="J58"/>
  <c r="J59"/>
  <c r="J60"/>
  <c r="J61"/>
  <c r="J62"/>
  <c r="J54"/>
  <c r="J66" s="1"/>
  <c r="F44"/>
  <c r="C34" i="1" s="1"/>
  <c r="J34" s="1"/>
  <c r="D62" i="2"/>
  <c r="D61"/>
  <c r="D60"/>
  <c r="D59"/>
  <c r="D58"/>
  <c r="D57"/>
  <c r="D56"/>
  <c r="D55"/>
  <c r="D54"/>
  <c r="F48" l="1"/>
  <c r="L54"/>
  <c r="M54"/>
  <c r="L55"/>
  <c r="M55"/>
  <c r="L56"/>
  <c r="M56"/>
  <c r="L57"/>
  <c r="M57"/>
  <c r="L58"/>
  <c r="M58"/>
  <c r="L59"/>
  <c r="M59"/>
  <c r="L60"/>
  <c r="M60"/>
  <c r="L61"/>
  <c r="M61"/>
  <c r="L62"/>
  <c r="M62"/>
  <c r="G44"/>
  <c r="D34" i="1" s="1"/>
  <c r="H44" i="2"/>
  <c r="H48" s="1"/>
  <c r="C44"/>
  <c r="J98"/>
  <c r="I46" s="1"/>
  <c r="J46" s="1"/>
  <c r="K102"/>
  <c r="E47" s="1"/>
  <c r="I47" s="1"/>
  <c r="J47" s="1"/>
  <c r="I102"/>
  <c r="C38" i="1" l="1"/>
  <c r="J38" s="1"/>
  <c r="D38"/>
  <c r="G48" i="2"/>
  <c r="M66"/>
  <c r="E44" s="1"/>
  <c r="L66"/>
  <c r="D44" s="1"/>
  <c r="D44" i="1" s="1"/>
  <c r="I44" i="2"/>
  <c r="J44" l="1"/>
  <c r="C44" i="1" s="1"/>
  <c r="D82" i="2" l="1"/>
  <c r="K70"/>
  <c r="K82" s="1"/>
  <c r="L70"/>
  <c r="L82" s="1"/>
  <c r="M70"/>
  <c r="M82"/>
  <c r="E45"/>
  <c r="E48" s="1"/>
  <c r="I45"/>
  <c r="I48"/>
  <c r="H70"/>
  <c r="H82" s="1"/>
  <c r="I70"/>
  <c r="I82" s="1"/>
  <c r="J70"/>
  <c r="J82"/>
  <c r="D45"/>
  <c r="E119"/>
  <c r="C82"/>
  <c r="C45"/>
  <c r="C48" s="1"/>
  <c r="J45" l="1"/>
  <c r="D45" i="1"/>
  <c r="C45" l="1"/>
  <c r="J48" i="2"/>
  <c r="J44" i="1" l="1"/>
  <c r="C48"/>
  <c r="J48" s="1"/>
  <c r="D47" i="2"/>
  <c r="D48" s="1"/>
  <c r="D46" i="1"/>
  <c r="D48"/>
</calcChain>
</file>

<file path=xl/comments1.xml><?xml version="1.0" encoding="utf-8"?>
<comments xmlns="http://schemas.openxmlformats.org/spreadsheetml/2006/main">
  <authors>
    <author>clairew</author>
  </authors>
  <commentList>
    <comment ref="D52" authorId="0">
      <text>
        <r>
          <rPr>
            <b/>
            <sz val="8"/>
            <color indexed="81"/>
            <rFont val="Tahoma"/>
            <charset val="1"/>
          </rPr>
          <t>clairew:</t>
        </r>
        <r>
          <rPr>
            <sz val="8"/>
            <color indexed="81"/>
            <rFont val="Tahoma"/>
            <charset val="1"/>
          </rPr>
          <t xml:space="preserve">
NOIDS no longer report cases of TB meningitis</t>
        </r>
      </text>
    </comment>
    <comment ref="D53" authorId="0">
      <text>
        <r>
          <rPr>
            <b/>
            <sz val="8"/>
            <color indexed="81"/>
            <rFont val="Tahoma"/>
            <charset val="1"/>
          </rPr>
          <t>clairew:</t>
        </r>
        <r>
          <rPr>
            <sz val="8"/>
            <color indexed="81"/>
            <rFont val="Tahoma"/>
            <charset val="1"/>
          </rPr>
          <t xml:space="preserve">
NOIDS no longer report cases of TB meningitis</t>
        </r>
      </text>
    </comment>
    <comment ref="E53" authorId="0">
      <text>
        <r>
          <rPr>
            <b/>
            <sz val="8"/>
            <color indexed="81"/>
            <rFont val="Tahoma"/>
            <charset val="1"/>
          </rPr>
          <t>clairew:</t>
        </r>
        <r>
          <rPr>
            <sz val="8"/>
            <color indexed="81"/>
            <rFont val="Tahoma"/>
            <charset val="1"/>
          </rPr>
          <t xml:space="preserve">
Cases reportred by NOIDs dramatically reduced since the 2010 legislation change surrounding statutory reporting</t>
        </r>
      </text>
    </comment>
    <comment ref="D54" authorId="0">
      <text>
        <r>
          <rPr>
            <b/>
            <sz val="8"/>
            <color indexed="81"/>
            <rFont val="Tahoma"/>
            <charset val="1"/>
          </rPr>
          <t>clairew:</t>
        </r>
        <r>
          <rPr>
            <sz val="8"/>
            <color indexed="81"/>
            <rFont val="Tahoma"/>
            <charset val="1"/>
          </rPr>
          <t xml:space="preserve">
NOIDS no longer report cases of TB meningitis</t>
        </r>
      </text>
    </comment>
  </commentList>
</comments>
</file>

<file path=xl/sharedStrings.xml><?xml version="1.0" encoding="utf-8"?>
<sst xmlns="http://schemas.openxmlformats.org/spreadsheetml/2006/main" count="206" uniqueCount="111">
  <si>
    <t>Year</t>
  </si>
  <si>
    <t>ENGLAND</t>
  </si>
  <si>
    <t>All cases</t>
  </si>
  <si>
    <t>MenB</t>
  </si>
  <si>
    <t>MenC</t>
  </si>
  <si>
    <t>HES Admissions data A39</t>
  </si>
  <si>
    <t>Cleaned HES admissions data</t>
  </si>
  <si>
    <t>WALES</t>
  </si>
  <si>
    <t>Ungrouped cases</t>
  </si>
  <si>
    <t>MenB as a percentage of all grouped cases</t>
  </si>
  <si>
    <t>Meningococcal Reference Unit isolates of Neisseria menengitidis</t>
  </si>
  <si>
    <t>00/01</t>
  </si>
  <si>
    <t>01/02</t>
  </si>
  <si>
    <t>02/03</t>
  </si>
  <si>
    <t>03/04</t>
  </si>
  <si>
    <t>04/05</t>
  </si>
  <si>
    <t>05/06</t>
  </si>
  <si>
    <t>06/07</t>
  </si>
  <si>
    <t>07/08</t>
  </si>
  <si>
    <t>08/09</t>
  </si>
  <si>
    <t>09/10</t>
  </si>
  <si>
    <t>Total MenB estimate</t>
  </si>
  <si>
    <t>Total MenB estimate with 1.3 uplift</t>
  </si>
  <si>
    <t>All grouped cases (A,B,C,W135 &amp; Y)</t>
  </si>
  <si>
    <t>MenC as a percentage of all grouped cases</t>
  </si>
  <si>
    <t>Total MenC estimate</t>
  </si>
  <si>
    <t>Total MenC estimate with 1.3 uplift</t>
  </si>
  <si>
    <t>NI</t>
  </si>
  <si>
    <t>SCOTLAND</t>
  </si>
  <si>
    <t>Total Mening</t>
  </si>
  <si>
    <t>TOTAL</t>
  </si>
  <si>
    <t>Meningococcal meningitis &amp; septicaemia</t>
  </si>
  <si>
    <t>Pneumococcal meningitis</t>
  </si>
  <si>
    <t>TB meningitis</t>
  </si>
  <si>
    <t xml:space="preserve">Other causes </t>
  </si>
  <si>
    <t xml:space="preserve">Total </t>
  </si>
  <si>
    <t>All</t>
  </si>
  <si>
    <t xml:space="preserve">Northern Ireland </t>
  </si>
  <si>
    <t>Total UK</t>
  </si>
  <si>
    <t>2007-08</t>
  </si>
  <si>
    <t>2008-09</t>
  </si>
  <si>
    <t>2009-10</t>
  </si>
  <si>
    <t>HES Admissions data G001</t>
  </si>
  <si>
    <t>England and Wales</t>
  </si>
  <si>
    <t>England</t>
  </si>
  <si>
    <t>Uplift required to convert English NOIDS to E&amp;W NOIDS</t>
  </si>
  <si>
    <t>Average</t>
  </si>
  <si>
    <t xml:space="preserve">Hi </t>
  </si>
  <si>
    <t>TB men</t>
  </si>
  <si>
    <t xml:space="preserve">Pneumococcal meningitis </t>
  </si>
  <si>
    <t xml:space="preserve">Hib meningitis </t>
  </si>
  <si>
    <t xml:space="preserve">TB meningitis </t>
  </si>
  <si>
    <t>TB Meningitis Cases reported to ESMI*</t>
  </si>
  <si>
    <t>Other bacterial meningitis</t>
  </si>
  <si>
    <r>
      <rPr>
        <b/>
        <i/>
        <sz val="9"/>
        <color theme="1"/>
        <rFont val="Arial"/>
        <family val="2"/>
      </rPr>
      <t>Haemophilus influenzae</t>
    </r>
    <r>
      <rPr>
        <b/>
        <sz val="9"/>
        <color theme="1"/>
        <rFont val="Arial"/>
        <family val="2"/>
      </rPr>
      <t xml:space="preserve"> CSF isolates (and cases from 2002)</t>
    </r>
  </si>
  <si>
    <r>
      <t xml:space="preserve">*Enhanced </t>
    </r>
    <r>
      <rPr>
        <sz val="9"/>
        <color rgb="FF000000"/>
        <rFont val="Arial"/>
        <family val="2"/>
      </rPr>
      <t>Surveillance</t>
    </r>
    <r>
      <rPr>
        <sz val="9"/>
        <color rgb="FF222222"/>
        <rFont val="Arial"/>
        <family val="2"/>
      </rPr>
      <t xml:space="preserve"> of Mycobacterial Infections</t>
    </r>
  </si>
  <si>
    <t>Neonatal Group B Streptococcal septicaemia*</t>
  </si>
  <si>
    <r>
      <t>Haemophilus influenzae</t>
    </r>
    <r>
      <rPr>
        <b/>
        <sz val="9"/>
        <rFont val="Arial"/>
        <family val="2"/>
      </rPr>
      <t xml:space="preserve"> meningitis</t>
    </r>
  </si>
  <si>
    <t>Cleaned HES admissions data uplifted to include Wales</t>
  </si>
  <si>
    <t>Other causes</t>
  </si>
  <si>
    <t>Table 2: Annual cases of bacterial meningitis and septicaemia by country and type to represent the burden of uncontrolled disease</t>
  </si>
  <si>
    <t>** Scottish Pneumococcal Invasive Disease Enhanced Reporting</t>
  </si>
  <si>
    <t>Laboratory confirmed Total</t>
  </si>
  <si>
    <t>Wales</t>
  </si>
  <si>
    <t xml:space="preserve">England </t>
  </si>
  <si>
    <t>Laboratory confirmed MenB</t>
  </si>
  <si>
    <t>Laboratory confirmed MenC</t>
  </si>
  <si>
    <t>Cases of Pneumococcal meningitis  reported to SPIDER</t>
  </si>
  <si>
    <t>Other bacterial (CSF Isolates)</t>
  </si>
  <si>
    <t>10/11</t>
  </si>
  <si>
    <t>2010</t>
  </si>
  <si>
    <t>2009</t>
  </si>
  <si>
    <t>2008</t>
  </si>
  <si>
    <t>2007</t>
  </si>
  <si>
    <t>2006</t>
  </si>
  <si>
    <t>2005</t>
  </si>
  <si>
    <t>2004</t>
  </si>
  <si>
    <t>2003</t>
  </si>
  <si>
    <t>2002</t>
  </si>
  <si>
    <t>2001</t>
  </si>
  <si>
    <t xml:space="preserve">Scotland* </t>
  </si>
  <si>
    <t>Neonatal Group B Streptococcal septicaemia**</t>
  </si>
  <si>
    <t>Table 2: Cases of meningococal disease in England: HES and Lab confirmed data (2000/01 to 2011/12)</t>
  </si>
  <si>
    <t>11/12</t>
  </si>
  <si>
    <t>Ungroupable cases</t>
  </si>
  <si>
    <t>All cases (excl. ungroupable)</t>
  </si>
  <si>
    <t>MenB as a percentage of all cases (excl. Ungroupable)</t>
  </si>
  <si>
    <t>MenC as a percentage of all cases (excl. Ungroupable)</t>
  </si>
  <si>
    <t>Average (past 12 yrs)</t>
  </si>
  <si>
    <t>12 yr average meningo cases reduced to reflect the impact of MenC vaccination</t>
  </si>
  <si>
    <t>12 YEAR AVERAGE</t>
  </si>
  <si>
    <t xml:space="preserve">Table 1: Cases of meningococcal disease in the UK in 2011/12 and 12 year averages </t>
  </si>
  <si>
    <t>2011/12</t>
  </si>
  <si>
    <t>12 yr average MenC - 2011/12 MenC</t>
  </si>
  <si>
    <t>2011-12</t>
  </si>
  <si>
    <t>2010-11</t>
  </si>
  <si>
    <t>Table 1: Cases of pneumococcal meningitis in England and Wales: HES and NOIDS data (2007/8 to 2011/12)</t>
  </si>
  <si>
    <t>?</t>
  </si>
  <si>
    <t>2011</t>
  </si>
  <si>
    <t>2012</t>
  </si>
  <si>
    <t>Table 5: Enhanced surveillance of meningococcal disease in Scotland by calendar year.  Notifications validated with lab confirmed data (2000 to 2012)</t>
  </si>
  <si>
    <t>* Scottish data is for calendar year 2012 because epidemiological data was unavailable</t>
  </si>
  <si>
    <t>Table 1: Annual cases of bacterial meningitis and septicaemia by country and type (2011/12)</t>
  </si>
  <si>
    <t>* Scottish data is for calendar years 2000 - 2012 because epidemiological data was unavailable</t>
  </si>
  <si>
    <t>Table 2: Cases of other bacterial meningitis in England and Wales: NOIDS data (2000 to 2012)</t>
  </si>
  <si>
    <t>Notifications of pneumococcal meningitis by calendar year (2007-2012)</t>
  </si>
  <si>
    <t>Table 3: Cases of other bacterial meningitis in Northern Ireland sourced from PHA (2006 to 2012)</t>
  </si>
  <si>
    <t>Table 3: Meningococcal Reference Unit isolates of Neisseria menengitidis: Wales (2000/01 to 2011/12)</t>
  </si>
  <si>
    <t>Table 4: Enhanced surveillance of meningococcal disease in Northern Ireland.  Notifications validated with lab confirmed data (2000/01 to 2011/12)</t>
  </si>
  <si>
    <t>Table 4: Cases of other bacterial meningitis in Scotland sourced from HPS (2000 to 2012)</t>
  </si>
  <si>
    <t>Average over past 5 years</t>
  </si>
</sst>
</file>

<file path=xl/styles.xml><?xml version="1.0" encoding="utf-8"?>
<styleSheet xmlns="http://schemas.openxmlformats.org/spreadsheetml/2006/main">
  <fonts count="20">
    <font>
      <sz val="11"/>
      <color theme="1"/>
      <name val="Calibri"/>
      <family val="2"/>
      <scheme val="minor"/>
    </font>
    <font>
      <b/>
      <sz val="11"/>
      <color theme="1"/>
      <name val="Calibri"/>
      <family val="2"/>
      <scheme val="minor"/>
    </font>
    <font>
      <sz val="10"/>
      <name val="Arial"/>
      <family val="2"/>
    </font>
    <font>
      <b/>
      <sz val="9"/>
      <name val="Arial"/>
      <family val="2"/>
    </font>
    <font>
      <b/>
      <sz val="9"/>
      <color theme="1"/>
      <name val="Arial"/>
      <family val="2"/>
    </font>
    <font>
      <sz val="9"/>
      <color theme="1"/>
      <name val="Arial"/>
      <family val="2"/>
    </font>
    <font>
      <sz val="9"/>
      <name val="Arial"/>
      <family val="2"/>
    </font>
    <font>
      <sz val="10"/>
      <color indexed="8"/>
      <name val="Arial"/>
      <family val="2"/>
    </font>
    <font>
      <b/>
      <i/>
      <sz val="9"/>
      <color theme="1"/>
      <name val="Arial"/>
      <family val="2"/>
    </font>
    <font>
      <b/>
      <i/>
      <sz val="11"/>
      <color theme="1"/>
      <name val="Calibri"/>
      <family val="2"/>
      <scheme val="minor"/>
    </font>
    <font>
      <b/>
      <sz val="11"/>
      <name val="Calibri"/>
      <family val="2"/>
      <scheme val="minor"/>
    </font>
    <font>
      <b/>
      <sz val="9"/>
      <color indexed="8"/>
      <name val="Arial"/>
      <family val="2"/>
    </font>
    <font>
      <b/>
      <sz val="9"/>
      <color rgb="FF000000"/>
      <name val="Arial"/>
      <family val="2"/>
    </font>
    <font>
      <sz val="9"/>
      <color rgb="FF000000"/>
      <name val="Arial"/>
      <family val="2"/>
    </font>
    <font>
      <sz val="9"/>
      <color rgb="FF222222"/>
      <name val="Arial"/>
      <family val="2"/>
    </font>
    <font>
      <b/>
      <i/>
      <sz val="9"/>
      <name val="Arial"/>
      <family val="2"/>
    </font>
    <font>
      <sz val="11"/>
      <color rgb="FFFF0000"/>
      <name val="Calibri"/>
      <family val="2"/>
      <scheme val="minor"/>
    </font>
    <font>
      <sz val="9"/>
      <color rgb="FFFF0000"/>
      <name val="Arial"/>
      <family val="2"/>
    </font>
    <font>
      <sz val="8"/>
      <color indexed="81"/>
      <name val="Tahoma"/>
      <charset val="1"/>
    </font>
    <font>
      <b/>
      <sz val="8"/>
      <color indexed="81"/>
      <name val="Tahoma"/>
      <charset val="1"/>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s>
  <cellStyleXfs count="4">
    <xf numFmtId="0" fontId="0" fillId="0" borderId="0"/>
    <xf numFmtId="0" fontId="2" fillId="0" borderId="0"/>
    <xf numFmtId="0" fontId="2" fillId="0" borderId="0"/>
    <xf numFmtId="0" fontId="7" fillId="0" borderId="0"/>
  </cellStyleXfs>
  <cellXfs count="139">
    <xf numFmtId="0" fontId="0" fillId="0" borderId="0" xfId="0"/>
    <xf numFmtId="3" fontId="3" fillId="0" borderId="1" xfId="1" applyNumberFormat="1" applyFont="1" applyFill="1" applyBorder="1" applyAlignment="1">
      <alignment horizontal="center" vertical="center"/>
    </xf>
    <xf numFmtId="0" fontId="0" fillId="0" borderId="0" xfId="0" applyAlignment="1">
      <alignment horizontal="center" vertical="center"/>
    </xf>
    <xf numFmtId="1" fontId="4" fillId="0" borderId="2" xfId="0" applyNumberFormat="1" applyFont="1" applyFill="1" applyBorder="1" applyAlignment="1">
      <alignment horizontal="center" vertical="center" wrapText="1"/>
    </xf>
    <xf numFmtId="0" fontId="4" fillId="0" borderId="2" xfId="0" applyFont="1" applyFill="1" applyBorder="1" applyAlignment="1">
      <alignment horizontal="center" vertical="center" shrinkToFit="1"/>
    </xf>
    <xf numFmtId="3" fontId="5" fillId="0" borderId="1" xfId="0" applyNumberFormat="1" applyFont="1" applyFill="1" applyBorder="1" applyAlignment="1">
      <alignment horizontal="center" vertical="center"/>
    </xf>
    <xf numFmtId="1" fontId="5" fillId="0" borderId="1" xfId="0" applyNumberFormat="1" applyFont="1" applyFill="1" applyBorder="1" applyAlignment="1">
      <alignment horizontal="center" vertical="center"/>
    </xf>
    <xf numFmtId="0" fontId="5" fillId="0" borderId="1" xfId="0" applyFont="1" applyFill="1" applyBorder="1" applyAlignment="1">
      <alignment horizontal="center" vertical="center" shrinkToFit="1"/>
    </xf>
    <xf numFmtId="0" fontId="5" fillId="0" borderId="1" xfId="0" applyFont="1" applyFill="1" applyBorder="1" applyAlignment="1">
      <alignment horizontal="center" vertical="center"/>
    </xf>
    <xf numFmtId="3" fontId="6" fillId="0" borderId="1" xfId="2" applyNumberFormat="1" applyFont="1" applyFill="1" applyBorder="1" applyAlignment="1">
      <alignment horizontal="center" vertical="center"/>
    </xf>
    <xf numFmtId="3" fontId="6" fillId="0" borderId="1" xfId="0" applyNumberFormat="1" applyFont="1" applyFill="1" applyBorder="1" applyAlignment="1">
      <alignment horizontal="center" vertical="center"/>
    </xf>
    <xf numFmtId="3" fontId="5" fillId="0" borderId="3" xfId="0" applyNumberFormat="1" applyFont="1" applyFill="1" applyBorder="1" applyAlignment="1">
      <alignment horizontal="center" vertical="center"/>
    </xf>
    <xf numFmtId="0" fontId="5" fillId="0" borderId="3" xfId="0" applyFont="1" applyFill="1" applyBorder="1" applyAlignment="1">
      <alignment horizontal="center" vertical="center" shrinkToFit="1"/>
    </xf>
    <xf numFmtId="3"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0" xfId="0" applyAlignment="1">
      <alignment wrapText="1"/>
    </xf>
    <xf numFmtId="0" fontId="1" fillId="0" borderId="0" xfId="0" applyFont="1"/>
    <xf numFmtId="0" fontId="0" fillId="0" borderId="0" xfId="0" applyAlignment="1"/>
    <xf numFmtId="0" fontId="4" fillId="0" borderId="2" xfId="0" applyFont="1" applyFill="1" applyBorder="1" applyAlignment="1">
      <alignment horizontal="center" vertical="center" wrapText="1" shrinkToFit="1"/>
    </xf>
    <xf numFmtId="0" fontId="4" fillId="0" borderId="0" xfId="0" applyFont="1" applyFill="1" applyBorder="1" applyAlignment="1">
      <alignment horizontal="center" vertical="center"/>
    </xf>
    <xf numFmtId="0" fontId="4" fillId="0" borderId="0" xfId="0" applyFont="1"/>
    <xf numFmtId="0" fontId="4" fillId="0" borderId="0" xfId="0" applyFont="1" applyFill="1" applyBorder="1" applyAlignment="1">
      <alignment horizontal="left" vertical="center"/>
    </xf>
    <xf numFmtId="1"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shrinkToFit="1"/>
    </xf>
    <xf numFmtId="0" fontId="4" fillId="0" borderId="1" xfId="0" applyFont="1" applyFill="1" applyBorder="1" applyAlignment="1">
      <alignment horizontal="center" vertical="center" shrinkToFi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2" fontId="5" fillId="0" borderId="1" xfId="0" applyNumberFormat="1" applyFont="1" applyFill="1" applyBorder="1" applyAlignment="1">
      <alignment horizontal="center" vertical="center"/>
    </xf>
    <xf numFmtId="2" fontId="5" fillId="0" borderId="1" xfId="0" applyNumberFormat="1" applyFont="1" applyBorder="1" applyAlignment="1">
      <alignment horizontal="center" vertical="center"/>
    </xf>
    <xf numFmtId="2" fontId="5" fillId="0" borderId="1" xfId="0" applyNumberFormat="1" applyFont="1" applyBorder="1" applyAlignment="1">
      <alignment horizontal="center"/>
    </xf>
    <xf numFmtId="0" fontId="6" fillId="0" borderId="1" xfId="0" applyFont="1" applyBorder="1" applyAlignment="1">
      <alignment horizontal="center" vertical="center"/>
    </xf>
    <xf numFmtId="2" fontId="5" fillId="0" borderId="1" xfId="0" applyNumberFormat="1" applyFont="1" applyBorder="1" applyAlignment="1">
      <alignment horizontal="center" vertical="center" wrapText="1"/>
    </xf>
    <xf numFmtId="3" fontId="3" fillId="0" borderId="0" xfId="1"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0" xfId="0" applyFont="1" applyFill="1" applyBorder="1" applyAlignment="1">
      <alignment vertical="center"/>
    </xf>
    <xf numFmtId="0" fontId="4" fillId="0" borderId="1" xfId="0" applyFont="1" applyFill="1" applyBorder="1" applyAlignment="1">
      <alignment horizontal="center" vertical="center" wrapText="1"/>
    </xf>
    <xf numFmtId="0" fontId="5" fillId="0" borderId="1" xfId="0" applyFont="1" applyBorder="1" applyAlignment="1">
      <alignment horizontal="center"/>
    </xf>
    <xf numFmtId="2" fontId="5" fillId="0" borderId="0" xfId="0" applyNumberFormat="1" applyFont="1" applyFill="1" applyBorder="1" applyAlignment="1">
      <alignment horizontal="center"/>
    </xf>
    <xf numFmtId="0" fontId="8" fillId="0" borderId="1" xfId="0" applyFont="1" applyBorder="1" applyAlignment="1">
      <alignment horizontal="center"/>
    </xf>
    <xf numFmtId="2" fontId="8" fillId="0" borderId="1" xfId="0" applyNumberFormat="1" applyFont="1" applyBorder="1" applyAlignment="1">
      <alignment horizontal="center"/>
    </xf>
    <xf numFmtId="0" fontId="9" fillId="0" borderId="0" xfId="0" applyFont="1" applyAlignment="1">
      <alignment horizontal="center"/>
    </xf>
    <xf numFmtId="0" fontId="4" fillId="0" borderId="1" xfId="0" applyFont="1" applyBorder="1" applyAlignment="1">
      <alignment horizontal="center" vertical="center"/>
    </xf>
    <xf numFmtId="0" fontId="5" fillId="0" borderId="0" xfId="0" applyFont="1"/>
    <xf numFmtId="0" fontId="4" fillId="0"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1" xfId="0" applyFont="1" applyBorder="1" applyAlignment="1">
      <alignment horizontal="center" vertical="center" wrapText="1"/>
    </xf>
    <xf numFmtId="2" fontId="5" fillId="2" borderId="1" xfId="0" applyNumberFormat="1" applyFont="1" applyFill="1" applyBorder="1" applyAlignment="1">
      <alignment horizontal="center" vertical="center"/>
    </xf>
    <xf numFmtId="0" fontId="4" fillId="0" borderId="0" xfId="0" applyFont="1" applyBorder="1" applyAlignment="1">
      <alignment horizontal="center" vertical="center" wrapText="1"/>
    </xf>
    <xf numFmtId="2" fontId="5" fillId="0" borderId="0" xfId="0" applyNumberFormat="1" applyFont="1" applyBorder="1" applyAlignment="1">
      <alignment horizontal="center" vertical="center"/>
    </xf>
    <xf numFmtId="0" fontId="4" fillId="0" borderId="1" xfId="0" applyFont="1" applyFill="1" applyBorder="1" applyAlignment="1">
      <alignment horizontal="center" vertical="top"/>
    </xf>
    <xf numFmtId="0" fontId="4" fillId="0" borderId="0" xfId="0" applyFont="1" applyAlignment="1">
      <alignment horizontal="left" wrapText="1"/>
    </xf>
    <xf numFmtId="0" fontId="4" fillId="0" borderId="0" xfId="0" applyFont="1" applyAlignment="1">
      <alignment wrapText="1"/>
    </xf>
    <xf numFmtId="0" fontId="4" fillId="0" borderId="0" xfId="0" applyFont="1" applyAlignment="1"/>
    <xf numFmtId="2" fontId="4" fillId="0" borderId="0" xfId="0" applyNumberFormat="1" applyFont="1" applyBorder="1" applyAlignment="1">
      <alignment vertical="center" wrapText="1"/>
    </xf>
    <xf numFmtId="0" fontId="11" fillId="0" borderId="1" xfId="3" applyNumberFormat="1" applyFont="1" applyFill="1" applyBorder="1" applyAlignment="1">
      <alignment horizontal="center" vertical="top"/>
    </xf>
    <xf numFmtId="0" fontId="4" fillId="0" borderId="1" xfId="0" applyFont="1" applyBorder="1" applyAlignment="1">
      <alignment horizontal="center" vertical="top"/>
    </xf>
    <xf numFmtId="0" fontId="6" fillId="0" borderId="1" xfId="0" applyFont="1" applyFill="1" applyBorder="1" applyAlignment="1">
      <alignment horizontal="center" vertical="top"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xf>
    <xf numFmtId="0" fontId="6"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6" fillId="0" borderId="1" xfId="0" applyFont="1" applyBorder="1" applyAlignment="1">
      <alignment horizontal="center" vertical="center" wrapText="1"/>
    </xf>
    <xf numFmtId="2" fontId="3" fillId="0" borderId="1" xfId="0" applyNumberFormat="1" applyFont="1" applyBorder="1" applyAlignment="1">
      <alignment horizontal="center" vertical="center"/>
    </xf>
    <xf numFmtId="2" fontId="4" fillId="0" borderId="1" xfId="0" applyNumberFormat="1" applyFont="1" applyFill="1" applyBorder="1" applyAlignment="1">
      <alignment horizontal="center" vertical="center"/>
    </xf>
    <xf numFmtId="2" fontId="4" fillId="0" borderId="1" xfId="0" applyNumberFormat="1" applyFont="1" applyBorder="1" applyAlignment="1">
      <alignment horizontal="center" vertical="center"/>
    </xf>
    <xf numFmtId="0" fontId="14" fillId="0" borderId="0" xfId="0" applyFont="1"/>
    <xf numFmtId="0" fontId="3" fillId="0" borderId="1" xfId="0" applyFont="1" applyBorder="1" applyAlignment="1">
      <alignment vertical="top" wrapText="1"/>
    </xf>
    <xf numFmtId="1" fontId="6"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10" fillId="0" borderId="0" xfId="0" applyFont="1" applyBorder="1" applyAlignment="1"/>
    <xf numFmtId="2" fontId="0" fillId="0" borderId="0" xfId="0" applyNumberFormat="1"/>
    <xf numFmtId="1" fontId="3" fillId="0" borderId="4" xfId="0" applyNumberFormat="1" applyFont="1" applyBorder="1" applyAlignment="1">
      <alignment horizontal="center" vertical="center" wrapText="1"/>
    </xf>
    <xf numFmtId="1" fontId="3" fillId="0" borderId="3" xfId="0" applyNumberFormat="1" applyFont="1" applyBorder="1" applyAlignment="1">
      <alignment horizontal="center" vertical="center" wrapText="1"/>
    </xf>
    <xf numFmtId="1" fontId="3" fillId="0" borderId="7" xfId="0" applyNumberFormat="1"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top" wrapText="1"/>
    </xf>
    <xf numFmtId="0" fontId="0" fillId="0" borderId="1" xfId="0" applyBorder="1"/>
    <xf numFmtId="1" fontId="0" fillId="0" borderId="1" xfId="0" applyNumberFormat="1" applyBorder="1"/>
    <xf numFmtId="2" fontId="5" fillId="0" borderId="4" xfId="0" applyNumberFormat="1" applyFont="1" applyBorder="1" applyAlignment="1">
      <alignment horizontal="center" vertical="center"/>
    </xf>
    <xf numFmtId="2" fontId="8" fillId="0" borderId="4" xfId="0" applyNumberFormat="1" applyFont="1" applyBorder="1" applyAlignment="1">
      <alignment horizontal="center"/>
    </xf>
    <xf numFmtId="0" fontId="4"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xf>
    <xf numFmtId="0" fontId="6" fillId="3" borderId="1" xfId="0" applyFont="1" applyFill="1" applyBorder="1" applyAlignment="1">
      <alignment horizontal="center" vertical="center"/>
    </xf>
    <xf numFmtId="0" fontId="3" fillId="0" borderId="1" xfId="0" applyFont="1" applyBorder="1" applyAlignment="1">
      <alignment vertical="top" wrapText="1"/>
    </xf>
    <xf numFmtId="1" fontId="3" fillId="0" borderId="0" xfId="0" applyNumberFormat="1" applyFont="1" applyBorder="1" applyAlignment="1">
      <alignment horizontal="center" vertical="center" wrapText="1"/>
    </xf>
    <xf numFmtId="0" fontId="6" fillId="0" borderId="0" xfId="0" applyFont="1" applyBorder="1" applyAlignment="1">
      <alignment vertical="top"/>
    </xf>
    <xf numFmtId="0" fontId="6" fillId="0" borderId="6" xfId="0" applyFont="1" applyBorder="1" applyAlignment="1">
      <alignment horizontal="center"/>
    </xf>
    <xf numFmtId="0" fontId="0" fillId="0" borderId="1" xfId="0" applyFill="1" applyBorder="1" applyAlignment="1">
      <alignment horizontal="center"/>
    </xf>
    <xf numFmtId="0" fontId="4" fillId="0" borderId="0" xfId="0" applyFont="1" applyFill="1"/>
    <xf numFmtId="0" fontId="0" fillId="0" borderId="0" xfId="0" applyFill="1"/>
    <xf numFmtId="0" fontId="0" fillId="0" borderId="1" xfId="0" applyBorder="1" applyAlignment="1">
      <alignment wrapText="1"/>
    </xf>
    <xf numFmtId="0" fontId="4" fillId="0" borderId="8" xfId="0" applyFont="1" applyFill="1" applyBorder="1" applyAlignment="1">
      <alignment horizontal="center" vertical="center" wrapText="1"/>
    </xf>
    <xf numFmtId="0" fontId="0" fillId="0" borderId="0" xfId="0" applyBorder="1"/>
    <xf numFmtId="0" fontId="17" fillId="0" borderId="1" xfId="0" applyFont="1" applyBorder="1" applyAlignment="1">
      <alignment horizontal="center"/>
    </xf>
    <xf numFmtId="0" fontId="16" fillId="0" borderId="0" xfId="0" applyFont="1"/>
    <xf numFmtId="1" fontId="6" fillId="0" borderId="1" xfId="0" applyNumberFormat="1" applyFont="1" applyFill="1" applyBorder="1" applyAlignment="1">
      <alignment horizontal="center" vertical="center" wrapText="1"/>
    </xf>
    <xf numFmtId="1" fontId="3"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top" wrapText="1"/>
    </xf>
    <xf numFmtId="0" fontId="4" fillId="0" borderId="1" xfId="0" applyFont="1" applyBorder="1" applyAlignment="1">
      <alignment horizontal="center" vertical="center" wrapText="1"/>
    </xf>
    <xf numFmtId="1" fontId="3" fillId="0" borderId="4" xfId="0" applyNumberFormat="1" applyFont="1" applyFill="1" applyBorder="1" applyAlignment="1">
      <alignment horizontal="center" vertical="center" wrapText="1"/>
    </xf>
    <xf numFmtId="1" fontId="3" fillId="0" borderId="7" xfId="0" applyNumberFormat="1" applyFont="1" applyFill="1" applyBorder="1" applyAlignment="1">
      <alignment horizontal="center" vertical="center" wrapText="1"/>
    </xf>
    <xf numFmtId="1" fontId="3" fillId="0" borderId="3" xfId="0" applyNumberFormat="1" applyFont="1" applyFill="1" applyBorder="1" applyAlignment="1">
      <alignment horizontal="center" vertical="center" wrapText="1"/>
    </xf>
    <xf numFmtId="0" fontId="5" fillId="3" borderId="1" xfId="0" applyFont="1" applyFill="1" applyBorder="1" applyAlignment="1">
      <alignment horizontal="center" vertical="center"/>
    </xf>
    <xf numFmtId="2" fontId="5" fillId="3" borderId="1" xfId="0" applyNumberFormat="1" applyFont="1" applyFill="1" applyBorder="1" applyAlignment="1">
      <alignment horizontal="center" vertical="center"/>
    </xf>
    <xf numFmtId="1" fontId="6" fillId="0" borderId="3" xfId="0" applyNumberFormat="1" applyFont="1" applyBorder="1" applyAlignment="1">
      <alignment horizontal="center" vertical="center" wrapText="1"/>
    </xf>
    <xf numFmtId="1" fontId="6" fillId="0" borderId="2" xfId="0" applyNumberFormat="1" applyFont="1" applyBorder="1" applyAlignment="1">
      <alignment horizontal="center" vertical="center" wrapText="1"/>
    </xf>
    <xf numFmtId="1" fontId="3" fillId="0" borderId="3"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1" fontId="6" fillId="0" borderId="3" xfId="0" applyNumberFormat="1" applyFont="1" applyFill="1" applyBorder="1" applyAlignment="1">
      <alignment horizontal="center" vertical="center" wrapText="1"/>
    </xf>
    <xf numFmtId="1" fontId="6" fillId="0" borderId="2" xfId="0" applyNumberFormat="1" applyFont="1" applyFill="1" applyBorder="1" applyAlignment="1">
      <alignment horizontal="center" vertical="center" wrapText="1"/>
    </xf>
    <xf numFmtId="1" fontId="3" fillId="0" borderId="3" xfId="0" applyNumberFormat="1" applyFont="1" applyFill="1" applyBorder="1" applyAlignment="1">
      <alignment horizontal="center" vertical="center" wrapText="1"/>
    </xf>
    <xf numFmtId="1" fontId="3" fillId="0" borderId="2"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15"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top" wrapText="1"/>
    </xf>
    <xf numFmtId="0" fontId="3" fillId="0" borderId="2" xfId="0" applyFont="1" applyBorder="1" applyAlignment="1">
      <alignment horizontal="center" vertical="top"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2" fontId="4" fillId="0" borderId="1" xfId="0" applyNumberFormat="1" applyFont="1" applyBorder="1" applyAlignment="1">
      <alignment horizontal="center" vertical="center" wrapText="1"/>
    </xf>
  </cellXfs>
  <cellStyles count="4">
    <cellStyle name="Normal" xfId="0" builtinId="0"/>
    <cellStyle name="Normal 2 2" xfId="1"/>
    <cellStyle name="Normal 4 2" xfId="2"/>
    <cellStyle name="Normal_PneumoMeningiitsByYear"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GB" sz="1400"/>
              <a:t>Lab</a:t>
            </a:r>
            <a:r>
              <a:rPr lang="en-GB" sz="1400" baseline="0"/>
              <a:t> confirmed cases of meningococcal disease in the UK by epidemiological year </a:t>
            </a:r>
            <a:endParaRPr lang="en-GB" sz="1400"/>
          </a:p>
        </c:rich>
      </c:tx>
      <c:layout>
        <c:manualLayout>
          <c:xMode val="edge"/>
          <c:yMode val="edge"/>
          <c:x val="0.11948600174978127"/>
          <c:y val="2.7777777777777964E-2"/>
        </c:manualLayout>
      </c:layout>
    </c:title>
    <c:plotArea>
      <c:layout/>
      <c:barChart>
        <c:barDir val="col"/>
        <c:grouping val="clustered"/>
        <c:ser>
          <c:idx val="0"/>
          <c:order val="0"/>
          <c:tx>
            <c:strRef>
              <c:f>'UK MD'!$C$118</c:f>
              <c:strCache>
                <c:ptCount val="1"/>
                <c:pt idx="0">
                  <c:v>Laboratory confirmed MenB</c:v>
                </c:pt>
              </c:strCache>
            </c:strRef>
          </c:tx>
          <c:cat>
            <c:strRef>
              <c:f>'UK MD'!$B$119:$B$130</c:f>
              <c:strCache>
                <c:ptCount val="12"/>
                <c:pt idx="0">
                  <c:v>00/01</c:v>
                </c:pt>
                <c:pt idx="1">
                  <c:v>01/02</c:v>
                </c:pt>
                <c:pt idx="2">
                  <c:v>02/03</c:v>
                </c:pt>
                <c:pt idx="3">
                  <c:v>03/04</c:v>
                </c:pt>
                <c:pt idx="4">
                  <c:v>04/05</c:v>
                </c:pt>
                <c:pt idx="5">
                  <c:v>05/06</c:v>
                </c:pt>
                <c:pt idx="6">
                  <c:v>06/07</c:v>
                </c:pt>
                <c:pt idx="7">
                  <c:v>07/08</c:v>
                </c:pt>
                <c:pt idx="8">
                  <c:v>08/09</c:v>
                </c:pt>
                <c:pt idx="9">
                  <c:v>09/10</c:v>
                </c:pt>
                <c:pt idx="10">
                  <c:v>10/11</c:v>
                </c:pt>
                <c:pt idx="11">
                  <c:v>11/12</c:v>
                </c:pt>
              </c:strCache>
            </c:strRef>
          </c:cat>
          <c:val>
            <c:numRef>
              <c:f>'UK MD'!$C$119:$C$130</c:f>
              <c:numCache>
                <c:formatCode>General</c:formatCode>
                <c:ptCount val="12"/>
                <c:pt idx="0">
                  <c:v>1951</c:v>
                </c:pt>
                <c:pt idx="1">
                  <c:v>1754</c:v>
                </c:pt>
                <c:pt idx="2">
                  <c:v>1384</c:v>
                </c:pt>
                <c:pt idx="3">
                  <c:v>1490</c:v>
                </c:pt>
                <c:pt idx="4">
                  <c:v>1459</c:v>
                </c:pt>
                <c:pt idx="5">
                  <c:v>1331</c:v>
                </c:pt>
                <c:pt idx="6">
                  <c:v>1165</c:v>
                </c:pt>
                <c:pt idx="7">
                  <c:v>1248</c:v>
                </c:pt>
                <c:pt idx="8">
                  <c:v>1211</c:v>
                </c:pt>
                <c:pt idx="9">
                  <c:v>936</c:v>
                </c:pt>
                <c:pt idx="10">
                  <c:v>990</c:v>
                </c:pt>
                <c:pt idx="11">
                  <c:v>720</c:v>
                </c:pt>
              </c:numCache>
            </c:numRef>
          </c:val>
        </c:ser>
        <c:ser>
          <c:idx val="1"/>
          <c:order val="1"/>
          <c:tx>
            <c:strRef>
              <c:f>'UK MD'!$D$118</c:f>
              <c:strCache>
                <c:ptCount val="1"/>
                <c:pt idx="0">
                  <c:v>Laboratory confirmed MenC</c:v>
                </c:pt>
              </c:strCache>
            </c:strRef>
          </c:tx>
          <c:cat>
            <c:strRef>
              <c:f>'UK MD'!$B$119:$B$130</c:f>
              <c:strCache>
                <c:ptCount val="12"/>
                <c:pt idx="0">
                  <c:v>00/01</c:v>
                </c:pt>
                <c:pt idx="1">
                  <c:v>01/02</c:v>
                </c:pt>
                <c:pt idx="2">
                  <c:v>02/03</c:v>
                </c:pt>
                <c:pt idx="3">
                  <c:v>03/04</c:v>
                </c:pt>
                <c:pt idx="4">
                  <c:v>04/05</c:v>
                </c:pt>
                <c:pt idx="5">
                  <c:v>05/06</c:v>
                </c:pt>
                <c:pt idx="6">
                  <c:v>06/07</c:v>
                </c:pt>
                <c:pt idx="7">
                  <c:v>07/08</c:v>
                </c:pt>
                <c:pt idx="8">
                  <c:v>08/09</c:v>
                </c:pt>
                <c:pt idx="9">
                  <c:v>09/10</c:v>
                </c:pt>
                <c:pt idx="10">
                  <c:v>10/11</c:v>
                </c:pt>
                <c:pt idx="11">
                  <c:v>11/12</c:v>
                </c:pt>
              </c:strCache>
            </c:strRef>
          </c:cat>
          <c:val>
            <c:numRef>
              <c:f>'UK MD'!$D$119:$D$130</c:f>
              <c:numCache>
                <c:formatCode>General</c:formatCode>
                <c:ptCount val="12"/>
                <c:pt idx="0">
                  <c:v>507</c:v>
                </c:pt>
                <c:pt idx="1">
                  <c:v>256</c:v>
                </c:pt>
                <c:pt idx="2">
                  <c:v>142</c:v>
                </c:pt>
                <c:pt idx="3">
                  <c:v>72</c:v>
                </c:pt>
                <c:pt idx="4">
                  <c:v>49</c:v>
                </c:pt>
                <c:pt idx="5">
                  <c:v>32</c:v>
                </c:pt>
                <c:pt idx="6">
                  <c:v>33</c:v>
                </c:pt>
                <c:pt idx="7">
                  <c:v>34</c:v>
                </c:pt>
                <c:pt idx="8">
                  <c:v>14</c:v>
                </c:pt>
                <c:pt idx="9">
                  <c:v>18</c:v>
                </c:pt>
                <c:pt idx="10">
                  <c:v>26</c:v>
                </c:pt>
                <c:pt idx="11">
                  <c:v>31</c:v>
                </c:pt>
              </c:numCache>
            </c:numRef>
          </c:val>
        </c:ser>
        <c:axId val="71013504"/>
        <c:axId val="71015424"/>
      </c:barChart>
      <c:catAx>
        <c:axId val="71013504"/>
        <c:scaling>
          <c:orientation val="minMax"/>
        </c:scaling>
        <c:axPos val="b"/>
        <c:title>
          <c:tx>
            <c:rich>
              <a:bodyPr/>
              <a:lstStyle/>
              <a:p>
                <a:pPr>
                  <a:defRPr/>
                </a:pPr>
                <a:r>
                  <a:rPr lang="en-US"/>
                  <a:t>Epidemiological year</a:t>
                </a:r>
              </a:p>
            </c:rich>
          </c:tx>
          <c:layout/>
        </c:title>
        <c:tickLblPos val="nextTo"/>
        <c:crossAx val="71015424"/>
        <c:crosses val="autoZero"/>
        <c:auto val="1"/>
        <c:lblAlgn val="ctr"/>
        <c:lblOffset val="100"/>
      </c:catAx>
      <c:valAx>
        <c:axId val="71015424"/>
        <c:scaling>
          <c:orientation val="minMax"/>
        </c:scaling>
        <c:axPos val="l"/>
        <c:majorGridlines/>
        <c:title>
          <c:tx>
            <c:rich>
              <a:bodyPr rot="-5400000" vert="horz"/>
              <a:lstStyle/>
              <a:p>
                <a:pPr>
                  <a:defRPr/>
                </a:pPr>
                <a:r>
                  <a:rPr lang="en-US"/>
                  <a:t>No. of cases</a:t>
                </a:r>
              </a:p>
            </c:rich>
          </c:tx>
          <c:layout/>
        </c:title>
        <c:numFmt formatCode="General" sourceLinked="1"/>
        <c:tickLblPos val="nextTo"/>
        <c:crossAx val="71013504"/>
        <c:crosses val="autoZero"/>
        <c:crossBetween val="between"/>
      </c:valAx>
    </c:plotArea>
    <c:legend>
      <c:legendPos val="r"/>
      <c:layout/>
    </c:legend>
    <c:plotVisOnly val="1"/>
    <c:dispBlanksAs val="zero"/>
  </c:chart>
  <c:printSettings>
    <c:headerFooter/>
    <c:pageMargins b="0.75000000000000189" l="0.70000000000000062" r="0.70000000000000062" t="0.75000000000000189" header="0.30000000000000032" footer="0.30000000000000032"/>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200025</xdr:colOff>
      <xdr:row>1</xdr:row>
      <xdr:rowOff>114300</xdr:rowOff>
    </xdr:from>
    <xdr:ext cx="8298392" cy="4869025"/>
    <xdr:sp macro="" textlink="">
      <xdr:nvSpPr>
        <xdr:cNvPr id="2" name="TextBox 1"/>
        <xdr:cNvSpPr txBox="1"/>
      </xdr:nvSpPr>
      <xdr:spPr>
        <a:xfrm>
          <a:off x="200025" y="304800"/>
          <a:ext cx="8298392" cy="48690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nSpc>
              <a:spcPct val="150000"/>
            </a:lnSpc>
          </a:pPr>
          <a:r>
            <a:rPr lang="en-GB" sz="900" b="1">
              <a:solidFill>
                <a:schemeClr val="tx1"/>
              </a:solidFill>
              <a:latin typeface="Arial" pitchFamily="34" charset="0"/>
              <a:ea typeface="+mn-ea"/>
              <a:cs typeface="Arial" pitchFamily="34" charset="0"/>
            </a:rPr>
            <a:t>The purpose of this exercise</a:t>
          </a:r>
          <a:r>
            <a:rPr lang="en-GB" sz="900" b="1" baseline="0">
              <a:solidFill>
                <a:schemeClr val="tx1"/>
              </a:solidFill>
              <a:latin typeface="Arial" pitchFamily="34" charset="0"/>
              <a:ea typeface="+mn-ea"/>
              <a:cs typeface="Arial" pitchFamily="34" charset="0"/>
            </a:rPr>
            <a:t> </a:t>
          </a:r>
          <a:r>
            <a:rPr lang="en-GB" sz="900" baseline="0">
              <a:solidFill>
                <a:schemeClr val="tx1"/>
              </a:solidFill>
              <a:latin typeface="Arial" pitchFamily="34" charset="0"/>
              <a:ea typeface="+mn-ea"/>
              <a:cs typeface="Arial" pitchFamily="34" charset="0"/>
            </a:rPr>
            <a:t>is to estimate  the current number of UK cases of meningococcal disease and MenB, and of all bacterial meningitis including meningococcal septicaemia and GBS septicaemia in infants, since these are explicitly within MRF's remit.</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We have undertaken two calculations:</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1)   An estimation of the yearly number of cases in the UK at present (2011/12 - see Table 1)</a:t>
          </a:r>
        </a:p>
        <a:p>
          <a:pPr>
            <a:lnSpc>
              <a:spcPct val="150000"/>
            </a:lnSpc>
          </a:pPr>
          <a:r>
            <a:rPr lang="en-GB" sz="900" baseline="0">
              <a:solidFill>
                <a:schemeClr val="tx1"/>
              </a:solidFill>
              <a:latin typeface="Arial" pitchFamily="34" charset="0"/>
              <a:ea typeface="+mn-ea"/>
              <a:cs typeface="Arial" pitchFamily="34" charset="0"/>
            </a:rPr>
            <a:t>2)   An estimation of the yearly number of cases which better represents the ongoing burden of uncontrolled disease (see Table 2)</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Meningitis Research Foundation (MRF) believe that the number of cases of bacterial meningitis in 2011/12 is unrepresentative of the true ongoing burden of uncontrolled disease because the incidence of meningococcal disease naturally fluctuates over time.  Yearly numbers of cases of menB disease has been steadily dropping since a peak in 2000. Case numbers are relatively low at the moment, but as there is no vaccine against menB the disease is uncontrolled and incidence is expected to rise again in the future if no vaccine is introduced.  Therefore, in order to better represent the potential burden of menB disease, MRF have taken an average yearly incidence over the past 12 years</a:t>
          </a:r>
          <a:r>
            <a:rPr lang="en-GB" sz="900" baseline="0">
              <a:solidFill>
                <a:srgbClr val="FF0000"/>
              </a:solidFill>
              <a:latin typeface="Arial" pitchFamily="34" charset="0"/>
              <a:ea typeface="+mn-ea"/>
              <a:cs typeface="Arial" pitchFamily="34" charset="0"/>
            </a:rPr>
            <a:t>.</a:t>
          </a:r>
        </a:p>
        <a:p>
          <a:pPr>
            <a:lnSpc>
              <a:spcPct val="150000"/>
            </a:lnSpc>
          </a:pPr>
          <a:r>
            <a:rPr lang="en-GB" sz="900" baseline="0">
              <a:solidFill>
                <a:schemeClr val="tx1"/>
              </a:solidFill>
              <a:latin typeface="Arial" pitchFamily="34" charset="0"/>
              <a:ea typeface="+mn-ea"/>
              <a:cs typeface="Arial" pitchFamily="34" charset="0"/>
            </a:rPr>
            <a:t>Although it is fine to take a 12 year average of menB disease to represent the present burden of disease in the UK, this is not true of menC or pneumococcal disease.  The reason for this is that vaccines which protect against these diseases were introduced to the UK childhood schedule within the past twelve years and have caused a decrease in disease incidence.  Therefore if we took a twelve year average for these diseases we would be overestimating the present disease burden. To account for this we have corrected our data on the overall incidence of meningococcal disease to remove cases attibutable to menC that are in excess of present levels in the case of pneumococcal disease we have taken an average of yearly data from 2006/7 to 2011/12(so we only look at incidence after the introduction of pneumococcal vaccination to the UK schedule).</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MRF have collected data from various sources for these calculations including the Health Protection Agency, Health Protection Scotland and  the Public Health Agency (Northern Ireland).  Raw data and full calculations are provided throughout this spreadsheet.</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Meningitis Research Foundation estimate that currently about </a:t>
          </a:r>
          <a:r>
            <a:rPr lang="en-GB" sz="900" b="1" baseline="0">
              <a:solidFill>
                <a:srgbClr val="FF0000"/>
              </a:solidFill>
              <a:latin typeface="Arial" pitchFamily="34" charset="0"/>
              <a:ea typeface="+mn-ea"/>
              <a:cs typeface="Arial" pitchFamily="34" charset="0"/>
            </a:rPr>
            <a:t>3,200 people </a:t>
          </a:r>
          <a:r>
            <a:rPr lang="en-GB" sz="900" baseline="0">
              <a:solidFill>
                <a:schemeClr val="tx1"/>
              </a:solidFill>
              <a:latin typeface="Arial" pitchFamily="34" charset="0"/>
              <a:ea typeface="+mn-ea"/>
              <a:cs typeface="Arial" pitchFamily="34" charset="0"/>
            </a:rPr>
            <a:t>get bacterial meningitis and septicaemia in the UK every year.  </a:t>
          </a:r>
        </a:p>
      </xdr:txBody>
    </xdr:sp>
    <xdr:clientData/>
  </xdr:oneCellAnchor>
  <xdr:oneCellAnchor>
    <xdr:from>
      <xdr:col>1</xdr:col>
      <xdr:colOff>104775</xdr:colOff>
      <xdr:row>48</xdr:row>
      <xdr:rowOff>0</xdr:rowOff>
    </xdr:from>
    <xdr:ext cx="184731" cy="264560"/>
    <xdr:sp macro="" textlink="">
      <xdr:nvSpPr>
        <xdr:cNvPr id="3" name="TextBox 2"/>
        <xdr:cNvSpPr txBox="1"/>
      </xdr:nvSpPr>
      <xdr:spPr>
        <a:xfrm>
          <a:off x="714375" y="886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sz="1100"/>
        </a:p>
      </xdr:txBody>
    </xdr:sp>
    <xdr:clientData/>
  </xdr:oneCellAnchor>
  <xdr:oneCellAnchor>
    <xdr:from>
      <xdr:col>0</xdr:col>
      <xdr:colOff>457201</xdr:colOff>
      <xdr:row>49</xdr:row>
      <xdr:rowOff>38100</xdr:rowOff>
    </xdr:from>
    <xdr:ext cx="7871882" cy="689420"/>
    <xdr:sp macro="" textlink="">
      <xdr:nvSpPr>
        <xdr:cNvPr id="4" name="TextBox 3"/>
        <xdr:cNvSpPr txBox="1"/>
      </xdr:nvSpPr>
      <xdr:spPr>
        <a:xfrm>
          <a:off x="457201" y="7679267"/>
          <a:ext cx="7871882" cy="68942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nSpc>
              <a:spcPct val="150000"/>
            </a:lnSpc>
          </a:pPr>
          <a:r>
            <a:rPr lang="en-GB" sz="900">
              <a:latin typeface="Arial" pitchFamily="34" charset="0"/>
              <a:cs typeface="Arial" pitchFamily="34" charset="0"/>
            </a:rPr>
            <a:t>* * From Heath et al (2004) Lancet 363:292. </a:t>
          </a:r>
        </a:p>
        <a:p>
          <a:pPr>
            <a:lnSpc>
              <a:spcPct val="150000"/>
            </a:lnSpc>
          </a:pPr>
          <a:r>
            <a:rPr lang="en-GB" sz="900">
              <a:latin typeface="Arial" pitchFamily="34" charset="0"/>
              <a:cs typeface="Arial" pitchFamily="34" charset="0"/>
            </a:rPr>
            <a:t>274</a:t>
          </a:r>
          <a:r>
            <a:rPr lang="en-GB" sz="900" baseline="0">
              <a:latin typeface="Arial" pitchFamily="34" charset="0"/>
              <a:cs typeface="Arial" pitchFamily="34" charset="0"/>
            </a:rPr>
            <a:t> </a:t>
          </a:r>
          <a:r>
            <a:rPr lang="en-GB" sz="900">
              <a:latin typeface="Arial" pitchFamily="34" charset="0"/>
              <a:cs typeface="Arial" pitchFamily="34" charset="0"/>
            </a:rPr>
            <a:t>neonatal GBS septicaemia cases in UK in 2000.  Likely to be an underestimate since it was found that using capture-recapture analysis in England, Wales and the channel Islands, cases were estimated to be 23% higher.</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238125</xdr:colOff>
      <xdr:row>1</xdr:row>
      <xdr:rowOff>152401</xdr:rowOff>
    </xdr:from>
    <xdr:ext cx="7343775" cy="6991350"/>
    <xdr:sp macro="" textlink="">
      <xdr:nvSpPr>
        <xdr:cNvPr id="2" name="TextBox 1"/>
        <xdr:cNvSpPr txBox="1"/>
      </xdr:nvSpPr>
      <xdr:spPr>
        <a:xfrm>
          <a:off x="238125" y="342901"/>
          <a:ext cx="7343775" cy="69913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nSpc>
              <a:spcPct val="150000"/>
            </a:lnSpc>
          </a:pPr>
          <a:r>
            <a:rPr lang="en-GB" sz="900">
              <a:solidFill>
                <a:schemeClr val="tx1"/>
              </a:solidFill>
              <a:latin typeface="Arial" pitchFamily="34" charset="0"/>
              <a:ea typeface="+mn-ea"/>
              <a:cs typeface="Arial" pitchFamily="34" charset="0"/>
            </a:rPr>
            <a:t>UK MENINGOCOCCAL</a:t>
          </a:r>
          <a:r>
            <a:rPr lang="en-GB" sz="900" baseline="0">
              <a:solidFill>
                <a:schemeClr val="tx1"/>
              </a:solidFill>
              <a:latin typeface="Arial" pitchFamily="34" charset="0"/>
              <a:ea typeface="+mn-ea"/>
              <a:cs typeface="Arial" pitchFamily="34" charset="0"/>
            </a:rPr>
            <a:t> </a:t>
          </a:r>
          <a:r>
            <a:rPr lang="en-GB" sz="900">
              <a:solidFill>
                <a:schemeClr val="tx1"/>
              </a:solidFill>
              <a:latin typeface="Arial" pitchFamily="34" charset="0"/>
              <a:ea typeface="+mn-ea"/>
              <a:cs typeface="Arial" pitchFamily="34" charset="0"/>
            </a:rPr>
            <a:t> STATS are provided in Table 1.</a:t>
          </a:r>
        </a:p>
        <a:p>
          <a:pPr>
            <a:lnSpc>
              <a:spcPct val="150000"/>
            </a:lnSpc>
          </a:pPr>
          <a:r>
            <a:rPr lang="en-GB" sz="900" baseline="0">
              <a:solidFill>
                <a:schemeClr val="tx1"/>
              </a:solidFill>
              <a:latin typeface="Arial" pitchFamily="34" charset="0"/>
              <a:ea typeface="+mn-ea"/>
              <a:cs typeface="Arial" pitchFamily="34" charset="0"/>
            </a:rPr>
            <a:t>Table 1 provides an estimate of the average number of cases of meningococcal disease per year over a twelve year time span for all meningococcal disease, MenB and MenC.  As we want to estimate the the burden of meningococcal disease that is currently uncontrolled by vaccination, we have corrected the final totals to reflect the impact of of MenC vaccination (i.e. cases of MenC above the 2011/12 levels have been removed from the total number of cases).</a:t>
          </a:r>
          <a:endParaRPr lang="en-GB" sz="900">
            <a:solidFill>
              <a:schemeClr val="tx1"/>
            </a:solidFill>
            <a:latin typeface="Arial" pitchFamily="34" charset="0"/>
            <a:ea typeface="+mn-ea"/>
            <a:cs typeface="Arial" pitchFamily="34" charset="0"/>
          </a:endParaRPr>
        </a:p>
        <a:p>
          <a:pPr>
            <a:lnSpc>
              <a:spcPct val="150000"/>
            </a:lnSpc>
          </a:pPr>
          <a:endParaRPr lang="en-GB" sz="900">
            <a:solidFill>
              <a:schemeClr val="tx1"/>
            </a:solidFill>
            <a:latin typeface="Arial" pitchFamily="34" charset="0"/>
            <a:ea typeface="+mn-ea"/>
            <a:cs typeface="Arial" pitchFamily="34" charset="0"/>
          </a:endParaRPr>
        </a:p>
        <a:p>
          <a:pPr>
            <a:lnSpc>
              <a:spcPct val="150000"/>
            </a:lnSpc>
          </a:pPr>
          <a:r>
            <a:rPr lang="en-GB" sz="900">
              <a:solidFill>
                <a:schemeClr val="tx1"/>
              </a:solidFill>
              <a:latin typeface="Arial" pitchFamily="34" charset="0"/>
              <a:ea typeface="+mn-ea"/>
              <a:cs typeface="Arial" pitchFamily="34" charset="0"/>
            </a:rPr>
            <a:t>In</a:t>
          </a:r>
          <a:r>
            <a:rPr lang="en-GB" sz="900" baseline="0">
              <a:solidFill>
                <a:schemeClr val="tx1"/>
              </a:solidFill>
              <a:latin typeface="Arial" pitchFamily="34" charset="0"/>
              <a:ea typeface="+mn-ea"/>
              <a:cs typeface="Arial" pitchFamily="34" charset="0"/>
            </a:rPr>
            <a:t> depth information on how numbers of cases were calculated for each country in the UK are provided below:</a:t>
          </a:r>
          <a:endParaRPr lang="en-GB" sz="90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ENGLAND (See Table 2)</a:t>
          </a:r>
          <a:endParaRPr lang="en-GB" sz="90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We have used Hospital episodes statistics (HES ) admissions data for ICD10 code A39 (meningococcal infection).   We used  HES instead of Health Protection Agency (HPA) lab confirmed data to represent figures in England because we know that  HPA figures are likely to underestimate true incidence, since some hospitals do not routinely send samples to the HPA.  Although HES data contains duplicates,  </a:t>
          </a:r>
          <a:r>
            <a:rPr lang="en-GB" sz="900">
              <a:solidFill>
                <a:schemeClr val="tx1"/>
              </a:solidFill>
              <a:latin typeface="Arial" pitchFamily="34" charset="0"/>
              <a:ea typeface="+mn-ea"/>
              <a:cs typeface="Arial" pitchFamily="34" charset="0"/>
            </a:rPr>
            <a:t>Dr Hannah Christensen and Dr Caroline Trotter at the University of Bristol have produced cleaned HES admissions data with duplicates removed over a seven year period in order to estimate burden of illness for their health economic model of meningococcal disease. </a:t>
          </a:r>
          <a:r>
            <a:rPr lang="en-GB" sz="900" baseline="0">
              <a:solidFill>
                <a:schemeClr val="tx1"/>
              </a:solidFill>
              <a:latin typeface="Arial" pitchFamily="34" charset="0"/>
              <a:ea typeface="+mn-ea"/>
              <a:cs typeface="Arial" pitchFamily="34" charset="0"/>
            </a:rPr>
            <a:t> This cleaned data represents, on average, 90% of  uncleaned HES  admissions .  Therefore we have reduced HES admissions by 10% to remove possible duplicates.    HES data is not broken down by serogroup, so to estimate  menB and menC cases we have looked at the proportion of lab confirmed cases attributable to MenB and MenC and applied this proportion to the cleaned HES statistics. </a:t>
          </a:r>
        </a:p>
        <a:p>
          <a:pPr fontAlgn="base">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WALES (See Table 3)</a:t>
          </a:r>
          <a:endParaRPr lang="en-GB" sz="900">
            <a:solidFill>
              <a:schemeClr val="tx1"/>
            </a:solidFill>
            <a:latin typeface="Arial" pitchFamily="34" charset="0"/>
            <a:ea typeface="+mn-ea"/>
            <a:cs typeface="Arial" pitchFamily="34" charset="0"/>
          </a:endParaRPr>
        </a:p>
        <a:p>
          <a:pPr>
            <a:lnSpc>
              <a:spcPct val="150000"/>
            </a:lnSpc>
          </a:pPr>
          <a:r>
            <a:rPr lang="en-GB" sz="900" baseline="0">
              <a:solidFill>
                <a:sysClr val="windowText" lastClr="000000"/>
              </a:solidFill>
              <a:latin typeface="Arial" pitchFamily="34" charset="0"/>
              <a:ea typeface="+mn-ea"/>
              <a:cs typeface="Arial" pitchFamily="34" charset="0"/>
            </a:rPr>
            <a:t>HES data are available for England only.  The average annual number of lab-confirmed cases  of meningococcal disease in England over the past 12 years is 1,304, whereas the cleaned HES data gives us a figure of 1,722.  We can therefore say that over the past 12 years, the average  yearly cases of meningococcal disease according to cleaned HES data is approximately 1.3 times higher than lab confirmed data for England.  We have assumed that  lab confirmed cases of meningococcal disease  in Wales are under -ascertained by a similar amount and have therefore applied an uplift of 1.3 to average yearly HPA lab-confirmed cases  in Wales. </a:t>
          </a:r>
        </a:p>
        <a:p>
          <a:pPr>
            <a:lnSpc>
              <a:spcPct val="150000"/>
            </a:lnSpc>
          </a:pPr>
          <a:r>
            <a:rPr lang="en-GB" sz="900" baseline="0">
              <a:solidFill>
                <a:sysClr val="windowText" lastClr="000000"/>
              </a:solidFill>
              <a:latin typeface="Arial" pitchFamily="34" charset="0"/>
              <a:ea typeface="+mn-ea"/>
              <a:cs typeface="Arial" pitchFamily="34" charset="0"/>
            </a:rPr>
            <a:t>Lab confirmed data will often list  some of the isolates which have been detected as ungroupable.  This is because the Meningococcal Reference Unit has been unable to determine an expressed capsule.  MRF have attributed a proportion of the ungroupable cases to be MenB and MenC (according to the serogroup distribution for that particular year) and have added these to the lab confirmed MenB and MenC cases.</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NORTHERN IRELAND (see Table 4) and SCOTLAND (see Table 5) have enhanced surveillance systems in place to try to capture all cases, so we have not applied any uplift to these data.  Enhanced surveillance involves validating notifications of disease with laboratory reports.  Some cases may be clinically diagnosed without ever receiving laboratory confimation and these cases are listed as ungroupable.  Some lab confirmed cases may also be found to be ungroupable for reasons already mentioned.  MRF have attributed a proportion of the ungroupable cases to be MenB and MenC (according to the serogroup distribution for that particular year) and have added these to the lab confirmed MenB and MenC cases.</a:t>
          </a:r>
        </a:p>
      </xdr:txBody>
    </xdr:sp>
    <xdr:clientData/>
  </xdr:oneCellAnchor>
  <xdr:twoCellAnchor>
    <xdr:from>
      <xdr:col>5</xdr:col>
      <xdr:colOff>581025</xdr:colOff>
      <xdr:row>120</xdr:row>
      <xdr:rowOff>161925</xdr:rowOff>
    </xdr:from>
    <xdr:to>
      <xdr:col>11</xdr:col>
      <xdr:colOff>323850</xdr:colOff>
      <xdr:row>137</xdr:row>
      <xdr:rowOff>47625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419100</xdr:colOff>
      <xdr:row>1</xdr:row>
      <xdr:rowOff>152400</xdr:rowOff>
    </xdr:from>
    <xdr:ext cx="8305799" cy="5068054"/>
    <xdr:sp macro="" textlink="">
      <xdr:nvSpPr>
        <xdr:cNvPr id="2" name="TextBox 1"/>
        <xdr:cNvSpPr txBox="1"/>
      </xdr:nvSpPr>
      <xdr:spPr>
        <a:xfrm>
          <a:off x="419100" y="342900"/>
          <a:ext cx="8305799" cy="506805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nSpc>
              <a:spcPct val="150000"/>
            </a:lnSpc>
          </a:pPr>
          <a:r>
            <a:rPr lang="en-GB" sz="900">
              <a:latin typeface="Arial" pitchFamily="34" charset="0"/>
              <a:cs typeface="Arial" pitchFamily="34" charset="0"/>
            </a:rPr>
            <a:t>UK</a:t>
          </a:r>
          <a:r>
            <a:rPr lang="en-GB" sz="900" baseline="0">
              <a:latin typeface="Arial" pitchFamily="34" charset="0"/>
              <a:cs typeface="Arial" pitchFamily="34" charset="0"/>
            </a:rPr>
            <a:t> cases of bacterial meningitis cases not attributable to meningococcal disease are presented below:</a:t>
          </a:r>
        </a:p>
        <a:p>
          <a:pPr>
            <a:lnSpc>
              <a:spcPct val="150000"/>
            </a:lnSpc>
          </a:pPr>
          <a:endParaRPr lang="en-GB" sz="900" baseline="0">
            <a:latin typeface="Arial" pitchFamily="34" charset="0"/>
            <a:cs typeface="Arial" pitchFamily="34" charset="0"/>
          </a:endParaRPr>
        </a:p>
        <a:p>
          <a:pPr>
            <a:lnSpc>
              <a:spcPct val="150000"/>
            </a:lnSpc>
          </a:pPr>
          <a:r>
            <a:rPr lang="en-GB" sz="900">
              <a:latin typeface="Arial" pitchFamily="34" charset="0"/>
              <a:cs typeface="Arial" pitchFamily="34" charset="0"/>
            </a:rPr>
            <a:t>ENGLAND AND WALES:</a:t>
          </a:r>
        </a:p>
        <a:p>
          <a:pPr>
            <a:lnSpc>
              <a:spcPct val="150000"/>
            </a:lnSpc>
          </a:pPr>
          <a:r>
            <a:rPr lang="en-GB" sz="900">
              <a:latin typeface="Arial" pitchFamily="34" charset="0"/>
              <a:cs typeface="Arial" pitchFamily="34" charset="0"/>
            </a:rPr>
            <a:t>PNEUMOCOCCAL STATS (see Table</a:t>
          </a:r>
          <a:r>
            <a:rPr lang="en-GB" sz="900" baseline="0">
              <a:latin typeface="Arial" pitchFamily="34" charset="0"/>
              <a:cs typeface="Arial" pitchFamily="34" charset="0"/>
            </a:rPr>
            <a:t> 1</a:t>
          </a:r>
          <a:r>
            <a:rPr lang="en-GB" sz="900">
              <a:latin typeface="Arial" pitchFamily="34" charset="0"/>
              <a:cs typeface="Arial" pitchFamily="34" charset="0"/>
            </a:rPr>
            <a:t>)</a:t>
          </a:r>
        </a:p>
        <a:p>
          <a:pPr marL="0" marR="0" indent="0" defTabSz="914400" eaLnBrk="1" fontAlgn="auto" latinLnBrk="0" hangingPunct="1">
            <a:lnSpc>
              <a:spcPct val="150000"/>
            </a:lnSpc>
            <a:spcBef>
              <a:spcPts val="0"/>
            </a:spcBef>
            <a:spcAft>
              <a:spcPts val="0"/>
            </a:spcAft>
            <a:buClrTx/>
            <a:buSzTx/>
            <a:buFontTx/>
            <a:buNone/>
            <a:tabLst/>
            <a:defRPr/>
          </a:pPr>
          <a:r>
            <a:rPr lang="en-GB" sz="900" baseline="0">
              <a:solidFill>
                <a:schemeClr val="tx1"/>
              </a:solidFill>
              <a:latin typeface="Arial" pitchFamily="34" charset="0"/>
              <a:ea typeface="+mn-ea"/>
              <a:cs typeface="Arial" pitchFamily="34" charset="0"/>
            </a:rPr>
            <a:t>We have used Hospital episodes statistics (HES ) admissions data for ICD10 code G001 (pneumococcal meningitis).   </a:t>
          </a:r>
          <a:r>
            <a:rPr lang="en-GB" sz="900">
              <a:solidFill>
                <a:schemeClr val="tx1"/>
              </a:solidFill>
              <a:latin typeface="Arial" pitchFamily="34" charset="0"/>
              <a:ea typeface="+mn-ea"/>
              <a:cs typeface="Arial" pitchFamily="34" charset="0"/>
            </a:rPr>
            <a:t>HES data contains duplicates, but Dr Caroline Trotter at the University of Bristol has produced cleaned HES admissions data with duplicates removed which represented on average 75% of the raw HES data.  Therefore we used 75% of the raw HES data to account</a:t>
          </a:r>
          <a:r>
            <a:rPr lang="en-GB" sz="900" baseline="0">
              <a:solidFill>
                <a:schemeClr val="tx1"/>
              </a:solidFill>
              <a:latin typeface="Arial" pitchFamily="34" charset="0"/>
              <a:ea typeface="+mn-ea"/>
              <a:cs typeface="Arial" pitchFamily="34" charset="0"/>
            </a:rPr>
            <a:t> for duplicates.  It can be seen from the table that there has been a drop in cases of pneumococal meningitis since 2006/7, which is the time that PCV7 was introduced to the UK schedule.  We want to estimate the the burden of pneumococcal meningitis that is currently uncontrolled by vaccination, so we averaged the data from the years 2007/8 to 2011/12 so as not to overestimate the current burden of disease.  HES are only available in England, so to calculate Welsh cases we looked at Notifications of Infectious Diseases (NOIDs) data.  It is known that there is an issue with under reporting and so that this data would underrepresent the true burden of disease in Wales.  To correct for this, we looked at the proportion of cases notified in Wales compared to those notified in England and applied the yearly uplift factor to the cleaned HES admissions data each year.</a:t>
          </a:r>
        </a:p>
        <a:p>
          <a:pPr marL="0" marR="0" indent="0" defTabSz="914400" eaLnBrk="1" fontAlgn="auto" latinLnBrk="0" hangingPunct="1">
            <a:lnSpc>
              <a:spcPct val="150000"/>
            </a:lnSpc>
            <a:spcBef>
              <a:spcPts val="0"/>
            </a:spcBef>
            <a:spcAft>
              <a:spcPts val="0"/>
            </a:spcAft>
            <a:buClrTx/>
            <a:buSzTx/>
            <a:buFontTx/>
            <a:buNone/>
            <a:tabLst/>
            <a:defRPr/>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chemeClr val="tx1"/>
              </a:solidFill>
              <a:latin typeface="Arial" pitchFamily="34" charset="0"/>
              <a:ea typeface="+mn-ea"/>
              <a:cs typeface="Arial" pitchFamily="34" charset="0"/>
            </a:rPr>
            <a:t>OTHER BACTERIAL MENINGITIS (see Table 2)</a:t>
          </a:r>
        </a:p>
        <a:p>
          <a:pPr>
            <a:lnSpc>
              <a:spcPct val="150000"/>
            </a:lnSpc>
          </a:pPr>
          <a:r>
            <a:rPr lang="en-GB" sz="900" baseline="0">
              <a:solidFill>
                <a:schemeClr val="tx1"/>
              </a:solidFill>
              <a:latin typeface="Arial" pitchFamily="34" charset="0"/>
              <a:ea typeface="+mn-ea"/>
              <a:cs typeface="Arial" pitchFamily="34" charset="0"/>
            </a:rPr>
            <a:t>Although HES data exists for the other types of becterial meningitis.  No work has been carried out to remove duplicates from the admissions data.  MRF have therefore decided to use the NOIDS data to represent  yearly cases of  other types of bacterial meningitis.  Data which has been greyed out is not included in average yearly incidence calculations because this data is considered to be unrepresentative of  expected incidence post  the current  vaccination schedule.</a:t>
          </a:r>
        </a:p>
        <a:p>
          <a:pPr>
            <a:lnSpc>
              <a:spcPct val="150000"/>
            </a:lnSpc>
          </a:pPr>
          <a:endParaRPr lang="en-GB" sz="900" baseline="0">
            <a:solidFill>
              <a:schemeClr val="tx1"/>
            </a:solidFill>
            <a:latin typeface="Arial" pitchFamily="34" charset="0"/>
            <a:ea typeface="+mn-ea"/>
            <a:cs typeface="Arial" pitchFamily="34" charset="0"/>
          </a:endParaRPr>
        </a:p>
        <a:p>
          <a:pPr>
            <a:lnSpc>
              <a:spcPct val="150000"/>
            </a:lnSpc>
          </a:pPr>
          <a:r>
            <a:rPr lang="en-GB" sz="900" baseline="0">
              <a:solidFill>
                <a:sysClr val="windowText" lastClr="000000"/>
              </a:solidFill>
              <a:latin typeface="Arial" pitchFamily="34" charset="0"/>
              <a:ea typeface="+mn-ea"/>
              <a:cs typeface="Arial" pitchFamily="34" charset="0"/>
            </a:rPr>
            <a:t>NORTHERN IRELAND and SCOTLAND (see Tables 3 and 4):</a:t>
          </a:r>
        </a:p>
        <a:p>
          <a:pPr marL="0" marR="0" indent="0" defTabSz="914400" eaLnBrk="1" fontAlgn="auto" latinLnBrk="0" hangingPunct="1">
            <a:lnSpc>
              <a:spcPct val="150000"/>
            </a:lnSpc>
            <a:spcBef>
              <a:spcPts val="0"/>
            </a:spcBef>
            <a:spcAft>
              <a:spcPts val="0"/>
            </a:spcAft>
            <a:buClrTx/>
            <a:buSzTx/>
            <a:buFontTx/>
            <a:buNone/>
            <a:tabLst/>
            <a:defRPr/>
          </a:pPr>
          <a:r>
            <a:rPr lang="en-GB" sz="900" baseline="0">
              <a:solidFill>
                <a:sysClr val="windowText" lastClr="000000"/>
              </a:solidFill>
              <a:latin typeface="Arial" pitchFamily="34" charset="0"/>
              <a:ea typeface="+mn-ea"/>
              <a:cs typeface="Arial" pitchFamily="34" charset="0"/>
            </a:rPr>
            <a:t>Stats for annual cases of other types of bacterial meningitis from Northern Ireland and Scotland have been sourced from the Public Health Agency (PHA) and Health Protection Scotland (HPS) respectively.  We have only averaged data from 2006 onwards in Northern Ireland as this was all the data that was available to us.  In Scotland, enhanced surveillance data is shown for Pneumococcal, and TB.  Enhanced surveillance  data is shown for  Haemophilus Influenzae data from 2002.  CSF Isolate data is shown for "other bacterial " and for Haemophilus before 2002.  </a:t>
          </a:r>
          <a:r>
            <a:rPr lang="en-GB" sz="900" baseline="0">
              <a:solidFill>
                <a:schemeClr val="tx1"/>
              </a:solidFill>
              <a:latin typeface="Arial" pitchFamily="34" charset="0"/>
              <a:ea typeface="+mn-ea"/>
              <a:cs typeface="Arial" pitchFamily="34" charset="0"/>
            </a:rPr>
            <a:t>Data which has been greyed out is not included in average yearly incidence calculations because this data is considered to be unrepresentative of  expected incidence post  the current  vaccination schedule.</a:t>
          </a:r>
          <a:endParaRPr lang="en-GB" sz="900">
            <a:latin typeface="Arial" pitchFamily="34" charset="0"/>
            <a:cs typeface="Arial" pitchFamily="34" charset="0"/>
          </a:endParaRPr>
        </a:p>
        <a:p>
          <a:pPr>
            <a:lnSpc>
              <a:spcPct val="150000"/>
            </a:lnSpc>
          </a:pPr>
          <a:endParaRPr lang="en-GB" sz="900" baseline="0">
            <a:solidFill>
              <a:sysClr val="windowText" lastClr="000000"/>
            </a:solidFill>
            <a:latin typeface="Arial" pitchFamily="34" charset="0"/>
            <a:ea typeface="+mn-ea"/>
            <a:cs typeface="Arial"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85725</xdr:colOff>
      <xdr:row>3</xdr:row>
      <xdr:rowOff>19048</xdr:rowOff>
    </xdr:from>
    <xdr:ext cx="7505700" cy="62245877"/>
    <xdr:sp macro="" textlink="">
      <xdr:nvSpPr>
        <xdr:cNvPr id="2" name="TextBox 1"/>
        <xdr:cNvSpPr txBox="1"/>
      </xdr:nvSpPr>
      <xdr:spPr>
        <a:xfrm>
          <a:off x="85725" y="590548"/>
          <a:ext cx="7505700" cy="622458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GB" sz="1100" b="1">
              <a:solidFill>
                <a:schemeClr val="tx1"/>
              </a:solidFill>
              <a:latin typeface="+mn-lt"/>
              <a:ea typeface="+mn-ea"/>
              <a:cs typeface="+mn-cs"/>
            </a:rPr>
            <a:t>Meningitis Statistics UK </a:t>
          </a:r>
          <a:endParaRPr lang="en-GB" sz="1100">
            <a:solidFill>
              <a:schemeClr val="tx1"/>
            </a:solidFill>
            <a:latin typeface="+mn-lt"/>
            <a:ea typeface="+mn-ea"/>
            <a:cs typeface="+mn-cs"/>
          </a:endParaRPr>
        </a:p>
        <a:p>
          <a:r>
            <a:rPr lang="en-GB" sz="1100" b="1">
              <a:solidFill>
                <a:schemeClr val="tx1"/>
              </a:solidFill>
              <a:latin typeface="+mn-lt"/>
              <a:ea typeface="+mn-ea"/>
              <a:cs typeface="+mn-cs"/>
            </a:rPr>
            <a:t>ALL MENINGOCOCCAL DISEASE – ENGLAND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used </a:t>
          </a:r>
          <a:r>
            <a:rPr lang="en-GB" sz="1100">
              <a:solidFill>
                <a:schemeClr val="tx1"/>
              </a:solidFill>
              <a:latin typeface="+mn-lt"/>
              <a:ea typeface="+mn-ea"/>
              <a:cs typeface="+mn-cs"/>
              <a:hlinkClick xmlns:r="http://schemas.openxmlformats.org/officeDocument/2006/relationships" r:id=""/>
            </a:rPr>
            <a:t>Hospital Episode Statistics (HES)</a:t>
          </a:r>
          <a:r>
            <a:rPr lang="en-GB" sz="1100">
              <a:solidFill>
                <a:schemeClr val="tx1"/>
              </a:solidFill>
              <a:latin typeface="+mn-lt"/>
              <a:ea typeface="+mn-ea"/>
              <a:cs typeface="+mn-cs"/>
            </a:rPr>
            <a:t> admissions data (ICD10 code A39 meningococcal infection) to estimate the annual number of cases instead of </a:t>
          </a:r>
          <a:r>
            <a:rPr lang="en-GB" sz="1100">
              <a:solidFill>
                <a:schemeClr val="tx1"/>
              </a:solidFill>
              <a:latin typeface="+mn-lt"/>
              <a:ea typeface="+mn-ea"/>
              <a:cs typeface="+mn-cs"/>
              <a:hlinkClick xmlns:r="http://schemas.openxmlformats.org/officeDocument/2006/relationships" r:id=""/>
            </a:rPr>
            <a:t>Health Protection Agency (HPA) lab confirmed data</a:t>
          </a:r>
          <a:r>
            <a:rPr lang="en-GB" sz="1100">
              <a:solidFill>
                <a:schemeClr val="tx1"/>
              </a:solidFill>
              <a:latin typeface="+mn-lt"/>
              <a:ea typeface="+mn-ea"/>
              <a:cs typeface="+mn-cs"/>
            </a:rPr>
            <a:t> because we are aware that some hospitals do not routinely send samples to the HPA and so these figures are likely to underestimate true incidence.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Although HES data contain duplicates, Dr Hannah Christensen and Dr Caroline Trotter at the University of Bristol have produced cleaned HES admissions data with duplicates removed over a seven year period in order to estimate burden of illness for their health economic model of meningococcal disease. These cleaned data represent on average 90% of raw HES admissions, so we have taken 90% of HES admissions to calculate meningococcal disease incidence in England.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 figure used is the cleaned HES admissions from the year 2011/12.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To calculate the current burden of uncontrolled disease we took an average of cleaned </a:t>
          </a:r>
          <a:r>
            <a:rPr lang="en-GB" sz="1100">
              <a:solidFill>
                <a:schemeClr val="tx1"/>
              </a:solidFill>
              <a:latin typeface="+mn-lt"/>
              <a:ea typeface="+mn-ea"/>
              <a:cs typeface="+mn-cs"/>
              <a:hlinkClick xmlns:r="http://schemas.openxmlformats.org/officeDocument/2006/relationships" r:id=""/>
            </a:rPr>
            <a:t>HES data</a:t>
          </a:r>
          <a:r>
            <a:rPr lang="en-GB" sz="1100">
              <a:solidFill>
                <a:schemeClr val="tx1"/>
              </a:solidFill>
              <a:latin typeface="+mn-lt"/>
              <a:ea typeface="+mn-ea"/>
              <a:cs typeface="+mn-cs"/>
            </a:rPr>
            <a:t> since the year 2000/01. However, cases of meningococcal C (MenC) disease are at present much lower than they were at the start of the millennium  due to the success of MenC vaccine, so we have adjusted our final figure to reflect present levels of MenC disease. We have therefore calculated the number of cases attributable to MenC disease by applying the proportion of MenC in the </a:t>
          </a:r>
          <a:r>
            <a:rPr lang="en-GB" sz="1100">
              <a:solidFill>
                <a:schemeClr val="tx1"/>
              </a:solidFill>
              <a:latin typeface="+mn-lt"/>
              <a:ea typeface="+mn-ea"/>
              <a:cs typeface="+mn-cs"/>
              <a:hlinkClick xmlns:r="http://schemas.openxmlformats.org/officeDocument/2006/relationships" r:id=""/>
            </a:rPr>
            <a:t>HPA lab confirmed data</a:t>
          </a:r>
          <a:r>
            <a:rPr lang="en-GB" sz="1100">
              <a:solidFill>
                <a:schemeClr val="tx1"/>
              </a:solidFill>
              <a:latin typeface="+mn-lt"/>
              <a:ea typeface="+mn-ea"/>
              <a:cs typeface="+mn-cs"/>
            </a:rPr>
            <a:t> to each year of cleaned HES admissions (since HES data are not broken down by serogroup). We have then subtracted MenC cases in excess of the current levels from the total number of cases. This figure therefore represents the average cleaned yearly HES data from 2000/01 to 2011/12 corrected to remove cases of MenC disease which are in excess of current levels.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MENB – ENGLAND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used cleaned </a:t>
          </a:r>
          <a:r>
            <a:rPr lang="en-GB" sz="1100">
              <a:solidFill>
                <a:schemeClr val="tx1"/>
              </a:solidFill>
              <a:latin typeface="+mn-lt"/>
              <a:ea typeface="+mn-ea"/>
              <a:cs typeface="+mn-cs"/>
              <a:hlinkClick xmlns:r="http://schemas.openxmlformats.org/officeDocument/2006/relationships" r:id=""/>
            </a:rPr>
            <a:t>HES data</a:t>
          </a:r>
          <a:r>
            <a:rPr lang="en-GB" sz="1100">
              <a:solidFill>
                <a:schemeClr val="tx1"/>
              </a:solidFill>
              <a:latin typeface="+mn-lt"/>
              <a:ea typeface="+mn-ea"/>
              <a:cs typeface="+mn-cs"/>
            </a:rPr>
            <a:t> to calculate cases of meningococcal B (MenB) disease (for information about cleaned HES data see explanation behind all meningococcal disease - England). We used </a:t>
          </a:r>
          <a:r>
            <a:rPr lang="en-GB" sz="1100">
              <a:solidFill>
                <a:schemeClr val="tx1"/>
              </a:solidFill>
              <a:latin typeface="+mn-lt"/>
              <a:ea typeface="+mn-ea"/>
              <a:cs typeface="+mn-cs"/>
              <a:hlinkClick xmlns:r="http://schemas.openxmlformats.org/officeDocument/2006/relationships" r:id=""/>
            </a:rPr>
            <a:t>lab confirmed data from the Health Protection Agency (HPA)</a:t>
          </a:r>
          <a:r>
            <a:rPr lang="en-GB" sz="1100">
              <a:solidFill>
                <a:schemeClr val="tx1"/>
              </a:solidFill>
              <a:latin typeface="+mn-lt"/>
              <a:ea typeface="+mn-ea"/>
              <a:cs typeface="+mn-cs"/>
            </a:rPr>
            <a:t> to calculate the proportion of all grouped meningococcal cases attributable to MenB in 2011/12, and applied this to the cleaned HES data from 2011/12.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therefore represents cleaned HES data corrected to include only those cases attributable to MenB.</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applied the proportion of MenB cases in the </a:t>
          </a:r>
          <a:r>
            <a:rPr lang="en-GB" sz="1100">
              <a:solidFill>
                <a:schemeClr val="tx1"/>
              </a:solidFill>
              <a:latin typeface="+mn-lt"/>
              <a:ea typeface="+mn-ea"/>
              <a:cs typeface="+mn-cs"/>
              <a:hlinkClick xmlns:r="http://schemas.openxmlformats.org/officeDocument/2006/relationships" r:id=""/>
            </a:rPr>
            <a:t>HPA lab confirmed data</a:t>
          </a:r>
          <a:r>
            <a:rPr lang="en-GB" sz="1100">
              <a:solidFill>
                <a:schemeClr val="tx1"/>
              </a:solidFill>
              <a:latin typeface="+mn-lt"/>
              <a:ea typeface="+mn-ea"/>
              <a:cs typeface="+mn-cs"/>
            </a:rPr>
            <a:t> for each year from 2000/01 to 2011/12 to the annual cleaned </a:t>
          </a:r>
          <a:r>
            <a:rPr lang="en-GB" sz="1100">
              <a:solidFill>
                <a:schemeClr val="tx1"/>
              </a:solidFill>
              <a:latin typeface="+mn-lt"/>
              <a:ea typeface="+mn-ea"/>
              <a:cs typeface="+mn-cs"/>
              <a:hlinkClick xmlns:r="http://schemas.openxmlformats.org/officeDocument/2006/relationships" r:id=""/>
            </a:rPr>
            <a:t>HES data</a:t>
          </a:r>
          <a:r>
            <a:rPr lang="en-GB" sz="1100">
              <a:solidFill>
                <a:schemeClr val="tx1"/>
              </a:solidFill>
              <a:latin typeface="+mn-lt"/>
              <a:ea typeface="+mn-ea"/>
              <a:cs typeface="+mn-cs"/>
            </a:rPr>
            <a:t> to obtain the number of cases of meningococcal disease attributable to MenB only, and averaged this over the 12 years.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ALL MENINGOCOCCAL DISEASE - WALES</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Hospital Episode Statistics (which have been used to calculate cases in England) are available for England only.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hlinkClick xmlns:r="http://schemas.openxmlformats.org/officeDocument/2006/relationships" r:id=""/>
            </a:rPr>
            <a:t>Health Protection Agency (HPA) lab confirmed figures</a:t>
          </a:r>
          <a:r>
            <a:rPr lang="en-GB" sz="1100">
              <a:solidFill>
                <a:schemeClr val="tx1"/>
              </a:solidFill>
              <a:latin typeface="+mn-lt"/>
              <a:ea typeface="+mn-ea"/>
              <a:cs typeface="+mn-cs"/>
            </a:rPr>
            <a:t> are available for Wales but are likely to under-represent true case numbers because some hospitals do not routinely send samples to the HPA. We have assumed that lab confirmed cases in Wales are under -ascertained by a similar proportion as in England. The ratio of the average cleaned HES admissions to the average lab confirmed meningococcal cases in England over the past ten years is 1.3. We have therefore applied an uplift of 1.3 to Welsh HPA lab confirmed data for 2011/12 to correct for this.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therefore represents HPA lab confirmed data uplifted to adjust for under-reporting of cases.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To calculate the current burden of uncontrolled disease we uplifted the 12-year average of annual HPA lab-confirmed cases for Wales by 1.3 as above. However, we know that MenC cases are at present much lower than they were twelve years ago due to vaccination, so our final figure was adjusted to reflect present levels of MenC disease. After calculating the 12-year average of HPA lab-confirmed MenC cases in Wales and uplifting by 1.3, we subtracted MenC cases in excess of current levels in Wales.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MENB - WALES</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taken </a:t>
          </a:r>
          <a:r>
            <a:rPr lang="en-GB" sz="1100">
              <a:solidFill>
                <a:schemeClr val="tx1"/>
              </a:solidFill>
              <a:latin typeface="+mn-lt"/>
              <a:ea typeface="+mn-ea"/>
              <a:cs typeface="+mn-cs"/>
              <a:hlinkClick xmlns:r="http://schemas.openxmlformats.org/officeDocument/2006/relationships" r:id=""/>
            </a:rPr>
            <a:t>HPA lab confirmed cases</a:t>
          </a:r>
          <a:r>
            <a:rPr lang="en-GB" sz="1100">
              <a:solidFill>
                <a:schemeClr val="tx1"/>
              </a:solidFill>
              <a:latin typeface="+mn-lt"/>
              <a:ea typeface="+mn-ea"/>
              <a:cs typeface="+mn-cs"/>
            </a:rPr>
            <a:t> attributable to MenB in Wales in 2011/12 and applied an uplift of 1.3 to compensate for under-reporting (for information about uplifted lab confirmed data see explanation behind all meningococcal disease - Wales).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To obtain cases attributable to MenB, we assume that the proportion of MenB cases is the same for ungrouped cases as it is for grouped cases. Taking the total cases confirmed as MenB, we have added the proportion of ungrouped cases attributable to MenB (calculated as the percentage of lab-confirmed MenB cases out of all grouped cases), then applied the uplift to this sum.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represents the average </a:t>
          </a:r>
          <a:r>
            <a:rPr lang="en-GB" sz="1100">
              <a:solidFill>
                <a:schemeClr val="tx1"/>
              </a:solidFill>
              <a:latin typeface="+mn-lt"/>
              <a:ea typeface="+mn-ea"/>
              <a:cs typeface="+mn-cs"/>
              <a:hlinkClick xmlns:r="http://schemas.openxmlformats.org/officeDocument/2006/relationships" r:id=""/>
            </a:rPr>
            <a:t>HPA lab confirmed cases</a:t>
          </a:r>
          <a:r>
            <a:rPr lang="en-GB" sz="1100">
              <a:solidFill>
                <a:schemeClr val="tx1"/>
              </a:solidFill>
              <a:latin typeface="+mn-lt"/>
              <a:ea typeface="+mn-ea"/>
              <a:cs typeface="+mn-cs"/>
            </a:rPr>
            <a:t> attributable to MenB from 2000/01 to 2011/12. The uplift of 1.3 is applied to the 12-year average.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MENINGOCOCCAL DISEASE - SCOTLAND</a:t>
          </a:r>
          <a:br>
            <a:rPr lang="en-GB" sz="1100" b="1">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Health Protection Scotland (HPS) has the </a:t>
          </a:r>
          <a:r>
            <a:rPr lang="en-GB" sz="1100">
              <a:solidFill>
                <a:schemeClr val="tx1"/>
              </a:solidFill>
              <a:latin typeface="+mn-lt"/>
              <a:ea typeface="+mn-ea"/>
              <a:cs typeface="+mn-cs"/>
              <a:hlinkClick xmlns:r="http://schemas.openxmlformats.org/officeDocument/2006/relationships" r:id=""/>
            </a:rPr>
            <a:t>Meningococcal Invasive Disease Augmented Surveillance (MIDAS) system</a:t>
          </a:r>
          <a:r>
            <a:rPr lang="en-GB" sz="1100">
              <a:solidFill>
                <a:schemeClr val="tx1"/>
              </a:solidFill>
              <a:latin typeface="+mn-lt"/>
              <a:ea typeface="+mn-ea"/>
              <a:cs typeface="+mn-cs"/>
            </a:rPr>
            <a:t> in place to try to capture all cases, so we have not introduced any correction for under-reporting.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As HPS data are produced per calendar year we have used data from 2012 to be as consistent as possible with data for the rest of the UK.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a:t>
          </a:r>
          <a:r>
            <a:rPr lang="en-GB" sz="1100">
              <a:solidFill>
                <a:schemeClr val="tx1"/>
              </a:solidFill>
              <a:latin typeface="+mn-lt"/>
              <a:ea typeface="+mn-ea"/>
              <a:cs typeface="+mn-cs"/>
            </a:rPr>
            <a:t>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To calculate the current burden of uncontrolled disease we took the average number of cases over the past ten years. Due to the success of the MenC vaccine, cases of meningococcal C (MenC) disease are at present much lower than they were at the start of the millennium , so our final figure was adjusted to reflect present levels of MenC disease.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 </a:t>
          </a:r>
          <a:r>
            <a:rPr lang="en-GB" sz="1100">
              <a:solidFill>
                <a:schemeClr val="tx1"/>
              </a:solidFill>
              <a:latin typeface="+mn-lt"/>
              <a:ea typeface="+mn-ea"/>
              <a:cs typeface="+mn-cs"/>
              <a:hlinkClick xmlns:r="http://schemas.openxmlformats.org/officeDocument/2006/relationships" r:id=""/>
            </a:rPr>
            <a:t>MIDAS system</a:t>
          </a:r>
          <a:r>
            <a:rPr lang="en-GB" sz="1100">
              <a:solidFill>
                <a:schemeClr val="tx1"/>
              </a:solidFill>
              <a:latin typeface="+mn-lt"/>
              <a:ea typeface="+mn-ea"/>
              <a:cs typeface="+mn-cs"/>
            </a:rPr>
            <a:t> involves validating notifications of disease with laboratory reports. Some cases may be clinically diagnosed without ever receiving laboratory confirmation and these cases are listed as ungrouped. Some lab-confirmed cases are also classed as ungrouped because the laboratory is unable to identify the bacteria to serogroup level. Assuming that the proportion of MenC cases is the same for ungrouped cases as it is for grouped cases, we have calculated total cases attributable to MenC, by adding to the total cases confirmed as MenC, the proportion of ungrouped cases attributable to MenC (calculated as the percentage of lab-confirmed MenC cases out of all grouped cases). After calculating the 12-year average of MenC cases, we subtracted MenC cases in excess of current levels.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therefore represents the average yearly HPS data from 2001 to 2012 corrected to remove cases of MenC disease which are in excess of 2012 levels.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MENB - SCOTLAND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Health Protection Scotland’s </a:t>
          </a:r>
          <a:r>
            <a:rPr lang="en-GB" sz="1100">
              <a:solidFill>
                <a:schemeClr val="tx1"/>
              </a:solidFill>
              <a:latin typeface="+mn-lt"/>
              <a:ea typeface="+mn-ea"/>
              <a:cs typeface="+mn-cs"/>
              <a:hlinkClick xmlns:r="http://schemas.openxmlformats.org/officeDocument/2006/relationships" r:id=""/>
            </a:rPr>
            <a:t>MIDAS surveillance system</a:t>
          </a:r>
          <a:r>
            <a:rPr lang="en-GB" sz="1100">
              <a:solidFill>
                <a:schemeClr val="tx1"/>
              </a:solidFill>
              <a:latin typeface="+mn-lt"/>
              <a:ea typeface="+mn-ea"/>
              <a:cs typeface="+mn-cs"/>
            </a:rPr>
            <a:t> involves validating notifications of disease with laboratory reports. Some cases may be clinically diagnosed without ever receiving laboratory confirmation and these cases are listed as ungrouped Some lab confirmed cases may also be found to be ungrouped because the laboratory is unable to identify the bacteria to serogroup level. We assume that the proportion of MenB cases is the same for ungrouped cases as it is for grouped cases. Taking the total cases confirmed as MenB in 2012, we have added the proportion of ungrouped cases attributable to MenB, calculated as the percentage of lab-confirmed MenB cases out of all grouped cases.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therefore represents the HPS data from the year 2012 for MenB cases.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represents the average of cases attributable to MenB (including a proportion of ungrouped cases as described above) from 2001 to 2012.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ALL MENINGOCOCCAL DISEASE – NORTHERN IRELAND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Northern Ireland has an enhanced surveillance system in place to try to capture all cases, so we have not applied any uplift to these data.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represents data for the year 2011/12, obtained from the </a:t>
          </a:r>
          <a:r>
            <a:rPr lang="en-GB" sz="1100">
              <a:solidFill>
                <a:schemeClr val="tx1"/>
              </a:solidFill>
              <a:latin typeface="+mn-lt"/>
              <a:ea typeface="+mn-ea"/>
              <a:cs typeface="+mn-cs"/>
              <a:hlinkClick xmlns:r="http://schemas.openxmlformats.org/officeDocument/2006/relationships" r:id=""/>
            </a:rPr>
            <a:t>Public Health Agency (PHA)</a:t>
          </a:r>
          <a:r>
            <a:rPr lang="en-GB" sz="1100">
              <a:solidFill>
                <a:schemeClr val="tx1"/>
              </a:solidFill>
              <a:latin typeface="+mn-lt"/>
              <a:ea typeface="+mn-ea"/>
              <a:cs typeface="+mn-cs"/>
            </a:rPr>
            <a:t>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To calculate the current burden of uncontrolled disease we took the average number of cases over the past ten years. Due to the success of the MenC vaccine, cases of meningococcal C (MenC) disease are at present much lower than they were ten years ago, so our final figure was adjusted to reflect present levels of MenC disease.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Enhanced surveillance involves validating notifications of disease with laboratory reports. Most laboratory samples of bacteria are identified to serogroup level, however, some cases may be clinically diagnosed without ever being laboratory confirmed and these cases are listed as ungrouped. Some lab-confirmed cases are also listed as ungrouped because the laboratory is unable to identify the bacteria to serogroup level. Assuming that the proportion of MenC cases is the same for ungrouped cases as it is for grouped cases, we have calculated total cases attributable to MenC, by taking the total cases confirmed as MenC, and adding to this the proportion of ungrouped cases attributable to MenC (calculated as the percentage of lab-confirmed MenC cases out of all grouped cases). After calculating the 12-year average of MenC cases, we subtracted MenC cases in excess of current levels.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therefore represents the average yearly </a:t>
          </a:r>
          <a:r>
            <a:rPr lang="en-GB" sz="1100">
              <a:solidFill>
                <a:schemeClr val="tx1"/>
              </a:solidFill>
              <a:latin typeface="+mn-lt"/>
              <a:ea typeface="+mn-ea"/>
              <a:cs typeface="+mn-cs"/>
              <a:hlinkClick xmlns:r="http://schemas.openxmlformats.org/officeDocument/2006/relationships" r:id=""/>
            </a:rPr>
            <a:t>PHA data</a:t>
          </a:r>
          <a:r>
            <a:rPr lang="en-GB" sz="1100">
              <a:solidFill>
                <a:schemeClr val="tx1"/>
              </a:solidFill>
              <a:latin typeface="+mn-lt"/>
              <a:ea typeface="+mn-ea"/>
              <a:cs typeface="+mn-cs"/>
            </a:rPr>
            <a:t> from 2000/01 to 2011/12 corrected to remove cases of MenC disease which are in excess of 2011/12 levels.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MENB – NORTHERN IRELAND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has been derived from the </a:t>
          </a:r>
          <a:r>
            <a:rPr lang="en-GB" sz="1100">
              <a:solidFill>
                <a:schemeClr val="tx1"/>
              </a:solidFill>
              <a:latin typeface="+mn-lt"/>
              <a:ea typeface="+mn-ea"/>
              <a:cs typeface="+mn-cs"/>
              <a:hlinkClick xmlns:r="http://schemas.openxmlformats.org/officeDocument/2006/relationships" r:id=""/>
            </a:rPr>
            <a:t>Public Health Agency (PHA) enhanced surveillance data</a:t>
          </a:r>
          <a:r>
            <a:rPr lang="en-GB" sz="1100">
              <a:solidFill>
                <a:schemeClr val="tx1"/>
              </a:solidFill>
              <a:latin typeface="+mn-lt"/>
              <a:ea typeface="+mn-ea"/>
              <a:cs typeface="+mn-cs"/>
            </a:rPr>
            <a:t> . Enhanced surveillance involves validating notifications of disease with laboratory reports. Some cases may be clinically diagnosed without ever receiving laboratory confirmation and these cases are listed as ungrouped Some lab confirmed cases may also be found to be ungrouped because the laboratory is unable to identify the bacteria to serogroup level. We assume that the proportion of MenB cases is the same for ungrouped cases as it is for grouped cases. Taking the total cases confirmed as MenB in 2011/12, we have added the proportion of ungrouped cases attributable to MenB, calculated as the percentage of lab-confirmed MenB cases out of all grouped cases.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therefore represents the PHA data for the year 2011/2012 for menB cases.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Average annual cases representing the current burden of uncontrolled disease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represents the average of cases from the </a:t>
          </a:r>
          <a:r>
            <a:rPr lang="en-GB" sz="1100">
              <a:solidFill>
                <a:schemeClr val="tx1"/>
              </a:solidFill>
              <a:latin typeface="+mn-lt"/>
              <a:ea typeface="+mn-ea"/>
              <a:cs typeface="+mn-cs"/>
              <a:hlinkClick xmlns:r="http://schemas.openxmlformats.org/officeDocument/2006/relationships" r:id=""/>
            </a:rPr>
            <a:t>PHA data</a:t>
          </a:r>
          <a:r>
            <a:rPr lang="en-GB" sz="1100">
              <a:solidFill>
                <a:schemeClr val="tx1"/>
              </a:solidFill>
              <a:latin typeface="+mn-lt"/>
              <a:ea typeface="+mn-ea"/>
              <a:cs typeface="+mn-cs"/>
            </a:rPr>
            <a:t> attributable to MenB (including a proportion of ungrouped cases as described above) from 2001-2012.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PNEUMOCOCCAL MENINGITIS – ENGLAND AND WALES</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used </a:t>
          </a:r>
          <a:r>
            <a:rPr lang="en-GB" sz="1100">
              <a:solidFill>
                <a:schemeClr val="tx1"/>
              </a:solidFill>
              <a:latin typeface="+mn-lt"/>
              <a:ea typeface="+mn-ea"/>
              <a:cs typeface="+mn-cs"/>
              <a:hlinkClick xmlns:r="http://schemas.openxmlformats.org/officeDocument/2006/relationships" r:id=""/>
            </a:rPr>
            <a:t>Hospital Episodes Statistics (HES)</a:t>
          </a:r>
          <a:r>
            <a:rPr lang="en-GB" sz="1100">
              <a:solidFill>
                <a:schemeClr val="tx1"/>
              </a:solidFill>
              <a:latin typeface="+mn-lt"/>
              <a:ea typeface="+mn-ea"/>
              <a:cs typeface="+mn-cs"/>
            </a:rPr>
            <a:t> admissions data (ICD10 code G001 pneumococcal meningitis) to estimate cases in England because there may be a degree of under-reporting of cases to the Health Protection Agency, and to maintain consistency with our estimations of meningococcal disease. HES data contain duplicates, but Dr Caroline Trotter at the University of Bristol has produced cleaned HES admissions data with duplicates removed which represent on average 75% of raw HES admissions.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HES data are available for England only, but there is a statutory requirement for the notification of certain infectious diseases including pneumococcal meningitis across the UK. The prime purpose of the notifications system is speed in detecting possible outbreaks and epidemics. </a:t>
          </a:r>
          <a:r>
            <a:rPr lang="en-GB" sz="1100">
              <a:solidFill>
                <a:schemeClr val="tx1"/>
              </a:solidFill>
              <a:latin typeface="+mn-lt"/>
              <a:ea typeface="+mn-ea"/>
              <a:cs typeface="+mn-cs"/>
              <a:hlinkClick xmlns:r="http://schemas.openxmlformats.org/officeDocument/2006/relationships" r:id=""/>
            </a:rPr>
            <a:t>Notification of Infectious Disease (NOIDs)</a:t>
          </a:r>
          <a:r>
            <a:rPr lang="en-GB" sz="1100">
              <a:solidFill>
                <a:schemeClr val="tx1"/>
              </a:solidFill>
              <a:latin typeface="+mn-lt"/>
              <a:ea typeface="+mn-ea"/>
              <a:cs typeface="+mn-cs"/>
            </a:rPr>
            <a:t> are likely to underestimate cases due to under-reporting, and we have assumed that the rate of under-reporting is the same across England and Wales.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To calculate total cases of pneumococcal meningitis in England and Wales, we calculated the ratio of notified cases in Wales compared to notifications for England and Wales together and used this ratio to uplift the “cleaned” English HES data to represent England and Wales.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Cases of pneumococcal meningitis have declined since pneumococcal vaccine was introduced in 2006/7, so we have used data from 2007/8 onwards to avoid overestimating the current burden of disease. This figure therefore represents the average yearly cleaned </a:t>
          </a:r>
          <a:r>
            <a:rPr lang="en-GB" sz="1100">
              <a:solidFill>
                <a:schemeClr val="tx1"/>
              </a:solidFill>
              <a:latin typeface="+mn-lt"/>
              <a:ea typeface="+mn-ea"/>
              <a:cs typeface="+mn-cs"/>
              <a:hlinkClick xmlns:r="http://schemas.openxmlformats.org/officeDocument/2006/relationships" r:id=""/>
            </a:rPr>
            <a:t>HES admissions data</a:t>
          </a:r>
          <a:r>
            <a:rPr lang="en-GB" sz="1100">
              <a:solidFill>
                <a:schemeClr val="tx1"/>
              </a:solidFill>
              <a:latin typeface="+mn-lt"/>
              <a:ea typeface="+mn-ea"/>
              <a:cs typeface="+mn-cs"/>
            </a:rPr>
            <a:t> post vaccine introduction uplifted to account for additional cases in Wales (see explanation above for an explanation of the uplift).</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PNEUMOCOCCAL – SCOTLAND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Health Protection Scotland (HPS) has the </a:t>
          </a:r>
          <a:r>
            <a:rPr lang="en-GB" sz="1100">
              <a:solidFill>
                <a:schemeClr val="tx1"/>
              </a:solidFill>
              <a:latin typeface="+mn-lt"/>
              <a:ea typeface="+mn-ea"/>
              <a:cs typeface="+mn-cs"/>
              <a:hlinkClick xmlns:r="http://schemas.openxmlformats.org/officeDocument/2006/relationships" r:id=""/>
            </a:rPr>
            <a:t>Scottish Pneumococcal Invasive Disease Enhanced Reporting (SPIDER)</a:t>
          </a:r>
          <a:r>
            <a:rPr lang="en-GB" sz="1100">
              <a:solidFill>
                <a:schemeClr val="tx1"/>
              </a:solidFill>
              <a:latin typeface="+mn-lt"/>
              <a:ea typeface="+mn-ea"/>
              <a:cs typeface="+mn-cs"/>
            </a:rPr>
            <a:t> system in place to try to capture all cases. As HPS data are produced per calendar year we have used data from 2012.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There has been a drop in cases of pneumococcal meningitis since pneumococcal vaccine was introduced in 2006, so we have only used data from 2007 onwards to avoid overestimating the current burden of disease.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PNEUMOCOCCAL – NORTHERN IRELAND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These figures have been sourced from the </a:t>
          </a:r>
          <a:r>
            <a:rPr lang="en-GB" sz="1100">
              <a:solidFill>
                <a:schemeClr val="tx1"/>
              </a:solidFill>
              <a:latin typeface="+mn-lt"/>
              <a:ea typeface="+mn-ea"/>
              <a:cs typeface="+mn-cs"/>
              <a:hlinkClick xmlns:r="http://schemas.openxmlformats.org/officeDocument/2006/relationships" r:id=""/>
            </a:rPr>
            <a:t>Public Health Agency (PHA)</a:t>
          </a:r>
          <a:r>
            <a:rPr lang="en-GB" sz="1100">
              <a:solidFill>
                <a:schemeClr val="tx1"/>
              </a:solidFill>
              <a:latin typeface="+mn-lt"/>
              <a:ea typeface="+mn-ea"/>
              <a:cs typeface="+mn-cs"/>
            </a:rPr>
            <a:t>. As PHA data are produced per calendar year we have used data from 2012. Figures represent laboratory confirmation of the organism from blood or cerobrospinal fluid plus a clinical diagnosis of meningitis and are likely to underestimate true incidence of disease.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a:t>
          </a:r>
          <a:r>
            <a:rPr lang="en-GB" sz="1100">
              <a:solidFill>
                <a:schemeClr val="tx1"/>
              </a:solidFill>
              <a:latin typeface="+mn-lt"/>
              <a:ea typeface="+mn-ea"/>
              <a:cs typeface="+mn-cs"/>
            </a:rPr>
            <a:t>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There has been a drop in cases of pneumococcal meningitis since pneumococcal vaccine was introduced in 2006, so we have only used data from 2007 - 2012 to avoid overestimating the current burden of disease.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HAEMOPHILUS INFUENZAE MENINGITIS – ENGLAND AND WALES</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taken data for </a:t>
          </a:r>
          <a:r>
            <a:rPr lang="en-GB" sz="1100" i="1">
              <a:solidFill>
                <a:schemeClr val="tx1"/>
              </a:solidFill>
              <a:latin typeface="+mn-lt"/>
              <a:ea typeface="+mn-ea"/>
              <a:cs typeface="+mn-cs"/>
            </a:rPr>
            <a:t>Haemophilus influenzae</a:t>
          </a:r>
          <a:r>
            <a:rPr lang="en-GB" sz="1100">
              <a:solidFill>
                <a:schemeClr val="tx1"/>
              </a:solidFill>
              <a:latin typeface="+mn-lt"/>
              <a:ea typeface="+mn-ea"/>
              <a:cs typeface="+mn-cs"/>
            </a:rPr>
            <a:t> meningitis from the </a:t>
          </a:r>
          <a:r>
            <a:rPr lang="en-GB" sz="1100">
              <a:solidFill>
                <a:schemeClr val="tx1"/>
              </a:solidFill>
              <a:latin typeface="+mn-lt"/>
              <a:ea typeface="+mn-ea"/>
              <a:cs typeface="+mn-cs"/>
              <a:hlinkClick xmlns:r="http://schemas.openxmlformats.org/officeDocument/2006/relationships" r:id=""/>
            </a:rPr>
            <a:t>Notifications of Infectious Disease (NOIDs)</a:t>
          </a:r>
          <a:r>
            <a:rPr lang="en-GB" sz="1100">
              <a:solidFill>
                <a:schemeClr val="tx1"/>
              </a:solidFill>
              <a:latin typeface="+mn-lt"/>
              <a:ea typeface="+mn-ea"/>
              <a:cs typeface="+mn-cs"/>
            </a:rPr>
            <a:t>. Although NOIDs may under-represent the true number of cases, due to the success of the Hib vaccine, cases </a:t>
          </a:r>
          <a:r>
            <a:rPr lang="en-GB" sz="1100" i="1">
              <a:solidFill>
                <a:schemeClr val="tx1"/>
              </a:solidFill>
              <a:latin typeface="+mn-lt"/>
              <a:ea typeface="+mn-ea"/>
              <a:cs typeface="+mn-cs"/>
            </a:rPr>
            <a:t>Haemophilus influenzae</a:t>
          </a:r>
          <a:r>
            <a:rPr lang="en-GB" sz="1100">
              <a:solidFill>
                <a:schemeClr val="tx1"/>
              </a:solidFill>
              <a:latin typeface="+mn-lt"/>
              <a:ea typeface="+mn-ea"/>
              <a:cs typeface="+mn-cs"/>
            </a:rPr>
            <a:t> meningitis are relatively few and so the error associated with under-reporting is likely to be small. As NOIDs data are produced per calendar year we have used data from 2012.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 conjugate </a:t>
          </a:r>
          <a:r>
            <a:rPr lang="en-GB" sz="1100" i="1">
              <a:solidFill>
                <a:schemeClr val="tx1"/>
              </a:solidFill>
              <a:latin typeface="+mn-lt"/>
              <a:ea typeface="+mn-ea"/>
              <a:cs typeface="+mn-cs"/>
            </a:rPr>
            <a:t>Haemophilus influenzae</a:t>
          </a:r>
          <a:r>
            <a:rPr lang="en-GB" sz="1100">
              <a:solidFill>
                <a:schemeClr val="tx1"/>
              </a:solidFill>
              <a:latin typeface="+mn-lt"/>
              <a:ea typeface="+mn-ea"/>
              <a:cs typeface="+mn-cs"/>
            </a:rPr>
            <a:t> b (Hib) vaccine was introduced to the UK childhood immunisation schedule in 1992 and dramatically reduced cases of disease. However by the end of the 1990s there was a small but significant resurgence in disease incidence. A catch up campaign starting in 2003 and a routine booster for 1-year olds introduced in 2006 have successfully reversed this trend. Incidence of Hib disease since the introduction of the booster has remained at very low levels.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used </a:t>
          </a:r>
          <a:r>
            <a:rPr lang="en-GB" sz="1100">
              <a:solidFill>
                <a:schemeClr val="tx1"/>
              </a:solidFill>
              <a:latin typeface="+mn-lt"/>
              <a:ea typeface="+mn-ea"/>
              <a:cs typeface="+mn-cs"/>
              <a:hlinkClick xmlns:r="http://schemas.openxmlformats.org/officeDocument/2006/relationships" r:id=""/>
            </a:rPr>
            <a:t>NOIDs data</a:t>
          </a:r>
          <a:r>
            <a:rPr lang="en-GB" sz="1100">
              <a:solidFill>
                <a:schemeClr val="tx1"/>
              </a:solidFill>
              <a:latin typeface="+mn-lt"/>
              <a:ea typeface="+mn-ea"/>
              <a:cs typeface="+mn-cs"/>
            </a:rPr>
            <a:t> from 2007 – 2012 (post introduction of the booster) to represent the ongoing burden disease.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HAEMOPHILUS INFUENZAE MENINGITIS – SCOTLAND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taken data for </a:t>
          </a:r>
          <a:r>
            <a:rPr lang="en-GB" sz="1100" i="1">
              <a:solidFill>
                <a:schemeClr val="tx1"/>
              </a:solidFill>
              <a:latin typeface="+mn-lt"/>
              <a:ea typeface="+mn-ea"/>
              <a:cs typeface="+mn-cs"/>
            </a:rPr>
            <a:t>Haemophilus influenzae</a:t>
          </a:r>
          <a:r>
            <a:rPr lang="en-GB" sz="1100">
              <a:solidFill>
                <a:schemeClr val="tx1"/>
              </a:solidFill>
              <a:latin typeface="+mn-lt"/>
              <a:ea typeface="+mn-ea"/>
              <a:cs typeface="+mn-cs"/>
            </a:rPr>
            <a:t> meningitis from </a:t>
          </a:r>
          <a:r>
            <a:rPr lang="en-GB" sz="1100">
              <a:solidFill>
                <a:schemeClr val="tx1"/>
              </a:solidFill>
              <a:latin typeface="+mn-lt"/>
              <a:ea typeface="+mn-ea"/>
              <a:cs typeface="+mn-cs"/>
              <a:hlinkClick xmlns:r="http://schemas.openxmlformats.org/officeDocument/2006/relationships" r:id=""/>
            </a:rPr>
            <a:t>Enhanced surveillance data from Health Protection Scotland (HPS)</a:t>
          </a:r>
          <a:r>
            <a:rPr lang="en-GB" sz="1100">
              <a:solidFill>
                <a:schemeClr val="tx1"/>
              </a:solidFill>
              <a:latin typeface="+mn-lt"/>
              <a:ea typeface="+mn-ea"/>
              <a:cs typeface="+mn-cs"/>
            </a:rPr>
            <a:t>. As HPS data is produced per calendar year we have used data from 2012.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 conjugate </a:t>
          </a:r>
          <a:r>
            <a:rPr lang="en-GB" sz="1100" i="1">
              <a:solidFill>
                <a:schemeClr val="tx1"/>
              </a:solidFill>
              <a:latin typeface="+mn-lt"/>
              <a:ea typeface="+mn-ea"/>
              <a:cs typeface="+mn-cs"/>
            </a:rPr>
            <a:t>Haemophilus influenzae</a:t>
          </a:r>
          <a:r>
            <a:rPr lang="en-GB" sz="1100">
              <a:solidFill>
                <a:schemeClr val="tx1"/>
              </a:solidFill>
              <a:latin typeface="+mn-lt"/>
              <a:ea typeface="+mn-ea"/>
              <a:cs typeface="+mn-cs"/>
            </a:rPr>
            <a:t> b (Hib) vaccine was introduced to the UK childhood immunisation schedule in 1992 and dramatically reduced cases of disease. However by the end of the 1990s there was a small but significant resurgence in disease incidence. A catch up campaign starting in 2003 and a routine booster for 1-year olds introduced in 2006 have successfully reversed this trend. Incidence of Hib disease since the introduction of the booster has remained at very low levels.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used </a:t>
          </a:r>
          <a:r>
            <a:rPr lang="en-GB" sz="1100">
              <a:solidFill>
                <a:schemeClr val="tx1"/>
              </a:solidFill>
              <a:latin typeface="+mn-lt"/>
              <a:ea typeface="+mn-ea"/>
              <a:cs typeface="+mn-cs"/>
              <a:hlinkClick xmlns:r="http://schemas.openxmlformats.org/officeDocument/2006/relationships" r:id=""/>
            </a:rPr>
            <a:t>HPS enhanced surveillance of invasive Haemophilus influenza disease</a:t>
          </a:r>
          <a:r>
            <a:rPr lang="en-GB" sz="1100">
              <a:solidFill>
                <a:schemeClr val="tx1"/>
              </a:solidFill>
              <a:latin typeface="+mn-lt"/>
              <a:ea typeface="+mn-ea"/>
              <a:cs typeface="+mn-cs"/>
            </a:rPr>
            <a:t> data from 2007 – 2012 (post introduction of the booster) to represent the burden of disease.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HAEMOPHILUS INFUENZAE MENINGITIS – NORTHERN IRELAND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taken data for </a:t>
          </a:r>
          <a:r>
            <a:rPr lang="en-GB" sz="1100" i="1">
              <a:solidFill>
                <a:schemeClr val="tx1"/>
              </a:solidFill>
              <a:latin typeface="+mn-lt"/>
              <a:ea typeface="+mn-ea"/>
              <a:cs typeface="+mn-cs"/>
            </a:rPr>
            <a:t>Haemophilus influenzae</a:t>
          </a:r>
          <a:r>
            <a:rPr lang="en-GB" sz="1100">
              <a:solidFill>
                <a:schemeClr val="tx1"/>
              </a:solidFill>
              <a:latin typeface="+mn-lt"/>
              <a:ea typeface="+mn-ea"/>
              <a:cs typeface="+mn-cs"/>
            </a:rPr>
            <a:t> meningitis from the </a:t>
          </a:r>
          <a:r>
            <a:rPr lang="en-GB" sz="1100">
              <a:solidFill>
                <a:schemeClr val="tx1"/>
              </a:solidFill>
              <a:latin typeface="+mn-lt"/>
              <a:ea typeface="+mn-ea"/>
              <a:cs typeface="+mn-cs"/>
              <a:hlinkClick xmlns:r="http://schemas.openxmlformats.org/officeDocument/2006/relationships" r:id=""/>
            </a:rPr>
            <a:t>Public Health Agency (PHA)</a:t>
          </a:r>
          <a:r>
            <a:rPr lang="en-GB" sz="1100">
              <a:solidFill>
                <a:schemeClr val="tx1"/>
              </a:solidFill>
              <a:latin typeface="+mn-lt"/>
              <a:ea typeface="+mn-ea"/>
              <a:cs typeface="+mn-cs"/>
            </a:rPr>
            <a:t>. As PHA data is produced per calendar year we have used data from 2012. Figures represent laboratory confirmation of the organism from blood or cerobrospinal fluid plus a clinical diagnosis of meningitis and are likely to underestimate true incidence of disease.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 conjugate </a:t>
          </a:r>
          <a:r>
            <a:rPr lang="en-GB" sz="1100" i="1">
              <a:solidFill>
                <a:schemeClr val="tx1"/>
              </a:solidFill>
              <a:latin typeface="+mn-lt"/>
              <a:ea typeface="+mn-ea"/>
              <a:cs typeface="+mn-cs"/>
            </a:rPr>
            <a:t>Haemophilus influenzae</a:t>
          </a:r>
          <a:r>
            <a:rPr lang="en-GB" sz="1100">
              <a:solidFill>
                <a:schemeClr val="tx1"/>
              </a:solidFill>
              <a:latin typeface="+mn-lt"/>
              <a:ea typeface="+mn-ea"/>
              <a:cs typeface="+mn-cs"/>
            </a:rPr>
            <a:t> b (Hib) vaccine was introduced to the childhood immunisation schedule UK in 1992 which dramatically reduced cases of disease. However by 1998 there was a small but significant resurgence in disease incidence. A catch up campaign was introduced in 2003 to reverse this trend and in order to keep incidence low a booster dose to be given at one year of age was introduced to the routine schedule in 2006. Incidence of Hib disease since the introduction of the booster dose has remained at very low levels.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used PHA data from 2007 – 2012 (post introduction of the booster at 12 months) to represent the burden of uncontrolled disease.</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TB MENINGITIS – ENGLAND AND WALES</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Cases of TB meningitis has been estimated from2009  </a:t>
          </a:r>
          <a:r>
            <a:rPr lang="en-GB" sz="1100">
              <a:solidFill>
                <a:schemeClr val="tx1"/>
              </a:solidFill>
              <a:latin typeface="+mn-lt"/>
              <a:ea typeface="+mn-ea"/>
              <a:cs typeface="+mn-cs"/>
              <a:hlinkClick xmlns:r="http://schemas.openxmlformats.org/officeDocument/2006/relationships" r:id=""/>
            </a:rPr>
            <a:t>Notification of Infectious Disease (NOIDs)</a:t>
          </a:r>
          <a:r>
            <a:rPr lang="en-GB" sz="1100">
              <a:solidFill>
                <a:schemeClr val="tx1"/>
              </a:solidFill>
              <a:latin typeface="+mn-lt"/>
              <a:ea typeface="+mn-ea"/>
              <a:cs typeface="+mn-cs"/>
            </a:rPr>
            <a:t> data. NOIDs yearly and weekly reports stopped reporting cases of TB meningitis in 2010, so the latest available data has been reported.</a:t>
          </a:r>
        </a:p>
        <a:p>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a:t>
          </a:r>
          <a:r>
            <a:rPr lang="en-GB" sz="1100">
              <a:solidFill>
                <a:schemeClr val="tx1"/>
              </a:solidFill>
              <a:latin typeface="+mn-lt"/>
              <a:ea typeface="+mn-ea"/>
              <a:cs typeface="+mn-cs"/>
            </a:rPr>
            <a:t>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hlinkClick xmlns:r="http://schemas.openxmlformats.org/officeDocument/2006/relationships" r:id=""/>
            </a:rPr>
            <a:t>NOIDs data</a:t>
          </a:r>
          <a:r>
            <a:rPr lang="en-GB" sz="1100">
              <a:solidFill>
                <a:schemeClr val="tx1"/>
              </a:solidFill>
              <a:latin typeface="+mn-lt"/>
              <a:ea typeface="+mn-ea"/>
              <a:cs typeface="+mn-cs"/>
            </a:rPr>
            <a:t> from the years 2000 – 2009 were used to calculate the average annual number of cases because cases of TB meningitis are no longer reported. </a:t>
          </a:r>
          <a:br>
            <a:rPr lang="en-GB" sz="1100">
              <a:solidFill>
                <a:schemeClr val="tx1"/>
              </a:solidFill>
              <a:latin typeface="+mn-lt"/>
              <a:ea typeface="+mn-ea"/>
              <a:cs typeface="+mn-cs"/>
            </a:rPr>
          </a:br>
          <a:endParaRPr lang="en-GB" sz="1100">
            <a:solidFill>
              <a:schemeClr val="tx1"/>
            </a:solidFill>
            <a:latin typeface="+mn-lt"/>
            <a:ea typeface="+mn-ea"/>
            <a:cs typeface="+mn-cs"/>
          </a:endParaRPr>
        </a:p>
        <a:p>
          <a:r>
            <a:rPr lang="en-GB" sz="1100" b="1">
              <a:solidFill>
                <a:schemeClr val="tx1"/>
              </a:solidFill>
              <a:latin typeface="+mn-lt"/>
              <a:ea typeface="+mn-ea"/>
              <a:cs typeface="+mn-cs"/>
            </a:rPr>
            <a:t>TB MENINGITIS – SCOTLAND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These figures have been collected from the </a:t>
          </a:r>
          <a:r>
            <a:rPr lang="en-GB" sz="1100">
              <a:solidFill>
                <a:schemeClr val="tx1"/>
              </a:solidFill>
              <a:latin typeface="+mn-lt"/>
              <a:ea typeface="+mn-ea"/>
              <a:cs typeface="+mn-cs"/>
              <a:hlinkClick xmlns:r="http://schemas.openxmlformats.org/officeDocument/2006/relationships" r:id=""/>
            </a:rPr>
            <a:t>Enhanced Surveillance of Mycobacterial infections (ESMI)</a:t>
          </a:r>
          <a:r>
            <a:rPr lang="en-GB" sz="1100">
              <a:solidFill>
                <a:schemeClr val="tx1"/>
              </a:solidFill>
              <a:latin typeface="+mn-lt"/>
              <a:ea typeface="+mn-ea"/>
              <a:cs typeface="+mn-cs"/>
            </a:rPr>
            <a:t> and sourced from Health Protection Scotland (HPS). As HPS data are produced per calendar year we have used data from 2012.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Ongoing burden of disease</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hlinkClick xmlns:r="http://schemas.openxmlformats.org/officeDocument/2006/relationships" r:id=""/>
            </a:rPr>
            <a:t>HPS ESMI</a:t>
          </a:r>
          <a:r>
            <a:rPr lang="en-GB" sz="1100">
              <a:solidFill>
                <a:schemeClr val="tx1"/>
              </a:solidFill>
              <a:latin typeface="+mn-lt"/>
              <a:ea typeface="+mn-ea"/>
              <a:cs typeface="+mn-cs"/>
            </a:rPr>
            <a:t> figures from 2000-2012 have been used to obtain the average yearly number of cases of TB meningitis in Scotland over the past ten years.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TB MENINGITIS – NORTHERN IRELAND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These figures have been sourced from the </a:t>
          </a:r>
          <a:r>
            <a:rPr lang="en-GB" sz="1100">
              <a:solidFill>
                <a:schemeClr val="tx1"/>
              </a:solidFill>
              <a:latin typeface="+mn-lt"/>
              <a:ea typeface="+mn-ea"/>
              <a:cs typeface="+mn-cs"/>
              <a:hlinkClick xmlns:r="http://schemas.openxmlformats.org/officeDocument/2006/relationships" r:id=""/>
            </a:rPr>
            <a:t>Public Health Agency (PHA), enhanced TB surveillance</a:t>
          </a:r>
          <a:r>
            <a:rPr lang="en-GB" sz="1100">
              <a:solidFill>
                <a:schemeClr val="tx1"/>
              </a:solidFill>
              <a:latin typeface="+mn-lt"/>
              <a:ea typeface="+mn-ea"/>
              <a:cs typeface="+mn-cs"/>
            </a:rPr>
            <a:t>. As PHA data are produced per calendar year, we have used data from 2012.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Ongoing burden of disease</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hlinkClick xmlns:r="http://schemas.openxmlformats.org/officeDocument/2006/relationships" r:id=""/>
            </a:rPr>
            <a:t>PHA enhanced TB surveillance</a:t>
          </a:r>
          <a:r>
            <a:rPr lang="en-GB" sz="1100">
              <a:solidFill>
                <a:schemeClr val="tx1"/>
              </a:solidFill>
              <a:latin typeface="+mn-lt"/>
              <a:ea typeface="+mn-ea"/>
              <a:cs typeface="+mn-cs"/>
            </a:rPr>
            <a:t> figures from 2006-2012 have been used to obtain the average yearly number of cases of TB meningitis in Northern Ireland, because we could only source data from 2006 onwards.</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OTHER CAUSES OF BACTERIAL MENINGITIS – ENGLAND AND WALES</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We have used </a:t>
          </a:r>
          <a:r>
            <a:rPr lang="en-GB" sz="1100">
              <a:solidFill>
                <a:schemeClr val="tx1"/>
              </a:solidFill>
              <a:latin typeface="+mn-lt"/>
              <a:ea typeface="+mn-ea"/>
              <a:cs typeface="+mn-cs"/>
              <a:hlinkClick xmlns:r="http://schemas.openxmlformats.org/officeDocument/2006/relationships" r:id=""/>
            </a:rPr>
            <a:t>Notification of Infectious Disease (NOIDs) data</a:t>
          </a:r>
          <a:r>
            <a:rPr lang="en-GB" sz="1100">
              <a:solidFill>
                <a:schemeClr val="tx1"/>
              </a:solidFill>
              <a:latin typeface="+mn-lt"/>
              <a:ea typeface="+mn-ea"/>
              <a:cs typeface="+mn-cs"/>
            </a:rPr>
            <a:t> (other specified and un-specified) for annual cases of other types of bacterial meningitis. As NOIDs data are produced per calendar year we have used data from 2012.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hlinkClick xmlns:r="http://schemas.openxmlformats.org/officeDocument/2006/relationships" r:id=""/>
            </a:rPr>
            <a:t>NOIDs data</a:t>
          </a:r>
          <a:r>
            <a:rPr lang="en-GB" sz="1100">
              <a:solidFill>
                <a:schemeClr val="tx1"/>
              </a:solidFill>
              <a:latin typeface="+mn-lt"/>
              <a:ea typeface="+mn-ea"/>
              <a:cs typeface="+mn-cs"/>
            </a:rPr>
            <a:t> from the years 2001 – 2012 were used to calculate the average annual number of cases of meningitis caused by other bacteria.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OTHER CAUSES OF BACTERIAL MENINGITIS – SCOTLAND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Figures have been sourced from Health Protection Scotland (HPS)* and include all cases of meningitis where bacteria other than meningococcal, pneumococcal, Haemophilus influenzae or TB were found in cerebrospinal fluid (CSF) in 2012.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Figures have been sourced from Health Protection Scotland (HPS) and include all cases of meningitis where bacteria other than meningococcal, pneumococcal, Haemophilus influenzae or TB were found in cerebrospinal fluid (CSF) from 2001 to 2012.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OTHER CAUSES OF BACTERIAL MENINGITIS – NORTHERN IRELAND</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2011/12</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These figures have been sourced from the </a:t>
          </a:r>
          <a:r>
            <a:rPr lang="en-GB" sz="1100">
              <a:solidFill>
                <a:schemeClr val="tx1"/>
              </a:solidFill>
              <a:latin typeface="+mn-lt"/>
              <a:ea typeface="+mn-ea"/>
              <a:cs typeface="+mn-cs"/>
              <a:hlinkClick xmlns:r="http://schemas.openxmlformats.org/officeDocument/2006/relationships" r:id=""/>
            </a:rPr>
            <a:t>Public Health Agency (PHA)</a:t>
          </a:r>
          <a:r>
            <a:rPr lang="en-GB" sz="1100">
              <a:solidFill>
                <a:schemeClr val="tx1"/>
              </a:solidFill>
              <a:latin typeface="+mn-lt"/>
              <a:ea typeface="+mn-ea"/>
              <a:cs typeface="+mn-cs"/>
            </a:rPr>
            <a:t>. Figures represent laboratory confirmation of organisms from blood or cerobro-spinal fluid plus a clinical diagnosis of meningitis and are likely to underestimate true incidence of disease. As PHA data is produced per calendar year we have used data from 2012.</a:t>
          </a:r>
          <a:br>
            <a:rPr lang="en-GB" sz="1100">
              <a:solidFill>
                <a:schemeClr val="tx1"/>
              </a:solidFill>
              <a:latin typeface="+mn-lt"/>
              <a:ea typeface="+mn-ea"/>
              <a:cs typeface="+mn-cs"/>
            </a:rPr>
          </a:br>
          <a:r>
            <a:rPr lang="en-GB" sz="1100" b="1">
              <a:solidFill>
                <a:schemeClr val="tx1"/>
              </a:solidFill>
              <a:latin typeface="+mn-lt"/>
              <a:ea typeface="+mn-ea"/>
              <a:cs typeface="+mn-cs"/>
            </a:rPr>
            <a:t/>
          </a:r>
          <a:br>
            <a:rPr lang="en-GB" sz="1100" b="1">
              <a:solidFill>
                <a:schemeClr val="tx1"/>
              </a:solidFill>
              <a:latin typeface="+mn-lt"/>
              <a:ea typeface="+mn-ea"/>
              <a:cs typeface="+mn-cs"/>
            </a:rPr>
          </a:br>
          <a:r>
            <a:rPr lang="en-GB" sz="1100" b="1">
              <a:solidFill>
                <a:schemeClr val="tx1"/>
              </a:solidFill>
              <a:latin typeface="+mn-lt"/>
              <a:ea typeface="+mn-ea"/>
              <a:cs typeface="+mn-cs"/>
            </a:rPr>
            <a:t>Average annual cases representing the current burden of uncontrolled disease </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Figures have been sourced from </a:t>
          </a:r>
          <a:r>
            <a:rPr lang="en-GB" sz="1100">
              <a:solidFill>
                <a:schemeClr val="tx1"/>
              </a:solidFill>
              <a:latin typeface="+mn-lt"/>
              <a:ea typeface="+mn-ea"/>
              <a:cs typeface="+mn-cs"/>
              <a:hlinkClick xmlns:r="http://schemas.openxmlformats.org/officeDocument/2006/relationships" r:id=""/>
            </a:rPr>
            <a:t>Public Health Agency (PHA</a:t>
          </a:r>
          <a:r>
            <a:rPr lang="en-GB" sz="1100">
              <a:solidFill>
                <a:schemeClr val="tx1"/>
              </a:solidFill>
              <a:latin typeface="+mn-lt"/>
              <a:ea typeface="+mn-ea"/>
              <a:cs typeface="+mn-cs"/>
            </a:rPr>
            <a:t>). Data represents the average annual number of cases of meningitis due to bacteria other than meningococcal, pneumococcal, Hib or TB over the period 2006 - 2012.</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b="1">
              <a:solidFill>
                <a:schemeClr val="tx1"/>
              </a:solidFill>
              <a:latin typeface="+mn-lt"/>
              <a:ea typeface="+mn-ea"/>
              <a:cs typeface="+mn-cs"/>
            </a:rPr>
            <a:t>NEONATAL GROUP B SEPTICAEMIA – UK</a:t>
          </a: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figure has been calculated from data sourced in Heath et al. Group B Streptococcal disease in UK and Irish infants younger than 90 days. The Lancet 2004;363:292-294.</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This paper breaks down cases of invasive GBS disease by country. Only UK data was used to calculate this figure. So that GBS meningitis (which would have been included in “other causes of bacterial meningitis”) is not double counted, we have used the proportions of cases of septicaemia as quoted in the paper to calculate cases of septicaemia only.</a:t>
          </a:r>
          <a:br>
            <a:rPr lang="en-GB" sz="1100">
              <a:solidFill>
                <a:schemeClr val="tx1"/>
              </a:solidFill>
              <a:latin typeface="+mn-lt"/>
              <a:ea typeface="+mn-ea"/>
              <a:cs typeface="+mn-cs"/>
            </a:rPr>
          </a:br>
          <a:r>
            <a:rPr lang="en-GB" sz="1100">
              <a:solidFill>
                <a:schemeClr val="tx1"/>
              </a:solidFill>
              <a:latin typeface="+mn-lt"/>
              <a:ea typeface="+mn-ea"/>
              <a:cs typeface="+mn-cs"/>
            </a:rPr>
            <a:t/>
          </a:r>
          <a:br>
            <a:rPr lang="en-GB" sz="1100">
              <a:solidFill>
                <a:schemeClr val="tx1"/>
              </a:solidFill>
              <a:latin typeface="+mn-lt"/>
              <a:ea typeface="+mn-ea"/>
              <a:cs typeface="+mn-cs"/>
            </a:rPr>
          </a:br>
          <a:r>
            <a:rPr lang="en-GB" sz="1100">
              <a:solidFill>
                <a:schemeClr val="tx1"/>
              </a:solidFill>
              <a:latin typeface="+mn-lt"/>
              <a:ea typeface="+mn-ea"/>
              <a:cs typeface="+mn-cs"/>
            </a:rPr>
            <a:t>The same data has been used to represent total number of cases in 2009/10 as well as the incidence of uncontrolled disease in general due to lack of more recent published data for the UK.</a:t>
          </a:r>
          <a:br>
            <a:rPr lang="en-GB" sz="1100">
              <a:solidFill>
                <a:schemeClr val="tx1"/>
              </a:solidFill>
              <a:latin typeface="+mn-lt"/>
              <a:ea typeface="+mn-ea"/>
              <a:cs typeface="+mn-cs"/>
            </a:rPr>
          </a:br>
          <a:endParaRPr lang="en-GB" sz="1100">
            <a:solidFill>
              <a:schemeClr val="tx1"/>
            </a:solidFill>
            <a:latin typeface="+mn-lt"/>
            <a:ea typeface="+mn-ea"/>
            <a:cs typeface="+mn-cs"/>
          </a:endParaRPr>
        </a:p>
        <a:p>
          <a:r>
            <a:rPr lang="en-GB" sz="1100">
              <a:solidFill>
                <a:schemeClr val="tx1"/>
              </a:solidFill>
              <a:latin typeface="+mn-lt"/>
              <a:ea typeface="+mn-ea"/>
              <a:cs typeface="+mn-cs"/>
            </a:rPr>
            <a:t> </a:t>
          </a:r>
        </a:p>
        <a:p>
          <a:endParaRPr lang="en-GB"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B31:J49"/>
  <sheetViews>
    <sheetView tabSelected="1" view="pageLayout" topLeftCell="A10" zoomScaleNormal="100" workbookViewId="0">
      <selection activeCell="B55" sqref="B55:D61"/>
    </sheetView>
  </sheetViews>
  <sheetFormatPr defaultRowHeight="15"/>
  <cols>
    <col min="2" max="2" width="16" customWidth="1"/>
    <col min="3" max="3" width="10" customWidth="1"/>
    <col min="5" max="5" width="13.7109375" customWidth="1"/>
    <col min="6" max="6" width="12.5703125" customWidth="1"/>
    <col min="7" max="7" width="11.28515625" customWidth="1"/>
    <col min="8" max="8" width="10.5703125" customWidth="1"/>
    <col min="9" max="9" width="14.140625" customWidth="1"/>
  </cols>
  <sheetData>
    <row r="31" spans="2:10">
      <c r="B31" s="20" t="s">
        <v>102</v>
      </c>
    </row>
    <row r="32" spans="2:10" ht="38.25" customHeight="1">
      <c r="B32" s="126"/>
      <c r="C32" s="120" t="s">
        <v>31</v>
      </c>
      <c r="D32" s="120"/>
      <c r="E32" s="122" t="s">
        <v>32</v>
      </c>
      <c r="F32" s="128" t="s">
        <v>57</v>
      </c>
      <c r="G32" s="122" t="s">
        <v>33</v>
      </c>
      <c r="H32" s="122" t="s">
        <v>34</v>
      </c>
      <c r="I32" s="122" t="s">
        <v>56</v>
      </c>
      <c r="J32" s="124" t="s">
        <v>35</v>
      </c>
    </row>
    <row r="33" spans="2:10">
      <c r="B33" s="127"/>
      <c r="C33" s="70" t="s">
        <v>36</v>
      </c>
      <c r="D33" s="70" t="s">
        <v>3</v>
      </c>
      <c r="E33" s="123"/>
      <c r="F33" s="129"/>
      <c r="G33" s="123"/>
      <c r="H33" s="123"/>
      <c r="I33" s="123"/>
      <c r="J33" s="125"/>
    </row>
    <row r="34" spans="2:10">
      <c r="B34" s="79" t="s">
        <v>64</v>
      </c>
      <c r="C34" s="71">
        <f>'UK MD'!F44</f>
        <v>1178.1000000000001</v>
      </c>
      <c r="D34" s="71">
        <f>'UK MD'!G44</f>
        <v>990.8950684931508</v>
      </c>
      <c r="E34" s="109">
        <f>'UK non-MD'!H37</f>
        <v>297.13864948608523</v>
      </c>
      <c r="F34" s="109">
        <f>'UK non-MD'!C54</f>
        <v>7</v>
      </c>
      <c r="G34" s="109">
        <f>'UK non-MD'!D51</f>
        <v>192</v>
      </c>
      <c r="H34" s="109">
        <f>'UK non-MD'!E54</f>
        <v>71</v>
      </c>
      <c r="I34" s="71"/>
      <c r="J34" s="111">
        <f>SUM(E34:I34)+C34 +C35</f>
        <v>1789.4386494860853</v>
      </c>
    </row>
    <row r="35" spans="2:10">
      <c r="B35" s="79" t="s">
        <v>63</v>
      </c>
      <c r="C35" s="71">
        <f>'UK MD'!$F$45</f>
        <v>44.2</v>
      </c>
      <c r="D35" s="71">
        <f>'UK MD'!$G$45</f>
        <v>33.800000000000004</v>
      </c>
      <c r="E35" s="110"/>
      <c r="F35" s="110"/>
      <c r="G35" s="110"/>
      <c r="H35" s="110"/>
      <c r="I35" s="71"/>
      <c r="J35" s="112"/>
    </row>
    <row r="36" spans="2:10">
      <c r="B36" s="88" t="s">
        <v>80</v>
      </c>
      <c r="C36" s="71">
        <f>'UK MD'!F47</f>
        <v>85</v>
      </c>
      <c r="D36" s="71">
        <f>'UK MD'!G47</f>
        <v>62.115384615384613</v>
      </c>
      <c r="E36" s="71">
        <f>'UK non-MD'!C83</f>
        <v>37</v>
      </c>
      <c r="F36" s="71">
        <f>'UK non-MD'!D83</f>
        <v>5</v>
      </c>
      <c r="G36" s="71">
        <f>'UK non-MD'!E83</f>
        <v>5</v>
      </c>
      <c r="H36" s="71">
        <f>'UK non-MD'!F83</f>
        <v>106</v>
      </c>
      <c r="I36" s="71"/>
      <c r="J36" s="72">
        <f t="shared" ref="J36:J37" si="0">SUM(E36:I36)+C36</f>
        <v>238</v>
      </c>
    </row>
    <row r="37" spans="2:10" ht="15.75" thickBot="1">
      <c r="B37" s="70" t="s">
        <v>37</v>
      </c>
      <c r="C37" s="71">
        <f>'UK MD'!F46</f>
        <v>48</v>
      </c>
      <c r="D37" s="71">
        <f>'UK MD'!G46</f>
        <v>39.771428571428572</v>
      </c>
      <c r="E37" s="71">
        <f>'UK non-MD'!C66</f>
        <v>6</v>
      </c>
      <c r="F37" s="71">
        <f>'UK non-MD'!D66</f>
        <v>0</v>
      </c>
      <c r="G37" s="71">
        <f>'UK non-MD'!E66</f>
        <v>0</v>
      </c>
      <c r="H37" s="71">
        <f>'UK non-MD'!F66</f>
        <v>2</v>
      </c>
      <c r="I37" s="71"/>
      <c r="J37" s="76">
        <f t="shared" si="0"/>
        <v>56</v>
      </c>
    </row>
    <row r="38" spans="2:10" s="16" customFormat="1" ht="15.75" thickBot="1">
      <c r="B38" s="70" t="s">
        <v>38</v>
      </c>
      <c r="C38" s="72">
        <f>SUM(C34:C37)</f>
        <v>1355.3000000000002</v>
      </c>
      <c r="D38" s="72">
        <f t="shared" ref="D38:H38" si="1">SUM(D34:D37)</f>
        <v>1126.5818816799638</v>
      </c>
      <c r="E38" s="72">
        <f t="shared" si="1"/>
        <v>340.13864948608523</v>
      </c>
      <c r="F38" s="72">
        <f t="shared" si="1"/>
        <v>12</v>
      </c>
      <c r="G38" s="72">
        <f t="shared" si="1"/>
        <v>197</v>
      </c>
      <c r="H38" s="72">
        <f t="shared" si="1"/>
        <v>179</v>
      </c>
      <c r="I38" s="75">
        <v>274</v>
      </c>
      <c r="J38" s="77">
        <f>SUM(E38:I38)+C38</f>
        <v>2357.4386494860855</v>
      </c>
    </row>
    <row r="39" spans="2:10" s="16" customFormat="1">
      <c r="B39" s="90" t="s">
        <v>101</v>
      </c>
      <c r="C39" s="89"/>
      <c r="D39" s="89"/>
      <c r="E39" s="89"/>
      <c r="F39" s="89"/>
      <c r="G39" s="89"/>
      <c r="H39" s="89"/>
      <c r="I39" s="89"/>
      <c r="J39" s="89"/>
    </row>
    <row r="41" spans="2:10">
      <c r="B41" s="20" t="s">
        <v>60</v>
      </c>
      <c r="C41" s="73"/>
      <c r="D41" s="73"/>
      <c r="E41" s="73"/>
      <c r="F41" s="73"/>
      <c r="G41" s="73"/>
      <c r="H41" s="73"/>
      <c r="I41" s="73"/>
      <c r="J41" s="73"/>
    </row>
    <row r="42" spans="2:10" ht="35.25" customHeight="1">
      <c r="B42" s="119"/>
      <c r="C42" s="120" t="s">
        <v>31</v>
      </c>
      <c r="D42" s="120"/>
      <c r="E42" s="117" t="s">
        <v>32</v>
      </c>
      <c r="F42" s="121" t="s">
        <v>57</v>
      </c>
      <c r="G42" s="117" t="s">
        <v>33</v>
      </c>
      <c r="H42" s="117" t="s">
        <v>34</v>
      </c>
      <c r="I42" s="117" t="s">
        <v>81</v>
      </c>
      <c r="J42" s="118" t="s">
        <v>35</v>
      </c>
    </row>
    <row r="43" spans="2:10">
      <c r="B43" s="119"/>
      <c r="C43" s="70" t="s">
        <v>36</v>
      </c>
      <c r="D43" s="70" t="s">
        <v>3</v>
      </c>
      <c r="E43" s="117"/>
      <c r="F43" s="121"/>
      <c r="G43" s="117"/>
      <c r="H43" s="117"/>
      <c r="I43" s="117"/>
      <c r="J43" s="118"/>
    </row>
    <row r="44" spans="2:10">
      <c r="B44" s="79" t="s">
        <v>64</v>
      </c>
      <c r="C44" s="100">
        <f>'UK MD'!J44</f>
        <v>1658.6355050865664</v>
      </c>
      <c r="D44" s="100">
        <f>'UK MD'!D44</f>
        <v>1493.7649052535153</v>
      </c>
      <c r="E44" s="113">
        <f>'UK non-MD'!H38</f>
        <v>358.04633232240383</v>
      </c>
      <c r="F44" s="109">
        <f>'UK non-MD'!C56</f>
        <v>18.5</v>
      </c>
      <c r="G44" s="113">
        <f>'UK non-MD'!D56</f>
        <v>198.77777777777777</v>
      </c>
      <c r="H44" s="113">
        <f>'UK non-MD'!E56</f>
        <v>274</v>
      </c>
      <c r="I44" s="100"/>
      <c r="J44" s="115">
        <f>SUM(E44:I44)+C44+C45</f>
        <v>2579.4776886190912</v>
      </c>
    </row>
    <row r="45" spans="2:10">
      <c r="B45" s="79" t="s">
        <v>63</v>
      </c>
      <c r="C45" s="100">
        <f>'UK MD'!$J$45</f>
        <v>71.518073432343243</v>
      </c>
      <c r="D45" s="100">
        <f>'UK MD'!$D$45</f>
        <v>64.21617436743675</v>
      </c>
      <c r="E45" s="114"/>
      <c r="F45" s="110"/>
      <c r="G45" s="114"/>
      <c r="H45" s="114"/>
      <c r="I45" s="100"/>
      <c r="J45" s="116"/>
    </row>
    <row r="46" spans="2:10">
      <c r="B46" s="88" t="s">
        <v>80</v>
      </c>
      <c r="C46" s="71">
        <f>'UK MD'!C47</f>
        <v>147.58333333333334</v>
      </c>
      <c r="D46" s="71">
        <f>'UK MD'!D47</f>
        <v>118.44</v>
      </c>
      <c r="E46" s="100">
        <f>'UK non-MD'!C85</f>
        <v>25.833333333333332</v>
      </c>
      <c r="F46" s="100">
        <f>'UK non-MD'!D85</f>
        <v>3.8333333333333335</v>
      </c>
      <c r="G46" s="100">
        <f>'UK non-MD'!E85</f>
        <v>7.083333333333333</v>
      </c>
      <c r="H46" s="100">
        <f>'UK non-MD'!F85</f>
        <v>51.166666666666664</v>
      </c>
      <c r="I46" s="100"/>
      <c r="J46" s="101">
        <f t="shared" ref="J46:J47" si="2">SUM(E46:I46)+C46</f>
        <v>235.5</v>
      </c>
    </row>
    <row r="47" spans="2:10" ht="15.75" thickBot="1">
      <c r="B47" s="70" t="s">
        <v>37</v>
      </c>
      <c r="C47" s="100">
        <f>'UK MD'!C46</f>
        <v>97.916666666666671</v>
      </c>
      <c r="D47" s="100">
        <f>'UK MD'!D46</f>
        <v>84.370279411481661</v>
      </c>
      <c r="E47" s="71">
        <f>'UK non-MD'!C67</f>
        <v>2.8333333333333335</v>
      </c>
      <c r="F47" s="71">
        <f>'UK non-MD'!D67</f>
        <v>0.16666666666666666</v>
      </c>
      <c r="G47" s="71">
        <f>'UK non-MD'!E67</f>
        <v>0.7142857142857143</v>
      </c>
      <c r="H47" s="71">
        <f>'UK non-MD'!F67</f>
        <v>32.571428571428569</v>
      </c>
      <c r="I47" s="71"/>
      <c r="J47" s="106">
        <f t="shared" si="2"/>
        <v>134.20238095238096</v>
      </c>
    </row>
    <row r="48" spans="2:10" s="16" customFormat="1" ht="15.75" thickBot="1">
      <c r="B48" s="70" t="s">
        <v>38</v>
      </c>
      <c r="C48" s="101">
        <f>SUM(C44:C47)</f>
        <v>1975.6535785189096</v>
      </c>
      <c r="D48" s="101">
        <f t="shared" ref="D48:H48" si="3">SUM(D44:D47)</f>
        <v>1760.7913590324338</v>
      </c>
      <c r="E48" s="101">
        <f t="shared" si="3"/>
        <v>386.71299898907046</v>
      </c>
      <c r="F48" s="101">
        <f t="shared" si="3"/>
        <v>22.5</v>
      </c>
      <c r="G48" s="101">
        <f t="shared" si="3"/>
        <v>206.57539682539684</v>
      </c>
      <c r="H48" s="101">
        <f t="shared" si="3"/>
        <v>357.73809523809524</v>
      </c>
      <c r="I48" s="104">
        <v>274</v>
      </c>
      <c r="J48" s="105">
        <f>SUM(E48:I48)+C48</f>
        <v>3223.1800695714719</v>
      </c>
    </row>
    <row r="49" spans="2:2">
      <c r="B49" s="90" t="s">
        <v>103</v>
      </c>
    </row>
  </sheetData>
  <mergeCells count="26">
    <mergeCell ref="I32:I33"/>
    <mergeCell ref="J32:J33"/>
    <mergeCell ref="B32:B33"/>
    <mergeCell ref="C32:D32"/>
    <mergeCell ref="E32:E33"/>
    <mergeCell ref="F32:F33"/>
    <mergeCell ref="G32:G33"/>
    <mergeCell ref="H32:H33"/>
    <mergeCell ref="I42:I43"/>
    <mergeCell ref="J42:J43"/>
    <mergeCell ref="B42:B43"/>
    <mergeCell ref="C42:D42"/>
    <mergeCell ref="E42:E43"/>
    <mergeCell ref="F42:F43"/>
    <mergeCell ref="G42:G43"/>
    <mergeCell ref="H42:H43"/>
    <mergeCell ref="E44:E45"/>
    <mergeCell ref="F44:F45"/>
    <mergeCell ref="G44:G45"/>
    <mergeCell ref="H44:H45"/>
    <mergeCell ref="J44:J45"/>
    <mergeCell ref="E34:E35"/>
    <mergeCell ref="F34:F35"/>
    <mergeCell ref="G34:G35"/>
    <mergeCell ref="H34:H35"/>
    <mergeCell ref="J34:J35"/>
  </mergeCells>
  <pageMargins left="0.7" right="0.7" top="0.75" bottom="0.75" header="0.3" footer="0.3"/>
  <pageSetup paperSize="9" scale="65" orientation="portrait" r:id="rId1"/>
  <drawing r:id="rId2"/>
</worksheet>
</file>

<file path=xl/worksheets/sheet2.xml><?xml version="1.0" encoding="utf-8"?>
<worksheet xmlns="http://schemas.openxmlformats.org/spreadsheetml/2006/main" xmlns:r="http://schemas.openxmlformats.org/officeDocument/2006/relationships">
  <dimension ref="B41:N130"/>
  <sheetViews>
    <sheetView topLeftCell="A76" workbookViewId="0">
      <selection activeCell="C102" sqref="C102:K102"/>
    </sheetView>
  </sheetViews>
  <sheetFormatPr defaultRowHeight="15"/>
  <cols>
    <col min="1" max="1" width="6.140625" customWidth="1"/>
    <col min="2" max="2" width="11.5703125" customWidth="1"/>
    <col min="3" max="3" width="10.85546875" customWidth="1"/>
    <col min="4" max="4" width="11.42578125" customWidth="1"/>
    <col min="5" max="5" width="11" customWidth="1"/>
    <col min="6" max="7" width="11.85546875" customWidth="1"/>
    <col min="8" max="8" width="10.140625" customWidth="1"/>
    <col min="9" max="9" width="13.42578125" customWidth="1"/>
    <col min="10" max="10" width="18.28515625" customWidth="1"/>
    <col min="11" max="11" width="11.7109375" customWidth="1"/>
  </cols>
  <sheetData>
    <row r="41" spans="2:11">
      <c r="B41" s="20" t="s">
        <v>91</v>
      </c>
    </row>
    <row r="42" spans="2:11" s="16" customFormat="1" ht="15" customHeight="1">
      <c r="B42" s="43"/>
      <c r="C42" s="134" t="s">
        <v>90</v>
      </c>
      <c r="D42" s="134"/>
      <c r="E42" s="134"/>
      <c r="F42" s="135" t="s">
        <v>92</v>
      </c>
      <c r="G42" s="136"/>
      <c r="H42" s="137"/>
      <c r="I42" s="130" t="s">
        <v>93</v>
      </c>
      <c r="J42" s="132" t="s">
        <v>89</v>
      </c>
    </row>
    <row r="43" spans="2:11" s="16" customFormat="1" ht="34.5" customHeight="1">
      <c r="B43" s="43"/>
      <c r="C43" s="43" t="s">
        <v>29</v>
      </c>
      <c r="D43" s="43" t="s">
        <v>3</v>
      </c>
      <c r="E43" s="43" t="s">
        <v>4</v>
      </c>
      <c r="F43" s="43" t="s">
        <v>29</v>
      </c>
      <c r="G43" s="43" t="s">
        <v>3</v>
      </c>
      <c r="H43" s="43" t="s">
        <v>4</v>
      </c>
      <c r="I43" s="131"/>
      <c r="J43" s="132"/>
    </row>
    <row r="44" spans="2:11">
      <c r="B44" s="43" t="s">
        <v>1</v>
      </c>
      <c r="C44" s="30">
        <f>D66</f>
        <v>1721.8499999999997</v>
      </c>
      <c r="D44" s="30">
        <f>L66</f>
        <v>1493.7649052535153</v>
      </c>
      <c r="E44" s="30">
        <f>M66</f>
        <v>110.0157277901457</v>
      </c>
      <c r="F44" s="30">
        <f>D65</f>
        <v>1178.1000000000001</v>
      </c>
      <c r="G44" s="30">
        <f>L65</f>
        <v>990.8950684931508</v>
      </c>
      <c r="H44" s="30">
        <f>M65</f>
        <v>46.801232876712341</v>
      </c>
      <c r="I44" s="82">
        <f>E44-H44</f>
        <v>63.214494913433363</v>
      </c>
      <c r="J44" s="30">
        <f>C44-I44</f>
        <v>1658.6355050865664</v>
      </c>
      <c r="K44" s="74"/>
    </row>
    <row r="45" spans="2:11">
      <c r="B45" s="43" t="s">
        <v>7</v>
      </c>
      <c r="C45" s="30">
        <f>C82*1.3</f>
        <v>77.025000000000006</v>
      </c>
      <c r="D45" s="30">
        <f>J82</f>
        <v>64.21617436743675</v>
      </c>
      <c r="E45" s="30">
        <f>M82</f>
        <v>5.5069265676567651</v>
      </c>
      <c r="F45" s="30">
        <f>C81*1.3</f>
        <v>44.2</v>
      </c>
      <c r="G45" s="30">
        <f>J81</f>
        <v>33.800000000000004</v>
      </c>
      <c r="H45" s="30">
        <f>M81</f>
        <v>0</v>
      </c>
      <c r="I45" s="82">
        <f>E45-H45</f>
        <v>5.5069265676567651</v>
      </c>
      <c r="J45" s="30">
        <f>C45-I45</f>
        <v>71.518073432343243</v>
      </c>
    </row>
    <row r="46" spans="2:11">
      <c r="B46" s="43" t="s">
        <v>27</v>
      </c>
      <c r="C46" s="30">
        <f>C98</f>
        <v>97.916666666666671</v>
      </c>
      <c r="D46" s="30">
        <f>I98</f>
        <v>84.370279411481661</v>
      </c>
      <c r="E46" s="30">
        <f>K98</f>
        <v>3.9914002498271004</v>
      </c>
      <c r="F46" s="30">
        <f>C97</f>
        <v>48</v>
      </c>
      <c r="G46" s="30">
        <f>I97</f>
        <v>39.771428571428572</v>
      </c>
      <c r="H46" s="30">
        <f>K97</f>
        <v>2.7428571428571429</v>
      </c>
      <c r="I46" s="82">
        <f>E46-H46</f>
        <v>1.2485431069699575</v>
      </c>
      <c r="J46" s="30">
        <f>C46-I46</f>
        <v>96.66812355969671</v>
      </c>
    </row>
    <row r="47" spans="2:11">
      <c r="B47" s="43" t="s">
        <v>28</v>
      </c>
      <c r="C47" s="30">
        <f>C115</f>
        <v>147.58333333333334</v>
      </c>
      <c r="D47" s="30">
        <f>I115</f>
        <v>118.44</v>
      </c>
      <c r="E47" s="30">
        <f>K115</f>
        <v>7.8898945410117376</v>
      </c>
      <c r="F47" s="30">
        <f>C114</f>
        <v>85</v>
      </c>
      <c r="G47" s="30">
        <f>I114</f>
        <v>62.115384615384613</v>
      </c>
      <c r="H47" s="30">
        <f>K114</f>
        <v>3.2692307692307692</v>
      </c>
      <c r="I47" s="82">
        <f>E47-H47</f>
        <v>4.6206637717809684</v>
      </c>
      <c r="J47" s="30">
        <f>C47-I47</f>
        <v>142.96266956155239</v>
      </c>
    </row>
    <row r="48" spans="2:11" s="42" customFormat="1" ht="14.25" customHeight="1">
      <c r="B48" s="40" t="s">
        <v>30</v>
      </c>
      <c r="C48" s="41">
        <f>SUM(C44:C47)</f>
        <v>2044.3749999999998</v>
      </c>
      <c r="D48" s="41">
        <f t="shared" ref="D48:H48" si="0">SUM(D44:D47)</f>
        <v>1760.7913590324338</v>
      </c>
      <c r="E48" s="41">
        <f t="shared" si="0"/>
        <v>127.4039491486413</v>
      </c>
      <c r="F48" s="41">
        <f t="shared" si="0"/>
        <v>1355.3000000000002</v>
      </c>
      <c r="G48" s="41">
        <f t="shared" si="0"/>
        <v>1126.5818816799638</v>
      </c>
      <c r="H48" s="41">
        <f t="shared" si="0"/>
        <v>52.813320788800247</v>
      </c>
      <c r="I48" s="83">
        <f>SUM(I44:I47)</f>
        <v>74.590628359841062</v>
      </c>
      <c r="J48" s="41">
        <f>SUM(J44:J47)</f>
        <v>1969.784371640159</v>
      </c>
    </row>
    <row r="49" spans="2:14" ht="14.25" customHeight="1"/>
    <row r="50" spans="2:14" ht="14.25" customHeight="1"/>
    <row r="51" spans="2:14" ht="14.25" customHeight="1">
      <c r="B51" s="20" t="s">
        <v>82</v>
      </c>
    </row>
    <row r="52" spans="2:14" s="2" customFormat="1" ht="18" customHeight="1">
      <c r="B52" s="34"/>
      <c r="C52" s="19"/>
      <c r="D52" s="35"/>
      <c r="E52" s="133" t="s">
        <v>10</v>
      </c>
      <c r="F52" s="133"/>
      <c r="G52" s="133"/>
      <c r="H52" s="133"/>
      <c r="I52" s="133"/>
      <c r="J52" s="36"/>
    </row>
    <row r="53" spans="2:14" ht="72">
      <c r="B53" s="1" t="s">
        <v>0</v>
      </c>
      <c r="C53" s="14" t="s">
        <v>5</v>
      </c>
      <c r="D53" s="14" t="s">
        <v>6</v>
      </c>
      <c r="E53" s="3" t="s">
        <v>2</v>
      </c>
      <c r="F53" s="22" t="s">
        <v>85</v>
      </c>
      <c r="G53" s="18" t="s">
        <v>84</v>
      </c>
      <c r="H53" s="4" t="s">
        <v>3</v>
      </c>
      <c r="I53" s="4" t="s">
        <v>4</v>
      </c>
      <c r="J53" s="22" t="s">
        <v>86</v>
      </c>
      <c r="K53" s="22" t="s">
        <v>87</v>
      </c>
      <c r="L53" s="22" t="s">
        <v>21</v>
      </c>
      <c r="M53" s="22" t="s">
        <v>25</v>
      </c>
      <c r="N53" s="17"/>
    </row>
    <row r="54" spans="2:14">
      <c r="B54" s="27" t="s">
        <v>11</v>
      </c>
      <c r="C54" s="5">
        <v>3225</v>
      </c>
      <c r="D54" s="5">
        <f>C54*0.9</f>
        <v>2902.5</v>
      </c>
      <c r="E54" s="6">
        <v>2342</v>
      </c>
      <c r="F54" s="6">
        <f>E54-G54</f>
        <v>2333</v>
      </c>
      <c r="G54" s="7">
        <v>9</v>
      </c>
      <c r="H54" s="7">
        <v>1688</v>
      </c>
      <c r="I54" s="7">
        <v>412</v>
      </c>
      <c r="J54" s="29">
        <f>H54/F54*100</f>
        <v>72.353193313330479</v>
      </c>
      <c r="K54" s="30">
        <f>I54/F54*100</f>
        <v>17.659665666523789</v>
      </c>
      <c r="L54" s="31">
        <f>D54*(J54/100)</f>
        <v>2100.0514359194171</v>
      </c>
      <c r="M54" s="31">
        <f>D54*K54/100</f>
        <v>512.57179597085303</v>
      </c>
    </row>
    <row r="55" spans="2:14">
      <c r="B55" s="28" t="s">
        <v>12</v>
      </c>
      <c r="C55" s="5">
        <v>2639</v>
      </c>
      <c r="D55" s="5">
        <f t="shared" ref="D55:D62" si="1">C55*0.9</f>
        <v>2375.1</v>
      </c>
      <c r="E55" s="6">
        <v>1854</v>
      </c>
      <c r="F55" s="6">
        <f t="shared" ref="F55:F65" si="2">E55-G55</f>
        <v>1851</v>
      </c>
      <c r="G55" s="7">
        <v>3</v>
      </c>
      <c r="H55" s="7">
        <v>1501</v>
      </c>
      <c r="I55" s="7">
        <v>210</v>
      </c>
      <c r="J55" s="29">
        <f t="shared" ref="J55:J62" si="3">H55/F55*100</f>
        <v>81.091301998919505</v>
      </c>
      <c r="K55" s="30">
        <f t="shared" ref="K55:K62" si="4">I55/F55*100</f>
        <v>11.345218800648297</v>
      </c>
      <c r="L55" s="31">
        <f t="shared" ref="L55:L62" si="5">D55*(J55/100)</f>
        <v>1925.9995137763372</v>
      </c>
      <c r="M55" s="31">
        <f t="shared" ref="M55:M62" si="6">D55*K55/100</f>
        <v>269.46029173419771</v>
      </c>
    </row>
    <row r="56" spans="2:14">
      <c r="B56" s="28" t="s">
        <v>13</v>
      </c>
      <c r="C56" s="5">
        <v>2133</v>
      </c>
      <c r="D56" s="5">
        <f t="shared" si="1"/>
        <v>1919.7</v>
      </c>
      <c r="E56" s="6">
        <v>1415</v>
      </c>
      <c r="F56" s="6">
        <f t="shared" si="2"/>
        <v>1413</v>
      </c>
      <c r="G56" s="7">
        <v>2</v>
      </c>
      <c r="H56" s="7">
        <v>1210</v>
      </c>
      <c r="I56" s="7">
        <v>121</v>
      </c>
      <c r="J56" s="29">
        <f t="shared" si="3"/>
        <v>85.633404104741686</v>
      </c>
      <c r="K56" s="30">
        <f t="shared" si="4"/>
        <v>8.5633404104741686</v>
      </c>
      <c r="L56" s="31">
        <f t="shared" si="5"/>
        <v>1643.9044585987263</v>
      </c>
      <c r="M56" s="31">
        <f t="shared" si="6"/>
        <v>164.39044585987264</v>
      </c>
    </row>
    <row r="57" spans="2:14">
      <c r="B57" s="28" t="s">
        <v>14</v>
      </c>
      <c r="C57" s="5">
        <v>2103</v>
      </c>
      <c r="D57" s="5">
        <f t="shared" si="1"/>
        <v>1892.7</v>
      </c>
      <c r="E57" s="6">
        <v>1438</v>
      </c>
      <c r="F57" s="6">
        <f t="shared" si="2"/>
        <v>1436</v>
      </c>
      <c r="G57" s="7">
        <v>2</v>
      </c>
      <c r="H57" s="7">
        <v>1297</v>
      </c>
      <c r="I57" s="7">
        <v>64</v>
      </c>
      <c r="J57" s="29">
        <f t="shared" si="3"/>
        <v>90.32033426183844</v>
      </c>
      <c r="K57" s="30">
        <f t="shared" si="4"/>
        <v>4.4568245125348191</v>
      </c>
      <c r="L57" s="31">
        <f t="shared" si="5"/>
        <v>1709.4929665738161</v>
      </c>
      <c r="M57" s="31">
        <f t="shared" si="6"/>
        <v>84.354317548746536</v>
      </c>
    </row>
    <row r="58" spans="2:14">
      <c r="B58" s="28" t="s">
        <v>15</v>
      </c>
      <c r="C58" s="9">
        <v>1874</v>
      </c>
      <c r="D58" s="5">
        <f t="shared" si="1"/>
        <v>1686.6000000000001</v>
      </c>
      <c r="E58" s="6">
        <v>1384</v>
      </c>
      <c r="F58" s="6">
        <f t="shared" si="2"/>
        <v>1384</v>
      </c>
      <c r="G58" s="7">
        <v>0</v>
      </c>
      <c r="H58" s="7">
        <v>1274</v>
      </c>
      <c r="I58" s="7">
        <v>42</v>
      </c>
      <c r="J58" s="29">
        <f t="shared" si="3"/>
        <v>92.052023121387279</v>
      </c>
      <c r="K58" s="30">
        <f t="shared" si="4"/>
        <v>3.0346820809248554</v>
      </c>
      <c r="L58" s="31">
        <f t="shared" si="5"/>
        <v>1552.5494219653181</v>
      </c>
      <c r="M58" s="31">
        <f t="shared" si="6"/>
        <v>51.182947976878616</v>
      </c>
    </row>
    <row r="59" spans="2:14">
      <c r="B59" s="28" t="s">
        <v>16</v>
      </c>
      <c r="C59" s="5">
        <v>1728</v>
      </c>
      <c r="D59" s="5">
        <f t="shared" si="1"/>
        <v>1555.2</v>
      </c>
      <c r="E59" s="6">
        <v>1226</v>
      </c>
      <c r="F59" s="6">
        <f t="shared" si="2"/>
        <v>1226</v>
      </c>
      <c r="G59" s="7">
        <v>0</v>
      </c>
      <c r="H59" s="7">
        <v>1156</v>
      </c>
      <c r="I59" s="7">
        <v>30</v>
      </c>
      <c r="J59" s="29">
        <f t="shared" si="3"/>
        <v>94.290375203915161</v>
      </c>
      <c r="K59" s="30">
        <f t="shared" si="4"/>
        <v>2.4469820554649266</v>
      </c>
      <c r="L59" s="31">
        <f t="shared" si="5"/>
        <v>1466.4039151712886</v>
      </c>
      <c r="M59" s="31">
        <f t="shared" si="6"/>
        <v>38.055464926590538</v>
      </c>
      <c r="N59" s="15"/>
    </row>
    <row r="60" spans="2:14">
      <c r="B60" s="28" t="s">
        <v>17</v>
      </c>
      <c r="C60" s="5">
        <v>1622</v>
      </c>
      <c r="D60" s="5">
        <f t="shared" si="1"/>
        <v>1459.8</v>
      </c>
      <c r="E60" s="6">
        <v>1091</v>
      </c>
      <c r="F60" s="6">
        <f t="shared" si="2"/>
        <v>1090</v>
      </c>
      <c r="G60" s="7">
        <v>1</v>
      </c>
      <c r="H60" s="7">
        <v>991</v>
      </c>
      <c r="I60" s="7">
        <v>29</v>
      </c>
      <c r="J60" s="29">
        <f t="shared" si="3"/>
        <v>90.917431192660544</v>
      </c>
      <c r="K60" s="30">
        <f t="shared" si="4"/>
        <v>2.6605504587155964</v>
      </c>
      <c r="L60" s="31">
        <f t="shared" si="5"/>
        <v>1327.2126605504586</v>
      </c>
      <c r="M60" s="31">
        <f t="shared" si="6"/>
        <v>38.838715596330275</v>
      </c>
    </row>
    <row r="61" spans="2:14">
      <c r="B61" s="28" t="s">
        <v>18</v>
      </c>
      <c r="C61" s="5">
        <v>1724</v>
      </c>
      <c r="D61" s="5">
        <f t="shared" si="1"/>
        <v>1551.6000000000001</v>
      </c>
      <c r="E61" s="6">
        <v>1190</v>
      </c>
      <c r="F61" s="6">
        <f t="shared" si="2"/>
        <v>1188</v>
      </c>
      <c r="G61" s="7">
        <v>2</v>
      </c>
      <c r="H61" s="7">
        <v>1082</v>
      </c>
      <c r="I61" s="7">
        <v>29</v>
      </c>
      <c r="J61" s="29">
        <f t="shared" si="3"/>
        <v>91.07744107744108</v>
      </c>
      <c r="K61" s="30">
        <f t="shared" si="4"/>
        <v>2.4410774410774412</v>
      </c>
      <c r="L61" s="31">
        <f t="shared" si="5"/>
        <v>1413.1575757575758</v>
      </c>
      <c r="M61" s="31">
        <f t="shared" si="6"/>
        <v>37.875757575757582</v>
      </c>
    </row>
    <row r="62" spans="2:14">
      <c r="B62" s="28" t="s">
        <v>19</v>
      </c>
      <c r="C62" s="10">
        <v>1710</v>
      </c>
      <c r="D62" s="5">
        <f t="shared" si="1"/>
        <v>1539</v>
      </c>
      <c r="E62" s="6">
        <v>1109</v>
      </c>
      <c r="F62" s="6">
        <f t="shared" si="2"/>
        <v>1108</v>
      </c>
      <c r="G62" s="7">
        <v>1</v>
      </c>
      <c r="H62" s="7">
        <v>1050</v>
      </c>
      <c r="I62" s="7">
        <v>13</v>
      </c>
      <c r="J62" s="29">
        <f t="shared" si="3"/>
        <v>94.765342960288805</v>
      </c>
      <c r="K62" s="30">
        <f t="shared" si="4"/>
        <v>1.1732851985559567</v>
      </c>
      <c r="L62" s="31">
        <f t="shared" si="5"/>
        <v>1458.4386281588447</v>
      </c>
      <c r="M62" s="31">
        <f t="shared" si="6"/>
        <v>18.056859205776174</v>
      </c>
    </row>
    <row r="63" spans="2:14">
      <c r="B63" s="28" t="s">
        <v>20</v>
      </c>
      <c r="C63" s="11">
        <v>1342</v>
      </c>
      <c r="D63" s="11">
        <f t="shared" ref="D63:D65" si="7">C63*0.9</f>
        <v>1207.8</v>
      </c>
      <c r="E63" s="6">
        <v>862</v>
      </c>
      <c r="F63" s="6">
        <f t="shared" si="2"/>
        <v>859</v>
      </c>
      <c r="G63" s="12">
        <v>3</v>
      </c>
      <c r="H63" s="12">
        <v>792</v>
      </c>
      <c r="I63" s="12">
        <v>18</v>
      </c>
      <c r="J63" s="29">
        <f t="shared" ref="J63:J65" si="8">H63/F63*100</f>
        <v>92.200232828870782</v>
      </c>
      <c r="K63" s="30">
        <f t="shared" ref="K63:K65" si="9">I63/F63*100</f>
        <v>2.0954598370197903</v>
      </c>
      <c r="L63" s="31">
        <f t="shared" ref="L63:L65" si="10">D63*(J63/100)</f>
        <v>1113.5944121071011</v>
      </c>
      <c r="M63" s="31">
        <f t="shared" ref="M63:M65" si="11">D63*K63/100</f>
        <v>25.308963911525026</v>
      </c>
    </row>
    <row r="64" spans="2:14">
      <c r="B64" s="28" t="s">
        <v>69</v>
      </c>
      <c r="C64" s="11">
        <v>1549</v>
      </c>
      <c r="D64" s="11">
        <f t="shared" si="7"/>
        <v>1394.1000000000001</v>
      </c>
      <c r="E64" s="6">
        <v>1010</v>
      </c>
      <c r="F64" s="6">
        <f t="shared" si="2"/>
        <v>1005</v>
      </c>
      <c r="G64" s="12">
        <v>5</v>
      </c>
      <c r="H64" s="12">
        <v>882</v>
      </c>
      <c r="I64" s="12">
        <v>24</v>
      </c>
      <c r="J64" s="29">
        <f t="shared" si="8"/>
        <v>87.761194029850742</v>
      </c>
      <c r="K64" s="30">
        <f t="shared" si="9"/>
        <v>2.3880597014925375</v>
      </c>
      <c r="L64" s="31">
        <f t="shared" si="10"/>
        <v>1223.4788059701493</v>
      </c>
      <c r="M64" s="31">
        <f t="shared" si="11"/>
        <v>33.29194029850747</v>
      </c>
    </row>
    <row r="65" spans="2:13">
      <c r="B65" s="28" t="s">
        <v>83</v>
      </c>
      <c r="C65" s="11">
        <v>1309</v>
      </c>
      <c r="D65" s="11">
        <f t="shared" si="7"/>
        <v>1178.1000000000001</v>
      </c>
      <c r="E65" s="6">
        <v>732</v>
      </c>
      <c r="F65" s="6">
        <f t="shared" si="2"/>
        <v>730</v>
      </c>
      <c r="G65" s="12">
        <v>2</v>
      </c>
      <c r="H65" s="12">
        <v>614</v>
      </c>
      <c r="I65" s="12">
        <v>29</v>
      </c>
      <c r="J65" s="29">
        <f t="shared" si="8"/>
        <v>84.109589041095887</v>
      </c>
      <c r="K65" s="30">
        <f t="shared" si="9"/>
        <v>3.9726027397260277</v>
      </c>
      <c r="L65" s="31">
        <f t="shared" si="10"/>
        <v>990.8950684931508</v>
      </c>
      <c r="M65" s="31">
        <f t="shared" si="11"/>
        <v>46.801232876712341</v>
      </c>
    </row>
    <row r="66" spans="2:13" ht="24">
      <c r="B66" s="13" t="s">
        <v>88</v>
      </c>
      <c r="C66" s="29">
        <f>AVERAGE(C54:C65)</f>
        <v>1913.1666666666667</v>
      </c>
      <c r="D66" s="29">
        <f>AVERAGE(D54:D65)</f>
        <v>1721.8499999999997</v>
      </c>
      <c r="E66" s="29">
        <f>AVERAGE(E54:E65)</f>
        <v>1304.4166666666667</v>
      </c>
      <c r="F66" s="29">
        <f>AVERAGE(F54:F65)</f>
        <v>1301.9166666666667</v>
      </c>
      <c r="G66" s="29">
        <f t="shared" ref="G66:M66" si="12">AVERAGE(G54:G65)</f>
        <v>2.5</v>
      </c>
      <c r="H66" s="29">
        <f t="shared" si="12"/>
        <v>1128.0833333333333</v>
      </c>
      <c r="I66" s="29">
        <f t="shared" si="12"/>
        <v>85.083333333333329</v>
      </c>
      <c r="J66" s="29">
        <f t="shared" si="12"/>
        <v>88.047655261195018</v>
      </c>
      <c r="K66" s="29">
        <f t="shared" si="12"/>
        <v>5.1864790752631844</v>
      </c>
      <c r="L66" s="29">
        <f t="shared" si="12"/>
        <v>1493.7649052535153</v>
      </c>
      <c r="M66" s="29">
        <f t="shared" si="12"/>
        <v>110.0157277901457</v>
      </c>
    </row>
    <row r="67" spans="2:13">
      <c r="L67" s="39"/>
    </row>
    <row r="68" spans="2:13">
      <c r="B68" s="21" t="s">
        <v>107</v>
      </c>
    </row>
    <row r="69" spans="2:13" ht="62.25" customHeight="1">
      <c r="B69" s="1" t="s">
        <v>0</v>
      </c>
      <c r="C69" s="22" t="s">
        <v>2</v>
      </c>
      <c r="D69" s="22" t="s">
        <v>85</v>
      </c>
      <c r="E69" s="23" t="s">
        <v>84</v>
      </c>
      <c r="F69" s="24" t="s">
        <v>3</v>
      </c>
      <c r="G69" s="24" t="s">
        <v>4</v>
      </c>
      <c r="H69" s="22" t="s">
        <v>86</v>
      </c>
      <c r="I69" s="22" t="s">
        <v>21</v>
      </c>
      <c r="J69" s="22" t="s">
        <v>22</v>
      </c>
      <c r="K69" s="22" t="s">
        <v>24</v>
      </c>
      <c r="L69" s="22" t="s">
        <v>25</v>
      </c>
      <c r="M69" s="22" t="s">
        <v>26</v>
      </c>
    </row>
    <row r="70" spans="2:13">
      <c r="B70" s="27" t="s">
        <v>11</v>
      </c>
      <c r="C70" s="91">
        <v>104</v>
      </c>
      <c r="D70" s="25">
        <f>C70-E70</f>
        <v>101</v>
      </c>
      <c r="E70" s="92">
        <v>3</v>
      </c>
      <c r="F70" s="92">
        <v>74</v>
      </c>
      <c r="G70" s="92">
        <v>23</v>
      </c>
      <c r="H70" s="29">
        <f>F70/D70*100</f>
        <v>73.267326732673268</v>
      </c>
      <c r="I70" s="31">
        <f>(E70*(H70/100))+F70</f>
        <v>76.198019801980195</v>
      </c>
      <c r="J70" s="31">
        <f>I70*1.3</f>
        <v>99.057425742574253</v>
      </c>
      <c r="K70" s="30">
        <f>G70/D70*100</f>
        <v>22.772277227722775</v>
      </c>
      <c r="L70" s="30">
        <f>(E70*(K70/100))+G70</f>
        <v>23.683168316831683</v>
      </c>
      <c r="M70" s="30">
        <f>L70*1.3</f>
        <v>30.788118811881187</v>
      </c>
    </row>
    <row r="71" spans="2:13">
      <c r="B71" s="28" t="s">
        <v>12</v>
      </c>
      <c r="C71" s="91">
        <v>107</v>
      </c>
      <c r="D71" s="25">
        <f t="shared" ref="D71:D81" si="13">C71-E71</f>
        <v>107</v>
      </c>
      <c r="E71" s="92">
        <v>0</v>
      </c>
      <c r="F71" s="92">
        <v>78</v>
      </c>
      <c r="G71" s="92">
        <v>13</v>
      </c>
      <c r="H71" s="29">
        <f t="shared" ref="H71:H78" si="14">F71/D71*100</f>
        <v>72.89719626168224</v>
      </c>
      <c r="I71" s="31">
        <f t="shared" ref="I71:I78" si="15">(E71*(H71/100))+F71</f>
        <v>78</v>
      </c>
      <c r="J71" s="31">
        <f t="shared" ref="J71:J78" si="16">I71*1.3</f>
        <v>101.4</v>
      </c>
      <c r="K71" s="30">
        <f t="shared" ref="K71:K78" si="17">G71/D71*100</f>
        <v>12.149532710280374</v>
      </c>
      <c r="L71" s="30">
        <f t="shared" ref="L71:L78" si="18">(E71*(K71/100))+G71</f>
        <v>13</v>
      </c>
      <c r="M71" s="30">
        <f t="shared" ref="M71:M78" si="19">L71*1.3</f>
        <v>16.900000000000002</v>
      </c>
    </row>
    <row r="72" spans="2:13">
      <c r="B72" s="28" t="s">
        <v>13</v>
      </c>
      <c r="C72" s="91">
        <v>61</v>
      </c>
      <c r="D72" s="25">
        <f t="shared" si="13"/>
        <v>60</v>
      </c>
      <c r="E72" s="92">
        <v>1</v>
      </c>
      <c r="F72" s="92">
        <v>49</v>
      </c>
      <c r="G72" s="92">
        <v>6</v>
      </c>
      <c r="H72" s="29">
        <f t="shared" si="14"/>
        <v>81.666666666666671</v>
      </c>
      <c r="I72" s="31">
        <f t="shared" si="15"/>
        <v>49.81666666666667</v>
      </c>
      <c r="J72" s="31">
        <f t="shared" si="16"/>
        <v>64.76166666666667</v>
      </c>
      <c r="K72" s="30">
        <f t="shared" si="17"/>
        <v>10</v>
      </c>
      <c r="L72" s="30">
        <f t="shared" si="18"/>
        <v>6.1</v>
      </c>
      <c r="M72" s="30">
        <f t="shared" si="19"/>
        <v>7.93</v>
      </c>
    </row>
    <row r="73" spans="2:13">
      <c r="B73" s="28" t="s">
        <v>14</v>
      </c>
      <c r="C73" s="91">
        <v>55</v>
      </c>
      <c r="D73" s="25">
        <f t="shared" si="13"/>
        <v>55</v>
      </c>
      <c r="E73" s="92">
        <v>0</v>
      </c>
      <c r="F73" s="92">
        <v>47</v>
      </c>
      <c r="G73" s="92">
        <v>3</v>
      </c>
      <c r="H73" s="29">
        <f t="shared" si="14"/>
        <v>85.454545454545453</v>
      </c>
      <c r="I73" s="31">
        <f t="shared" si="15"/>
        <v>47</v>
      </c>
      <c r="J73" s="31">
        <f t="shared" si="16"/>
        <v>61.1</v>
      </c>
      <c r="K73" s="30">
        <f t="shared" si="17"/>
        <v>5.4545454545454541</v>
      </c>
      <c r="L73" s="30">
        <f t="shared" si="18"/>
        <v>3</v>
      </c>
      <c r="M73" s="30">
        <f t="shared" si="19"/>
        <v>3.9000000000000004</v>
      </c>
    </row>
    <row r="74" spans="2:13">
      <c r="B74" s="28" t="s">
        <v>15</v>
      </c>
      <c r="C74" s="91">
        <v>57</v>
      </c>
      <c r="D74" s="25">
        <f t="shared" si="13"/>
        <v>57</v>
      </c>
      <c r="E74" s="92">
        <v>0</v>
      </c>
      <c r="F74" s="92">
        <v>54</v>
      </c>
      <c r="G74" s="92">
        <v>1</v>
      </c>
      <c r="H74" s="29">
        <f t="shared" si="14"/>
        <v>94.73684210526315</v>
      </c>
      <c r="I74" s="31">
        <f t="shared" si="15"/>
        <v>54</v>
      </c>
      <c r="J74" s="31">
        <f t="shared" si="16"/>
        <v>70.2</v>
      </c>
      <c r="K74" s="30">
        <f t="shared" si="17"/>
        <v>1.7543859649122806</v>
      </c>
      <c r="L74" s="30">
        <f t="shared" si="18"/>
        <v>1</v>
      </c>
      <c r="M74" s="30">
        <f t="shared" si="19"/>
        <v>1.3</v>
      </c>
    </row>
    <row r="75" spans="2:13">
      <c r="B75" s="28" t="s">
        <v>16</v>
      </c>
      <c r="C75" s="91">
        <v>53</v>
      </c>
      <c r="D75" s="25">
        <f t="shared" si="13"/>
        <v>53</v>
      </c>
      <c r="E75" s="92">
        <v>0</v>
      </c>
      <c r="F75" s="92">
        <v>52</v>
      </c>
      <c r="G75" s="92">
        <v>0</v>
      </c>
      <c r="H75" s="29">
        <f t="shared" si="14"/>
        <v>98.113207547169807</v>
      </c>
      <c r="I75" s="31">
        <f t="shared" si="15"/>
        <v>52</v>
      </c>
      <c r="J75" s="31">
        <f t="shared" si="16"/>
        <v>67.600000000000009</v>
      </c>
      <c r="K75" s="30">
        <f t="shared" si="17"/>
        <v>0</v>
      </c>
      <c r="L75" s="30">
        <f t="shared" si="18"/>
        <v>0</v>
      </c>
      <c r="M75" s="30">
        <f t="shared" si="19"/>
        <v>0</v>
      </c>
    </row>
    <row r="76" spans="2:13">
      <c r="B76" s="28" t="s">
        <v>17</v>
      </c>
      <c r="C76" s="91">
        <v>42</v>
      </c>
      <c r="D76" s="25">
        <f t="shared" si="13"/>
        <v>40</v>
      </c>
      <c r="E76" s="92">
        <v>2</v>
      </c>
      <c r="F76" s="92">
        <v>35</v>
      </c>
      <c r="G76" s="92">
        <v>1</v>
      </c>
      <c r="H76" s="29">
        <f t="shared" si="14"/>
        <v>87.5</v>
      </c>
      <c r="I76" s="31">
        <f t="shared" si="15"/>
        <v>36.75</v>
      </c>
      <c r="J76" s="31">
        <f t="shared" si="16"/>
        <v>47.774999999999999</v>
      </c>
      <c r="K76" s="30">
        <f t="shared" si="17"/>
        <v>2.5</v>
      </c>
      <c r="L76" s="30">
        <f t="shared" si="18"/>
        <v>1.05</v>
      </c>
      <c r="M76" s="30">
        <f t="shared" si="19"/>
        <v>1.3650000000000002</v>
      </c>
    </row>
    <row r="77" spans="2:13">
      <c r="B77" s="28" t="s">
        <v>18</v>
      </c>
      <c r="C77" s="91">
        <v>53</v>
      </c>
      <c r="D77" s="25">
        <f t="shared" si="13"/>
        <v>53</v>
      </c>
      <c r="E77" s="92">
        <v>0</v>
      </c>
      <c r="F77" s="92">
        <v>47</v>
      </c>
      <c r="G77" s="92">
        <v>1</v>
      </c>
      <c r="H77" s="29">
        <f t="shared" si="14"/>
        <v>88.679245283018872</v>
      </c>
      <c r="I77" s="31">
        <f t="shared" si="15"/>
        <v>47</v>
      </c>
      <c r="J77" s="31">
        <f t="shared" si="16"/>
        <v>61.1</v>
      </c>
      <c r="K77" s="30">
        <f t="shared" si="17"/>
        <v>1.8867924528301887</v>
      </c>
      <c r="L77" s="30">
        <f t="shared" si="18"/>
        <v>1</v>
      </c>
      <c r="M77" s="30">
        <f t="shared" si="19"/>
        <v>1.3</v>
      </c>
    </row>
    <row r="78" spans="2:13">
      <c r="B78" s="28" t="s">
        <v>19</v>
      </c>
      <c r="C78" s="91">
        <v>55</v>
      </c>
      <c r="D78" s="25">
        <f t="shared" si="13"/>
        <v>55</v>
      </c>
      <c r="E78" s="92">
        <v>0</v>
      </c>
      <c r="F78" s="92">
        <v>49</v>
      </c>
      <c r="G78" s="92">
        <v>0</v>
      </c>
      <c r="H78" s="29">
        <f t="shared" si="14"/>
        <v>89.090909090909093</v>
      </c>
      <c r="I78" s="31">
        <f t="shared" si="15"/>
        <v>49</v>
      </c>
      <c r="J78" s="31">
        <f t="shared" si="16"/>
        <v>63.7</v>
      </c>
      <c r="K78" s="30">
        <f t="shared" si="17"/>
        <v>0</v>
      </c>
      <c r="L78" s="30">
        <f t="shared" si="18"/>
        <v>0</v>
      </c>
      <c r="M78" s="30">
        <f t="shared" si="19"/>
        <v>0</v>
      </c>
    </row>
    <row r="79" spans="2:13">
      <c r="B79" s="28" t="s">
        <v>20</v>
      </c>
      <c r="C79" s="91">
        <v>47</v>
      </c>
      <c r="D79" s="25">
        <f t="shared" si="13"/>
        <v>47</v>
      </c>
      <c r="E79" s="92">
        <v>0</v>
      </c>
      <c r="F79" s="92">
        <v>40</v>
      </c>
      <c r="G79" s="92">
        <v>0</v>
      </c>
      <c r="H79" s="29">
        <f t="shared" ref="H79:H81" si="20">F79/D79*100</f>
        <v>85.106382978723403</v>
      </c>
      <c r="I79" s="31">
        <f t="shared" ref="I79:I81" si="21">(E79*(H79/100))+F79</f>
        <v>40</v>
      </c>
      <c r="J79" s="31">
        <f t="shared" ref="J79:J81" si="22">I79*1.3</f>
        <v>52</v>
      </c>
      <c r="K79" s="30">
        <f t="shared" ref="K79:K81" si="23">G79/D79*100</f>
        <v>0</v>
      </c>
      <c r="L79" s="30">
        <f t="shared" ref="L79:L81" si="24">(E79*(K79/100))+G79</f>
        <v>0</v>
      </c>
      <c r="M79" s="30">
        <f t="shared" ref="M79:M81" si="25">L79*1.3</f>
        <v>0</v>
      </c>
    </row>
    <row r="80" spans="2:13">
      <c r="B80" s="28" t="s">
        <v>69</v>
      </c>
      <c r="C80" s="91">
        <v>43</v>
      </c>
      <c r="D80" s="25">
        <f t="shared" si="13"/>
        <v>43</v>
      </c>
      <c r="E80" s="92">
        <v>0</v>
      </c>
      <c r="F80" s="92">
        <v>37</v>
      </c>
      <c r="G80" s="92">
        <v>2</v>
      </c>
      <c r="H80" s="29">
        <f t="shared" si="20"/>
        <v>86.04651162790698</v>
      </c>
      <c r="I80" s="31">
        <f t="shared" si="21"/>
        <v>37</v>
      </c>
      <c r="J80" s="31">
        <f t="shared" si="22"/>
        <v>48.1</v>
      </c>
      <c r="K80" s="30">
        <f t="shared" si="23"/>
        <v>4.6511627906976747</v>
      </c>
      <c r="L80" s="30">
        <f t="shared" si="24"/>
        <v>2</v>
      </c>
      <c r="M80" s="30">
        <f t="shared" si="25"/>
        <v>2.6</v>
      </c>
    </row>
    <row r="81" spans="2:13">
      <c r="B81" s="28" t="s">
        <v>83</v>
      </c>
      <c r="C81" s="91">
        <v>34</v>
      </c>
      <c r="D81" s="25">
        <f t="shared" si="13"/>
        <v>34</v>
      </c>
      <c r="E81" s="92">
        <v>0</v>
      </c>
      <c r="F81" s="92">
        <v>26</v>
      </c>
      <c r="G81" s="92">
        <v>0</v>
      </c>
      <c r="H81" s="29">
        <f t="shared" si="20"/>
        <v>76.470588235294116</v>
      </c>
      <c r="I81" s="31">
        <f t="shared" si="21"/>
        <v>26</v>
      </c>
      <c r="J81" s="31">
        <f t="shared" si="22"/>
        <v>33.800000000000004</v>
      </c>
      <c r="K81" s="30">
        <f t="shared" si="23"/>
        <v>0</v>
      </c>
      <c r="L81" s="30">
        <f t="shared" si="24"/>
        <v>0</v>
      </c>
      <c r="M81" s="30">
        <f t="shared" si="25"/>
        <v>0</v>
      </c>
    </row>
    <row r="82" spans="2:13" ht="24">
      <c r="B82" s="13" t="s">
        <v>88</v>
      </c>
      <c r="C82" s="29">
        <f>AVERAGE(C70:C81)</f>
        <v>59.25</v>
      </c>
      <c r="D82" s="29">
        <f t="shared" ref="D82:M82" si="26">AVERAGE(D70:D81)</f>
        <v>58.75</v>
      </c>
      <c r="E82" s="29">
        <f t="shared" si="26"/>
        <v>0.5</v>
      </c>
      <c r="F82" s="29">
        <f t="shared" si="26"/>
        <v>49</v>
      </c>
      <c r="G82" s="29">
        <f t="shared" si="26"/>
        <v>4.166666666666667</v>
      </c>
      <c r="H82" s="29">
        <f t="shared" si="26"/>
        <v>84.919118498654427</v>
      </c>
      <c r="I82" s="29">
        <f t="shared" si="26"/>
        <v>49.397057205720579</v>
      </c>
      <c r="J82" s="29">
        <f t="shared" si="26"/>
        <v>64.21617436743675</v>
      </c>
      <c r="K82" s="29">
        <f t="shared" si="26"/>
        <v>5.0973913834157285</v>
      </c>
      <c r="L82" s="29">
        <f t="shared" si="26"/>
        <v>4.2360973597359735</v>
      </c>
      <c r="M82" s="29">
        <f t="shared" si="26"/>
        <v>5.5069265676567651</v>
      </c>
    </row>
    <row r="84" spans="2:13">
      <c r="B84" s="20" t="s">
        <v>108</v>
      </c>
    </row>
    <row r="85" spans="2:13" ht="61.5" customHeight="1">
      <c r="B85" s="27" t="s">
        <v>0</v>
      </c>
      <c r="C85" s="22" t="s">
        <v>2</v>
      </c>
      <c r="D85" s="22" t="s">
        <v>23</v>
      </c>
      <c r="E85" s="23" t="s">
        <v>8</v>
      </c>
      <c r="F85" s="24" t="s">
        <v>3</v>
      </c>
      <c r="G85" s="24" t="s">
        <v>4</v>
      </c>
      <c r="H85" s="22" t="s">
        <v>9</v>
      </c>
      <c r="I85" s="22" t="s">
        <v>21</v>
      </c>
      <c r="J85" s="22" t="s">
        <v>24</v>
      </c>
      <c r="K85" s="22" t="s">
        <v>25</v>
      </c>
    </row>
    <row r="86" spans="2:13">
      <c r="B86" s="27" t="s">
        <v>11</v>
      </c>
      <c r="C86" s="26">
        <f>D86+E86</f>
        <v>167</v>
      </c>
      <c r="D86" s="26">
        <v>97</v>
      </c>
      <c r="E86" s="26">
        <v>70</v>
      </c>
      <c r="F86" s="26">
        <v>72</v>
      </c>
      <c r="G86" s="26">
        <v>8</v>
      </c>
      <c r="H86" s="30">
        <f>F86/D86*100</f>
        <v>74.226804123711347</v>
      </c>
      <c r="I86" s="30">
        <f>(E86*(H86/100))+F86</f>
        <v>123.95876288659794</v>
      </c>
      <c r="J86" s="30">
        <f>G86/D86*100</f>
        <v>8.2474226804123703</v>
      </c>
      <c r="K86" s="30">
        <f>(E86*(J86/100))+G86</f>
        <v>13.773195876288659</v>
      </c>
    </row>
    <row r="87" spans="2:13">
      <c r="B87" s="28" t="s">
        <v>12</v>
      </c>
      <c r="C87" s="26">
        <f t="shared" ref="C87:C94" si="27">D87+E87</f>
        <v>137</v>
      </c>
      <c r="D87" s="26">
        <v>86</v>
      </c>
      <c r="E87" s="26">
        <v>51</v>
      </c>
      <c r="F87" s="26">
        <v>69</v>
      </c>
      <c r="G87" s="26">
        <v>9</v>
      </c>
      <c r="H87" s="30">
        <f t="shared" ref="H87:H94" si="28">F87/D87*100</f>
        <v>80.232558139534888</v>
      </c>
      <c r="I87" s="30">
        <f t="shared" ref="I87:I94" si="29">(E87*(H87/100))+F87</f>
        <v>109.91860465116279</v>
      </c>
      <c r="J87" s="30">
        <f t="shared" ref="J87:J94" si="30">G87/D87*100</f>
        <v>10.465116279069768</v>
      </c>
      <c r="K87" s="30">
        <f t="shared" ref="K87:K94" si="31">(E87*(J87/100))+G87</f>
        <v>14.337209302325583</v>
      </c>
    </row>
    <row r="88" spans="2:13">
      <c r="B88" s="28" t="s">
        <v>13</v>
      </c>
      <c r="C88" s="26">
        <f t="shared" si="27"/>
        <v>116</v>
      </c>
      <c r="D88" s="26">
        <v>73</v>
      </c>
      <c r="E88" s="26">
        <v>43</v>
      </c>
      <c r="F88" s="26">
        <v>64</v>
      </c>
      <c r="G88" s="26">
        <v>6</v>
      </c>
      <c r="H88" s="30">
        <f t="shared" si="28"/>
        <v>87.671232876712324</v>
      </c>
      <c r="I88" s="30">
        <f t="shared" si="29"/>
        <v>101.6986301369863</v>
      </c>
      <c r="J88" s="30">
        <f t="shared" si="30"/>
        <v>8.2191780821917799</v>
      </c>
      <c r="K88" s="30">
        <f t="shared" si="31"/>
        <v>9.5342465753424648</v>
      </c>
    </row>
    <row r="89" spans="2:13">
      <c r="B89" s="28" t="s">
        <v>14</v>
      </c>
      <c r="C89" s="26">
        <f t="shared" si="27"/>
        <v>103</v>
      </c>
      <c r="D89" s="26">
        <v>72</v>
      </c>
      <c r="E89" s="26">
        <v>31</v>
      </c>
      <c r="F89" s="26">
        <v>60</v>
      </c>
      <c r="G89" s="26">
        <v>2</v>
      </c>
      <c r="H89" s="30">
        <f t="shared" si="28"/>
        <v>83.333333333333343</v>
      </c>
      <c r="I89" s="30">
        <f t="shared" si="29"/>
        <v>85.833333333333343</v>
      </c>
      <c r="J89" s="30">
        <f t="shared" si="30"/>
        <v>2.7777777777777777</v>
      </c>
      <c r="K89" s="30">
        <f t="shared" si="31"/>
        <v>2.8611111111111112</v>
      </c>
    </row>
    <row r="90" spans="2:13">
      <c r="B90" s="28" t="s">
        <v>15</v>
      </c>
      <c r="C90" s="26">
        <f t="shared" si="27"/>
        <v>121</v>
      </c>
      <c r="D90" s="26">
        <v>73</v>
      </c>
      <c r="E90" s="26">
        <v>48</v>
      </c>
      <c r="F90" s="26">
        <v>63</v>
      </c>
      <c r="G90" s="26">
        <v>1</v>
      </c>
      <c r="H90" s="30">
        <f t="shared" si="28"/>
        <v>86.301369863013704</v>
      </c>
      <c r="I90" s="30">
        <f t="shared" si="29"/>
        <v>104.42465753424658</v>
      </c>
      <c r="J90" s="30">
        <f t="shared" si="30"/>
        <v>1.3698630136986301</v>
      </c>
      <c r="K90" s="30">
        <f t="shared" si="31"/>
        <v>1.6575342465753424</v>
      </c>
    </row>
    <row r="91" spans="2:13">
      <c r="B91" s="28" t="s">
        <v>16</v>
      </c>
      <c r="C91" s="26">
        <f t="shared" si="27"/>
        <v>84</v>
      </c>
      <c r="D91" s="26">
        <v>58</v>
      </c>
      <c r="E91" s="26">
        <v>26</v>
      </c>
      <c r="F91" s="26">
        <v>57</v>
      </c>
      <c r="G91" s="26">
        <v>1</v>
      </c>
      <c r="H91" s="30">
        <f t="shared" si="28"/>
        <v>98.275862068965509</v>
      </c>
      <c r="I91" s="30">
        <f t="shared" si="29"/>
        <v>82.551724137931032</v>
      </c>
      <c r="J91" s="30">
        <f t="shared" si="30"/>
        <v>1.7241379310344827</v>
      </c>
      <c r="K91" s="30">
        <f t="shared" si="31"/>
        <v>1.4482758620689655</v>
      </c>
    </row>
    <row r="92" spans="2:13">
      <c r="B92" s="28" t="s">
        <v>17</v>
      </c>
      <c r="C92" s="26">
        <f t="shared" si="27"/>
        <v>109</v>
      </c>
      <c r="D92" s="26">
        <v>86</v>
      </c>
      <c r="E92" s="26">
        <v>23</v>
      </c>
      <c r="F92" s="26">
        <v>78</v>
      </c>
      <c r="G92" s="26">
        <v>0</v>
      </c>
      <c r="H92" s="30">
        <f t="shared" si="28"/>
        <v>90.697674418604649</v>
      </c>
      <c r="I92" s="30">
        <f t="shared" si="29"/>
        <v>98.860465116279073</v>
      </c>
      <c r="J92" s="30">
        <f t="shared" si="30"/>
        <v>0</v>
      </c>
      <c r="K92" s="30">
        <f t="shared" si="31"/>
        <v>0</v>
      </c>
    </row>
    <row r="93" spans="2:13">
      <c r="B93" s="28" t="s">
        <v>18</v>
      </c>
      <c r="C93" s="26">
        <f t="shared" si="27"/>
        <v>67</v>
      </c>
      <c r="D93" s="26">
        <v>48</v>
      </c>
      <c r="E93" s="26">
        <v>19</v>
      </c>
      <c r="F93" s="26">
        <v>44</v>
      </c>
      <c r="G93" s="26">
        <v>0</v>
      </c>
      <c r="H93" s="30">
        <f t="shared" si="28"/>
        <v>91.666666666666657</v>
      </c>
      <c r="I93" s="30">
        <f t="shared" si="29"/>
        <v>61.416666666666664</v>
      </c>
      <c r="J93" s="30">
        <f t="shared" si="30"/>
        <v>0</v>
      </c>
      <c r="K93" s="30">
        <f t="shared" si="31"/>
        <v>0</v>
      </c>
    </row>
    <row r="94" spans="2:13">
      <c r="B94" s="28" t="s">
        <v>19</v>
      </c>
      <c r="C94" s="26">
        <f t="shared" si="27"/>
        <v>91</v>
      </c>
      <c r="D94" s="26">
        <v>59</v>
      </c>
      <c r="E94" s="26">
        <v>32</v>
      </c>
      <c r="F94" s="26">
        <v>55</v>
      </c>
      <c r="G94" s="26">
        <v>1</v>
      </c>
      <c r="H94" s="30">
        <f t="shared" si="28"/>
        <v>93.220338983050837</v>
      </c>
      <c r="I94" s="30">
        <f t="shared" si="29"/>
        <v>84.830508474576263</v>
      </c>
      <c r="J94" s="30">
        <f t="shared" si="30"/>
        <v>1.6949152542372881</v>
      </c>
      <c r="K94" s="30">
        <f t="shared" si="31"/>
        <v>1.5423728813559321</v>
      </c>
    </row>
    <row r="95" spans="2:13">
      <c r="B95" s="28" t="s">
        <v>20</v>
      </c>
      <c r="C95" s="26">
        <f t="shared" ref="C95" si="32">D95+E95</f>
        <v>65</v>
      </c>
      <c r="D95" s="26">
        <v>40</v>
      </c>
      <c r="E95" s="26">
        <v>25</v>
      </c>
      <c r="F95" s="26">
        <v>38</v>
      </c>
      <c r="G95" s="26">
        <v>0</v>
      </c>
      <c r="H95" s="30">
        <f t="shared" ref="H95:H97" si="33">F95/D95*100</f>
        <v>95</v>
      </c>
      <c r="I95" s="30">
        <f t="shared" ref="I95:I97" si="34">(E95*(H95/100))+F95</f>
        <v>61.75</v>
      </c>
      <c r="J95" s="30">
        <f t="shared" ref="J95:J97" si="35">G95/D95*100</f>
        <v>0</v>
      </c>
      <c r="K95" s="30">
        <f t="shared" ref="K95:K97" si="36">(E95*(J95/100))+G95</f>
        <v>0</v>
      </c>
    </row>
    <row r="96" spans="2:13">
      <c r="B96" s="28" t="s">
        <v>69</v>
      </c>
      <c r="C96" s="26">
        <v>67</v>
      </c>
      <c r="D96" s="26">
        <v>42</v>
      </c>
      <c r="E96" s="26">
        <v>25</v>
      </c>
      <c r="F96" s="26">
        <v>36</v>
      </c>
      <c r="G96" s="26">
        <v>0</v>
      </c>
      <c r="H96" s="30">
        <f t="shared" si="33"/>
        <v>85.714285714285708</v>
      </c>
      <c r="I96" s="30">
        <f t="shared" si="34"/>
        <v>57.428571428571431</v>
      </c>
      <c r="J96" s="30">
        <f t="shared" si="35"/>
        <v>0</v>
      </c>
      <c r="K96" s="30">
        <f t="shared" si="36"/>
        <v>0</v>
      </c>
    </row>
    <row r="97" spans="2:11">
      <c r="B97" s="28" t="s">
        <v>83</v>
      </c>
      <c r="C97" s="26">
        <v>48</v>
      </c>
      <c r="D97" s="26">
        <v>35</v>
      </c>
      <c r="E97" s="26">
        <v>13</v>
      </c>
      <c r="F97" s="26">
        <v>29</v>
      </c>
      <c r="G97" s="26">
        <v>2</v>
      </c>
      <c r="H97" s="30">
        <f t="shared" si="33"/>
        <v>82.857142857142861</v>
      </c>
      <c r="I97" s="30">
        <f t="shared" si="34"/>
        <v>39.771428571428572</v>
      </c>
      <c r="J97" s="30">
        <f t="shared" si="35"/>
        <v>5.7142857142857144</v>
      </c>
      <c r="K97" s="30">
        <f t="shared" si="36"/>
        <v>2.7428571428571429</v>
      </c>
    </row>
    <row r="98" spans="2:11" ht="24">
      <c r="B98" s="13" t="s">
        <v>88</v>
      </c>
      <c r="C98" s="30">
        <f>AVERAGE(C86:C97)</f>
        <v>97.916666666666671</v>
      </c>
      <c r="D98" s="30">
        <f t="shared" ref="D98:K98" si="37">AVERAGE(D86:D97)</f>
        <v>64.083333333333329</v>
      </c>
      <c r="E98" s="30">
        <f t="shared" si="37"/>
        <v>33.833333333333336</v>
      </c>
      <c r="F98" s="30">
        <f t="shared" si="37"/>
        <v>55.416666666666664</v>
      </c>
      <c r="G98" s="30">
        <f t="shared" si="37"/>
        <v>2.5</v>
      </c>
      <c r="H98" s="30">
        <f t="shared" si="37"/>
        <v>87.433105753751818</v>
      </c>
      <c r="I98" s="30">
        <f t="shared" si="37"/>
        <v>84.370279411481661</v>
      </c>
      <c r="J98" s="30">
        <f t="shared" si="37"/>
        <v>3.3510580610589842</v>
      </c>
      <c r="K98" s="30">
        <f t="shared" si="37"/>
        <v>3.9914002498271004</v>
      </c>
    </row>
    <row r="100" spans="2:11" s="94" customFormat="1">
      <c r="B100" s="93" t="s">
        <v>100</v>
      </c>
    </row>
    <row r="101" spans="2:11" ht="60">
      <c r="B101" s="27" t="s">
        <v>0</v>
      </c>
      <c r="C101" s="22" t="s">
        <v>2</v>
      </c>
      <c r="D101" s="22" t="s">
        <v>23</v>
      </c>
      <c r="E101" s="23" t="s">
        <v>8</v>
      </c>
      <c r="F101" s="24" t="s">
        <v>3</v>
      </c>
      <c r="G101" s="24" t="s">
        <v>4</v>
      </c>
      <c r="H101" s="22" t="s">
        <v>9</v>
      </c>
      <c r="I101" s="22" t="s">
        <v>21</v>
      </c>
      <c r="J101" s="22" t="s">
        <v>24</v>
      </c>
      <c r="K101" s="22" t="s">
        <v>25</v>
      </c>
    </row>
    <row r="102" spans="2:11">
      <c r="B102" s="27">
        <v>2000</v>
      </c>
      <c r="C102" s="107">
        <f>D102+E102</f>
        <v>355</v>
      </c>
      <c r="D102" s="107">
        <v>212</v>
      </c>
      <c r="E102" s="107">
        <v>143</v>
      </c>
      <c r="F102" s="107">
        <v>117</v>
      </c>
      <c r="G102" s="107">
        <v>64</v>
      </c>
      <c r="H102" s="108">
        <f>F102/D102*100</f>
        <v>55.188679245283026</v>
      </c>
      <c r="I102" s="108">
        <f>(E102*(H102/100)+F102)</f>
        <v>195.91981132075472</v>
      </c>
      <c r="J102" s="108">
        <f>G102/D102*100</f>
        <v>30.188679245283019</v>
      </c>
      <c r="K102" s="108">
        <f>(E102*(J102/100))+G102</f>
        <v>107.16981132075472</v>
      </c>
    </row>
    <row r="103" spans="2:11">
      <c r="B103" s="28" t="s">
        <v>79</v>
      </c>
      <c r="C103" s="8">
        <f t="shared" ref="C103:C110" si="38">D103+E103</f>
        <v>271</v>
      </c>
      <c r="D103" s="8">
        <v>150</v>
      </c>
      <c r="E103" s="8">
        <v>121</v>
      </c>
      <c r="F103" s="8">
        <v>106</v>
      </c>
      <c r="G103" s="8">
        <v>24</v>
      </c>
      <c r="H103" s="29">
        <f t="shared" ref="H103:H110" si="39">F103/D103*100</f>
        <v>70.666666666666671</v>
      </c>
      <c r="I103" s="29">
        <f t="shared" ref="I103:I110" si="40">(E103*(H103/100)+F103)</f>
        <v>191.50666666666666</v>
      </c>
      <c r="J103" s="30">
        <f t="shared" ref="J103:J110" si="41">G103/D103*100</f>
        <v>16</v>
      </c>
      <c r="K103" s="30">
        <f t="shared" ref="K103:K110" si="42">(E103*(J103/100))+G103</f>
        <v>43.36</v>
      </c>
    </row>
    <row r="104" spans="2:11">
      <c r="B104" s="28" t="s">
        <v>78</v>
      </c>
      <c r="C104" s="8">
        <f t="shared" si="38"/>
        <v>195</v>
      </c>
      <c r="D104" s="26">
        <v>89</v>
      </c>
      <c r="E104" s="26">
        <v>106</v>
      </c>
      <c r="F104" s="26">
        <v>61</v>
      </c>
      <c r="G104" s="26">
        <v>9</v>
      </c>
      <c r="H104" s="29">
        <f t="shared" si="39"/>
        <v>68.539325842696627</v>
      </c>
      <c r="I104" s="29">
        <f t="shared" si="40"/>
        <v>133.65168539325845</v>
      </c>
      <c r="J104" s="30">
        <f t="shared" si="41"/>
        <v>10.112359550561797</v>
      </c>
      <c r="K104" s="30">
        <f t="shared" si="42"/>
        <v>19.719101123595504</v>
      </c>
    </row>
    <row r="105" spans="2:11">
      <c r="B105" s="28" t="s">
        <v>77</v>
      </c>
      <c r="C105" s="8">
        <f t="shared" si="38"/>
        <v>155</v>
      </c>
      <c r="D105" s="26">
        <v>102</v>
      </c>
      <c r="E105" s="26">
        <v>53</v>
      </c>
      <c r="F105" s="26">
        <v>86</v>
      </c>
      <c r="G105" s="26">
        <v>3</v>
      </c>
      <c r="H105" s="29">
        <f t="shared" si="39"/>
        <v>84.313725490196077</v>
      </c>
      <c r="I105" s="29">
        <f t="shared" si="40"/>
        <v>130.68627450980392</v>
      </c>
      <c r="J105" s="30">
        <f t="shared" si="41"/>
        <v>2.9411764705882351</v>
      </c>
      <c r="K105" s="30">
        <f t="shared" si="42"/>
        <v>4.5588235294117645</v>
      </c>
    </row>
    <row r="106" spans="2:11">
      <c r="B106" s="28" t="s">
        <v>76</v>
      </c>
      <c r="C106" s="8">
        <f t="shared" si="38"/>
        <v>150</v>
      </c>
      <c r="D106" s="26">
        <v>90</v>
      </c>
      <c r="E106" s="26">
        <v>60</v>
      </c>
      <c r="F106" s="26">
        <v>68</v>
      </c>
      <c r="G106" s="26">
        <v>5</v>
      </c>
      <c r="H106" s="29">
        <f t="shared" si="39"/>
        <v>75.555555555555557</v>
      </c>
      <c r="I106" s="29">
        <f t="shared" si="40"/>
        <v>113.33333333333333</v>
      </c>
      <c r="J106" s="30">
        <f t="shared" si="41"/>
        <v>5.5555555555555554</v>
      </c>
      <c r="K106" s="30">
        <f t="shared" si="42"/>
        <v>8.3333333333333321</v>
      </c>
    </row>
    <row r="107" spans="2:11">
      <c r="B107" s="28" t="s">
        <v>75</v>
      </c>
      <c r="C107" s="8">
        <f t="shared" si="38"/>
        <v>145</v>
      </c>
      <c r="D107" s="26">
        <v>90</v>
      </c>
      <c r="E107" s="26">
        <v>55</v>
      </c>
      <c r="F107" s="26">
        <v>66</v>
      </c>
      <c r="G107" s="26">
        <v>1</v>
      </c>
      <c r="H107" s="29">
        <f t="shared" si="39"/>
        <v>73.333333333333329</v>
      </c>
      <c r="I107" s="29">
        <f t="shared" si="40"/>
        <v>106.33333333333333</v>
      </c>
      <c r="J107" s="30">
        <f t="shared" si="41"/>
        <v>1.1111111111111112</v>
      </c>
      <c r="K107" s="30">
        <f t="shared" si="42"/>
        <v>1.6111111111111112</v>
      </c>
    </row>
    <row r="108" spans="2:11">
      <c r="B108" s="28" t="s">
        <v>74</v>
      </c>
      <c r="C108" s="8">
        <f t="shared" si="38"/>
        <v>144</v>
      </c>
      <c r="D108" s="26">
        <v>69</v>
      </c>
      <c r="E108" s="26">
        <v>75</v>
      </c>
      <c r="F108" s="26">
        <v>61</v>
      </c>
      <c r="G108" s="26">
        <v>3</v>
      </c>
      <c r="H108" s="29">
        <f t="shared" si="39"/>
        <v>88.405797101449281</v>
      </c>
      <c r="I108" s="29">
        <f t="shared" si="40"/>
        <v>127.30434782608695</v>
      </c>
      <c r="J108" s="30">
        <f t="shared" si="41"/>
        <v>4.3478260869565215</v>
      </c>
      <c r="K108" s="30">
        <f t="shared" si="42"/>
        <v>6.2608695652173907</v>
      </c>
    </row>
    <row r="109" spans="2:11">
      <c r="B109" s="28" t="s">
        <v>73</v>
      </c>
      <c r="C109" s="8">
        <f t="shared" si="38"/>
        <v>157</v>
      </c>
      <c r="D109" s="26">
        <v>83</v>
      </c>
      <c r="E109" s="26">
        <v>74</v>
      </c>
      <c r="F109" s="26">
        <v>75</v>
      </c>
      <c r="G109" s="26">
        <v>4</v>
      </c>
      <c r="H109" s="29">
        <f t="shared" si="39"/>
        <v>90.361445783132538</v>
      </c>
      <c r="I109" s="29">
        <f t="shared" si="40"/>
        <v>141.86746987951807</v>
      </c>
      <c r="J109" s="30">
        <f t="shared" si="41"/>
        <v>4.8192771084337354</v>
      </c>
      <c r="K109" s="30">
        <f t="shared" si="42"/>
        <v>7.5662650602409638</v>
      </c>
    </row>
    <row r="110" spans="2:11">
      <c r="B110" s="28" t="s">
        <v>72</v>
      </c>
      <c r="C110" s="8">
        <f t="shared" si="38"/>
        <v>125</v>
      </c>
      <c r="D110" s="26">
        <v>66</v>
      </c>
      <c r="E110" s="26">
        <v>59</v>
      </c>
      <c r="F110" s="26">
        <v>57</v>
      </c>
      <c r="G110" s="26">
        <v>0</v>
      </c>
      <c r="H110" s="29">
        <f t="shared" si="39"/>
        <v>86.36363636363636</v>
      </c>
      <c r="I110" s="29">
        <f t="shared" si="40"/>
        <v>107.95454545454545</v>
      </c>
      <c r="J110" s="30">
        <f t="shared" si="41"/>
        <v>0</v>
      </c>
      <c r="K110" s="30">
        <f t="shared" si="42"/>
        <v>0</v>
      </c>
    </row>
    <row r="111" spans="2:11">
      <c r="B111" s="28" t="s">
        <v>71</v>
      </c>
      <c r="C111" s="8">
        <f t="shared" ref="C111" si="43">D111+E111</f>
        <v>139</v>
      </c>
      <c r="D111" s="32">
        <v>74</v>
      </c>
      <c r="E111" s="32">
        <v>65</v>
      </c>
      <c r="F111" s="32">
        <v>66</v>
      </c>
      <c r="G111" s="32">
        <v>0</v>
      </c>
      <c r="H111" s="29">
        <f t="shared" ref="H111:H114" si="44">F111/D111*100</f>
        <v>89.189189189189193</v>
      </c>
      <c r="I111" s="29">
        <f t="shared" ref="I111:I114" si="45">(E111*(H111/100)+F111)</f>
        <v>123.97297297297297</v>
      </c>
      <c r="J111" s="30">
        <f t="shared" ref="J111:J114" si="46">G111/D111*100</f>
        <v>0</v>
      </c>
      <c r="K111" s="30">
        <f t="shared" ref="K111:K114" si="47">(E111*(J111/100))+G111</f>
        <v>0</v>
      </c>
    </row>
    <row r="112" spans="2:11">
      <c r="B112" s="28" t="s">
        <v>70</v>
      </c>
      <c r="C112" s="8">
        <v>99</v>
      </c>
      <c r="D112" s="32">
        <v>42</v>
      </c>
      <c r="E112" s="32">
        <v>57</v>
      </c>
      <c r="F112" s="32">
        <v>35</v>
      </c>
      <c r="G112" s="32">
        <v>0</v>
      </c>
      <c r="H112" s="29">
        <f t="shared" si="44"/>
        <v>83.333333333333343</v>
      </c>
      <c r="I112" s="29">
        <f t="shared" si="45"/>
        <v>82.5</v>
      </c>
      <c r="J112" s="30">
        <f t="shared" si="46"/>
        <v>0</v>
      </c>
      <c r="K112" s="30">
        <f t="shared" si="47"/>
        <v>0</v>
      </c>
    </row>
    <row r="113" spans="2:11">
      <c r="B113" s="28" t="s">
        <v>98</v>
      </c>
      <c r="C113" s="8">
        <v>106</v>
      </c>
      <c r="D113" s="32">
        <v>54</v>
      </c>
      <c r="E113" s="32">
        <f>C113-D113</f>
        <v>52</v>
      </c>
      <c r="F113" s="32">
        <v>51</v>
      </c>
      <c r="G113" s="32">
        <v>0</v>
      </c>
      <c r="H113" s="29">
        <f t="shared" si="44"/>
        <v>94.444444444444443</v>
      </c>
      <c r="I113" s="29">
        <f t="shared" si="45"/>
        <v>100.11111111111111</v>
      </c>
      <c r="J113" s="30">
        <f t="shared" si="46"/>
        <v>0</v>
      </c>
      <c r="K113" s="30">
        <f t="shared" si="47"/>
        <v>0</v>
      </c>
    </row>
    <row r="114" spans="2:11">
      <c r="B114" s="28" t="s">
        <v>99</v>
      </c>
      <c r="C114" s="8">
        <v>85</v>
      </c>
      <c r="D114" s="32">
        <v>52</v>
      </c>
      <c r="E114" s="32">
        <f>C114-D114</f>
        <v>33</v>
      </c>
      <c r="F114" s="32">
        <v>38</v>
      </c>
      <c r="G114" s="32">
        <v>2</v>
      </c>
      <c r="H114" s="29">
        <f t="shared" si="44"/>
        <v>73.076923076923066</v>
      </c>
      <c r="I114" s="29">
        <f t="shared" si="45"/>
        <v>62.115384615384613</v>
      </c>
      <c r="J114" s="30">
        <f t="shared" si="46"/>
        <v>3.8461538461538463</v>
      </c>
      <c r="K114" s="30">
        <f t="shared" si="47"/>
        <v>3.2692307692307692</v>
      </c>
    </row>
    <row r="115" spans="2:11" ht="24">
      <c r="B115" s="13" t="s">
        <v>88</v>
      </c>
      <c r="C115" s="33">
        <f t="shared" ref="C115:H115" si="48">AVERAGE(C103:C114)</f>
        <v>147.58333333333334</v>
      </c>
      <c r="D115" s="33">
        <f t="shared" si="48"/>
        <v>80.083333333333329</v>
      </c>
      <c r="E115" s="33">
        <f t="shared" si="48"/>
        <v>67.5</v>
      </c>
      <c r="F115" s="33">
        <f t="shared" si="48"/>
        <v>64.166666666666671</v>
      </c>
      <c r="G115" s="33">
        <f t="shared" si="48"/>
        <v>4.25</v>
      </c>
      <c r="H115" s="33">
        <f t="shared" si="48"/>
        <v>81.465281348379719</v>
      </c>
      <c r="I115" s="33">
        <v>118.44</v>
      </c>
      <c r="J115" s="33">
        <f>AVERAGE(J103:J114)</f>
        <v>4.0611216441134008</v>
      </c>
      <c r="K115" s="33">
        <f>AVERAGE(K103:K114)</f>
        <v>7.8898945410117376</v>
      </c>
    </row>
    <row r="118" spans="2:11" ht="45">
      <c r="B118" s="80" t="s">
        <v>0</v>
      </c>
      <c r="C118" s="95" t="s">
        <v>65</v>
      </c>
      <c r="D118" s="95" t="s">
        <v>66</v>
      </c>
      <c r="E118" s="95" t="s">
        <v>62</v>
      </c>
    </row>
    <row r="119" spans="2:11">
      <c r="B119" s="78" t="s">
        <v>11</v>
      </c>
      <c r="C119" s="80">
        <f t="shared" ref="C119:C130" si="49">H54+F70+F86+F102</f>
        <v>1951</v>
      </c>
      <c r="D119" s="80">
        <f t="shared" ref="D119:D130" si="50">I54+G70+G86+G102</f>
        <v>507</v>
      </c>
      <c r="E119" s="81">
        <f t="shared" ref="E119:E130" si="51">E54+C70+C86+C102</f>
        <v>2968</v>
      </c>
    </row>
    <row r="120" spans="2:11">
      <c r="B120" s="28" t="s">
        <v>12</v>
      </c>
      <c r="C120" s="80">
        <f t="shared" si="49"/>
        <v>1754</v>
      </c>
      <c r="D120" s="80">
        <f t="shared" si="50"/>
        <v>256</v>
      </c>
      <c r="E120" s="81">
        <f t="shared" si="51"/>
        <v>2369</v>
      </c>
    </row>
    <row r="121" spans="2:11">
      <c r="B121" s="28" t="s">
        <v>13</v>
      </c>
      <c r="C121" s="80">
        <f t="shared" si="49"/>
        <v>1384</v>
      </c>
      <c r="D121" s="80">
        <f t="shared" si="50"/>
        <v>142</v>
      </c>
      <c r="E121" s="81">
        <f t="shared" si="51"/>
        <v>1787</v>
      </c>
    </row>
    <row r="122" spans="2:11">
      <c r="B122" s="28" t="s">
        <v>14</v>
      </c>
      <c r="C122" s="80">
        <f t="shared" si="49"/>
        <v>1490</v>
      </c>
      <c r="D122" s="80">
        <f t="shared" si="50"/>
        <v>72</v>
      </c>
      <c r="E122" s="81">
        <f t="shared" si="51"/>
        <v>1751</v>
      </c>
    </row>
    <row r="123" spans="2:11">
      <c r="B123" s="28" t="s">
        <v>15</v>
      </c>
      <c r="C123" s="80">
        <f t="shared" si="49"/>
        <v>1459</v>
      </c>
      <c r="D123" s="80">
        <f t="shared" si="50"/>
        <v>49</v>
      </c>
      <c r="E123" s="81">
        <f t="shared" si="51"/>
        <v>1712</v>
      </c>
    </row>
    <row r="124" spans="2:11">
      <c r="B124" s="28" t="s">
        <v>16</v>
      </c>
      <c r="C124" s="80">
        <f t="shared" si="49"/>
        <v>1331</v>
      </c>
      <c r="D124" s="80">
        <f t="shared" si="50"/>
        <v>32</v>
      </c>
      <c r="E124" s="81">
        <f t="shared" si="51"/>
        <v>1508</v>
      </c>
    </row>
    <row r="125" spans="2:11">
      <c r="B125" s="28" t="s">
        <v>17</v>
      </c>
      <c r="C125" s="80">
        <f t="shared" si="49"/>
        <v>1165</v>
      </c>
      <c r="D125" s="80">
        <f t="shared" si="50"/>
        <v>33</v>
      </c>
      <c r="E125" s="81">
        <f t="shared" si="51"/>
        <v>1386</v>
      </c>
    </row>
    <row r="126" spans="2:11">
      <c r="B126" s="28" t="s">
        <v>18</v>
      </c>
      <c r="C126" s="80">
        <f t="shared" si="49"/>
        <v>1248</v>
      </c>
      <c r="D126" s="80">
        <f t="shared" si="50"/>
        <v>34</v>
      </c>
      <c r="E126" s="81">
        <f t="shared" si="51"/>
        <v>1467</v>
      </c>
    </row>
    <row r="127" spans="2:11">
      <c r="B127" s="28" t="s">
        <v>19</v>
      </c>
      <c r="C127" s="80">
        <f t="shared" si="49"/>
        <v>1211</v>
      </c>
      <c r="D127" s="80">
        <f t="shared" si="50"/>
        <v>14</v>
      </c>
      <c r="E127" s="81">
        <f t="shared" si="51"/>
        <v>1380</v>
      </c>
    </row>
    <row r="128" spans="2:11">
      <c r="B128" s="28" t="s">
        <v>20</v>
      </c>
      <c r="C128" s="80">
        <f t="shared" si="49"/>
        <v>936</v>
      </c>
      <c r="D128" s="80">
        <f t="shared" si="50"/>
        <v>18</v>
      </c>
      <c r="E128" s="81">
        <f t="shared" si="51"/>
        <v>1113</v>
      </c>
    </row>
    <row r="129" spans="2:5">
      <c r="B129" s="28" t="s">
        <v>69</v>
      </c>
      <c r="C129" s="80">
        <f t="shared" si="49"/>
        <v>990</v>
      </c>
      <c r="D129" s="80">
        <f t="shared" si="50"/>
        <v>26</v>
      </c>
      <c r="E129" s="81">
        <f t="shared" si="51"/>
        <v>1219</v>
      </c>
    </row>
    <row r="130" spans="2:5">
      <c r="B130" s="28" t="s">
        <v>83</v>
      </c>
      <c r="C130" s="80">
        <f t="shared" si="49"/>
        <v>720</v>
      </c>
      <c r="D130" s="80">
        <f t="shared" si="50"/>
        <v>31</v>
      </c>
      <c r="E130" s="81">
        <f t="shared" si="51"/>
        <v>920</v>
      </c>
    </row>
  </sheetData>
  <mergeCells count="5">
    <mergeCell ref="I42:I43"/>
    <mergeCell ref="J42:J43"/>
    <mergeCell ref="E52:I52"/>
    <mergeCell ref="C42:E42"/>
    <mergeCell ref="F42:H42"/>
  </mergeCells>
  <pageMargins left="0.7" right="0.7" top="0.75" bottom="0.75" header="0.3" footer="0.3"/>
  <pageSetup paperSize="9" scale="62" orientation="portrait" verticalDpi="0" r:id="rId1"/>
  <rowBreaks count="1" manualBreakCount="1">
    <brk id="67" max="16383" man="1"/>
  </rowBreaks>
  <drawing r:id="rId2"/>
</worksheet>
</file>

<file path=xl/worksheets/sheet3.xml><?xml version="1.0" encoding="utf-8"?>
<worksheet xmlns="http://schemas.openxmlformats.org/spreadsheetml/2006/main" xmlns:r="http://schemas.openxmlformats.org/officeDocument/2006/relationships">
  <dimension ref="B30:J88"/>
  <sheetViews>
    <sheetView topLeftCell="A64" workbookViewId="0">
      <selection activeCell="G53" sqref="G53"/>
    </sheetView>
  </sheetViews>
  <sheetFormatPr defaultRowHeight="15"/>
  <cols>
    <col min="2" max="2" width="13.28515625" customWidth="1"/>
    <col min="3" max="3" width="12.85546875" customWidth="1"/>
    <col min="4" max="4" width="12.5703125" customWidth="1"/>
    <col min="5" max="6" width="12.140625" customWidth="1"/>
    <col min="7" max="7" width="18.85546875" customWidth="1"/>
    <col min="8" max="8" width="17.5703125" customWidth="1"/>
    <col min="9" max="9" width="17.7109375" customWidth="1"/>
  </cols>
  <sheetData>
    <row r="30" spans="2:10">
      <c r="B30" s="54" t="s">
        <v>96</v>
      </c>
      <c r="C30" s="54"/>
      <c r="D30" s="54"/>
      <c r="E30" s="54"/>
      <c r="F30" s="54"/>
      <c r="G30" s="53"/>
      <c r="H30" s="53"/>
      <c r="I30" s="53"/>
    </row>
    <row r="31" spans="2:10" ht="46.5" customHeight="1">
      <c r="B31" s="52"/>
      <c r="C31" s="52"/>
      <c r="D31" s="52"/>
      <c r="E31" s="138" t="s">
        <v>105</v>
      </c>
      <c r="F31" s="138"/>
      <c r="G31" s="55"/>
      <c r="H31" s="52"/>
      <c r="I31" s="52"/>
    </row>
    <row r="32" spans="2:10" ht="49.5" customHeight="1">
      <c r="B32" s="45" t="s">
        <v>0</v>
      </c>
      <c r="C32" s="37" t="s">
        <v>42</v>
      </c>
      <c r="D32" s="37" t="s">
        <v>6</v>
      </c>
      <c r="E32" s="47" t="s">
        <v>43</v>
      </c>
      <c r="F32" s="47" t="s">
        <v>44</v>
      </c>
      <c r="G32" s="47" t="s">
        <v>45</v>
      </c>
      <c r="H32" s="37" t="s">
        <v>58</v>
      </c>
      <c r="I32" s="96"/>
      <c r="J32" s="97"/>
    </row>
    <row r="33" spans="2:9">
      <c r="B33" s="45" t="s">
        <v>39</v>
      </c>
      <c r="C33" s="46">
        <v>490</v>
      </c>
      <c r="D33" s="48">
        <f t="shared" ref="D33:D34" si="0">C33*0.75</f>
        <v>367.5</v>
      </c>
      <c r="E33" s="38">
        <v>173</v>
      </c>
      <c r="F33" s="38">
        <v>168</v>
      </c>
      <c r="G33" s="30">
        <f>E33/F33</f>
        <v>1.0297619047619047</v>
      </c>
      <c r="H33" s="30">
        <f t="shared" ref="H33:H37" si="1">D33*G33</f>
        <v>378.43749999999994</v>
      </c>
    </row>
    <row r="34" spans="2:9">
      <c r="B34" s="45" t="s">
        <v>40</v>
      </c>
      <c r="C34" s="46">
        <v>487</v>
      </c>
      <c r="D34" s="48">
        <f t="shared" si="0"/>
        <v>365.25</v>
      </c>
      <c r="E34" s="38">
        <v>169</v>
      </c>
      <c r="F34" s="38">
        <v>157</v>
      </c>
      <c r="G34" s="30">
        <f t="shared" ref="G34:G36" si="2">E34/F34</f>
        <v>1.0764331210191083</v>
      </c>
      <c r="H34" s="30">
        <f t="shared" si="1"/>
        <v>393.16719745222929</v>
      </c>
    </row>
    <row r="35" spans="2:9">
      <c r="B35" s="45" t="s">
        <v>41</v>
      </c>
      <c r="C35" s="46">
        <v>460</v>
      </c>
      <c r="D35" s="48">
        <f t="shared" ref="D35:D37" si="3">C35*0.75</f>
        <v>345</v>
      </c>
      <c r="E35" s="38">
        <v>186</v>
      </c>
      <c r="F35" s="38">
        <v>169</v>
      </c>
      <c r="G35" s="30">
        <f t="shared" si="2"/>
        <v>1.1005917159763314</v>
      </c>
      <c r="H35" s="30">
        <f t="shared" si="1"/>
        <v>379.70414201183434</v>
      </c>
    </row>
    <row r="36" spans="2:9">
      <c r="B36" s="45" t="s">
        <v>95</v>
      </c>
      <c r="C36" s="46">
        <v>428</v>
      </c>
      <c r="D36" s="48">
        <f t="shared" si="3"/>
        <v>321</v>
      </c>
      <c r="E36" s="38">
        <v>148</v>
      </c>
      <c r="F36" s="38">
        <v>139</v>
      </c>
      <c r="G36" s="30">
        <f t="shared" si="2"/>
        <v>1.064748201438849</v>
      </c>
      <c r="H36" s="30">
        <f t="shared" si="1"/>
        <v>341.78417266187051</v>
      </c>
    </row>
    <row r="37" spans="2:9">
      <c r="B37" s="45" t="s">
        <v>94</v>
      </c>
      <c r="C37" s="46">
        <v>371</v>
      </c>
      <c r="D37" s="48">
        <f t="shared" si="3"/>
        <v>278.25</v>
      </c>
      <c r="E37" s="38">
        <v>57</v>
      </c>
      <c r="F37" s="38" t="s">
        <v>97</v>
      </c>
      <c r="G37" s="30">
        <f>AVERAGE(G33:G36)</f>
        <v>1.0678837357990485</v>
      </c>
      <c r="H37" s="30">
        <f t="shared" si="1"/>
        <v>297.13864948608523</v>
      </c>
    </row>
    <row r="38" spans="2:9" ht="24">
      <c r="B38" s="103" t="s">
        <v>110</v>
      </c>
      <c r="C38" s="68">
        <f>AVERAGE(C33:C37)</f>
        <v>447.2</v>
      </c>
      <c r="D38" s="68">
        <f>AVERAGE(D33:D37)</f>
        <v>335.4</v>
      </c>
      <c r="E38" s="68">
        <f>AVERAGE(E33:E37)</f>
        <v>146.6</v>
      </c>
      <c r="F38" s="68">
        <f>AVERAGE(F33:F37)</f>
        <v>158.25</v>
      </c>
      <c r="G38" s="68">
        <f t="shared" ref="G38" si="4">AVERAGE(G33:G37)</f>
        <v>1.0678837357990485</v>
      </c>
      <c r="H38" s="68">
        <f>AVERAGE(H33:H37)</f>
        <v>358.04633232240383</v>
      </c>
      <c r="I38" s="74"/>
    </row>
    <row r="39" spans="2:9">
      <c r="B39" s="49"/>
      <c r="C39" s="50"/>
      <c r="D39" s="50"/>
      <c r="E39" s="44"/>
      <c r="F39" s="44"/>
    </row>
    <row r="40" spans="2:9">
      <c r="B40" s="54" t="s">
        <v>104</v>
      </c>
    </row>
    <row r="41" spans="2:9">
      <c r="B41" s="45" t="s">
        <v>0</v>
      </c>
      <c r="C41" s="43" t="s">
        <v>47</v>
      </c>
      <c r="D41" s="47" t="s">
        <v>48</v>
      </c>
      <c r="E41" s="59" t="s">
        <v>59</v>
      </c>
    </row>
    <row r="42" spans="2:9">
      <c r="B42" s="56">
        <v>2000</v>
      </c>
      <c r="C42" s="86">
        <v>39</v>
      </c>
      <c r="D42" s="86">
        <v>94</v>
      </c>
      <c r="E42" s="86">
        <v>464</v>
      </c>
    </row>
    <row r="43" spans="2:9">
      <c r="B43" s="56">
        <v>2001</v>
      </c>
      <c r="C43" s="86">
        <v>74</v>
      </c>
      <c r="D43" s="38">
        <v>161</v>
      </c>
      <c r="E43" s="38">
        <v>517</v>
      </c>
    </row>
    <row r="44" spans="2:9">
      <c r="B44" s="56">
        <v>2002</v>
      </c>
      <c r="C44" s="86">
        <v>62</v>
      </c>
      <c r="D44" s="38">
        <v>140</v>
      </c>
      <c r="E44" s="38">
        <v>361</v>
      </c>
    </row>
    <row r="45" spans="2:9">
      <c r="B45" s="56">
        <v>2003</v>
      </c>
      <c r="C45" s="86">
        <v>63</v>
      </c>
      <c r="D45" s="38">
        <v>150</v>
      </c>
      <c r="E45" s="38">
        <v>323</v>
      </c>
    </row>
    <row r="46" spans="2:9">
      <c r="B46" s="56">
        <v>2004</v>
      </c>
      <c r="C46" s="86">
        <v>45</v>
      </c>
      <c r="D46" s="38">
        <v>140</v>
      </c>
      <c r="E46" s="38">
        <v>294</v>
      </c>
    </row>
    <row r="47" spans="2:9">
      <c r="B47" s="56">
        <v>2005</v>
      </c>
      <c r="C47" s="86">
        <v>44</v>
      </c>
      <c r="D47" s="38">
        <v>228</v>
      </c>
      <c r="E47" s="38">
        <v>315</v>
      </c>
    </row>
    <row r="48" spans="2:9">
      <c r="B48" s="56">
        <v>2006</v>
      </c>
      <c r="C48" s="86">
        <v>57</v>
      </c>
      <c r="D48" s="38">
        <v>252</v>
      </c>
      <c r="E48" s="38">
        <v>321</v>
      </c>
    </row>
    <row r="49" spans="2:6">
      <c r="B49" s="56">
        <v>2007</v>
      </c>
      <c r="C49" s="38">
        <v>32</v>
      </c>
      <c r="D49" s="38">
        <v>320</v>
      </c>
      <c r="E49" s="38">
        <v>254</v>
      </c>
    </row>
    <row r="50" spans="2:6">
      <c r="B50" s="51">
        <v>2008</v>
      </c>
      <c r="C50" s="58">
        <v>24</v>
      </c>
      <c r="D50" s="38">
        <v>206</v>
      </c>
      <c r="E50" s="38">
        <v>260</v>
      </c>
    </row>
    <row r="51" spans="2:6">
      <c r="B51" s="51">
        <v>2009</v>
      </c>
      <c r="C51" s="60">
        <v>31</v>
      </c>
      <c r="D51" s="38">
        <v>192</v>
      </c>
      <c r="E51" s="38">
        <v>275</v>
      </c>
    </row>
    <row r="52" spans="2:6">
      <c r="B52" s="51">
        <v>2010</v>
      </c>
      <c r="C52" s="58">
        <v>12</v>
      </c>
      <c r="D52" s="98" t="s">
        <v>97</v>
      </c>
      <c r="E52" s="38">
        <v>211</v>
      </c>
    </row>
    <row r="53" spans="2:6">
      <c r="B53" s="51">
        <v>2011</v>
      </c>
      <c r="C53" s="102">
        <v>5</v>
      </c>
      <c r="D53" s="98" t="s">
        <v>97</v>
      </c>
      <c r="E53" s="98">
        <v>86</v>
      </c>
      <c r="F53" s="99"/>
    </row>
    <row r="54" spans="2:6">
      <c r="B54" s="51">
        <v>2012</v>
      </c>
      <c r="C54" s="102">
        <v>7</v>
      </c>
      <c r="D54" s="98" t="s">
        <v>97</v>
      </c>
      <c r="E54" s="98">
        <v>71</v>
      </c>
    </row>
    <row r="55" spans="2:6">
      <c r="B55" s="51"/>
      <c r="C55" s="60"/>
      <c r="D55" s="38"/>
      <c r="E55" s="38"/>
    </row>
    <row r="56" spans="2:6">
      <c r="B56" s="51" t="s">
        <v>46</v>
      </c>
      <c r="C56" s="57">
        <f>AVERAGE(C49:C55)</f>
        <v>18.5</v>
      </c>
      <c r="D56" s="57">
        <f>AVERAGE(D43:D55)</f>
        <v>198.77777777777777</v>
      </c>
      <c r="E56" s="57">
        <f>AVERAGE(E43:E55)</f>
        <v>274</v>
      </c>
    </row>
    <row r="58" spans="2:6">
      <c r="B58" s="54" t="s">
        <v>106</v>
      </c>
    </row>
    <row r="59" spans="2:6" ht="36">
      <c r="B59" s="45" t="s">
        <v>0</v>
      </c>
      <c r="C59" s="59" t="s">
        <v>49</v>
      </c>
      <c r="D59" s="59" t="s">
        <v>50</v>
      </c>
      <c r="E59" s="59" t="s">
        <v>51</v>
      </c>
      <c r="F59" s="59" t="s">
        <v>53</v>
      </c>
    </row>
    <row r="60" spans="2:6">
      <c r="B60" s="62">
        <v>2006</v>
      </c>
      <c r="C60" s="85">
        <v>5</v>
      </c>
      <c r="D60" s="85">
        <v>0</v>
      </c>
      <c r="E60" s="61">
        <v>0</v>
      </c>
      <c r="F60" s="61">
        <v>63</v>
      </c>
    </row>
    <row r="61" spans="2:6">
      <c r="B61" s="62">
        <v>2007</v>
      </c>
      <c r="C61" s="61">
        <v>1</v>
      </c>
      <c r="D61" s="61">
        <v>1</v>
      </c>
      <c r="E61" s="61">
        <v>1</v>
      </c>
      <c r="F61" s="61">
        <v>39</v>
      </c>
    </row>
    <row r="62" spans="2:6">
      <c r="B62" s="62">
        <v>2008</v>
      </c>
      <c r="C62" s="61">
        <v>3</v>
      </c>
      <c r="D62" s="61">
        <v>0</v>
      </c>
      <c r="E62" s="61">
        <v>1</v>
      </c>
      <c r="F62" s="61">
        <v>40</v>
      </c>
    </row>
    <row r="63" spans="2:6">
      <c r="B63" s="62">
        <v>2009</v>
      </c>
      <c r="C63" s="61">
        <v>2</v>
      </c>
      <c r="D63" s="61">
        <v>0</v>
      </c>
      <c r="E63" s="61">
        <v>0</v>
      </c>
      <c r="F63" s="61">
        <v>36</v>
      </c>
    </row>
    <row r="64" spans="2:6">
      <c r="B64" s="62">
        <v>2010</v>
      </c>
      <c r="C64" s="61">
        <v>2</v>
      </c>
      <c r="D64" s="61">
        <v>0</v>
      </c>
      <c r="E64" s="61">
        <v>1</v>
      </c>
      <c r="F64" s="61">
        <v>45</v>
      </c>
    </row>
    <row r="65" spans="2:6">
      <c r="B65" s="62">
        <v>2011</v>
      </c>
      <c r="C65" s="61">
        <v>3</v>
      </c>
      <c r="D65" s="61">
        <v>0</v>
      </c>
      <c r="E65" s="61">
        <v>2</v>
      </c>
      <c r="F65" s="61">
        <v>3</v>
      </c>
    </row>
    <row r="66" spans="2:6">
      <c r="B66" s="62">
        <v>2012</v>
      </c>
      <c r="C66" s="61">
        <v>6</v>
      </c>
      <c r="D66" s="61">
        <v>0</v>
      </c>
      <c r="E66" s="61">
        <v>0</v>
      </c>
      <c r="F66" s="61">
        <v>2</v>
      </c>
    </row>
    <row r="67" spans="2:6">
      <c r="B67" s="45" t="s">
        <v>46</v>
      </c>
      <c r="C67" s="67">
        <f>AVERAGE(C61:C66)</f>
        <v>2.8333333333333335</v>
      </c>
      <c r="D67" s="67">
        <f>AVERAGE(D61:D66)</f>
        <v>0.16666666666666666</v>
      </c>
      <c r="E67" s="67">
        <f t="shared" ref="E67:F67" si="5">AVERAGE(E60:E66)</f>
        <v>0.7142857142857143</v>
      </c>
      <c r="F67" s="67">
        <f t="shared" si="5"/>
        <v>32.571428571428569</v>
      </c>
    </row>
    <row r="69" spans="2:6">
      <c r="B69" s="54" t="s">
        <v>109</v>
      </c>
    </row>
    <row r="70" spans="2:6" ht="60">
      <c r="B70" s="43" t="s">
        <v>0</v>
      </c>
      <c r="C70" s="84" t="s">
        <v>67</v>
      </c>
      <c r="D70" s="47" t="s">
        <v>54</v>
      </c>
      <c r="E70" s="63" t="s">
        <v>52</v>
      </c>
      <c r="F70" s="84" t="s">
        <v>68</v>
      </c>
    </row>
    <row r="71" spans="2:6">
      <c r="B71" s="64">
        <v>2000</v>
      </c>
      <c r="C71" s="85">
        <v>32</v>
      </c>
      <c r="D71" s="85">
        <v>3</v>
      </c>
      <c r="E71" s="85">
        <v>7</v>
      </c>
      <c r="F71" s="87">
        <v>23</v>
      </c>
    </row>
    <row r="72" spans="2:6">
      <c r="B72" s="64">
        <v>2001</v>
      </c>
      <c r="C72" s="85">
        <v>38</v>
      </c>
      <c r="D72" s="85">
        <v>4</v>
      </c>
      <c r="E72" s="65">
        <v>4</v>
      </c>
      <c r="F72" s="32">
        <v>17</v>
      </c>
    </row>
    <row r="73" spans="2:6">
      <c r="B73" s="64">
        <v>2002</v>
      </c>
      <c r="C73" s="85">
        <v>35</v>
      </c>
      <c r="D73" s="87">
        <v>6</v>
      </c>
      <c r="E73" s="65">
        <v>7</v>
      </c>
      <c r="F73" s="32">
        <v>20</v>
      </c>
    </row>
    <row r="74" spans="2:6">
      <c r="B74" s="64">
        <v>2003</v>
      </c>
      <c r="C74" s="85">
        <v>27</v>
      </c>
      <c r="D74" s="87">
        <v>7</v>
      </c>
      <c r="E74" s="65">
        <v>7</v>
      </c>
      <c r="F74" s="32">
        <v>20</v>
      </c>
    </row>
    <row r="75" spans="2:6">
      <c r="B75" s="64">
        <v>2004</v>
      </c>
      <c r="C75" s="85">
        <v>19</v>
      </c>
      <c r="D75" s="87">
        <v>6</v>
      </c>
      <c r="E75" s="65">
        <v>8</v>
      </c>
      <c r="F75" s="32">
        <v>20</v>
      </c>
    </row>
    <row r="76" spans="2:6">
      <c r="B76" s="64">
        <v>2005</v>
      </c>
      <c r="C76" s="85">
        <v>36</v>
      </c>
      <c r="D76" s="87">
        <v>7</v>
      </c>
      <c r="E76" s="65">
        <v>3</v>
      </c>
      <c r="F76" s="32">
        <v>17</v>
      </c>
    </row>
    <row r="77" spans="2:6">
      <c r="B77" s="64">
        <v>2006</v>
      </c>
      <c r="C77" s="85">
        <v>37</v>
      </c>
      <c r="D77" s="87">
        <v>2</v>
      </c>
      <c r="E77" s="65">
        <v>8</v>
      </c>
      <c r="F77" s="32">
        <v>45</v>
      </c>
    </row>
    <row r="78" spans="2:6">
      <c r="B78" s="64">
        <v>2007</v>
      </c>
      <c r="C78" s="65">
        <v>18</v>
      </c>
      <c r="D78" s="32">
        <v>6</v>
      </c>
      <c r="E78" s="65">
        <v>9</v>
      </c>
      <c r="F78" s="32">
        <v>54</v>
      </c>
    </row>
    <row r="79" spans="2:6">
      <c r="B79" s="64">
        <v>2008</v>
      </c>
      <c r="C79" s="65">
        <v>24</v>
      </c>
      <c r="D79" s="32">
        <v>6</v>
      </c>
      <c r="E79" s="65">
        <v>11</v>
      </c>
      <c r="F79" s="32">
        <v>58</v>
      </c>
    </row>
    <row r="80" spans="2:6">
      <c r="B80" s="64">
        <v>2009</v>
      </c>
      <c r="C80" s="65">
        <v>25</v>
      </c>
      <c r="D80" s="32">
        <v>2</v>
      </c>
      <c r="E80" s="65">
        <v>10</v>
      </c>
      <c r="F80" s="32">
        <v>81</v>
      </c>
    </row>
    <row r="81" spans="2:6">
      <c r="B81" s="64">
        <v>2010</v>
      </c>
      <c r="C81" s="65">
        <v>27</v>
      </c>
      <c r="D81" s="32">
        <v>2</v>
      </c>
      <c r="E81" s="65">
        <v>8</v>
      </c>
      <c r="F81" s="32">
        <v>92</v>
      </c>
    </row>
    <row r="82" spans="2:6">
      <c r="B82" s="64">
        <v>2011</v>
      </c>
      <c r="C82" s="65">
        <v>24</v>
      </c>
      <c r="D82" s="32">
        <v>2</v>
      </c>
      <c r="E82" s="65">
        <v>5</v>
      </c>
      <c r="F82" s="32">
        <v>84</v>
      </c>
    </row>
    <row r="83" spans="2:6">
      <c r="B83" s="64">
        <v>2012</v>
      </c>
      <c r="C83" s="65">
        <v>37</v>
      </c>
      <c r="D83" s="32">
        <v>5</v>
      </c>
      <c r="E83" s="65">
        <v>5</v>
      </c>
      <c r="F83" s="32">
        <v>106</v>
      </c>
    </row>
    <row r="84" spans="2:6">
      <c r="B84" s="64"/>
      <c r="C84" s="65"/>
      <c r="D84" s="32"/>
      <c r="E84" s="65"/>
      <c r="F84" s="32"/>
    </row>
    <row r="85" spans="2:6">
      <c r="B85" s="43" t="s">
        <v>46</v>
      </c>
      <c r="C85" s="66">
        <f>AVERAGE(C78:C84)</f>
        <v>25.833333333333332</v>
      </c>
      <c r="D85" s="66">
        <f>AVERAGE(D78:D84)</f>
        <v>3.8333333333333335</v>
      </c>
      <c r="E85" s="66">
        <f>AVERAGE(E72:E84)</f>
        <v>7.083333333333333</v>
      </c>
      <c r="F85" s="66">
        <f>AVERAGE(F72:F84)</f>
        <v>51.166666666666664</v>
      </c>
    </row>
    <row r="87" spans="2:6">
      <c r="B87" s="69" t="s">
        <v>55</v>
      </c>
    </row>
    <row r="88" spans="2:6">
      <c r="B88" s="44" t="s">
        <v>61</v>
      </c>
    </row>
  </sheetData>
  <mergeCells count="1">
    <mergeCell ref="E31:F31"/>
  </mergeCells>
  <pageMargins left="0.7" right="0.7" top="0.75" bottom="0.75" header="0.3" footer="0.3"/>
  <pageSetup paperSize="9" scale="64" orientation="portrait" r:id="rId1"/>
  <drawing r:id="rId2"/>
  <legacyDrawing r:id="rId3"/>
</worksheet>
</file>

<file path=xl/worksheets/sheet4.xml><?xml version="1.0" encoding="utf-8"?>
<worksheet xmlns="http://schemas.openxmlformats.org/spreadsheetml/2006/main" xmlns:r="http://schemas.openxmlformats.org/officeDocument/2006/relationships">
  <dimension ref="A1"/>
  <sheetViews>
    <sheetView workbookViewId="0">
      <selection activeCell="A2" sqref="A2:XFD2"/>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SUMMARY</vt:lpstr>
      <vt:lpstr>UK MD</vt:lpstr>
      <vt:lpstr>UK non-MD</vt:lpstr>
      <vt:lpstr>NOTES</vt:lpstr>
      <vt:lpstr>SUMMARY!Print_Area</vt:lpstr>
      <vt:lpstr>'UK non-MD'!Print_Area</vt:lpstr>
    </vt:vector>
  </TitlesOfParts>
  <Company>Meningitis Research Foundation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Wright</dc:creator>
  <cp:lastModifiedBy>adrianr</cp:lastModifiedBy>
  <cp:lastPrinted>2014-02-03T11:25:39Z</cp:lastPrinted>
  <dcterms:created xsi:type="dcterms:W3CDTF">2011-11-23T09:47:39Z</dcterms:created>
  <dcterms:modified xsi:type="dcterms:W3CDTF">2014-02-04T11:52:05Z</dcterms:modified>
</cp:coreProperties>
</file>