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District Section 3315.18" sheetId="1" r:id="rId1"/>
    <sheet name="District Section 3315.19" sheetId="2" r:id="rId2"/>
    <sheet name="JVS Section 3315.18" sheetId="3" r:id="rId3"/>
    <sheet name="JVS Section 3315.19" sheetId="4" r:id="rId4"/>
  </sheets>
  <calcPr calcId="145621"/>
</workbook>
</file>

<file path=xl/calcChain.xml><?xml version="1.0" encoding="utf-8"?>
<calcChain xmlns="http://schemas.openxmlformats.org/spreadsheetml/2006/main">
  <c r="E62" i="3" l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F627" i="2" l="1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</calcChain>
</file>

<file path=xl/sharedStrings.xml><?xml version="1.0" encoding="utf-8"?>
<sst xmlns="http://schemas.openxmlformats.org/spreadsheetml/2006/main" count="2730" uniqueCount="757">
  <si>
    <t>SET-ASIDE</t>
  </si>
  <si>
    <t>CALCULATION</t>
  </si>
  <si>
    <t>IRN</t>
  </si>
  <si>
    <t>DISTRICT</t>
  </si>
  <si>
    <t>COUNTY</t>
  </si>
  <si>
    <t>OF SET-ASIDE</t>
  </si>
  <si>
    <t>SECTION 3315.18</t>
  </si>
  <si>
    <t>Manchester Local SD</t>
  </si>
  <si>
    <t>Adams</t>
  </si>
  <si>
    <t>Ohio Valley Local SD</t>
  </si>
  <si>
    <t>Delphos City SD</t>
  </si>
  <si>
    <t>Allen</t>
  </si>
  <si>
    <t>Lima City SD</t>
  </si>
  <si>
    <t>Bluffton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</si>
  <si>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</si>
  <si>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</si>
  <si>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</si>
  <si>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</si>
  <si>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</si>
  <si>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</si>
  <si>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Ashland City SD</t>
  </si>
  <si>
    <t>Ashland</t>
  </si>
  <si>
    <t>Loudonville-Perrysville Ex V</t>
  </si>
  <si>
    <t>Hillsdale Local SD</t>
  </si>
  <si>
    <t>Mapleton Local SD</t>
  </si>
  <si>
    <t>Ashtabula Area City SD</t>
  </si>
  <si>
    <t>Ashtabula</t>
  </si>
  <si>
    <t>Conneaut Area City SD</t>
  </si>
  <si>
    <t>Geneva Area City SD</t>
  </si>
  <si>
    <t>Buckeye Local SD</t>
  </si>
  <si>
    <t>Grand Valley Local SD</t>
  </si>
  <si>
    <t>Jefferson Area Local SD</t>
  </si>
  <si>
    <t>Pymatuning Valley Local SD</t>
  </si>
  <si>
    <t>Athens City SD</t>
  </si>
  <si>
    <t>Athens</t>
  </si>
  <si>
    <t>Nelsonville-York City SD</t>
  </si>
  <si>
    <t>Alexander Local SD</t>
  </si>
  <si>
    <t>Federal Hocking Local SD</t>
  </si>
  <si>
    <t>Trimble Local SD</t>
  </si>
  <si>
    <t>St Marys City SD</t>
  </si>
  <si>
    <t>Auglaize</t>
  </si>
  <si>
    <t>Wapakoneta City SD</t>
  </si>
  <si>
    <t>Minster Local SD</t>
  </si>
  <si>
    <t>New Bremen Local SD</t>
  </si>
  <si>
    <t>New Knoxville Local SD</t>
  </si>
  <si>
    <t>Waynesfield-Goshen Local SD</t>
  </si>
  <si>
    <t>Bellaire Local SD</t>
  </si>
  <si>
    <t>Belmont</t>
  </si>
  <si>
    <t>Martins Ferry City SD</t>
  </si>
  <si>
    <t>St Clairsville-Richland City</t>
  </si>
  <si>
    <t>Barnesville Ex Vill SD</t>
  </si>
  <si>
    <t>Bridgeport Ex Vill SD</t>
  </si>
  <si>
    <t>Shadyside Local SD</t>
  </si>
  <si>
    <t>Union Local SD</t>
  </si>
  <si>
    <t>Georgetown Ex Vill SD</t>
  </si>
  <si>
    <t>Brown</t>
  </si>
  <si>
    <t>Eastern Local SD</t>
  </si>
  <si>
    <t>Fayetteville-Perry Local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</si>
  <si>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</si>
  <si>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</si>
  <si>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</si>
  <si>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</si>
  <si>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</si>
  <si>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</si>
  <si>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Middletown City SD</t>
  </si>
  <si>
    <t>Talawanda City SD</t>
  </si>
  <si>
    <t>Lakota Local SD</t>
  </si>
  <si>
    <t>Madison Local SD</t>
  </si>
  <si>
    <t>Monroe Local SD</t>
  </si>
  <si>
    <t>New Miami Local SD</t>
  </si>
  <si>
    <t>Ross Local SD</t>
  </si>
  <si>
    <t>Carrollton Ex Vill SD</t>
  </si>
  <si>
    <t>Carroll</t>
  </si>
  <si>
    <t>Brown Local SD</t>
  </si>
  <si>
    <t>Urbana City SD</t>
  </si>
  <si>
    <t>Champaign</t>
  </si>
  <si>
    <t>Mechanicsburg Ex Vill SD</t>
  </si>
  <si>
    <t>Graham Local SD</t>
  </si>
  <si>
    <t>Triad Local SD</t>
  </si>
  <si>
    <t>West Liberty-Salem Local SD</t>
  </si>
  <si>
    <t>Springfield City SD</t>
  </si>
  <si>
    <t>Clark</t>
  </si>
  <si>
    <t>Clark-Shawnee Local SD</t>
  </si>
  <si>
    <t>Greenon Local SD</t>
  </si>
  <si>
    <t>Northeastern Local SD</t>
  </si>
  <si>
    <t>Northwestern Local SD</t>
  </si>
  <si>
    <t>Southeastern Local SD</t>
  </si>
  <si>
    <t>Tecumseh Local SD</t>
  </si>
  <si>
    <t>Milford Ex Vill SD</t>
  </si>
  <si>
    <t>Clermont</t>
  </si>
  <si>
    <t>New Richmond Ex Vill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</si>
  <si>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</si>
  <si>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</si>
  <si>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</si>
  <si>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</si>
  <si>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</si>
  <si>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</si>
  <si>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</si>
  <si>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Wilmington City SD</t>
  </si>
  <si>
    <t>Clinton</t>
  </si>
  <si>
    <t>Blanchester Local SD</t>
  </si>
  <si>
    <t>Clinton-Massie Local SD</t>
  </si>
  <si>
    <t>East Clinton Local SD</t>
  </si>
  <si>
    <t>East Liverpool City SD</t>
  </si>
  <si>
    <t>Columbiana</t>
  </si>
  <si>
    <t>East Palestine City SD</t>
  </si>
  <si>
    <t>Salem City SD</t>
  </si>
  <si>
    <t>Columbiana Ex Vill SD</t>
  </si>
  <si>
    <t>Leetonia Ex Vill SD</t>
  </si>
  <si>
    <t>Lisbon Ex Vill SD</t>
  </si>
  <si>
    <t>Beaver Local SD</t>
  </si>
  <si>
    <t>Crestview Local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</si>
  <si>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</si>
  <si>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</si>
  <si>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</si>
  <si>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</si>
  <si>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</si>
  <si>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</si>
  <si>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</si>
  <si>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Bucyrus City SD</t>
  </si>
  <si>
    <t>Crawford</t>
  </si>
  <si>
    <t>Galion City SD</t>
  </si>
  <si>
    <t>Crestline Ex Vill SD</t>
  </si>
  <si>
    <t>Buckeye Central Local SD</t>
  </si>
  <si>
    <t>Colonel Crawford Local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</si>
  <si>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</si>
  <si>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</si>
  <si>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</si>
  <si>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</si>
  <si>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</si>
  <si>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</si>
  <si>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</si>
  <si>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</si>
  <si>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Cleveland Hts-Univ Hts City</t>
  </si>
  <si>
    <t>Cleveland Municipal SD</t>
  </si>
  <si>
    <t>East Cleveland City SD</t>
  </si>
  <si>
    <t>Euclid City SD</t>
  </si>
  <si>
    <t>Fairview Park City SD</t>
  </si>
  <si>
    <t>Garfield Heights City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</si>
  <si>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</si>
  <si>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</si>
  <si>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</si>
  <si>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</si>
  <si>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</si>
  <si>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</si>
  <si>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</si>
  <si>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</si>
  <si>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</si>
  <si>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</si>
  <si>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</si>
  <si>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</si>
  <si>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</si>
  <si>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</si>
  <si>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</si>
  <si>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Chagrin Falls Ex Vill SD</t>
  </si>
  <si>
    <t>Cuyahoga Heights Local SD</t>
  </si>
  <si>
    <t>Independence Local SD</t>
  </si>
  <si>
    <t>Richmond Heights Local SD</t>
  </si>
  <si>
    <t>Greenville City SD</t>
  </si>
  <si>
    <t>Darke</t>
  </si>
  <si>
    <t>Versailles Ex Vill SD</t>
  </si>
  <si>
    <t>Ansonia Local SD</t>
  </si>
  <si>
    <t>Arcanum Butler Local SD</t>
  </si>
  <si>
    <t>Franklin-Monroe Local SD</t>
  </si>
  <si>
    <t>Mississinawa Valley Local SD</t>
  </si>
  <si>
    <t>Tri-Village Local SD</t>
  </si>
  <si>
    <t>Defiance City SD</t>
  </si>
  <si>
    <t>Defiance</t>
  </si>
  <si>
    <t>Hicksville Ex Vill SD</t>
  </si>
  <si>
    <t>Ayersville Local SD</t>
  </si>
  <si>
    <t>Central Local SD</t>
  </si>
  <si>
    <t>Delaware City SD</t>
  </si>
  <si>
    <t>Delaware</t>
  </si>
  <si>
    <t>Big Walnut Local SD</t>
  </si>
  <si>
    <t>Buckeye Valley Local SD</t>
  </si>
  <si>
    <t>Olentangy Local SD</t>
  </si>
  <si>
    <t>Huron City SD</t>
  </si>
  <si>
    <t>Erie</t>
  </si>
  <si>
    <t>Sandusky City SD</t>
  </si>
  <si>
    <t>Berlin-Milan Local SD</t>
  </si>
  <si>
    <t>Kelleys Island Local SD</t>
  </si>
  <si>
    <t>Margaretta Local SD</t>
  </si>
  <si>
    <t>Perkins Local SD</t>
  </si>
  <si>
    <t>Vermilion Local SD</t>
  </si>
  <si>
    <t>Lancaster City SD</t>
  </si>
  <si>
    <t>Fairfield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</si>
  <si>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</si>
  <si>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</si>
  <si>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</si>
  <si>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</si>
  <si>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</si>
  <si>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</si>
  <si>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</si>
  <si>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Washington Court House City</t>
  </si>
  <si>
    <t>Fayette</t>
  </si>
  <si>
    <t>Miami Trace Local SD</t>
  </si>
  <si>
    <t>Bexley City SD</t>
  </si>
  <si>
    <t>Franklin</t>
  </si>
  <si>
    <t>Columbus City SD</t>
  </si>
  <si>
    <t>Dublin City SD</t>
  </si>
  <si>
    <t>Gahanna-Jefferson City SD</t>
  </si>
  <si>
    <t>Grandview Heights City SD</t>
  </si>
  <si>
    <t>Hilliard City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</si>
  <si>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</si>
  <si>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</si>
  <si>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</si>
  <si>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</si>
  <si>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</si>
  <si>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</si>
  <si>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Canal Winchester Local SD</t>
  </si>
  <si>
    <t>Groveport Madison Local SD</t>
  </si>
  <si>
    <t>Hamilton Local SD</t>
  </si>
  <si>
    <t>New Albany-Plain Local SD</t>
  </si>
  <si>
    <t>Wauseon Ex Vill SD</t>
  </si>
  <si>
    <t>Fulton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</si>
  <si>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</si>
  <si>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</si>
  <si>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</si>
  <si>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</si>
  <si>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</si>
  <si>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</si>
  <si>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Gallipolis City SD</t>
  </si>
  <si>
    <t>Gallia</t>
  </si>
  <si>
    <t>Gallia County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</si>
  <si>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</si>
  <si>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</si>
  <si>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</si>
  <si>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</si>
  <si>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</si>
  <si>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</si>
  <si>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</si>
  <si>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</si>
  <si>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</si>
  <si>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</si>
  <si>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Fairborn City SD</t>
  </si>
  <si>
    <t>Xenia Community City SD</t>
  </si>
  <si>
    <t>Yellow Springs Ex Vill SD</t>
  </si>
  <si>
    <t>Cedar Cliff Local SD</t>
  </si>
  <si>
    <t>Greeneview Local SD</t>
  </si>
  <si>
    <t>Sugarcreek Local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</si>
  <si>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</si>
  <si>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</si>
  <si>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</si>
  <si>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</si>
  <si>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</si>
  <si>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</si>
  <si>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</si>
  <si>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</si>
  <si>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</si>
  <si>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</si>
  <si>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</si>
  <si>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</si>
  <si>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</si>
  <si>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Norwood City SD</t>
  </si>
  <si>
    <t>Princeton City SD</t>
  </si>
  <si>
    <t>Reading Community City SD</t>
  </si>
  <si>
    <t>St Bernard-Elmwood Place Cit</t>
  </si>
  <si>
    <t>Sycamore Community City SD</t>
  </si>
  <si>
    <t>Winton Woods City SD</t>
  </si>
  <si>
    <t>Wyoming City SD</t>
  </si>
  <si>
    <t>Indian Hill Ex Vill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</si>
  <si>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</si>
  <si>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</si>
  <si>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</si>
  <si>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</si>
  <si>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</si>
  <si>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</si>
  <si>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Findlay City SD</t>
  </si>
  <si>
    <t>Hancock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</si>
  <si>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</si>
  <si>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</si>
  <si>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</si>
  <si>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</si>
  <si>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</si>
  <si>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</si>
  <si>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</si>
  <si>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Kenton City SD</t>
  </si>
  <si>
    <t>Hardin</t>
  </si>
  <si>
    <t>Ada Ex Vill SD</t>
  </si>
  <si>
    <t>Hardin Northern Local SD</t>
  </si>
  <si>
    <t>Ridgemont Local SD</t>
  </si>
  <si>
    <t>Riverdale Local SD</t>
  </si>
  <si>
    <t>Upper Scioto Valley Local SD</t>
  </si>
  <si>
    <t>Harrison Hills City SD</t>
  </si>
  <si>
    <t>Harrison</t>
  </si>
  <si>
    <t>Conotton Valley Union Local</t>
  </si>
  <si>
    <t>Napoleon City SD</t>
  </si>
  <si>
    <t>Henry</t>
  </si>
  <si>
    <t>Holgate Local SD</t>
  </si>
  <si>
    <t>Liberty Center Local SD</t>
  </si>
  <si>
    <t>Patrick Henry Local SD</t>
  </si>
  <si>
    <t>Hillsboro City SD</t>
  </si>
  <si>
    <t>Highland</t>
  </si>
  <si>
    <t>Greenfield Ex Vill SD</t>
  </si>
  <si>
    <t>Bright Local SD</t>
  </si>
  <si>
    <t>Fairfield Local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</si>
  <si>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</si>
  <si>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</si>
  <si>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</si>
  <si>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</si>
  <si>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</si>
  <si>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</si>
  <si>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</si>
  <si>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</si>
  <si>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Norwalk City SD</t>
  </si>
  <si>
    <t>Willard City SD</t>
  </si>
  <si>
    <t>Monroeville Local SD</t>
  </si>
  <si>
    <t>New London Local SD</t>
  </si>
  <si>
    <t>South Central Local SD</t>
  </si>
  <si>
    <t>Western Reserve Local SD</t>
  </si>
  <si>
    <t>Jackson City SD</t>
  </si>
  <si>
    <t>Jackson</t>
  </si>
  <si>
    <t>Wellston City SD</t>
  </si>
  <si>
    <t>Oak Hill Union Local SD</t>
  </si>
  <si>
    <t>Steubenville City SD</t>
  </si>
  <si>
    <t>Jefferson</t>
  </si>
  <si>
    <t>Toronto City SD</t>
  </si>
  <si>
    <t>Edison Local SD</t>
  </si>
  <si>
    <t>Indian Creek Local SD</t>
  </si>
  <si>
    <t>Mount Vernon City SD</t>
  </si>
  <si>
    <t>Knox</t>
  </si>
  <si>
    <t>Centerburg Local SD</t>
  </si>
  <si>
    <t>Danville Local SD</t>
  </si>
  <si>
    <t>East Knox Local SD</t>
  </si>
  <si>
    <t>Fredericktown Local SD</t>
  </si>
  <si>
    <t>Painsville City Local SD</t>
  </si>
  <si>
    <t>Lake</t>
  </si>
  <si>
    <t>Wickliffe City SD</t>
  </si>
  <si>
    <t>Willoughby-Eastlake City SD</t>
  </si>
  <si>
    <t>Fairport Harbor Ex Vill SD</t>
  </si>
  <si>
    <t>Mentor Ex Vill SD</t>
  </si>
  <si>
    <t>Kirtland Local SD</t>
  </si>
  <si>
    <t>Riverside Local SD</t>
  </si>
  <si>
    <t>Ironton City SD</t>
  </si>
  <si>
    <t>Lawrence</t>
  </si>
  <si>
    <t>Chesapeake Union Ex Vill SD</t>
  </si>
  <si>
    <t>Dawson-Bryant Local SD</t>
  </si>
  <si>
    <t>Fairland Local SD</t>
  </si>
  <si>
    <t>Rock Hill Local SD</t>
  </si>
  <si>
    <t>South Point Local SD</t>
  </si>
  <si>
    <t>Symmes Valley Local SD</t>
  </si>
  <si>
    <t>Heath City SD</t>
  </si>
  <si>
    <t>Licking</t>
  </si>
  <si>
    <t>Newark City SD</t>
  </si>
  <si>
    <t>Granville Ex Vill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</si>
  <si>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</si>
  <si>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</si>
  <si>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</si>
  <si>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</si>
  <si>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</si>
  <si>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</si>
  <si>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</si>
  <si>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</si>
  <si>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</si>
  <si>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</si>
  <si>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</si>
  <si>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Avon Lake City SD</t>
  </si>
  <si>
    <t>Lorain</t>
  </si>
  <si>
    <t>Elyria City SD</t>
  </si>
  <si>
    <t>Lorain City SD</t>
  </si>
  <si>
    <t>North Ridgeville City SD</t>
  </si>
  <si>
    <t>Oberlin City SD</t>
  </si>
  <si>
    <t>Sheffield-Sheffield Lake Cit</t>
  </si>
  <si>
    <t>Amherst Ex Vill SD</t>
  </si>
  <si>
    <t>Wellington Ex Vill SD</t>
  </si>
  <si>
    <t>Avon Local SD</t>
  </si>
  <si>
    <t>Clearview Local SD</t>
  </si>
  <si>
    <t>Columbia Local SD</t>
  </si>
  <si>
    <t>Firelands Local SD</t>
  </si>
  <si>
    <t>Keystone Local SD</t>
  </si>
  <si>
    <t>Midview Local SD</t>
  </si>
  <si>
    <t>Maumee City SD</t>
  </si>
  <si>
    <t>Lucas</t>
  </si>
  <si>
    <t>Oregon City SD</t>
  </si>
  <si>
    <t>Sylvania City SD</t>
  </si>
  <si>
    <t>Toledo City SD</t>
  </si>
  <si>
    <t>Anthony Wayne Local SD</t>
  </si>
  <si>
    <t>Ottawa Hills Local SD</t>
  </si>
  <si>
    <t>Springfield Local SD</t>
  </si>
  <si>
    <t>Washington Local SD</t>
  </si>
  <si>
    <t>London City SD</t>
  </si>
  <si>
    <t>Madison</t>
  </si>
  <si>
    <t>Jefferson Local SD</t>
  </si>
  <si>
    <t>Jonathan Alder Local SD</t>
  </si>
  <si>
    <t>Madison-Plains Local SD</t>
  </si>
  <si>
    <t>Campbell City SD</t>
  </si>
  <si>
    <t>Mahoning</t>
  </si>
  <si>
    <t>Struthers City SD</t>
  </si>
  <si>
    <t>Youngstown City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</si>
  <si>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</si>
  <si>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</si>
  <si>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</si>
  <si>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</si>
  <si>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</si>
  <si>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</si>
  <si>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</si>
  <si>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</si>
  <si>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</si>
  <si>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Marion City SD</t>
  </si>
  <si>
    <t>Marion</t>
  </si>
  <si>
    <t>Elgin Local SD</t>
  </si>
  <si>
    <t>Pleasant Local SD</t>
  </si>
  <si>
    <t>Ridgedale Local SD</t>
  </si>
  <si>
    <t>River Valley Local SD</t>
  </si>
  <si>
    <t>Brunswick City SD</t>
  </si>
  <si>
    <t>Medina</t>
  </si>
  <si>
    <t>Medina City SD</t>
  </si>
  <si>
    <t>Wadsworth City SD</t>
  </si>
  <si>
    <t>Black River Local SD</t>
  </si>
  <si>
    <t>Cloverleaf Local SD</t>
  </si>
  <si>
    <t>Highland Local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</si>
  <si>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</si>
  <si>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</si>
  <si>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</si>
  <si>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</si>
  <si>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</si>
  <si>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</si>
  <si>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</si>
  <si>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</si>
  <si>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</si>
  <si>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Piqua City SD</t>
  </si>
  <si>
    <t>Miami</t>
  </si>
  <si>
    <t>Troy City SD</t>
  </si>
  <si>
    <t>Bradford Ex Vill SD</t>
  </si>
  <si>
    <t>Covington Ex Vill SD</t>
  </si>
  <si>
    <t>Milton-Union Ex Vill SD</t>
  </si>
  <si>
    <t>Tipp City Ex Vill SD</t>
  </si>
  <si>
    <t>Bethel Local SD</t>
  </si>
  <si>
    <t>Miami East Local SD</t>
  </si>
  <si>
    <t>Newton Local SD</t>
  </si>
  <si>
    <t>Switzerland Of Ohio Local SD</t>
  </si>
  <si>
    <t>Monroe</t>
  </si>
  <si>
    <t>Centerville City SD</t>
  </si>
  <si>
    <t>Montgomery</t>
  </si>
  <si>
    <t>Dayton City SD</t>
  </si>
  <si>
    <t>Huber Heights City SD</t>
  </si>
  <si>
    <t>Kettering City SD</t>
  </si>
  <si>
    <t>Miamisburg City SD</t>
  </si>
  <si>
    <t>Northmont City SD</t>
  </si>
  <si>
    <t>Oakwood City SD</t>
  </si>
  <si>
    <t>Trotwood-Madison City SD</t>
  </si>
  <si>
    <t>Vandalia-Butler City SD</t>
  </si>
  <si>
    <t>West Carrollton City SD</t>
  </si>
  <si>
    <t>Brookville Local SD</t>
  </si>
  <si>
    <t>Jefferson Township Local SD</t>
  </si>
  <si>
    <t>Mad River Local SD</t>
  </si>
  <si>
    <t>New Lebanon Local SD</t>
  </si>
  <si>
    <t>Valley View Local SD</t>
  </si>
  <si>
    <t>Morgan Local SD</t>
  </si>
  <si>
    <t>Morgan</t>
  </si>
  <si>
    <t>Mount Gilead Ex Vill SD</t>
  </si>
  <si>
    <t>Morrow</t>
  </si>
  <si>
    <t>Cardington-Lincoln Local SD</t>
  </si>
  <si>
    <t>Northmor Local SD</t>
  </si>
  <si>
    <t>Zanesville City SD</t>
  </si>
  <si>
    <t>Muskingum</t>
  </si>
  <si>
    <t>East Muskingum Local SD</t>
  </si>
  <si>
    <t>Franklin Local SD</t>
  </si>
  <si>
    <t>Maysville Local SD</t>
  </si>
  <si>
    <t>Tri-Valley Local SD</t>
  </si>
  <si>
    <t>West Muskingum Local SD</t>
  </si>
  <si>
    <t>Caldwell Ex Vill SD</t>
  </si>
  <si>
    <t>Noble</t>
  </si>
  <si>
    <t>Noble Local SD</t>
  </si>
  <si>
    <t>Port Clinton City SD</t>
  </si>
  <si>
    <t>Ottawa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</si>
  <si>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</si>
  <si>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</si>
  <si>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</si>
  <si>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</si>
  <si>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</si>
  <si>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</si>
  <si>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Paulding Ex Vill SD</t>
  </si>
  <si>
    <t>Paulding</t>
  </si>
  <si>
    <t>Antwerp Local SD</t>
  </si>
  <si>
    <t>Wayne Trace Local SD</t>
  </si>
  <si>
    <t>New Lexington City SD</t>
  </si>
  <si>
    <t>Perry</t>
  </si>
  <si>
    <t>Crooksville Ex Vill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</si>
  <si>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</si>
  <si>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</si>
  <si>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</si>
  <si>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</si>
  <si>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</si>
  <si>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</si>
  <si>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Waverly City SD</t>
  </si>
  <si>
    <t>Pike</t>
  </si>
  <si>
    <t>Scioto Valley Local SD</t>
  </si>
  <si>
    <t>Western Local SD</t>
  </si>
  <si>
    <t>Aurora City SD</t>
  </si>
  <si>
    <t>Portage</t>
  </si>
  <si>
    <t>Kent City SD</t>
  </si>
  <si>
    <t>Ravenna City SD</t>
  </si>
  <si>
    <t>Streetsboro City SD</t>
  </si>
  <si>
    <t>Windham Ex Vill SD</t>
  </si>
  <si>
    <t>Crestwood Local SD</t>
  </si>
  <si>
    <t>Field Local SD</t>
  </si>
  <si>
    <t>James A Garfield Local SD</t>
  </si>
  <si>
    <t>Rootstown Local SD</t>
  </si>
  <si>
    <t>Southeast Local SD</t>
  </si>
  <si>
    <t>Waterloo Local SD</t>
  </si>
  <si>
    <t>Eaton Community Schools City</t>
  </si>
  <si>
    <t>Preble</t>
  </si>
  <si>
    <t>College Corner Local SD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</si>
  <si>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</si>
  <si>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</si>
  <si>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</si>
  <si>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</si>
  <si>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</si>
  <si>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</si>
  <si>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</si>
  <si>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</si>
  <si>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</si>
  <si>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</si>
  <si>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</si>
  <si>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</si>
  <si>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</si>
  <si>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</si>
  <si>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Mansfield City SD</t>
  </si>
  <si>
    <t>Richland</t>
  </si>
  <si>
    <t>Shelby City SD</t>
  </si>
  <si>
    <t>Clear Fork Valley Local SD</t>
  </si>
  <si>
    <t>Lexington Local SD</t>
  </si>
  <si>
    <t>Lucas Local SD</t>
  </si>
  <si>
    <t>Ontario Local SD</t>
  </si>
  <si>
    <t>Plymouth-Shiloh Local SD</t>
  </si>
  <si>
    <t>Chillicothe City SD</t>
  </si>
  <si>
    <t>Ross</t>
  </si>
  <si>
    <t>Adena Local SD</t>
  </si>
  <si>
    <t>Huntington Local SD</t>
  </si>
  <si>
    <t>Paint Valley Local SD</t>
  </si>
  <si>
    <t>Union Scioto Local SD</t>
  </si>
  <si>
    <t>Zane Trace Local SD</t>
  </si>
  <si>
    <t>Fremont City SD</t>
  </si>
  <si>
    <t>Sandusky</t>
  </si>
  <si>
    <t>Clyde-Green Springs Ex Vill</t>
  </si>
  <si>
    <t>Gibsonburg Ex Vill SD</t>
  </si>
  <si>
    <t>Woodmore Local SD</t>
  </si>
  <si>
    <t>Portsmouth City SD</t>
  </si>
  <si>
    <t>Scioto</t>
  </si>
  <si>
    <t>Bloom-Vernon Local SD</t>
  </si>
  <si>
    <t>Clay Local SD</t>
  </si>
  <si>
    <t>Green Local SD</t>
  </si>
  <si>
    <t>Minford Local SD</t>
  </si>
  <si>
    <t>New Boston Local SD</t>
  </si>
  <si>
    <t>Valley Local SD</t>
  </si>
  <si>
    <t>Washington-Nile Local SD</t>
  </si>
  <si>
    <t>Wheelersburg Local SD</t>
  </si>
  <si>
    <t>Fostoria City SD</t>
  </si>
  <si>
    <t>Seneca</t>
  </si>
  <si>
    <t>Tiffin City SD</t>
  </si>
  <si>
    <t>Bettsville Local SD</t>
  </si>
  <si>
    <t>Hopewell-Loudon Local SD</t>
  </si>
  <si>
    <t>New Riegel Local SD</t>
  </si>
  <si>
    <t>Old Fort Local SD</t>
  </si>
  <si>
    <t>Seneca East Local SD</t>
  </si>
  <si>
    <t>Sidney City SD</t>
  </si>
  <si>
    <t>Shelby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</si>
  <si>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</si>
  <si>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</si>
  <si>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</si>
  <si>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</si>
  <si>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</si>
  <si>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</si>
  <si>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</si>
  <si>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Alliance City SD</t>
  </si>
  <si>
    <t>Stark</t>
  </si>
  <si>
    <t>Canton City SD</t>
  </si>
  <si>
    <t>Louisville City SD</t>
  </si>
  <si>
    <t>Massillon City SD</t>
  </si>
  <si>
    <t>North Canton City SD</t>
  </si>
  <si>
    <t>Canton Local SD</t>
  </si>
  <si>
    <t>Fairless Local SD</t>
  </si>
  <si>
    <t>Jackson Local SD</t>
  </si>
  <si>
    <t>Lake Local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</si>
  <si>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</si>
  <si>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</si>
  <si>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</si>
  <si>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</si>
  <si>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</si>
  <si>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</si>
  <si>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</si>
  <si>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</si>
  <si>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</si>
  <si>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</si>
  <si>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Cuyahoga Falls City SD</t>
  </si>
  <si>
    <t>Nordonia Hills City SD</t>
  </si>
  <si>
    <t>Norton City SD</t>
  </si>
  <si>
    <t>Stow-Munroe Falls City SD</t>
  </si>
  <si>
    <t>Tallmadge City SD</t>
  </si>
  <si>
    <t>Twinsburg City SD</t>
  </si>
  <si>
    <t>Coventry Local SD</t>
  </si>
  <si>
    <t>Hudson City SD</t>
  </si>
  <si>
    <t>Mogadore Local SD</t>
  </si>
  <si>
    <t>Revere Local SD</t>
  </si>
  <si>
    <t>Woodridge Local SD</t>
  </si>
  <si>
    <t>Girard City SD</t>
  </si>
  <si>
    <t>Trumbull</t>
  </si>
  <si>
    <t>Niles City SD</t>
  </si>
  <si>
    <t>Warren City SD</t>
  </si>
  <si>
    <t>Hubbard Ex Vill SD</t>
  </si>
  <si>
    <t>Newton Falls Ex Vill SD</t>
  </si>
  <si>
    <t>Bloomfield-Mespo Local SD</t>
  </si>
  <si>
    <t>Bristol Local SD</t>
  </si>
  <si>
    <t>Brookfield Local SD</t>
  </si>
  <si>
    <t>Champion Local SD</t>
  </si>
  <si>
    <t>Howland Local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</si>
  <si>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</si>
  <si>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</si>
  <si>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</si>
  <si>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</si>
  <si>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</si>
  <si>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</si>
  <si>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</si>
  <si>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</si>
  <si>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Southington Local SD</t>
  </si>
  <si>
    <t>Weathersfield Local SD</t>
  </si>
  <si>
    <t>Claymont City SD</t>
  </si>
  <si>
    <t>Tuscarawas</t>
  </si>
  <si>
    <t>Dover City SD</t>
  </si>
  <si>
    <t>New Philadelphia City SD</t>
  </si>
  <si>
    <t>Newcomerstown Ex Vill SD</t>
  </si>
  <si>
    <t>Garaway Local SD</t>
  </si>
  <si>
    <t>Indian Valley Local SD</t>
  </si>
  <si>
    <t>Strasburg-Franklin Local SD</t>
  </si>
  <si>
    <t>Tuscarawas Valley Local SD</t>
  </si>
  <si>
    <t>Marysville Ex Vill SD</t>
  </si>
  <si>
    <t>Union</t>
  </si>
  <si>
    <t>Fairbanks Local SD</t>
  </si>
  <si>
    <t>North Union Local SD</t>
  </si>
  <si>
    <t>Van Wert City SD</t>
  </si>
  <si>
    <t>Van Wert</t>
  </si>
  <si>
    <t>Lincolnview Local SD</t>
  </si>
  <si>
    <t>Vinton County Local SD</t>
  </si>
  <si>
    <t>Vinton</t>
  </si>
  <si>
    <t>Franklin City SD</t>
  </si>
  <si>
    <t>Warren</t>
  </si>
  <si>
    <t>Lebanon City SD</t>
  </si>
  <si>
    <t>Mason City SD</t>
  </si>
  <si>
    <t>Springboro Community City SD</t>
  </si>
  <si>
    <t>Carlisle Local SD</t>
  </si>
  <si>
    <t>Kings Local SD</t>
  </si>
  <si>
    <t>Little Miami Local SD</t>
  </si>
  <si>
    <t>Wayne Local SD</t>
  </si>
  <si>
    <t>Belpre City SD</t>
  </si>
  <si>
    <t>Washington</t>
  </si>
  <si>
    <t>Marietta City SD</t>
  </si>
  <si>
    <t>Fort Frye Local SD</t>
  </si>
  <si>
    <t>Frontier Local SD</t>
  </si>
  <si>
    <t>Warren Local SD</t>
  </si>
  <si>
    <t>Wolf Creek Local SD</t>
  </si>
  <si>
    <t>Orrville City SD</t>
  </si>
  <si>
    <t>Wayne</t>
  </si>
  <si>
    <t>Wooster City SD</t>
  </si>
  <si>
    <t>Rittman Ex Vill SD</t>
  </si>
  <si>
    <t>Chippewa Local SD</t>
  </si>
  <si>
    <t>Dalton Local SD</t>
  </si>
  <si>
    <t>North Central Local SD</t>
  </si>
  <si>
    <t>Triway Local SD</t>
  </si>
  <si>
    <t>Bryan City SD</t>
  </si>
  <si>
    <t>Williams</t>
  </si>
  <si>
    <t>Montpelier Ex Vill SD</t>
  </si>
  <si>
    <t>Edgerton Local SD</t>
  </si>
  <si>
    <t>Edon-Northwest Local SD</t>
  </si>
  <si>
    <t>Millcreek-West Unity Local S</t>
  </si>
  <si>
    <t>Stryker Local SD</t>
  </si>
  <si>
    <t>Bowling Green City SD</t>
  </si>
  <si>
    <t>Wood</t>
  </si>
  <si>
    <t>Perrysburg Ex Vill SD</t>
  </si>
  <si>
    <t>Rossford Ex Vill SD</t>
  </si>
  <si>
    <t>Eastwood Local SD</t>
  </si>
  <si>
    <t>Elmwood Local SD</t>
  </si>
  <si>
    <t>North Baltimore Local SD</t>
  </si>
  <si>
    <t>Northwood Local SD</t>
  </si>
  <si>
    <t>Otsego Local SD</t>
  </si>
  <si>
    <t>Carey Ex Vill SD</t>
  </si>
  <si>
    <t>Wyandot</t>
  </si>
  <si>
    <t>Upper Sandusky Ex Vill SD</t>
  </si>
  <si>
    <t>Mohawk Local SD</t>
  </si>
  <si>
    <t>daria.shams:setaside_calculation_fy12.xlsx</t>
  </si>
  <si>
    <t>Set-aisde Calculation for FY 2012 Based on Provisions of Section 3315.18 of</t>
  </si>
  <si>
    <t xml:space="preserve">Sub. H. B. 30 of 129th General Assembly for City, Exempted Village and Local Districts </t>
  </si>
  <si>
    <t>(SORTED BY COUNTY)</t>
  </si>
  <si>
    <t>PASS AID</t>
  </si>
  <si>
    <t>STATE AID</t>
  </si>
  <si>
    <t>PART OF</t>
  </si>
  <si>
    <t>AFTER ALL</t>
  </si>
  <si>
    <t>TOTAL ESC</t>
  </si>
  <si>
    <t>REVENUE</t>
  </si>
  <si>
    <t>ADJUSTMNENTS/</t>
  </si>
  <si>
    <t>CONTARCT</t>
  </si>
  <si>
    <t>BASE OF</t>
  </si>
  <si>
    <t>TRANSFERS</t>
  </si>
  <si>
    <t>AMOUNT</t>
  </si>
  <si>
    <t>SECTION 3315.19</t>
  </si>
  <si>
    <t xml:space="preserve">Set-aside Calculation for FY 2012 Based on Provisions of Section 3315.19 of  </t>
  </si>
  <si>
    <t>Sub. H. B. 30 of the 129th General Assembly for City, Exempted Village and Local School Districts</t>
  </si>
  <si>
    <t>STUDENT</t>
  </si>
  <si>
    <t>POPULATION</t>
  </si>
  <si>
    <t>USED IN</t>
  </si>
  <si>
    <t xml:space="preserve"> </t>
  </si>
  <si>
    <t>JVS NAME</t>
  </si>
  <si>
    <t>JVS COUNTY</t>
  </si>
  <si>
    <t>APOLLO JT VOC SD</t>
  </si>
  <si>
    <t>ASHLAND COUNTY-WEST HOLMES JT</t>
  </si>
  <si>
    <t>ASHTABULA COUNTY JVS JT VOC SD</t>
  </si>
  <si>
    <t>AUBURN JT VOC SD</t>
  </si>
  <si>
    <t>BELMONT-HARRISON JT VOC SD</t>
  </si>
  <si>
    <t>BUCKEYE JT VOC SD</t>
  </si>
  <si>
    <t>BUTLER TECH JT VOC SD</t>
  </si>
  <si>
    <t>C-TEC JT VOC SD</t>
  </si>
  <si>
    <t>COLUMBIANA COUNTY JT VOC SD</t>
  </si>
  <si>
    <t>COSHOCTON COUNTY JT VOC SD</t>
  </si>
  <si>
    <t>CUYAHOGA VALLEY JT VOC SD</t>
  </si>
  <si>
    <t>DELAWARE AREA CAREER CENTER JT</t>
  </si>
  <si>
    <t>EASTLAND-FAIRFIELD CAREER/TECH</t>
  </si>
  <si>
    <t>EHOVE JT VOC SD</t>
  </si>
  <si>
    <t>FOUR COUNTY JT VOC SD</t>
  </si>
  <si>
    <t>GALLIA-JACKSON-VINTON JT VOC S</t>
  </si>
  <si>
    <t>GREAT OAKS INST OF TECHNOLOGY</t>
  </si>
  <si>
    <t>GREENE COUNTY JT VOC SD JT VOC</t>
  </si>
  <si>
    <t>JEFFERSON COUNTY JT VOC SD</t>
  </si>
  <si>
    <t>KNOX COUNTY JT VOC SD</t>
  </si>
  <si>
    <t>LAWRENCE COUNTY JT VOC SD</t>
  </si>
  <si>
    <t>LORAIN COUNTY JVS JT VOC SD</t>
  </si>
  <si>
    <t>MAHONING CO CAREER &amp; TECH CTR</t>
  </si>
  <si>
    <t>MAPLEWOOD CAREER CENTER JT VOC</t>
  </si>
  <si>
    <t>MEDINA COUNTY JVSD JT VOC SD</t>
  </si>
  <si>
    <t>MIAMI VALLEY CAREER TECH JT VO</t>
  </si>
  <si>
    <t>MID-EAST CAREER &amp; TECH CENTERS</t>
  </si>
  <si>
    <t>OHIO HI-POINT JT VOC SD</t>
  </si>
  <si>
    <t>PENTA JT VOC SD</t>
  </si>
  <si>
    <t>PICKAWAY-ROSS JVSD JT VOC SD</t>
  </si>
  <si>
    <t>PIKE COUNTY AREA JT VOC SD</t>
  </si>
  <si>
    <t>PIONEER CAREER &amp; TECHNOLOGY JT</t>
  </si>
  <si>
    <t>POLARIS JT VOC SD</t>
  </si>
  <si>
    <t>PORTAGE LAKES JT VOC SD</t>
  </si>
  <si>
    <t>SCIOTO COUNTY CTC JT VOC SD</t>
  </si>
  <si>
    <t>SOUTHERN HILLS JT VOC SD</t>
  </si>
  <si>
    <t>SPRINGFIELD-CLARK COUNTY JT VO</t>
  </si>
  <si>
    <t>STARK COUNTY AREA JT VOC SD</t>
  </si>
  <si>
    <t>TOLLES JT VOC SD</t>
  </si>
  <si>
    <t>TRI-COUNTY CAREER CENTER JT VO</t>
  </si>
  <si>
    <t>TRI-RIVERS JT VOC SD</t>
  </si>
  <si>
    <t>TRUMBULL CAREER &amp; TECH CTR JT</t>
  </si>
  <si>
    <t>U S GRANT JT VOC SD</t>
  </si>
  <si>
    <t>UPPER VALLEY JT VOC SD</t>
  </si>
  <si>
    <t>VANGUARD-SENTINEL JT VOC SD</t>
  </si>
  <si>
    <t>VANTAGE JT VOC SD</t>
  </si>
  <si>
    <t>WARREN COUNTY JT VOC SD</t>
  </si>
  <si>
    <t>WASHINGTON COUNTY JT VOC SD</t>
  </si>
  <si>
    <t>WAYNE COUNTY JVSD JT VOC SD</t>
  </si>
  <si>
    <t>for Joint Vocational School Districts</t>
  </si>
  <si>
    <t>(SORTED BY JVS)</t>
  </si>
  <si>
    <t>Set-aside Calculation for FY 2012 Based on Provisions of Section 3315.18 of Sub. H. B. 30</t>
  </si>
  <si>
    <t>Set-aside Calcuation for FY 2012 Based on Provisions of Section 3315.19</t>
  </si>
  <si>
    <t>of Sub. H. B. 30 for Joint Vocational School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</si>
</sst>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164" fontId="0" fillId="0" borderId="0" xfId="0" applyNumberForma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7"/>
  <sheetViews>
    <sheetView tabSelected="1" workbookViewId="0">
      <selection sqref="A1:E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13.42578125" style="1" bestFit="1" customWidth="1"/>
    <col min="5" max="5" width="15.85546875" style="2" bestFit="1" customWidth="1"/>
    <col min="6" max="6" width="11.140625" bestFit="1" customWidth="1"/>
  </cols>
  <sheetData>
    <row r="1" spans="1:6" x14ac:dyDescent="0.25">
      <c r="A1" s="7" t="s">
        <v>679</v>
      </c>
      <c r="B1" s="7"/>
      <c r="C1" s="7"/>
      <c r="D1" s="7"/>
      <c r="E1" s="7"/>
    </row>
    <row r="3" spans="1:6" x14ac:dyDescent="0.25">
      <c r="A3" s="8" t="s">
        <v>680</v>
      </c>
      <c r="B3" s="8"/>
      <c r="C3" s="8"/>
      <c r="D3" s="8"/>
      <c r="E3" s="8"/>
    </row>
    <row r="4" spans="1:6" x14ac:dyDescent="0.25">
      <c r="A4" s="8" t="s">
        <v>681</v>
      </c>
      <c r="B4" s="8"/>
      <c r="C4" s="8"/>
      <c r="D4" s="8"/>
      <c r="E4" s="8"/>
    </row>
    <row r="6" spans="1:6" x14ac:dyDescent="0.25">
      <c r="A6" s="8" t="s">
        <v>682</v>
      </c>
      <c r="B6" s="8"/>
      <c r="C6" s="8"/>
      <c r="D6" s="8"/>
      <c r="E6" s="8"/>
    </row>
    <row r="7" spans="1:6" x14ac:dyDescent="0.25">
      <c r="D7" s="3"/>
      <c r="E7" s="4"/>
    </row>
    <row r="8" spans="1:6" x14ac:dyDescent="0.25">
      <c r="D8" s="3" t="s">
        <v>697</v>
      </c>
      <c r="E8" s="4"/>
    </row>
    <row r="9" spans="1:6" x14ac:dyDescent="0.25">
      <c r="D9" s="3" t="s">
        <v>698</v>
      </c>
      <c r="E9" s="4"/>
    </row>
    <row r="10" spans="1:6" x14ac:dyDescent="0.25">
      <c r="D10" s="3" t="s">
        <v>699</v>
      </c>
      <c r="E10" s="4" t="s">
        <v>0</v>
      </c>
    </row>
    <row r="11" spans="1:6" x14ac:dyDescent="0.25">
      <c r="D11" s="3" t="s">
        <v>1</v>
      </c>
      <c r="E11" s="4" t="s">
        <v>1</v>
      </c>
    </row>
    <row r="12" spans="1:6" x14ac:dyDescent="0.25">
      <c r="A12" s="5" t="s">
        <v>2</v>
      </c>
      <c r="B12" s="5" t="s">
        <v>3</v>
      </c>
      <c r="C12" s="5" t="s">
        <v>4</v>
      </c>
      <c r="D12" s="3" t="s">
        <v>5</v>
      </c>
      <c r="E12" s="4" t="s">
        <v>6</v>
      </c>
    </row>
    <row r="14" spans="1:6" x14ac:dyDescent="0.25">
      <c r="A14">
        <v>442</v>
      </c>
      <c r="B14" t="s">
        <v>7</v>
      </c>
      <c r="C14" t="s">
        <v>8</v>
      </c>
      <c r="D14" s="1">
        <v>875.08</v>
      </c>
      <c r="E14" s="2">
        <f>D14*5732*0.03</f>
        <v>150478.7568</v>
      </c>
      <c r="F14" s="2" t="s">
        <v>700</v>
      </c>
    </row>
    <row r="15" spans="1:6" x14ac:dyDescent="0.25">
      <c r="A15">
        <v>61903</v>
      </c>
      <c r="B15" t="s">
        <v>9</v>
      </c>
      <c r="C15" t="s">
        <v>8</v>
      </c>
      <c r="D15" s="1">
        <v>3981.5</v>
      </c>
      <c r="E15" s="2">
        <f t="shared" ref="E15:E78" si="0">D15*5732*0.03</f>
        <v>684658.74</v>
      </c>
      <c r="F15" s="2" t="s">
        <v>700</v>
      </c>
    </row>
    <row r="16" spans="1:6" x14ac:dyDescent="0.25">
      <c r="A16">
        <v>43885</v>
      </c>
      <c r="B16" t="s">
        <v>10</v>
      </c>
      <c r="C16" t="s">
        <v>11</v>
      </c>
      <c r="D16" s="1">
        <v>1113.92</v>
      </c>
      <c r="E16" s="2">
        <f t="shared" si="0"/>
        <v>191549.6832</v>
      </c>
      <c r="F16" s="2" t="s">
        <v>700</v>
      </c>
    </row>
    <row r="17" spans="1:6" x14ac:dyDescent="0.25">
      <c r="A17">
        <v>44222</v>
      </c>
      <c r="B17" t="s">
        <v>12</v>
      </c>
      <c r="C17" t="s">
        <v>11</v>
      </c>
      <c r="D17" s="1">
        <v>3969.29</v>
      </c>
      <c r="E17" s="2">
        <f t="shared" si="0"/>
        <v>682559.10840000003</v>
      </c>
      <c r="F17" s="2" t="s">
        <v>700</v>
      </c>
    </row>
    <row r="18" spans="1:6" x14ac:dyDescent="0.25">
      <c r="A18">
        <v>45211</v>
      </c>
      <c r="B18" t="s">
        <v>13</v>
      </c>
      <c r="C18" t="s">
        <v>11</v>
      </c>
      <c r="D18" s="1">
        <v>1150.6199999999999</v>
      </c>
      <c r="E18" s="2">
        <f t="shared" si="0"/>
        <v>197860.61519999997</v>
      </c>
      <c r="F18" s="2" t="s">
        <v>700</v>
      </c>
    </row>
    <row r="19" spans="1:6" x14ac:dyDescent="0.25">
      <c r="A19">
        <v>45757</v>
      </c>
      <c r="B19" t="s">
        <v>14</v>
      </c>
      <c r="C19" t="s">
        <v>11</v>
      </c>
      <c r="D19" s="1">
        <v>1103.94</v>
      </c>
      <c r="E19" s="2">
        <f t="shared" si="0"/>
        <v>189833.52239999999</v>
      </c>
    </row>
    <row r="20" spans="1:6" x14ac:dyDescent="0.25">
      <c r="A20">
        <v>45765</v>
      </c>
      <c r="B20" t="s">
        <v>15</v>
      </c>
      <c r="C20" t="s">
        <v>11</v>
      </c>
      <c r="D20" s="1">
        <v>1883.67</v>
      </c>
      <c r="E20" s="2">
        <f t="shared" si="0"/>
        <v>323915.89320000005</v>
      </c>
    </row>
    <row r="21" spans="1:6" x14ac:dyDescent="0.25">
      <c r="A21">
        <v>45773</v>
      </c>
      <c r="B21" t="s">
        <v>16</v>
      </c>
      <c r="C21" t="s">
        <v>11</v>
      </c>
      <c r="D21" s="1">
        <v>2474</v>
      </c>
      <c r="E21" s="2">
        <f t="shared" si="0"/>
        <v>425429.04</v>
      </c>
    </row>
    <row r="22" spans="1:6" x14ac:dyDescent="0.25">
      <c r="A22">
        <v>45781</v>
      </c>
      <c r="B22" t="s">
        <v>17</v>
      </c>
      <c r="C22" t="s">
        <v>11</v>
      </c>
      <c r="D22" s="1">
        <v>878.75</v>
      </c>
      <c r="E22" s="2">
        <f t="shared" si="0"/>
        <v>151109.85</v>
      </c>
    </row>
    <row r="23" spans="1:6" x14ac:dyDescent="0.25">
      <c r="A23">
        <v>45799</v>
      </c>
      <c r="B23" t="s">
        <v>18</v>
      </c>
      <c r="C23" t="s">
        <v>11</v>
      </c>
      <c r="D23" s="1">
        <v>2524.91</v>
      </c>
      <c r="E23" s="2">
        <f t="shared" si="0"/>
        <v>434183.52359999996</v>
      </c>
    </row>
    <row r="24" spans="1:6" x14ac:dyDescent="0.25">
      <c r="A24">
        <v>45807</v>
      </c>
      <c r="B24" t="s">
        <v>19</v>
      </c>
      <c r="C24" t="s">
        <v>11</v>
      </c>
      <c r="D24" s="1">
        <v>942.35</v>
      </c>
      <c r="E24" s="2">
        <f t="shared" si="0"/>
        <v>162046.50599999999</v>
      </c>
    </row>
    <row r="25" spans="1:6" x14ac:dyDescent="0.25">
      <c r="A25">
        <v>43505</v>
      </c>
      <c r="B25" t="s">
        <v>20</v>
      </c>
      <c r="C25" t="s">
        <v>21</v>
      </c>
      <c r="D25" s="1">
        <v>3419.32</v>
      </c>
      <c r="E25" s="2">
        <f t="shared" si="0"/>
        <v>587986.2672</v>
      </c>
    </row>
    <row r="26" spans="1:6" x14ac:dyDescent="0.25">
      <c r="A26">
        <v>45468</v>
      </c>
      <c r="B26" t="s">
        <v>22</v>
      </c>
      <c r="C26" t="s">
        <v>21</v>
      </c>
      <c r="D26" s="1">
        <v>1164.3499999999999</v>
      </c>
      <c r="E26" s="2">
        <f t="shared" si="0"/>
        <v>200221.62599999996</v>
      </c>
    </row>
    <row r="27" spans="1:6" x14ac:dyDescent="0.25">
      <c r="A27">
        <v>45823</v>
      </c>
      <c r="B27" t="s">
        <v>23</v>
      </c>
      <c r="C27" t="s">
        <v>21</v>
      </c>
      <c r="D27" s="1">
        <v>1059.26</v>
      </c>
      <c r="E27" s="2">
        <f t="shared" si="0"/>
        <v>182150.34960000002</v>
      </c>
    </row>
    <row r="28" spans="1:6" x14ac:dyDescent="0.25">
      <c r="A28">
        <v>45831</v>
      </c>
      <c r="B28" t="s">
        <v>24</v>
      </c>
      <c r="C28" t="s">
        <v>21</v>
      </c>
      <c r="D28" s="1">
        <v>975.6</v>
      </c>
      <c r="E28" s="2">
        <f t="shared" si="0"/>
        <v>167764.17600000001</v>
      </c>
    </row>
    <row r="29" spans="1:6" x14ac:dyDescent="0.25">
      <c r="A29">
        <v>43513</v>
      </c>
      <c r="B29" t="s">
        <v>25</v>
      </c>
      <c r="C29" t="s">
        <v>26</v>
      </c>
      <c r="D29" s="1">
        <v>3931.04</v>
      </c>
      <c r="E29" s="2">
        <f t="shared" si="0"/>
        <v>675981.63840000005</v>
      </c>
    </row>
    <row r="30" spans="1:6" x14ac:dyDescent="0.25">
      <c r="A30">
        <v>43810</v>
      </c>
      <c r="B30" t="s">
        <v>27</v>
      </c>
      <c r="C30" t="s">
        <v>26</v>
      </c>
      <c r="D30" s="1">
        <v>1973.8</v>
      </c>
      <c r="E30" s="2">
        <f t="shared" si="0"/>
        <v>339414.64799999999</v>
      </c>
    </row>
    <row r="31" spans="1:6" x14ac:dyDescent="0.25">
      <c r="A31">
        <v>44057</v>
      </c>
      <c r="B31" t="s">
        <v>28</v>
      </c>
      <c r="C31" t="s">
        <v>26</v>
      </c>
      <c r="D31" s="1">
        <v>2683.61</v>
      </c>
      <c r="E31" s="2">
        <f t="shared" si="0"/>
        <v>461473.57560000004</v>
      </c>
    </row>
    <row r="32" spans="1:6" x14ac:dyDescent="0.25">
      <c r="A32">
        <v>45856</v>
      </c>
      <c r="B32" t="s">
        <v>29</v>
      </c>
      <c r="C32" t="s">
        <v>26</v>
      </c>
      <c r="D32" s="1">
        <v>1988.44</v>
      </c>
      <c r="E32" s="2">
        <f t="shared" si="0"/>
        <v>341932.14240000001</v>
      </c>
    </row>
    <row r="33" spans="1:5" x14ac:dyDescent="0.25">
      <c r="A33">
        <v>45864</v>
      </c>
      <c r="B33" t="s">
        <v>30</v>
      </c>
      <c r="C33" t="s">
        <v>26</v>
      </c>
      <c r="D33" s="1">
        <v>1414.58</v>
      </c>
      <c r="E33" s="2">
        <f t="shared" si="0"/>
        <v>243251.17679999999</v>
      </c>
    </row>
    <row r="34" spans="1:5" x14ac:dyDescent="0.25">
      <c r="A34">
        <v>45872</v>
      </c>
      <c r="B34" t="s">
        <v>31</v>
      </c>
      <c r="C34" t="s">
        <v>26</v>
      </c>
      <c r="D34" s="1">
        <v>1958.74</v>
      </c>
      <c r="E34" s="2">
        <f t="shared" si="0"/>
        <v>336824.93039999995</v>
      </c>
    </row>
    <row r="35" spans="1:5" x14ac:dyDescent="0.25">
      <c r="A35">
        <v>45880</v>
      </c>
      <c r="B35" t="s">
        <v>32</v>
      </c>
      <c r="C35" t="s">
        <v>26</v>
      </c>
      <c r="D35" s="1">
        <v>1372.16</v>
      </c>
      <c r="E35" s="2">
        <f t="shared" si="0"/>
        <v>235956.6336</v>
      </c>
    </row>
    <row r="36" spans="1:5" x14ac:dyDescent="0.25">
      <c r="A36">
        <v>43521</v>
      </c>
      <c r="B36" t="s">
        <v>33</v>
      </c>
      <c r="C36" t="s">
        <v>34</v>
      </c>
      <c r="D36" s="1">
        <v>2712.21</v>
      </c>
      <c r="E36" s="2">
        <f t="shared" si="0"/>
        <v>466391.63160000002</v>
      </c>
    </row>
    <row r="37" spans="1:5" x14ac:dyDescent="0.25">
      <c r="A37">
        <v>44446</v>
      </c>
      <c r="B37" t="s">
        <v>35</v>
      </c>
      <c r="C37" t="s">
        <v>34</v>
      </c>
      <c r="D37" s="1">
        <v>1263.17</v>
      </c>
      <c r="E37" s="2">
        <f t="shared" si="0"/>
        <v>217214.7132</v>
      </c>
    </row>
    <row r="38" spans="1:5" x14ac:dyDescent="0.25">
      <c r="A38">
        <v>45906</v>
      </c>
      <c r="B38" t="s">
        <v>36</v>
      </c>
      <c r="C38" t="s">
        <v>34</v>
      </c>
      <c r="D38" s="1">
        <v>1593.5</v>
      </c>
      <c r="E38" s="2">
        <f t="shared" si="0"/>
        <v>274018.26</v>
      </c>
    </row>
    <row r="39" spans="1:5" x14ac:dyDescent="0.25">
      <c r="A39">
        <v>45914</v>
      </c>
      <c r="B39" t="s">
        <v>37</v>
      </c>
      <c r="C39" t="s">
        <v>34</v>
      </c>
      <c r="D39" s="1">
        <v>1058.46</v>
      </c>
      <c r="E39" s="2">
        <f t="shared" si="0"/>
        <v>182012.78160000002</v>
      </c>
    </row>
    <row r="40" spans="1:5" x14ac:dyDescent="0.25">
      <c r="A40">
        <v>45922</v>
      </c>
      <c r="B40" t="s">
        <v>38</v>
      </c>
      <c r="C40" t="s">
        <v>34</v>
      </c>
      <c r="D40" s="1">
        <v>848.65</v>
      </c>
      <c r="E40" s="2">
        <f t="shared" si="0"/>
        <v>145933.85399999999</v>
      </c>
    </row>
    <row r="41" spans="1:5" x14ac:dyDescent="0.25">
      <c r="A41">
        <v>44727</v>
      </c>
      <c r="B41" t="s">
        <v>39</v>
      </c>
      <c r="C41" t="s">
        <v>40</v>
      </c>
      <c r="D41" s="1">
        <v>2137.75</v>
      </c>
      <c r="E41" s="2">
        <f t="shared" si="0"/>
        <v>367607.49</v>
      </c>
    </row>
    <row r="42" spans="1:5" x14ac:dyDescent="0.25">
      <c r="A42">
        <v>44982</v>
      </c>
      <c r="B42" t="s">
        <v>41</v>
      </c>
      <c r="C42" t="s">
        <v>40</v>
      </c>
      <c r="D42" s="1">
        <v>3018.92</v>
      </c>
      <c r="E42" s="2">
        <f t="shared" si="0"/>
        <v>519133.48320000002</v>
      </c>
    </row>
    <row r="43" spans="1:5" x14ac:dyDescent="0.25">
      <c r="A43">
        <v>45948</v>
      </c>
      <c r="B43" t="s">
        <v>42</v>
      </c>
      <c r="C43" t="s">
        <v>40</v>
      </c>
      <c r="D43" s="1">
        <v>854.46</v>
      </c>
      <c r="E43" s="2">
        <f t="shared" si="0"/>
        <v>146932.94160000002</v>
      </c>
    </row>
    <row r="44" spans="1:5" x14ac:dyDescent="0.25">
      <c r="A44">
        <v>45955</v>
      </c>
      <c r="B44" t="s">
        <v>43</v>
      </c>
      <c r="C44" t="s">
        <v>40</v>
      </c>
      <c r="D44" s="1">
        <v>876.04</v>
      </c>
      <c r="E44" s="2">
        <f t="shared" si="0"/>
        <v>150643.83839999998</v>
      </c>
    </row>
    <row r="45" spans="1:5" x14ac:dyDescent="0.25">
      <c r="A45">
        <v>45963</v>
      </c>
      <c r="B45" t="s">
        <v>44</v>
      </c>
      <c r="C45" t="s">
        <v>40</v>
      </c>
      <c r="D45" s="1">
        <v>445.34</v>
      </c>
      <c r="E45" s="2">
        <f t="shared" si="0"/>
        <v>76580.666399999987</v>
      </c>
    </row>
    <row r="46" spans="1:5" x14ac:dyDescent="0.25">
      <c r="A46">
        <v>45971</v>
      </c>
      <c r="B46" t="s">
        <v>45</v>
      </c>
      <c r="C46" t="s">
        <v>40</v>
      </c>
      <c r="D46" s="1">
        <v>582.79</v>
      </c>
      <c r="E46" s="2">
        <f t="shared" si="0"/>
        <v>100216.56839999999</v>
      </c>
    </row>
    <row r="47" spans="1:5" x14ac:dyDescent="0.25">
      <c r="A47">
        <v>43570</v>
      </c>
      <c r="B47" t="s">
        <v>46</v>
      </c>
      <c r="C47" t="s">
        <v>47</v>
      </c>
      <c r="D47" s="1">
        <v>1309.7</v>
      </c>
      <c r="E47" s="2">
        <f t="shared" si="0"/>
        <v>225216.01200000002</v>
      </c>
    </row>
    <row r="48" spans="1:5" x14ac:dyDescent="0.25">
      <c r="A48">
        <v>44347</v>
      </c>
      <c r="B48" t="s">
        <v>48</v>
      </c>
      <c r="C48" t="s">
        <v>47</v>
      </c>
      <c r="D48" s="1">
        <v>1498.52</v>
      </c>
      <c r="E48" s="2">
        <f t="shared" si="0"/>
        <v>257685.49920000002</v>
      </c>
    </row>
    <row r="49" spans="1:5" x14ac:dyDescent="0.25">
      <c r="A49">
        <v>45997</v>
      </c>
      <c r="B49" t="s">
        <v>49</v>
      </c>
      <c r="C49" t="s">
        <v>47</v>
      </c>
      <c r="D49" s="1">
        <v>1643.44</v>
      </c>
      <c r="E49" s="2">
        <f t="shared" si="0"/>
        <v>282605.9424</v>
      </c>
    </row>
    <row r="50" spans="1:5" x14ac:dyDescent="0.25">
      <c r="A50">
        <v>45203</v>
      </c>
      <c r="B50" t="s">
        <v>50</v>
      </c>
      <c r="C50" t="s">
        <v>47</v>
      </c>
      <c r="D50" s="1">
        <v>1107.25</v>
      </c>
      <c r="E50" s="2">
        <f t="shared" si="0"/>
        <v>190402.71</v>
      </c>
    </row>
    <row r="51" spans="1:5" x14ac:dyDescent="0.25">
      <c r="A51">
        <v>45237</v>
      </c>
      <c r="B51" t="s">
        <v>51</v>
      </c>
      <c r="C51" t="s">
        <v>47</v>
      </c>
      <c r="D51" s="1">
        <v>762.52</v>
      </c>
      <c r="E51" s="2">
        <f t="shared" si="0"/>
        <v>131122.93919999999</v>
      </c>
    </row>
    <row r="52" spans="1:5" x14ac:dyDescent="0.25">
      <c r="A52">
        <v>46003</v>
      </c>
      <c r="B52" t="s">
        <v>52</v>
      </c>
      <c r="C52" t="s">
        <v>47</v>
      </c>
      <c r="D52" s="1">
        <v>818.27</v>
      </c>
      <c r="E52" s="2">
        <f t="shared" si="0"/>
        <v>140709.70919999998</v>
      </c>
    </row>
    <row r="53" spans="1:5" x14ac:dyDescent="0.25">
      <c r="A53">
        <v>46011</v>
      </c>
      <c r="B53" t="s">
        <v>53</v>
      </c>
      <c r="C53" t="s">
        <v>47</v>
      </c>
      <c r="D53" s="1">
        <v>1510.3</v>
      </c>
      <c r="E53" s="2">
        <f t="shared" si="0"/>
        <v>259711.18799999997</v>
      </c>
    </row>
    <row r="54" spans="1:5" x14ac:dyDescent="0.25">
      <c r="A54">
        <v>45377</v>
      </c>
      <c r="B54" t="s">
        <v>54</v>
      </c>
      <c r="C54" t="s">
        <v>55</v>
      </c>
      <c r="D54" s="1">
        <v>1030.6600000000001</v>
      </c>
      <c r="E54" s="2">
        <f t="shared" si="0"/>
        <v>177232.2936</v>
      </c>
    </row>
    <row r="55" spans="1:5" x14ac:dyDescent="0.25">
      <c r="A55">
        <v>46037</v>
      </c>
      <c r="B55" t="s">
        <v>56</v>
      </c>
      <c r="C55" t="s">
        <v>55</v>
      </c>
      <c r="D55" s="1">
        <v>1313.97</v>
      </c>
      <c r="E55" s="2">
        <f t="shared" si="0"/>
        <v>225950.2812</v>
      </c>
    </row>
    <row r="56" spans="1:5" x14ac:dyDescent="0.25">
      <c r="A56">
        <v>46045</v>
      </c>
      <c r="B56" t="s">
        <v>57</v>
      </c>
      <c r="C56" t="s">
        <v>55</v>
      </c>
      <c r="D56" s="1">
        <v>938.68</v>
      </c>
      <c r="E56" s="2">
        <f t="shared" si="0"/>
        <v>161415.41279999999</v>
      </c>
    </row>
    <row r="57" spans="1:5" x14ac:dyDescent="0.25">
      <c r="A57">
        <v>46078</v>
      </c>
      <c r="B57" t="s">
        <v>58</v>
      </c>
      <c r="C57" t="s">
        <v>55</v>
      </c>
      <c r="D57" s="1">
        <v>1108.78</v>
      </c>
      <c r="E57" s="2">
        <f t="shared" si="0"/>
        <v>190665.8088</v>
      </c>
    </row>
    <row r="58" spans="1:5" x14ac:dyDescent="0.25">
      <c r="A58">
        <v>46060</v>
      </c>
      <c r="B58" t="s">
        <v>59</v>
      </c>
      <c r="C58" t="s">
        <v>55</v>
      </c>
      <c r="D58" s="1">
        <v>3313.04</v>
      </c>
      <c r="E58" s="2">
        <f t="shared" si="0"/>
        <v>569710.35840000003</v>
      </c>
    </row>
    <row r="59" spans="1:5" x14ac:dyDescent="0.25">
      <c r="A59">
        <v>46094</v>
      </c>
      <c r="B59" t="s">
        <v>60</v>
      </c>
      <c r="C59" t="s">
        <v>61</v>
      </c>
      <c r="D59" s="1">
        <v>3613.18</v>
      </c>
      <c r="E59" s="2">
        <f t="shared" si="0"/>
        <v>621322.43279999995</v>
      </c>
    </row>
    <row r="60" spans="1:5" x14ac:dyDescent="0.25">
      <c r="A60">
        <v>46102</v>
      </c>
      <c r="B60" t="s">
        <v>62</v>
      </c>
      <c r="C60" t="s">
        <v>61</v>
      </c>
      <c r="D60" s="1">
        <v>9844.98</v>
      </c>
      <c r="E60" s="2">
        <f t="shared" si="0"/>
        <v>1692942.7607999998</v>
      </c>
    </row>
    <row r="61" spans="1:5" x14ac:dyDescent="0.25">
      <c r="A61">
        <v>44107</v>
      </c>
      <c r="B61" t="s">
        <v>63</v>
      </c>
      <c r="C61" t="s">
        <v>61</v>
      </c>
      <c r="D61" s="1">
        <v>9279.33</v>
      </c>
      <c r="E61" s="2">
        <f t="shared" si="0"/>
        <v>1595673.5867999999</v>
      </c>
    </row>
    <row r="62" spans="1:5" x14ac:dyDescent="0.25">
      <c r="A62">
        <v>44404</v>
      </c>
      <c r="B62" t="s">
        <v>64</v>
      </c>
      <c r="C62" t="s">
        <v>61</v>
      </c>
      <c r="D62" s="1">
        <v>6635.38</v>
      </c>
      <c r="E62" s="2">
        <f t="shared" si="0"/>
        <v>1141019.9448000002</v>
      </c>
    </row>
    <row r="63" spans="1:5" x14ac:dyDescent="0.25">
      <c r="A63">
        <v>46151</v>
      </c>
      <c r="B63" t="s">
        <v>65</v>
      </c>
      <c r="C63" t="s">
        <v>61</v>
      </c>
      <c r="D63" s="1">
        <v>3096.84</v>
      </c>
      <c r="E63" s="2">
        <f t="shared" si="0"/>
        <v>532532.60640000005</v>
      </c>
    </row>
    <row r="64" spans="1:5" x14ac:dyDescent="0.25">
      <c r="A64">
        <v>46110</v>
      </c>
      <c r="B64" t="s">
        <v>66</v>
      </c>
      <c r="C64" t="s">
        <v>61</v>
      </c>
      <c r="D64" s="1">
        <v>17989.8</v>
      </c>
      <c r="E64" s="2">
        <f t="shared" si="0"/>
        <v>3093526.0079999999</v>
      </c>
    </row>
    <row r="65" spans="1:5" x14ac:dyDescent="0.25">
      <c r="A65">
        <v>46128</v>
      </c>
      <c r="B65" t="s">
        <v>67</v>
      </c>
      <c r="C65" t="s">
        <v>61</v>
      </c>
      <c r="D65" s="1">
        <v>1581.28</v>
      </c>
      <c r="E65" s="2">
        <f t="shared" si="0"/>
        <v>271916.90879999998</v>
      </c>
    </row>
    <row r="66" spans="1:5" x14ac:dyDescent="0.25">
      <c r="A66">
        <v>139303</v>
      </c>
      <c r="B66" t="s">
        <v>68</v>
      </c>
      <c r="C66" t="s">
        <v>61</v>
      </c>
      <c r="D66" s="1">
        <v>2279.2600000000002</v>
      </c>
      <c r="E66" s="2">
        <f t="shared" si="0"/>
        <v>391941.54960000003</v>
      </c>
    </row>
    <row r="67" spans="1:5" x14ac:dyDescent="0.25">
      <c r="A67">
        <v>46136</v>
      </c>
      <c r="B67" t="s">
        <v>69</v>
      </c>
      <c r="C67" t="s">
        <v>61</v>
      </c>
      <c r="D67" s="1">
        <v>751.75</v>
      </c>
      <c r="E67" s="2">
        <f t="shared" si="0"/>
        <v>129270.93</v>
      </c>
    </row>
    <row r="68" spans="1:5" x14ac:dyDescent="0.25">
      <c r="A68">
        <v>46144</v>
      </c>
      <c r="B68" t="s">
        <v>70</v>
      </c>
      <c r="C68" t="s">
        <v>61</v>
      </c>
      <c r="D68" s="1">
        <v>2869.23</v>
      </c>
      <c r="E68" s="2">
        <f t="shared" si="0"/>
        <v>493392.79079999996</v>
      </c>
    </row>
    <row r="69" spans="1:5" x14ac:dyDescent="0.25">
      <c r="A69">
        <v>45278</v>
      </c>
      <c r="B69" t="s">
        <v>71</v>
      </c>
      <c r="C69" t="s">
        <v>72</v>
      </c>
      <c r="D69" s="1">
        <v>2426</v>
      </c>
      <c r="E69" s="2">
        <f t="shared" si="0"/>
        <v>417174.95999999996</v>
      </c>
    </row>
    <row r="70" spans="1:5" x14ac:dyDescent="0.25">
      <c r="A70">
        <v>46177</v>
      </c>
      <c r="B70" t="s">
        <v>73</v>
      </c>
      <c r="C70" t="s">
        <v>72</v>
      </c>
      <c r="D70" s="1">
        <v>687.13</v>
      </c>
      <c r="E70" s="2">
        <f t="shared" si="0"/>
        <v>118158.87480000001</v>
      </c>
    </row>
    <row r="71" spans="1:5" x14ac:dyDescent="0.25">
      <c r="A71">
        <v>44941</v>
      </c>
      <c r="B71" t="s">
        <v>74</v>
      </c>
      <c r="C71" t="s">
        <v>75</v>
      </c>
      <c r="D71" s="1">
        <v>2176.14</v>
      </c>
      <c r="E71" s="2">
        <f t="shared" si="0"/>
        <v>374209.03439999995</v>
      </c>
    </row>
    <row r="72" spans="1:5" x14ac:dyDescent="0.25">
      <c r="A72">
        <v>45484</v>
      </c>
      <c r="B72" t="s">
        <v>76</v>
      </c>
      <c r="C72" t="s">
        <v>75</v>
      </c>
      <c r="D72" s="1">
        <v>945.66</v>
      </c>
      <c r="E72" s="2">
        <f t="shared" si="0"/>
        <v>162615.6936</v>
      </c>
    </row>
    <row r="73" spans="1:5" x14ac:dyDescent="0.25">
      <c r="A73">
        <v>46193</v>
      </c>
      <c r="B73" t="s">
        <v>77</v>
      </c>
      <c r="C73" t="s">
        <v>75</v>
      </c>
      <c r="D73" s="1">
        <v>2130.4899999999998</v>
      </c>
      <c r="E73" s="2">
        <f t="shared" si="0"/>
        <v>366359.0603999999</v>
      </c>
    </row>
    <row r="74" spans="1:5" x14ac:dyDescent="0.25">
      <c r="A74">
        <v>46201</v>
      </c>
      <c r="B74" t="s">
        <v>78</v>
      </c>
      <c r="C74" t="s">
        <v>75</v>
      </c>
      <c r="D74" s="1">
        <v>1017.94</v>
      </c>
      <c r="E74" s="2">
        <f t="shared" si="0"/>
        <v>175044.96239999999</v>
      </c>
    </row>
    <row r="75" spans="1:5" x14ac:dyDescent="0.25">
      <c r="A75">
        <v>46219</v>
      </c>
      <c r="B75" t="s">
        <v>79</v>
      </c>
      <c r="C75" t="s">
        <v>75</v>
      </c>
      <c r="D75" s="1">
        <v>1221.68</v>
      </c>
      <c r="E75" s="2">
        <f t="shared" si="0"/>
        <v>210080.09280000001</v>
      </c>
    </row>
    <row r="76" spans="1:5" x14ac:dyDescent="0.25">
      <c r="A76">
        <v>44818</v>
      </c>
      <c r="B76" t="s">
        <v>80</v>
      </c>
      <c r="C76" t="s">
        <v>81</v>
      </c>
      <c r="D76" s="1">
        <v>7479.9</v>
      </c>
      <c r="E76" s="2">
        <f t="shared" si="0"/>
        <v>1286243.6039999998</v>
      </c>
    </row>
    <row r="77" spans="1:5" x14ac:dyDescent="0.25">
      <c r="A77">
        <v>46284</v>
      </c>
      <c r="B77" t="s">
        <v>82</v>
      </c>
      <c r="C77" t="s">
        <v>81</v>
      </c>
      <c r="D77" s="1">
        <v>2263.2199999999998</v>
      </c>
      <c r="E77" s="2">
        <f t="shared" si="0"/>
        <v>389183.31119999994</v>
      </c>
    </row>
    <row r="78" spans="1:5" x14ac:dyDescent="0.25">
      <c r="A78">
        <v>46235</v>
      </c>
      <c r="B78" t="s">
        <v>83</v>
      </c>
      <c r="C78" t="s">
        <v>81</v>
      </c>
      <c r="D78" s="1">
        <v>1925.9</v>
      </c>
      <c r="E78" s="2">
        <f t="shared" si="0"/>
        <v>331177.76400000002</v>
      </c>
    </row>
    <row r="79" spans="1:5" x14ac:dyDescent="0.25">
      <c r="A79">
        <v>46250</v>
      </c>
      <c r="B79" t="s">
        <v>84</v>
      </c>
      <c r="C79" t="s">
        <v>81</v>
      </c>
      <c r="D79" s="1">
        <v>3684.91</v>
      </c>
      <c r="E79" s="2">
        <f t="shared" ref="E79:E142" si="1">D79*5732*0.03</f>
        <v>633657.12359999993</v>
      </c>
    </row>
    <row r="80" spans="1:5" x14ac:dyDescent="0.25">
      <c r="A80">
        <v>46268</v>
      </c>
      <c r="B80" t="s">
        <v>85</v>
      </c>
      <c r="C80" t="s">
        <v>81</v>
      </c>
      <c r="D80" s="1">
        <v>1768.57</v>
      </c>
      <c r="E80" s="2">
        <f t="shared" si="1"/>
        <v>304123.29719999997</v>
      </c>
    </row>
    <row r="81" spans="1:5" x14ac:dyDescent="0.25">
      <c r="A81">
        <v>46276</v>
      </c>
      <c r="B81" t="s">
        <v>86</v>
      </c>
      <c r="C81" t="s">
        <v>81</v>
      </c>
      <c r="D81" s="1">
        <v>791.17</v>
      </c>
      <c r="E81" s="2">
        <f t="shared" si="1"/>
        <v>136049.59319999997</v>
      </c>
    </row>
    <row r="82" spans="1:5" x14ac:dyDescent="0.25">
      <c r="A82">
        <v>46243</v>
      </c>
      <c r="B82" t="s">
        <v>87</v>
      </c>
      <c r="C82" t="s">
        <v>81</v>
      </c>
      <c r="D82" s="1">
        <v>3266.09</v>
      </c>
      <c r="E82" s="2">
        <f t="shared" si="1"/>
        <v>561636.83640000003</v>
      </c>
    </row>
    <row r="83" spans="1:5" x14ac:dyDescent="0.25">
      <c r="A83">
        <v>45500</v>
      </c>
      <c r="B83" t="s">
        <v>88</v>
      </c>
      <c r="C83" t="s">
        <v>89</v>
      </c>
      <c r="D83" s="1">
        <v>6371.49</v>
      </c>
      <c r="E83" s="2">
        <f t="shared" si="1"/>
        <v>1095641.4203999999</v>
      </c>
    </row>
    <row r="84" spans="1:5" x14ac:dyDescent="0.25">
      <c r="A84">
        <v>45559</v>
      </c>
      <c r="B84" t="s">
        <v>90</v>
      </c>
      <c r="C84" t="s">
        <v>89</v>
      </c>
      <c r="D84" s="1">
        <v>2419.23</v>
      </c>
      <c r="E84" s="2">
        <f t="shared" si="1"/>
        <v>416010.79079999996</v>
      </c>
    </row>
    <row r="85" spans="1:5" x14ac:dyDescent="0.25">
      <c r="A85">
        <v>46300</v>
      </c>
      <c r="B85" t="s">
        <v>91</v>
      </c>
      <c r="C85" t="s">
        <v>89</v>
      </c>
      <c r="D85" s="1">
        <v>2072.06</v>
      </c>
      <c r="E85" s="2">
        <f t="shared" si="1"/>
        <v>356311.4376</v>
      </c>
    </row>
    <row r="86" spans="1:5" x14ac:dyDescent="0.25">
      <c r="A86">
        <v>46318</v>
      </c>
      <c r="B86" t="s">
        <v>92</v>
      </c>
      <c r="C86" t="s">
        <v>89</v>
      </c>
      <c r="D86" s="1">
        <v>1863.26</v>
      </c>
      <c r="E86" s="2">
        <f t="shared" si="1"/>
        <v>320406.18959999998</v>
      </c>
    </row>
    <row r="87" spans="1:5" x14ac:dyDescent="0.25">
      <c r="A87">
        <v>46326</v>
      </c>
      <c r="B87" t="s">
        <v>93</v>
      </c>
      <c r="C87" t="s">
        <v>89</v>
      </c>
      <c r="D87" s="1">
        <v>1642.1</v>
      </c>
      <c r="E87" s="2">
        <f t="shared" si="1"/>
        <v>282375.51599999995</v>
      </c>
    </row>
    <row r="88" spans="1:5" x14ac:dyDescent="0.25">
      <c r="A88">
        <v>46334</v>
      </c>
      <c r="B88" t="s">
        <v>94</v>
      </c>
      <c r="C88" t="s">
        <v>89</v>
      </c>
      <c r="D88" s="1">
        <v>1031.8599999999999</v>
      </c>
      <c r="E88" s="2">
        <f t="shared" si="1"/>
        <v>177438.64559999999</v>
      </c>
    </row>
    <row r="89" spans="1:5" x14ac:dyDescent="0.25">
      <c r="A89">
        <v>46342</v>
      </c>
      <c r="B89" t="s">
        <v>95</v>
      </c>
      <c r="C89" t="s">
        <v>89</v>
      </c>
      <c r="D89" s="1">
        <v>2619.36</v>
      </c>
      <c r="E89" s="2">
        <f t="shared" si="1"/>
        <v>450425.14560000005</v>
      </c>
    </row>
    <row r="90" spans="1:5" x14ac:dyDescent="0.25">
      <c r="A90">
        <v>46359</v>
      </c>
      <c r="B90" t="s">
        <v>96</v>
      </c>
      <c r="C90" t="s">
        <v>89</v>
      </c>
      <c r="D90" s="1">
        <v>8981.7999999999993</v>
      </c>
      <c r="E90" s="2">
        <f t="shared" si="1"/>
        <v>1544510.3279999997</v>
      </c>
    </row>
    <row r="91" spans="1:5" x14ac:dyDescent="0.25">
      <c r="A91">
        <v>46367</v>
      </c>
      <c r="B91" t="s">
        <v>97</v>
      </c>
      <c r="C91" t="s">
        <v>89</v>
      </c>
      <c r="D91" s="1">
        <v>1038.6400000000001</v>
      </c>
      <c r="E91" s="2">
        <f t="shared" si="1"/>
        <v>178604.5344</v>
      </c>
    </row>
    <row r="92" spans="1:5" x14ac:dyDescent="0.25">
      <c r="A92">
        <v>45112</v>
      </c>
      <c r="B92" t="s">
        <v>98</v>
      </c>
      <c r="C92" t="s">
        <v>99</v>
      </c>
      <c r="D92" s="1">
        <v>3271.19</v>
      </c>
      <c r="E92" s="2">
        <f t="shared" si="1"/>
        <v>562513.83240000007</v>
      </c>
    </row>
    <row r="93" spans="1:5" x14ac:dyDescent="0.25">
      <c r="A93">
        <v>46383</v>
      </c>
      <c r="B93" t="s">
        <v>100</v>
      </c>
      <c r="C93" t="s">
        <v>99</v>
      </c>
      <c r="D93" s="1">
        <v>1698.02</v>
      </c>
      <c r="E93" s="2">
        <f t="shared" si="1"/>
        <v>291991.51919999998</v>
      </c>
    </row>
    <row r="94" spans="1:5" x14ac:dyDescent="0.25">
      <c r="A94">
        <v>46391</v>
      </c>
      <c r="B94" t="s">
        <v>101</v>
      </c>
      <c r="C94" t="s">
        <v>99</v>
      </c>
      <c r="D94" s="1">
        <v>1826.26</v>
      </c>
      <c r="E94" s="2">
        <f t="shared" si="1"/>
        <v>314043.66960000002</v>
      </c>
    </row>
    <row r="95" spans="1:5" x14ac:dyDescent="0.25">
      <c r="A95">
        <v>46409</v>
      </c>
      <c r="B95" t="s">
        <v>102</v>
      </c>
      <c r="C95" t="s">
        <v>99</v>
      </c>
      <c r="D95" s="1">
        <v>1442.01</v>
      </c>
      <c r="E95" s="2">
        <f t="shared" si="1"/>
        <v>247968.03959999999</v>
      </c>
    </row>
    <row r="96" spans="1:5" x14ac:dyDescent="0.25">
      <c r="A96">
        <v>43919</v>
      </c>
      <c r="B96" t="s">
        <v>103</v>
      </c>
      <c r="C96" t="s">
        <v>104</v>
      </c>
      <c r="D96" s="1">
        <v>2194.48</v>
      </c>
      <c r="E96" s="2">
        <f t="shared" si="1"/>
        <v>377362.78079999995</v>
      </c>
    </row>
    <row r="97" spans="1:5" x14ac:dyDescent="0.25">
      <c r="A97">
        <v>43927</v>
      </c>
      <c r="B97" t="s">
        <v>105</v>
      </c>
      <c r="C97" t="s">
        <v>104</v>
      </c>
      <c r="D97" s="1">
        <v>1264.07</v>
      </c>
      <c r="E97" s="2">
        <f t="shared" si="1"/>
        <v>217369.47719999996</v>
      </c>
    </row>
    <row r="98" spans="1:5" x14ac:dyDescent="0.25">
      <c r="A98">
        <v>44735</v>
      </c>
      <c r="B98" t="s">
        <v>106</v>
      </c>
      <c r="C98" t="s">
        <v>104</v>
      </c>
      <c r="D98" s="1">
        <v>2130.41</v>
      </c>
      <c r="E98" s="2">
        <f t="shared" si="1"/>
        <v>366345.30359999998</v>
      </c>
    </row>
    <row r="99" spans="1:5" x14ac:dyDescent="0.25">
      <c r="A99">
        <v>45328</v>
      </c>
      <c r="B99" t="s">
        <v>107</v>
      </c>
      <c r="C99" t="s">
        <v>104</v>
      </c>
      <c r="D99" s="1">
        <v>990.02</v>
      </c>
      <c r="E99" s="2">
        <f t="shared" si="1"/>
        <v>170243.83919999999</v>
      </c>
    </row>
    <row r="100" spans="1:5" x14ac:dyDescent="0.25">
      <c r="A100">
        <v>45443</v>
      </c>
      <c r="B100" t="s">
        <v>108</v>
      </c>
      <c r="C100" t="s">
        <v>104</v>
      </c>
      <c r="D100" s="1">
        <v>746.65</v>
      </c>
      <c r="E100" s="2">
        <f t="shared" si="1"/>
        <v>128393.93399999999</v>
      </c>
    </row>
    <row r="101" spans="1:5" x14ac:dyDescent="0.25">
      <c r="A101">
        <v>45450</v>
      </c>
      <c r="B101" t="s">
        <v>109</v>
      </c>
      <c r="C101" t="s">
        <v>104</v>
      </c>
      <c r="D101" s="1">
        <v>1009.17</v>
      </c>
      <c r="E101" s="2">
        <f t="shared" si="1"/>
        <v>173536.87319999997</v>
      </c>
    </row>
    <row r="102" spans="1:5" x14ac:dyDescent="0.25">
      <c r="A102">
        <v>46425</v>
      </c>
      <c r="B102" t="s">
        <v>110</v>
      </c>
      <c r="C102" t="s">
        <v>104</v>
      </c>
      <c r="D102" s="1">
        <v>2080.2600000000002</v>
      </c>
      <c r="E102" s="2">
        <f t="shared" si="1"/>
        <v>357721.50960000005</v>
      </c>
    </row>
    <row r="103" spans="1:5" x14ac:dyDescent="0.25">
      <c r="A103">
        <v>46433</v>
      </c>
      <c r="B103" t="s">
        <v>111</v>
      </c>
      <c r="C103" t="s">
        <v>104</v>
      </c>
      <c r="D103" s="1">
        <v>1214.52</v>
      </c>
      <c r="E103" s="2">
        <f t="shared" si="1"/>
        <v>208848.85919999998</v>
      </c>
    </row>
    <row r="104" spans="1:5" x14ac:dyDescent="0.25">
      <c r="A104">
        <v>46441</v>
      </c>
      <c r="B104" t="s">
        <v>112</v>
      </c>
      <c r="C104" t="s">
        <v>104</v>
      </c>
      <c r="D104" s="1">
        <v>928.92</v>
      </c>
      <c r="E104" s="2">
        <f t="shared" si="1"/>
        <v>159737.08319999996</v>
      </c>
    </row>
    <row r="105" spans="1:5" x14ac:dyDescent="0.25">
      <c r="A105">
        <v>46458</v>
      </c>
      <c r="B105" t="s">
        <v>113</v>
      </c>
      <c r="C105" t="s">
        <v>104</v>
      </c>
      <c r="D105" s="1">
        <v>1339.51</v>
      </c>
      <c r="E105" s="2">
        <f t="shared" si="1"/>
        <v>230342.13959999999</v>
      </c>
    </row>
    <row r="106" spans="1:5" x14ac:dyDescent="0.25">
      <c r="A106">
        <v>45039</v>
      </c>
      <c r="B106" t="s">
        <v>114</v>
      </c>
      <c r="C106" t="s">
        <v>104</v>
      </c>
      <c r="D106" s="1">
        <v>860.05</v>
      </c>
      <c r="E106" s="2">
        <f t="shared" si="1"/>
        <v>147894.19799999997</v>
      </c>
    </row>
    <row r="107" spans="1:5" x14ac:dyDescent="0.25">
      <c r="A107">
        <v>43828</v>
      </c>
      <c r="B107" t="s">
        <v>115</v>
      </c>
      <c r="C107" t="s">
        <v>116</v>
      </c>
      <c r="D107" s="1">
        <v>1706.27</v>
      </c>
      <c r="E107" s="2">
        <f t="shared" si="1"/>
        <v>293410.18920000002</v>
      </c>
    </row>
    <row r="108" spans="1:5" x14ac:dyDescent="0.25">
      <c r="A108">
        <v>46474</v>
      </c>
      <c r="B108" t="s">
        <v>117</v>
      </c>
      <c r="C108" t="s">
        <v>116</v>
      </c>
      <c r="D108" s="1">
        <v>1355.45</v>
      </c>
      <c r="E108" s="2">
        <f t="shared" si="1"/>
        <v>233083.182</v>
      </c>
    </row>
    <row r="109" spans="1:5" x14ac:dyDescent="0.25">
      <c r="A109">
        <v>46482</v>
      </c>
      <c r="B109" t="s">
        <v>118</v>
      </c>
      <c r="C109" t="s">
        <v>116</v>
      </c>
      <c r="D109" s="1">
        <v>2100.59</v>
      </c>
      <c r="E109" s="2">
        <f t="shared" si="1"/>
        <v>361217.45640000002</v>
      </c>
    </row>
    <row r="110" spans="1:5" x14ac:dyDescent="0.25">
      <c r="A110">
        <v>43687</v>
      </c>
      <c r="B110" t="s">
        <v>119</v>
      </c>
      <c r="C110" t="s">
        <v>120</v>
      </c>
      <c r="D110" s="1">
        <v>1575.28</v>
      </c>
      <c r="E110" s="2">
        <f t="shared" si="1"/>
        <v>270885.14879999997</v>
      </c>
    </row>
    <row r="111" spans="1:5" x14ac:dyDescent="0.25">
      <c r="A111">
        <v>44024</v>
      </c>
      <c r="B111" t="s">
        <v>121</v>
      </c>
      <c r="C111" t="s">
        <v>120</v>
      </c>
      <c r="D111" s="1">
        <v>1951.38</v>
      </c>
      <c r="E111" s="2">
        <f t="shared" si="1"/>
        <v>335559.30479999998</v>
      </c>
    </row>
    <row r="112" spans="1:5" x14ac:dyDescent="0.25">
      <c r="A112">
        <v>45344</v>
      </c>
      <c r="B112" t="s">
        <v>122</v>
      </c>
      <c r="C112" t="s">
        <v>120</v>
      </c>
      <c r="D112" s="1">
        <v>728.18</v>
      </c>
      <c r="E112" s="2">
        <f t="shared" si="1"/>
        <v>125217.83279999999</v>
      </c>
    </row>
    <row r="113" spans="1:5" x14ac:dyDescent="0.25">
      <c r="A113">
        <v>46508</v>
      </c>
      <c r="B113" t="s">
        <v>123</v>
      </c>
      <c r="C113" t="s">
        <v>120</v>
      </c>
      <c r="D113" s="1">
        <v>704.46</v>
      </c>
      <c r="E113" s="2">
        <f t="shared" si="1"/>
        <v>121138.94160000001</v>
      </c>
    </row>
    <row r="114" spans="1:5" x14ac:dyDescent="0.25">
      <c r="A114">
        <v>46516</v>
      </c>
      <c r="B114" t="s">
        <v>124</v>
      </c>
      <c r="C114" t="s">
        <v>120</v>
      </c>
      <c r="D114" s="1">
        <v>918.19</v>
      </c>
      <c r="E114" s="2">
        <f t="shared" si="1"/>
        <v>157891.95240000001</v>
      </c>
    </row>
    <row r="115" spans="1:5" x14ac:dyDescent="0.25">
      <c r="A115">
        <v>46524</v>
      </c>
      <c r="B115" t="s">
        <v>125</v>
      </c>
      <c r="C115" t="s">
        <v>120</v>
      </c>
      <c r="D115" s="1">
        <v>1141.92</v>
      </c>
      <c r="E115" s="2">
        <f t="shared" si="1"/>
        <v>196364.5632</v>
      </c>
    </row>
    <row r="116" spans="1:5" x14ac:dyDescent="0.25">
      <c r="A116">
        <v>43547</v>
      </c>
      <c r="B116" t="s">
        <v>126</v>
      </c>
      <c r="C116" t="s">
        <v>127</v>
      </c>
      <c r="D116" s="1">
        <v>2525.7399999999998</v>
      </c>
      <c r="E116" s="2">
        <f t="shared" si="1"/>
        <v>434326.2503999999</v>
      </c>
    </row>
    <row r="117" spans="1:5" x14ac:dyDescent="0.25">
      <c r="A117">
        <v>43554</v>
      </c>
      <c r="B117" t="s">
        <v>128</v>
      </c>
      <c r="C117" t="s">
        <v>127</v>
      </c>
      <c r="D117" s="1">
        <v>1456.48</v>
      </c>
      <c r="E117" s="2">
        <f t="shared" si="1"/>
        <v>250456.3008</v>
      </c>
    </row>
    <row r="118" spans="1:5" x14ac:dyDescent="0.25">
      <c r="A118">
        <v>43562</v>
      </c>
      <c r="B118" t="s">
        <v>129</v>
      </c>
      <c r="C118" t="s">
        <v>127</v>
      </c>
      <c r="D118" s="1">
        <v>3587.46</v>
      </c>
      <c r="E118" s="2">
        <f t="shared" si="1"/>
        <v>616899.62159999995</v>
      </c>
    </row>
    <row r="119" spans="1:5" x14ac:dyDescent="0.25">
      <c r="A119">
        <v>43612</v>
      </c>
      <c r="B119" t="s">
        <v>130</v>
      </c>
      <c r="C119" t="s">
        <v>127</v>
      </c>
      <c r="D119" s="1">
        <v>6887.44</v>
      </c>
      <c r="E119" s="2">
        <f t="shared" si="1"/>
        <v>1184364.1823999998</v>
      </c>
    </row>
    <row r="120" spans="1:5" x14ac:dyDescent="0.25">
      <c r="A120">
        <v>43646</v>
      </c>
      <c r="B120" t="s">
        <v>131</v>
      </c>
      <c r="C120" t="s">
        <v>127</v>
      </c>
      <c r="D120" s="1">
        <v>4338.6400000000003</v>
      </c>
      <c r="E120" s="2">
        <f t="shared" si="1"/>
        <v>746072.5344</v>
      </c>
    </row>
    <row r="121" spans="1:5" x14ac:dyDescent="0.25">
      <c r="A121">
        <v>43653</v>
      </c>
      <c r="B121" t="s">
        <v>132</v>
      </c>
      <c r="C121" t="s">
        <v>127</v>
      </c>
      <c r="D121" s="1">
        <v>1438.27</v>
      </c>
      <c r="E121" s="2">
        <f t="shared" si="1"/>
        <v>247324.90919999999</v>
      </c>
    </row>
    <row r="122" spans="1:5" x14ac:dyDescent="0.25">
      <c r="A122">
        <v>43794</v>
      </c>
      <c r="B122" t="s">
        <v>133</v>
      </c>
      <c r="C122" t="s">
        <v>127</v>
      </c>
      <c r="D122" s="1">
        <v>5846.49</v>
      </c>
      <c r="E122" s="2">
        <f t="shared" si="1"/>
        <v>1005362.4203999999</v>
      </c>
    </row>
    <row r="123" spans="1:5" x14ac:dyDescent="0.25">
      <c r="A123">
        <v>43786</v>
      </c>
      <c r="B123" t="s">
        <v>134</v>
      </c>
      <c r="C123" t="s">
        <v>127</v>
      </c>
      <c r="D123" s="1">
        <v>43082.34</v>
      </c>
      <c r="E123" s="2">
        <f t="shared" si="1"/>
        <v>7408439.1863999991</v>
      </c>
    </row>
    <row r="124" spans="1:5" x14ac:dyDescent="0.25">
      <c r="A124">
        <v>43901</v>
      </c>
      <c r="B124" t="s">
        <v>135</v>
      </c>
      <c r="C124" t="s">
        <v>127</v>
      </c>
      <c r="D124" s="1">
        <v>3245.84</v>
      </c>
      <c r="E124" s="2">
        <f t="shared" si="1"/>
        <v>558154.64640000009</v>
      </c>
    </row>
    <row r="125" spans="1:5" x14ac:dyDescent="0.25">
      <c r="A125">
        <v>43950</v>
      </c>
      <c r="B125" t="s">
        <v>136</v>
      </c>
      <c r="C125" t="s">
        <v>127</v>
      </c>
      <c r="D125" s="1">
        <v>5541.17</v>
      </c>
      <c r="E125" s="2">
        <f t="shared" si="1"/>
        <v>952859.5932</v>
      </c>
    </row>
    <row r="126" spans="1:5" x14ac:dyDescent="0.25">
      <c r="A126">
        <v>43976</v>
      </c>
      <c r="B126" t="s">
        <v>137</v>
      </c>
      <c r="C126" t="s">
        <v>127</v>
      </c>
      <c r="D126" s="1">
        <v>1696.17</v>
      </c>
      <c r="E126" s="2">
        <f t="shared" si="1"/>
        <v>291673.39320000005</v>
      </c>
    </row>
    <row r="127" spans="1:5" x14ac:dyDescent="0.25">
      <c r="A127">
        <v>44040</v>
      </c>
      <c r="B127" t="s">
        <v>138</v>
      </c>
      <c r="C127" t="s">
        <v>127</v>
      </c>
      <c r="D127" s="1">
        <v>3874.66</v>
      </c>
      <c r="E127" s="2">
        <f t="shared" si="1"/>
        <v>666286.53359999985</v>
      </c>
    </row>
    <row r="128" spans="1:5" x14ac:dyDescent="0.25">
      <c r="A128">
        <v>44198</v>
      </c>
      <c r="B128" t="s">
        <v>139</v>
      </c>
      <c r="C128" t="s">
        <v>127</v>
      </c>
      <c r="D128" s="1">
        <v>5603.92</v>
      </c>
      <c r="E128" s="2">
        <f t="shared" si="1"/>
        <v>963650.08319999999</v>
      </c>
    </row>
    <row r="129" spans="1:5" x14ac:dyDescent="0.25">
      <c r="A129">
        <v>44305</v>
      </c>
      <c r="B129" t="s">
        <v>140</v>
      </c>
      <c r="C129" t="s">
        <v>127</v>
      </c>
      <c r="D129" s="1">
        <v>3780.48</v>
      </c>
      <c r="E129" s="2">
        <f t="shared" si="1"/>
        <v>650091.34080000001</v>
      </c>
    </row>
    <row r="130" spans="1:5" x14ac:dyDescent="0.25">
      <c r="A130">
        <v>44370</v>
      </c>
      <c r="B130" t="s">
        <v>141</v>
      </c>
      <c r="C130" t="s">
        <v>127</v>
      </c>
      <c r="D130" s="1">
        <v>3840.19</v>
      </c>
      <c r="E130" s="2">
        <f t="shared" si="1"/>
        <v>660359.07240000006</v>
      </c>
    </row>
    <row r="131" spans="1:5" x14ac:dyDescent="0.25">
      <c r="A131">
        <v>44529</v>
      </c>
      <c r="B131" t="s">
        <v>142</v>
      </c>
      <c r="C131" t="s">
        <v>127</v>
      </c>
      <c r="D131" s="1">
        <v>4097.6400000000003</v>
      </c>
      <c r="E131" s="2">
        <f t="shared" si="1"/>
        <v>704630.17440000002</v>
      </c>
    </row>
    <row r="132" spans="1:5" x14ac:dyDescent="0.25">
      <c r="A132">
        <v>44545</v>
      </c>
      <c r="B132" t="s">
        <v>143</v>
      </c>
      <c r="C132" t="s">
        <v>127</v>
      </c>
      <c r="D132" s="1">
        <v>4336.8999999999996</v>
      </c>
      <c r="E132" s="2">
        <f t="shared" si="1"/>
        <v>745773.32399999991</v>
      </c>
    </row>
    <row r="133" spans="1:5" x14ac:dyDescent="0.25">
      <c r="A133">
        <v>46573</v>
      </c>
      <c r="B133" t="s">
        <v>144</v>
      </c>
      <c r="C133" t="s">
        <v>127</v>
      </c>
      <c r="D133" s="1">
        <v>3709.88</v>
      </c>
      <c r="E133" s="2">
        <f t="shared" si="1"/>
        <v>637950.96479999996</v>
      </c>
    </row>
    <row r="134" spans="1:5" x14ac:dyDescent="0.25">
      <c r="A134">
        <v>46581</v>
      </c>
      <c r="B134" t="s">
        <v>145</v>
      </c>
      <c r="C134" t="s">
        <v>127</v>
      </c>
      <c r="D134" s="1">
        <v>2196.64</v>
      </c>
      <c r="E134" s="2">
        <f t="shared" si="1"/>
        <v>377734.21439999994</v>
      </c>
    </row>
    <row r="135" spans="1:5" x14ac:dyDescent="0.25">
      <c r="A135">
        <v>44636</v>
      </c>
      <c r="B135" t="s">
        <v>146</v>
      </c>
      <c r="C135" t="s">
        <v>127</v>
      </c>
      <c r="D135" s="1">
        <v>11555.35</v>
      </c>
      <c r="E135" s="2">
        <f t="shared" si="1"/>
        <v>1987057.986</v>
      </c>
    </row>
    <row r="136" spans="1:5" x14ac:dyDescent="0.25">
      <c r="A136">
        <v>44701</v>
      </c>
      <c r="B136" t="s">
        <v>147</v>
      </c>
      <c r="C136" t="s">
        <v>127</v>
      </c>
      <c r="D136" s="1">
        <v>2627.35</v>
      </c>
      <c r="E136" s="2">
        <f t="shared" si="1"/>
        <v>451799.10599999997</v>
      </c>
    </row>
    <row r="137" spans="1:5" x14ac:dyDescent="0.25">
      <c r="A137">
        <v>44750</v>
      </c>
      <c r="B137" t="s">
        <v>148</v>
      </c>
      <c r="C137" t="s">
        <v>127</v>
      </c>
      <c r="D137" s="1">
        <v>5406.94</v>
      </c>
      <c r="E137" s="2">
        <f t="shared" si="1"/>
        <v>929777.4023999999</v>
      </c>
    </row>
    <row r="138" spans="1:5" x14ac:dyDescent="0.25">
      <c r="A138">
        <v>46607</v>
      </c>
      <c r="B138" t="s">
        <v>149</v>
      </c>
      <c r="C138" t="s">
        <v>127</v>
      </c>
      <c r="D138" s="1">
        <v>5087.2</v>
      </c>
      <c r="E138" s="2">
        <f t="shared" si="1"/>
        <v>874794.91199999989</v>
      </c>
    </row>
    <row r="139" spans="1:5" x14ac:dyDescent="0.25">
      <c r="A139">
        <v>44792</v>
      </c>
      <c r="B139" t="s">
        <v>150</v>
      </c>
      <c r="C139" t="s">
        <v>127</v>
      </c>
      <c r="D139" s="1">
        <v>4252.3900000000003</v>
      </c>
      <c r="E139" s="2">
        <f t="shared" si="1"/>
        <v>731240.98439999996</v>
      </c>
    </row>
    <row r="140" spans="1:5" x14ac:dyDescent="0.25">
      <c r="A140">
        <v>44842</v>
      </c>
      <c r="B140" t="s">
        <v>151</v>
      </c>
      <c r="C140" t="s">
        <v>127</v>
      </c>
      <c r="D140" s="1">
        <v>6658.17</v>
      </c>
      <c r="E140" s="2">
        <f t="shared" si="1"/>
        <v>1144938.9131999998</v>
      </c>
    </row>
    <row r="141" spans="1:5" x14ac:dyDescent="0.25">
      <c r="A141">
        <v>45005</v>
      </c>
      <c r="B141" t="s">
        <v>152</v>
      </c>
      <c r="C141" t="s">
        <v>127</v>
      </c>
      <c r="D141" s="1">
        <v>2008.51</v>
      </c>
      <c r="E141" s="2">
        <f t="shared" si="1"/>
        <v>345383.37959999999</v>
      </c>
    </row>
    <row r="142" spans="1:5" x14ac:dyDescent="0.25">
      <c r="A142">
        <v>45062</v>
      </c>
      <c r="B142" t="s">
        <v>153</v>
      </c>
      <c r="C142" t="s">
        <v>127</v>
      </c>
      <c r="D142" s="1">
        <v>3906.92</v>
      </c>
      <c r="E142" s="2">
        <f t="shared" si="1"/>
        <v>671833.9632</v>
      </c>
    </row>
    <row r="143" spans="1:5" x14ac:dyDescent="0.25">
      <c r="A143">
        <v>45286</v>
      </c>
      <c r="B143" t="s">
        <v>154</v>
      </c>
      <c r="C143" t="s">
        <v>127</v>
      </c>
      <c r="D143" s="1">
        <v>1936.57</v>
      </c>
      <c r="E143" s="2">
        <f t="shared" ref="E143:E206" si="2">D143*5732*0.03</f>
        <v>333012.5772</v>
      </c>
    </row>
    <row r="144" spans="1:5" x14ac:dyDescent="0.25">
      <c r="A144">
        <v>46557</v>
      </c>
      <c r="B144" t="s">
        <v>155</v>
      </c>
      <c r="C144" t="s">
        <v>127</v>
      </c>
      <c r="D144" s="1">
        <v>899.72</v>
      </c>
      <c r="E144" s="2">
        <f t="shared" si="2"/>
        <v>154715.8512</v>
      </c>
    </row>
    <row r="145" spans="1:5" x14ac:dyDescent="0.25">
      <c r="A145">
        <v>46565</v>
      </c>
      <c r="B145" t="s">
        <v>156</v>
      </c>
      <c r="C145" t="s">
        <v>127</v>
      </c>
      <c r="D145" s="1">
        <v>1091.49</v>
      </c>
      <c r="E145" s="2">
        <f t="shared" si="2"/>
        <v>187692.62039999999</v>
      </c>
    </row>
    <row r="146" spans="1:5" x14ac:dyDescent="0.25">
      <c r="A146">
        <v>46599</v>
      </c>
      <c r="B146" t="s">
        <v>157</v>
      </c>
      <c r="C146" t="s">
        <v>127</v>
      </c>
      <c r="D146" s="1">
        <v>917.73</v>
      </c>
      <c r="E146" s="2">
        <f t="shared" si="2"/>
        <v>157812.85080000001</v>
      </c>
    </row>
    <row r="147" spans="1:5" x14ac:dyDescent="0.25">
      <c r="A147">
        <v>44099</v>
      </c>
      <c r="B147" t="s">
        <v>158</v>
      </c>
      <c r="C147" t="s">
        <v>159</v>
      </c>
      <c r="D147" s="1">
        <v>2745.28</v>
      </c>
      <c r="E147" s="2">
        <f t="shared" si="2"/>
        <v>472078.34880000004</v>
      </c>
    </row>
    <row r="148" spans="1:5" x14ac:dyDescent="0.25">
      <c r="A148">
        <v>45633</v>
      </c>
      <c r="B148" t="s">
        <v>160</v>
      </c>
      <c r="C148" t="s">
        <v>159</v>
      </c>
      <c r="D148" s="1">
        <v>1381.72</v>
      </c>
      <c r="E148" s="2">
        <f t="shared" si="2"/>
        <v>237600.57120000001</v>
      </c>
    </row>
    <row r="149" spans="1:5" x14ac:dyDescent="0.25">
      <c r="A149">
        <v>46623</v>
      </c>
      <c r="B149" t="s">
        <v>161</v>
      </c>
      <c r="C149" t="s">
        <v>159</v>
      </c>
      <c r="D149" s="1">
        <v>693.13</v>
      </c>
      <c r="E149" s="2">
        <f t="shared" si="2"/>
        <v>119190.6348</v>
      </c>
    </row>
    <row r="150" spans="1:5" x14ac:dyDescent="0.25">
      <c r="A150">
        <v>46631</v>
      </c>
      <c r="B150" t="s">
        <v>162</v>
      </c>
      <c r="C150" t="s">
        <v>159</v>
      </c>
      <c r="D150" s="1">
        <v>1018.98</v>
      </c>
      <c r="E150" s="2">
        <f t="shared" si="2"/>
        <v>175223.8008</v>
      </c>
    </row>
    <row r="151" spans="1:5" x14ac:dyDescent="0.25">
      <c r="A151">
        <v>46649</v>
      </c>
      <c r="B151" t="s">
        <v>163</v>
      </c>
      <c r="C151" t="s">
        <v>159</v>
      </c>
      <c r="D151" s="1">
        <v>776.46</v>
      </c>
      <c r="E151" s="2">
        <f t="shared" si="2"/>
        <v>133520.06160000002</v>
      </c>
    </row>
    <row r="152" spans="1:5" x14ac:dyDescent="0.25">
      <c r="A152">
        <v>46672</v>
      </c>
      <c r="B152" t="s">
        <v>164</v>
      </c>
      <c r="C152" t="s">
        <v>159</v>
      </c>
      <c r="D152" s="1">
        <v>685.21</v>
      </c>
      <c r="E152" s="2">
        <f t="shared" si="2"/>
        <v>117828.7116</v>
      </c>
    </row>
    <row r="153" spans="1:5" x14ac:dyDescent="0.25">
      <c r="A153">
        <v>46680</v>
      </c>
      <c r="B153" t="s">
        <v>165</v>
      </c>
      <c r="C153" t="s">
        <v>159</v>
      </c>
      <c r="D153" s="1">
        <v>771.38</v>
      </c>
      <c r="E153" s="2">
        <f t="shared" si="2"/>
        <v>132646.5048</v>
      </c>
    </row>
    <row r="154" spans="1:5" x14ac:dyDescent="0.25">
      <c r="A154">
        <v>43869</v>
      </c>
      <c r="B154" t="s">
        <v>166</v>
      </c>
      <c r="C154" t="s">
        <v>167</v>
      </c>
      <c r="D154" s="1">
        <v>2568.14</v>
      </c>
      <c r="E154" s="2">
        <f t="shared" si="2"/>
        <v>441617.35439999995</v>
      </c>
    </row>
    <row r="155" spans="1:5" x14ac:dyDescent="0.25">
      <c r="A155">
        <v>45419</v>
      </c>
      <c r="B155" t="s">
        <v>168</v>
      </c>
      <c r="C155" t="s">
        <v>167</v>
      </c>
      <c r="D155" s="1">
        <v>995.28</v>
      </c>
      <c r="E155" s="2">
        <f t="shared" si="2"/>
        <v>171148.34880000001</v>
      </c>
    </row>
    <row r="156" spans="1:5" x14ac:dyDescent="0.25">
      <c r="A156">
        <v>46706</v>
      </c>
      <c r="B156" t="s">
        <v>169</v>
      </c>
      <c r="C156" t="s">
        <v>167</v>
      </c>
      <c r="D156" s="1">
        <v>811.52</v>
      </c>
      <c r="E156" s="2">
        <f t="shared" si="2"/>
        <v>139548.97919999997</v>
      </c>
    </row>
    <row r="157" spans="1:5" x14ac:dyDescent="0.25">
      <c r="A157">
        <v>46714</v>
      </c>
      <c r="B157" t="s">
        <v>170</v>
      </c>
      <c r="C157" t="s">
        <v>167</v>
      </c>
      <c r="D157" s="1">
        <v>1190.1099999999999</v>
      </c>
      <c r="E157" s="2">
        <f t="shared" si="2"/>
        <v>204651.31559999997</v>
      </c>
    </row>
    <row r="158" spans="1:5" x14ac:dyDescent="0.25">
      <c r="A158">
        <v>46722</v>
      </c>
      <c r="B158" t="s">
        <v>84</v>
      </c>
      <c r="C158" t="s">
        <v>167</v>
      </c>
      <c r="D158" s="1">
        <v>1136.57</v>
      </c>
      <c r="E158" s="2">
        <f t="shared" si="2"/>
        <v>195444.57719999997</v>
      </c>
    </row>
    <row r="159" spans="1:5" x14ac:dyDescent="0.25">
      <c r="A159">
        <v>43877</v>
      </c>
      <c r="B159" t="s">
        <v>171</v>
      </c>
      <c r="C159" t="s">
        <v>172</v>
      </c>
      <c r="D159" s="1">
        <v>5017.01</v>
      </c>
      <c r="E159" s="2">
        <f t="shared" si="2"/>
        <v>862725.03960000002</v>
      </c>
    </row>
    <row r="160" spans="1:5" x14ac:dyDescent="0.25">
      <c r="A160">
        <v>46748</v>
      </c>
      <c r="B160" t="s">
        <v>173</v>
      </c>
      <c r="C160" t="s">
        <v>172</v>
      </c>
      <c r="D160" s="1">
        <v>2904.22</v>
      </c>
      <c r="E160" s="2">
        <f t="shared" si="2"/>
        <v>499409.67119999998</v>
      </c>
    </row>
    <row r="161" spans="1:5" x14ac:dyDescent="0.25">
      <c r="A161">
        <v>46755</v>
      </c>
      <c r="B161" t="s">
        <v>174</v>
      </c>
      <c r="C161" t="s">
        <v>172</v>
      </c>
      <c r="D161" s="1">
        <v>2369.08</v>
      </c>
      <c r="E161" s="2">
        <f t="shared" si="2"/>
        <v>407386.99679999996</v>
      </c>
    </row>
    <row r="162" spans="1:5" x14ac:dyDescent="0.25">
      <c r="A162">
        <v>46763</v>
      </c>
      <c r="B162" t="s">
        <v>175</v>
      </c>
      <c r="C162" t="s">
        <v>172</v>
      </c>
      <c r="D162" s="1">
        <v>15805.81</v>
      </c>
      <c r="E162" s="2">
        <f t="shared" si="2"/>
        <v>2717967.0875999997</v>
      </c>
    </row>
    <row r="163" spans="1:5" x14ac:dyDescent="0.25">
      <c r="A163">
        <v>44131</v>
      </c>
      <c r="B163" t="s">
        <v>176</v>
      </c>
      <c r="C163" t="s">
        <v>177</v>
      </c>
      <c r="D163" s="1">
        <v>1481.24</v>
      </c>
      <c r="E163" s="2">
        <f t="shared" si="2"/>
        <v>254714.03039999999</v>
      </c>
    </row>
    <row r="164" spans="1:5" x14ac:dyDescent="0.25">
      <c r="A164">
        <v>44743</v>
      </c>
      <c r="B164" t="s">
        <v>178</v>
      </c>
      <c r="C164" t="s">
        <v>177</v>
      </c>
      <c r="D164" s="1">
        <v>3268.18</v>
      </c>
      <c r="E164" s="2">
        <f t="shared" si="2"/>
        <v>561996.23279999988</v>
      </c>
    </row>
    <row r="165" spans="1:5" x14ac:dyDescent="0.25">
      <c r="A165">
        <v>46789</v>
      </c>
      <c r="B165" t="s">
        <v>179</v>
      </c>
      <c r="C165" t="s">
        <v>177</v>
      </c>
      <c r="D165" s="1">
        <v>1588.78</v>
      </c>
      <c r="E165" s="2">
        <f t="shared" si="2"/>
        <v>273206.60879999999</v>
      </c>
    </row>
    <row r="166" spans="1:5" x14ac:dyDescent="0.25">
      <c r="A166">
        <v>46797</v>
      </c>
      <c r="B166" t="s">
        <v>180</v>
      </c>
      <c r="C166" t="s">
        <v>177</v>
      </c>
      <c r="D166" s="1">
        <v>13</v>
      </c>
      <c r="E166" s="2">
        <f t="shared" si="2"/>
        <v>2235.48</v>
      </c>
    </row>
    <row r="167" spans="1:5" x14ac:dyDescent="0.25">
      <c r="A167">
        <v>46805</v>
      </c>
      <c r="B167" t="s">
        <v>181</v>
      </c>
      <c r="C167" t="s">
        <v>177</v>
      </c>
      <c r="D167" s="1">
        <v>1219.25</v>
      </c>
      <c r="E167" s="2">
        <f t="shared" si="2"/>
        <v>209662.22999999998</v>
      </c>
    </row>
    <row r="168" spans="1:5" x14ac:dyDescent="0.25">
      <c r="A168">
        <v>46813</v>
      </c>
      <c r="B168" t="s">
        <v>182</v>
      </c>
      <c r="C168" t="s">
        <v>177</v>
      </c>
      <c r="D168" s="1">
        <v>2342.39</v>
      </c>
      <c r="E168" s="2">
        <f t="shared" si="2"/>
        <v>402797.38439999992</v>
      </c>
    </row>
    <row r="169" spans="1:5" x14ac:dyDescent="0.25">
      <c r="A169">
        <v>46821</v>
      </c>
      <c r="B169" t="s">
        <v>183</v>
      </c>
      <c r="C169" t="s">
        <v>177</v>
      </c>
      <c r="D169" s="1">
        <v>2287.6</v>
      </c>
      <c r="E169" s="2">
        <f t="shared" si="2"/>
        <v>393375.69599999994</v>
      </c>
    </row>
    <row r="170" spans="1:5" x14ac:dyDescent="0.25">
      <c r="A170">
        <v>44206</v>
      </c>
      <c r="B170" t="s">
        <v>184</v>
      </c>
      <c r="C170" t="s">
        <v>185</v>
      </c>
      <c r="D170" s="1">
        <v>5839.19</v>
      </c>
      <c r="E170" s="2">
        <f t="shared" si="2"/>
        <v>1004107.1123999999</v>
      </c>
    </row>
    <row r="171" spans="1:5" x14ac:dyDescent="0.25">
      <c r="A171">
        <v>46847</v>
      </c>
      <c r="B171" t="s">
        <v>186</v>
      </c>
      <c r="C171" t="s">
        <v>185</v>
      </c>
      <c r="D171" s="1">
        <v>1695.89</v>
      </c>
      <c r="E171" s="2">
        <f t="shared" si="2"/>
        <v>291625.24440000003</v>
      </c>
    </row>
    <row r="172" spans="1:5" x14ac:dyDescent="0.25">
      <c r="A172">
        <v>46854</v>
      </c>
      <c r="B172" t="s">
        <v>187</v>
      </c>
      <c r="C172" t="s">
        <v>185</v>
      </c>
      <c r="D172" s="1">
        <v>908.18</v>
      </c>
      <c r="E172" s="2">
        <f t="shared" si="2"/>
        <v>156170.63279999999</v>
      </c>
    </row>
    <row r="173" spans="1:5" x14ac:dyDescent="0.25">
      <c r="A173">
        <v>46862</v>
      </c>
      <c r="B173" t="s">
        <v>188</v>
      </c>
      <c r="C173" t="s">
        <v>185</v>
      </c>
      <c r="D173" s="1">
        <v>1706.98</v>
      </c>
      <c r="E173" s="2">
        <f t="shared" si="2"/>
        <v>293532.28079999995</v>
      </c>
    </row>
    <row r="174" spans="1:5" x14ac:dyDescent="0.25">
      <c r="A174">
        <v>46870</v>
      </c>
      <c r="B174" t="s">
        <v>189</v>
      </c>
      <c r="C174" t="s">
        <v>185</v>
      </c>
      <c r="D174" s="1">
        <v>2039.12</v>
      </c>
      <c r="E174" s="2">
        <f t="shared" si="2"/>
        <v>350647.07519999996</v>
      </c>
    </row>
    <row r="175" spans="1:5" x14ac:dyDescent="0.25">
      <c r="A175">
        <v>46888</v>
      </c>
      <c r="B175" t="s">
        <v>190</v>
      </c>
      <c r="C175" t="s">
        <v>185</v>
      </c>
      <c r="D175" s="1">
        <v>1393.22</v>
      </c>
      <c r="E175" s="2">
        <f t="shared" si="2"/>
        <v>239578.11119999998</v>
      </c>
    </row>
    <row r="176" spans="1:5" x14ac:dyDescent="0.25">
      <c r="A176">
        <v>46896</v>
      </c>
      <c r="B176" t="s">
        <v>191</v>
      </c>
      <c r="C176" t="s">
        <v>185</v>
      </c>
      <c r="D176" s="1">
        <v>10600.3</v>
      </c>
      <c r="E176" s="2">
        <f t="shared" si="2"/>
        <v>1822827.5879999998</v>
      </c>
    </row>
    <row r="177" spans="1:5" x14ac:dyDescent="0.25">
      <c r="A177">
        <v>46904</v>
      </c>
      <c r="B177" t="s">
        <v>192</v>
      </c>
      <c r="C177" t="s">
        <v>185</v>
      </c>
      <c r="D177" s="1">
        <v>628.04</v>
      </c>
      <c r="E177" s="2">
        <f t="shared" si="2"/>
        <v>107997.75839999999</v>
      </c>
    </row>
    <row r="178" spans="1:5" x14ac:dyDescent="0.25">
      <c r="A178">
        <v>45013</v>
      </c>
      <c r="B178" t="s">
        <v>193</v>
      </c>
      <c r="C178" t="s">
        <v>194</v>
      </c>
      <c r="D178" s="1">
        <v>2337.21</v>
      </c>
      <c r="E178" s="2">
        <f t="shared" si="2"/>
        <v>401906.63160000002</v>
      </c>
    </row>
    <row r="179" spans="1:5" x14ac:dyDescent="0.25">
      <c r="A179">
        <v>46920</v>
      </c>
      <c r="B179" t="s">
        <v>195</v>
      </c>
      <c r="C179" t="s">
        <v>194</v>
      </c>
      <c r="D179" s="1">
        <v>2429.65</v>
      </c>
      <c r="E179" s="2">
        <f t="shared" si="2"/>
        <v>417802.614</v>
      </c>
    </row>
    <row r="180" spans="1:5" x14ac:dyDescent="0.25">
      <c r="A180">
        <v>43620</v>
      </c>
      <c r="B180" t="s">
        <v>196</v>
      </c>
      <c r="C180" t="s">
        <v>197</v>
      </c>
      <c r="D180" s="1">
        <v>2106.98</v>
      </c>
      <c r="E180" s="2">
        <f t="shared" si="2"/>
        <v>362316.28079999995</v>
      </c>
    </row>
    <row r="181" spans="1:5" x14ac:dyDescent="0.25">
      <c r="A181">
        <v>43802</v>
      </c>
      <c r="B181" t="s">
        <v>198</v>
      </c>
      <c r="C181" t="s">
        <v>197</v>
      </c>
      <c r="D181" s="1">
        <v>48825.41</v>
      </c>
      <c r="E181" s="2">
        <f t="shared" si="2"/>
        <v>8396017.5035999995</v>
      </c>
    </row>
    <row r="182" spans="1:5" x14ac:dyDescent="0.25">
      <c r="A182">
        <v>47027</v>
      </c>
      <c r="B182" t="s">
        <v>199</v>
      </c>
      <c r="C182" t="s">
        <v>197</v>
      </c>
      <c r="D182" s="1">
        <v>13967.71</v>
      </c>
      <c r="E182" s="2">
        <f t="shared" si="2"/>
        <v>2401887.4115999998</v>
      </c>
    </row>
    <row r="183" spans="1:5" x14ac:dyDescent="0.25">
      <c r="A183">
        <v>46961</v>
      </c>
      <c r="B183" t="s">
        <v>200</v>
      </c>
      <c r="C183" t="s">
        <v>197</v>
      </c>
      <c r="D183" s="1">
        <v>7080.99</v>
      </c>
      <c r="E183" s="2">
        <f t="shared" si="2"/>
        <v>1217647.0404000001</v>
      </c>
    </row>
    <row r="184" spans="1:5" x14ac:dyDescent="0.25">
      <c r="A184">
        <v>44073</v>
      </c>
      <c r="B184" t="s">
        <v>201</v>
      </c>
      <c r="C184" t="s">
        <v>197</v>
      </c>
      <c r="D184" s="1">
        <v>1086.58</v>
      </c>
      <c r="E184" s="2">
        <f t="shared" si="2"/>
        <v>186848.29679999998</v>
      </c>
    </row>
    <row r="185" spans="1:5" x14ac:dyDescent="0.25">
      <c r="A185">
        <v>47019</v>
      </c>
      <c r="B185" t="s">
        <v>202</v>
      </c>
      <c r="C185" t="s">
        <v>197</v>
      </c>
      <c r="D185" s="1">
        <v>15263.64</v>
      </c>
      <c r="E185" s="2">
        <f t="shared" si="2"/>
        <v>2624735.5343999998</v>
      </c>
    </row>
    <row r="186" spans="1:5" x14ac:dyDescent="0.25">
      <c r="A186">
        <v>47001</v>
      </c>
      <c r="B186" t="s">
        <v>203</v>
      </c>
      <c r="C186" t="s">
        <v>197</v>
      </c>
      <c r="D186" s="1">
        <v>5832.83</v>
      </c>
      <c r="E186" s="2">
        <f t="shared" si="2"/>
        <v>1003013.4467999999</v>
      </c>
    </row>
    <row r="187" spans="1:5" x14ac:dyDescent="0.25">
      <c r="A187">
        <v>44800</v>
      </c>
      <c r="B187" t="s">
        <v>204</v>
      </c>
      <c r="C187" t="s">
        <v>197</v>
      </c>
      <c r="D187" s="1">
        <v>19970</v>
      </c>
      <c r="E187" s="2">
        <f t="shared" si="2"/>
        <v>3434041.1999999997</v>
      </c>
    </row>
    <row r="188" spans="1:5" x14ac:dyDescent="0.25">
      <c r="A188">
        <v>44933</v>
      </c>
      <c r="B188" t="s">
        <v>205</v>
      </c>
      <c r="C188" t="s">
        <v>197</v>
      </c>
      <c r="D188" s="1">
        <v>5286.88</v>
      </c>
      <c r="E188" s="2">
        <f t="shared" si="2"/>
        <v>909131.8848</v>
      </c>
    </row>
    <row r="189" spans="1:5" x14ac:dyDescent="0.25">
      <c r="A189">
        <v>45047</v>
      </c>
      <c r="B189" t="s">
        <v>206</v>
      </c>
      <c r="C189" t="s">
        <v>197</v>
      </c>
      <c r="D189" s="1">
        <v>14460.78</v>
      </c>
      <c r="E189" s="2">
        <f t="shared" si="2"/>
        <v>2486675.7288000002</v>
      </c>
    </row>
    <row r="190" spans="1:5" x14ac:dyDescent="0.25">
      <c r="A190">
        <v>45070</v>
      </c>
      <c r="B190" t="s">
        <v>207</v>
      </c>
      <c r="C190" t="s">
        <v>197</v>
      </c>
      <c r="D190" s="1">
        <v>2792.88</v>
      </c>
      <c r="E190" s="2">
        <f t="shared" si="2"/>
        <v>480263.64480000001</v>
      </c>
    </row>
    <row r="191" spans="1:5" x14ac:dyDescent="0.25">
      <c r="A191">
        <v>45138</v>
      </c>
      <c r="B191" t="s">
        <v>208</v>
      </c>
      <c r="C191" t="s">
        <v>197</v>
      </c>
      <c r="D191" s="1">
        <v>9179.93</v>
      </c>
      <c r="E191" s="2">
        <f t="shared" si="2"/>
        <v>1578580.7628000001</v>
      </c>
    </row>
    <row r="192" spans="1:5" x14ac:dyDescent="0.25">
      <c r="A192">
        <v>46946</v>
      </c>
      <c r="B192" t="s">
        <v>209</v>
      </c>
      <c r="C192" t="s">
        <v>197</v>
      </c>
      <c r="D192" s="1">
        <v>3575.22</v>
      </c>
      <c r="E192" s="2">
        <f t="shared" si="2"/>
        <v>614794.8311999999</v>
      </c>
    </row>
    <row r="193" spans="1:5" x14ac:dyDescent="0.25">
      <c r="A193">
        <v>46979</v>
      </c>
      <c r="B193" t="s">
        <v>210</v>
      </c>
      <c r="C193" t="s">
        <v>197</v>
      </c>
      <c r="D193" s="1">
        <v>5589.79</v>
      </c>
      <c r="E193" s="2">
        <f t="shared" si="2"/>
        <v>961220.28839999996</v>
      </c>
    </row>
    <row r="194" spans="1:5" x14ac:dyDescent="0.25">
      <c r="A194">
        <v>46953</v>
      </c>
      <c r="B194" t="s">
        <v>211</v>
      </c>
      <c r="C194" t="s">
        <v>197</v>
      </c>
      <c r="D194" s="1">
        <v>3081.49</v>
      </c>
      <c r="E194" s="2">
        <f t="shared" si="2"/>
        <v>529893.02039999992</v>
      </c>
    </row>
    <row r="195" spans="1:5" x14ac:dyDescent="0.25">
      <c r="A195">
        <v>46995</v>
      </c>
      <c r="B195" t="s">
        <v>212</v>
      </c>
      <c r="C195" t="s">
        <v>197</v>
      </c>
      <c r="D195" s="1">
        <v>4401.79</v>
      </c>
      <c r="E195" s="2">
        <f t="shared" si="2"/>
        <v>756931.80839999998</v>
      </c>
    </row>
    <row r="196" spans="1:5" x14ac:dyDescent="0.25">
      <c r="A196">
        <v>45641</v>
      </c>
      <c r="B196" t="s">
        <v>213</v>
      </c>
      <c r="C196" t="s">
        <v>214</v>
      </c>
      <c r="D196" s="1">
        <v>1952.44</v>
      </c>
      <c r="E196" s="2">
        <f t="shared" si="2"/>
        <v>335741.58240000001</v>
      </c>
    </row>
    <row r="197" spans="1:5" x14ac:dyDescent="0.25">
      <c r="A197">
        <v>47043</v>
      </c>
      <c r="B197" t="s">
        <v>215</v>
      </c>
      <c r="C197" t="s">
        <v>214</v>
      </c>
      <c r="D197" s="1">
        <v>1282.42</v>
      </c>
      <c r="E197" s="2">
        <f t="shared" si="2"/>
        <v>220524.94320000001</v>
      </c>
    </row>
    <row r="198" spans="1:5" x14ac:dyDescent="0.25">
      <c r="A198">
        <v>47050</v>
      </c>
      <c r="B198" t="s">
        <v>216</v>
      </c>
      <c r="C198" t="s">
        <v>214</v>
      </c>
      <c r="D198" s="1">
        <v>1248.1600000000001</v>
      </c>
      <c r="E198" s="2">
        <f t="shared" si="2"/>
        <v>214633.59359999999</v>
      </c>
    </row>
    <row r="199" spans="1:5" x14ac:dyDescent="0.25">
      <c r="A199">
        <v>47068</v>
      </c>
      <c r="B199" t="s">
        <v>217</v>
      </c>
      <c r="C199" t="s">
        <v>214</v>
      </c>
      <c r="D199" s="1">
        <v>441.15</v>
      </c>
      <c r="E199" s="2">
        <f t="shared" si="2"/>
        <v>75860.153999999995</v>
      </c>
    </row>
    <row r="200" spans="1:5" x14ac:dyDescent="0.25">
      <c r="A200">
        <v>47076</v>
      </c>
      <c r="B200" t="s">
        <v>218</v>
      </c>
      <c r="C200" t="s">
        <v>214</v>
      </c>
      <c r="D200" s="1">
        <v>513.79</v>
      </c>
      <c r="E200" s="2">
        <f t="shared" si="2"/>
        <v>88351.328399999984</v>
      </c>
    </row>
    <row r="201" spans="1:5" x14ac:dyDescent="0.25">
      <c r="A201">
        <v>47084</v>
      </c>
      <c r="B201" t="s">
        <v>219</v>
      </c>
      <c r="C201" t="s">
        <v>214</v>
      </c>
      <c r="D201" s="1">
        <v>1297.77</v>
      </c>
      <c r="E201" s="2">
        <f t="shared" si="2"/>
        <v>223164.52919999999</v>
      </c>
    </row>
    <row r="202" spans="1:5" x14ac:dyDescent="0.25">
      <c r="A202">
        <v>47092</v>
      </c>
      <c r="B202" t="s">
        <v>220</v>
      </c>
      <c r="C202" t="s">
        <v>214</v>
      </c>
      <c r="D202" s="1">
        <v>1371.65</v>
      </c>
      <c r="E202" s="2">
        <f t="shared" si="2"/>
        <v>235868.93400000001</v>
      </c>
    </row>
    <row r="203" spans="1:5" x14ac:dyDescent="0.25">
      <c r="A203">
        <v>44032</v>
      </c>
      <c r="B203" t="s">
        <v>221</v>
      </c>
      <c r="C203" t="s">
        <v>222</v>
      </c>
      <c r="D203" s="1">
        <v>2171.12</v>
      </c>
      <c r="E203" s="2">
        <f t="shared" si="2"/>
        <v>373345.79519999999</v>
      </c>
    </row>
    <row r="204" spans="1:5" x14ac:dyDescent="0.25">
      <c r="A204">
        <v>65680</v>
      </c>
      <c r="B204" t="s">
        <v>223</v>
      </c>
      <c r="C204" t="s">
        <v>222</v>
      </c>
      <c r="D204" s="1">
        <v>2426.8000000000002</v>
      </c>
      <c r="E204" s="2">
        <f t="shared" si="2"/>
        <v>417312.52800000005</v>
      </c>
    </row>
    <row r="205" spans="1:5" x14ac:dyDescent="0.25">
      <c r="A205">
        <v>47167</v>
      </c>
      <c r="B205" t="s">
        <v>224</v>
      </c>
      <c r="C205" t="s">
        <v>225</v>
      </c>
      <c r="D205" s="1">
        <v>1061.23</v>
      </c>
      <c r="E205" s="2">
        <f t="shared" si="2"/>
        <v>182489.11079999999</v>
      </c>
    </row>
    <row r="206" spans="1:5" x14ac:dyDescent="0.25">
      <c r="A206">
        <v>47175</v>
      </c>
      <c r="B206" t="s">
        <v>226</v>
      </c>
      <c r="C206" t="s">
        <v>225</v>
      </c>
      <c r="D206" s="1">
        <v>1304.96</v>
      </c>
      <c r="E206" s="2">
        <f t="shared" si="2"/>
        <v>224400.9216</v>
      </c>
    </row>
    <row r="207" spans="1:5" x14ac:dyDescent="0.25">
      <c r="A207">
        <v>47183</v>
      </c>
      <c r="B207" t="s">
        <v>227</v>
      </c>
      <c r="C207" t="s">
        <v>225</v>
      </c>
      <c r="D207" s="1">
        <v>3158.16</v>
      </c>
      <c r="E207" s="2">
        <f t="shared" ref="E207:E270" si="3">D207*5732*0.03</f>
        <v>543077.19359999988</v>
      </c>
    </row>
    <row r="208" spans="1:5" x14ac:dyDescent="0.25">
      <c r="A208">
        <v>47191</v>
      </c>
      <c r="B208" t="s">
        <v>228</v>
      </c>
      <c r="C208" t="s">
        <v>225</v>
      </c>
      <c r="D208" s="1">
        <v>3121.56</v>
      </c>
      <c r="E208" s="2">
        <f t="shared" si="3"/>
        <v>536783.45759999997</v>
      </c>
    </row>
    <row r="209" spans="1:5" x14ac:dyDescent="0.25">
      <c r="A209">
        <v>47209</v>
      </c>
      <c r="B209" t="s">
        <v>229</v>
      </c>
      <c r="C209" t="s">
        <v>225</v>
      </c>
      <c r="D209" s="1">
        <v>587.89</v>
      </c>
      <c r="E209" s="2">
        <f t="shared" si="3"/>
        <v>101093.5644</v>
      </c>
    </row>
    <row r="210" spans="1:5" x14ac:dyDescent="0.25">
      <c r="A210">
        <v>47217</v>
      </c>
      <c r="B210" t="s">
        <v>230</v>
      </c>
      <c r="C210" t="s">
        <v>225</v>
      </c>
      <c r="D210" s="1">
        <v>615.20000000000005</v>
      </c>
      <c r="E210" s="2">
        <f t="shared" si="3"/>
        <v>105789.792</v>
      </c>
    </row>
    <row r="211" spans="1:5" x14ac:dyDescent="0.25">
      <c r="A211">
        <v>47225</v>
      </c>
      <c r="B211" t="s">
        <v>231</v>
      </c>
      <c r="C211" t="s">
        <v>225</v>
      </c>
      <c r="D211" s="1">
        <v>2290.46</v>
      </c>
      <c r="E211" s="2">
        <f t="shared" si="3"/>
        <v>393867.50160000002</v>
      </c>
    </row>
    <row r="212" spans="1:5" x14ac:dyDescent="0.25">
      <c r="A212">
        <v>47241</v>
      </c>
      <c r="B212" t="s">
        <v>232</v>
      </c>
      <c r="C212" t="s">
        <v>233</v>
      </c>
      <c r="D212" s="1">
        <v>7689.11</v>
      </c>
      <c r="E212" s="2">
        <f t="shared" si="3"/>
        <v>1322219.3555999999</v>
      </c>
    </row>
    <row r="213" spans="1:5" x14ac:dyDescent="0.25">
      <c r="A213">
        <v>43968</v>
      </c>
      <c r="B213" t="s">
        <v>234</v>
      </c>
      <c r="C213" t="s">
        <v>233</v>
      </c>
      <c r="D213" s="1">
        <v>4332.5200000000004</v>
      </c>
      <c r="E213" s="2">
        <f t="shared" si="3"/>
        <v>745020.13920000009</v>
      </c>
    </row>
    <row r="214" spans="1:5" x14ac:dyDescent="0.25">
      <c r="A214">
        <v>45153</v>
      </c>
      <c r="B214" t="s">
        <v>235</v>
      </c>
      <c r="C214" t="s">
        <v>233</v>
      </c>
      <c r="D214" s="1">
        <v>4748.93</v>
      </c>
      <c r="E214" s="2">
        <f t="shared" si="3"/>
        <v>816626.00280000002</v>
      </c>
    </row>
    <row r="215" spans="1:5" x14ac:dyDescent="0.25">
      <c r="A215">
        <v>45674</v>
      </c>
      <c r="B215" t="s">
        <v>236</v>
      </c>
      <c r="C215" t="s">
        <v>233</v>
      </c>
      <c r="D215" s="1">
        <v>716.99</v>
      </c>
      <c r="E215" s="2">
        <f t="shared" si="3"/>
        <v>123293.6004</v>
      </c>
    </row>
    <row r="216" spans="1:5" x14ac:dyDescent="0.25">
      <c r="A216">
        <v>47258</v>
      </c>
      <c r="B216" t="s">
        <v>237</v>
      </c>
      <c r="C216" t="s">
        <v>233</v>
      </c>
      <c r="D216" s="1">
        <v>608.97</v>
      </c>
      <c r="E216" s="2">
        <f t="shared" si="3"/>
        <v>104718.48119999999</v>
      </c>
    </row>
    <row r="217" spans="1:5" x14ac:dyDescent="0.25">
      <c r="A217">
        <v>47266</v>
      </c>
      <c r="B217" t="s">
        <v>238</v>
      </c>
      <c r="C217" t="s">
        <v>233</v>
      </c>
      <c r="D217" s="1">
        <v>1365.89</v>
      </c>
      <c r="E217" s="2">
        <f t="shared" si="3"/>
        <v>234878.44440000001</v>
      </c>
    </row>
    <row r="218" spans="1:5" x14ac:dyDescent="0.25">
      <c r="A218">
        <v>47274</v>
      </c>
      <c r="B218" t="s">
        <v>239</v>
      </c>
      <c r="C218" t="s">
        <v>233</v>
      </c>
      <c r="D218" s="1">
        <v>2630.31</v>
      </c>
      <c r="E218" s="2">
        <f t="shared" si="3"/>
        <v>452308.10759999999</v>
      </c>
    </row>
    <row r="219" spans="1:5" x14ac:dyDescent="0.25">
      <c r="A219">
        <v>43695</v>
      </c>
      <c r="B219" t="s">
        <v>240</v>
      </c>
      <c r="C219" t="s">
        <v>241</v>
      </c>
      <c r="D219" s="1">
        <v>2336.17</v>
      </c>
      <c r="E219" s="2">
        <f t="shared" si="3"/>
        <v>401727.79320000001</v>
      </c>
    </row>
    <row r="220" spans="1:5" x14ac:dyDescent="0.25">
      <c r="A220">
        <v>69682</v>
      </c>
      <c r="B220" t="s">
        <v>242</v>
      </c>
      <c r="C220" t="s">
        <v>241</v>
      </c>
      <c r="D220" s="1">
        <v>1215.72</v>
      </c>
      <c r="E220" s="2">
        <f t="shared" si="3"/>
        <v>209055.21119999999</v>
      </c>
    </row>
    <row r="221" spans="1:5" x14ac:dyDescent="0.25">
      <c r="A221">
        <v>47308</v>
      </c>
      <c r="B221" t="s">
        <v>243</v>
      </c>
      <c r="C221" t="s">
        <v>241</v>
      </c>
      <c r="D221" s="1">
        <v>1845.32</v>
      </c>
      <c r="E221" s="2">
        <f t="shared" si="3"/>
        <v>317321.22720000002</v>
      </c>
    </row>
    <row r="222" spans="1:5" x14ac:dyDescent="0.25">
      <c r="A222">
        <v>43752</v>
      </c>
      <c r="B222" t="s">
        <v>244</v>
      </c>
      <c r="C222" t="s">
        <v>245</v>
      </c>
      <c r="D222" s="1">
        <v>32519.79</v>
      </c>
      <c r="E222" s="2">
        <f t="shared" si="3"/>
        <v>5592103.0883999998</v>
      </c>
    </row>
    <row r="223" spans="1:5" x14ac:dyDescent="0.25">
      <c r="A223">
        <v>43851</v>
      </c>
      <c r="B223" t="s">
        <v>246</v>
      </c>
      <c r="C223" t="s">
        <v>245</v>
      </c>
      <c r="D223" s="1">
        <v>1287.05</v>
      </c>
      <c r="E223" s="2">
        <f t="shared" si="3"/>
        <v>221321.11799999999</v>
      </c>
    </row>
    <row r="224" spans="1:5" x14ac:dyDescent="0.25">
      <c r="A224">
        <v>44230</v>
      </c>
      <c r="B224" t="s">
        <v>247</v>
      </c>
      <c r="C224" t="s">
        <v>245</v>
      </c>
      <c r="D224" s="1">
        <v>614.71</v>
      </c>
      <c r="E224" s="2">
        <f t="shared" si="3"/>
        <v>105705.5316</v>
      </c>
    </row>
    <row r="225" spans="1:5" x14ac:dyDescent="0.25">
      <c r="A225">
        <v>44271</v>
      </c>
      <c r="B225" t="s">
        <v>248</v>
      </c>
      <c r="C225" t="s">
        <v>245</v>
      </c>
      <c r="D225" s="1">
        <v>4620.9799999999996</v>
      </c>
      <c r="E225" s="2">
        <f t="shared" si="3"/>
        <v>794623.72079999989</v>
      </c>
    </row>
    <row r="226" spans="1:5" x14ac:dyDescent="0.25">
      <c r="A226">
        <v>44289</v>
      </c>
      <c r="B226" t="s">
        <v>249</v>
      </c>
      <c r="C226" t="s">
        <v>245</v>
      </c>
      <c r="D226" s="1">
        <v>1421.41</v>
      </c>
      <c r="E226" s="2">
        <f t="shared" si="3"/>
        <v>244425.6636</v>
      </c>
    </row>
    <row r="227" spans="1:5" x14ac:dyDescent="0.25">
      <c r="A227">
        <v>44313</v>
      </c>
      <c r="B227" t="s">
        <v>250</v>
      </c>
      <c r="C227" t="s">
        <v>245</v>
      </c>
      <c r="D227" s="1">
        <v>1629.2</v>
      </c>
      <c r="E227" s="2">
        <f t="shared" si="3"/>
        <v>280157.23200000002</v>
      </c>
    </row>
    <row r="228" spans="1:5" x14ac:dyDescent="0.25">
      <c r="A228">
        <v>44412</v>
      </c>
      <c r="B228" t="s">
        <v>251</v>
      </c>
      <c r="C228" t="s">
        <v>245</v>
      </c>
      <c r="D228" s="1">
        <v>3614.63</v>
      </c>
      <c r="E228" s="2">
        <f t="shared" si="3"/>
        <v>621571.77480000001</v>
      </c>
    </row>
    <row r="229" spans="1:5" x14ac:dyDescent="0.25">
      <c r="A229">
        <v>44511</v>
      </c>
      <c r="B229" t="s">
        <v>252</v>
      </c>
      <c r="C229" t="s">
        <v>245</v>
      </c>
      <c r="D229" s="1">
        <v>1586.88</v>
      </c>
      <c r="E229" s="2">
        <f t="shared" si="3"/>
        <v>272879.8848</v>
      </c>
    </row>
    <row r="230" spans="1:5" x14ac:dyDescent="0.25">
      <c r="A230">
        <v>44578</v>
      </c>
      <c r="B230" t="s">
        <v>253</v>
      </c>
      <c r="C230" t="s">
        <v>245</v>
      </c>
      <c r="D230" s="1">
        <v>2211.0100000000002</v>
      </c>
      <c r="E230" s="2">
        <f t="shared" si="3"/>
        <v>380205.27960000007</v>
      </c>
    </row>
    <row r="231" spans="1:5" x14ac:dyDescent="0.25">
      <c r="A231">
        <v>44677</v>
      </c>
      <c r="B231" t="s">
        <v>254</v>
      </c>
      <c r="C231" t="s">
        <v>245</v>
      </c>
      <c r="D231" s="1">
        <v>5246.19</v>
      </c>
      <c r="E231" s="2">
        <f t="shared" si="3"/>
        <v>902134.83239999996</v>
      </c>
    </row>
    <row r="232" spans="1:5" x14ac:dyDescent="0.25">
      <c r="A232">
        <v>44693</v>
      </c>
      <c r="B232" t="s">
        <v>255</v>
      </c>
      <c r="C232" t="s">
        <v>245</v>
      </c>
      <c r="D232" s="1">
        <v>1575.6</v>
      </c>
      <c r="E232" s="2">
        <f t="shared" si="3"/>
        <v>270940.17599999998</v>
      </c>
    </row>
    <row r="233" spans="1:5" x14ac:dyDescent="0.25">
      <c r="A233">
        <v>44719</v>
      </c>
      <c r="B233" t="s">
        <v>256</v>
      </c>
      <c r="C233" t="s">
        <v>245</v>
      </c>
      <c r="D233" s="1">
        <v>976.27</v>
      </c>
      <c r="E233" s="2">
        <f t="shared" si="3"/>
        <v>167879.38919999998</v>
      </c>
    </row>
    <row r="234" spans="1:5" x14ac:dyDescent="0.25">
      <c r="A234">
        <v>44867</v>
      </c>
      <c r="B234" t="s">
        <v>257</v>
      </c>
      <c r="C234" t="s">
        <v>245</v>
      </c>
      <c r="D234" s="1">
        <v>5257.41</v>
      </c>
      <c r="E234" s="2">
        <f t="shared" si="3"/>
        <v>904064.22359999991</v>
      </c>
    </row>
    <row r="235" spans="1:5" x14ac:dyDescent="0.25">
      <c r="A235">
        <v>44081</v>
      </c>
      <c r="B235" t="s">
        <v>258</v>
      </c>
      <c r="C235" t="s">
        <v>245</v>
      </c>
      <c r="D235" s="1">
        <v>3366.68</v>
      </c>
      <c r="E235" s="2">
        <f t="shared" si="3"/>
        <v>578934.29279999994</v>
      </c>
    </row>
    <row r="236" spans="1:5" x14ac:dyDescent="0.25">
      <c r="A236">
        <v>45146</v>
      </c>
      <c r="B236" t="s">
        <v>259</v>
      </c>
      <c r="C236" t="s">
        <v>245</v>
      </c>
      <c r="D236" s="1">
        <v>2003.31</v>
      </c>
      <c r="E236" s="2">
        <f t="shared" si="3"/>
        <v>344489.1876</v>
      </c>
    </row>
    <row r="237" spans="1:5" x14ac:dyDescent="0.25">
      <c r="A237">
        <v>45435</v>
      </c>
      <c r="B237" t="s">
        <v>260</v>
      </c>
      <c r="C237" t="s">
        <v>245</v>
      </c>
      <c r="D237" s="1">
        <v>2053.91</v>
      </c>
      <c r="E237" s="2">
        <f t="shared" si="3"/>
        <v>353190.36359999998</v>
      </c>
    </row>
    <row r="238" spans="1:5" x14ac:dyDescent="0.25">
      <c r="A238">
        <v>47332</v>
      </c>
      <c r="B238" t="s">
        <v>261</v>
      </c>
      <c r="C238" t="s">
        <v>245</v>
      </c>
      <c r="D238" s="1">
        <v>1552.33</v>
      </c>
      <c r="E238" s="2">
        <f t="shared" si="3"/>
        <v>266938.66679999995</v>
      </c>
    </row>
    <row r="239" spans="1:5" x14ac:dyDescent="0.25">
      <c r="A239">
        <v>47340</v>
      </c>
      <c r="B239" t="s">
        <v>262</v>
      </c>
      <c r="C239" t="s">
        <v>245</v>
      </c>
      <c r="D239" s="1">
        <v>7584.14</v>
      </c>
      <c r="E239" s="2">
        <f t="shared" si="3"/>
        <v>1304168.7144000002</v>
      </c>
    </row>
    <row r="240" spans="1:5" x14ac:dyDescent="0.25">
      <c r="A240">
        <v>47365</v>
      </c>
      <c r="B240" t="s">
        <v>263</v>
      </c>
      <c r="C240" t="s">
        <v>245</v>
      </c>
      <c r="D240" s="1">
        <v>9390.8700000000008</v>
      </c>
      <c r="E240" s="2">
        <f t="shared" si="3"/>
        <v>1614854.0052</v>
      </c>
    </row>
    <row r="241" spans="1:5" x14ac:dyDescent="0.25">
      <c r="A241">
        <v>47373</v>
      </c>
      <c r="B241" t="s">
        <v>264</v>
      </c>
      <c r="C241" t="s">
        <v>245</v>
      </c>
      <c r="D241" s="1">
        <v>7977.48</v>
      </c>
      <c r="E241" s="2">
        <f t="shared" si="3"/>
        <v>1371807.4608</v>
      </c>
    </row>
    <row r="242" spans="1:5" x14ac:dyDescent="0.25">
      <c r="A242">
        <v>47381</v>
      </c>
      <c r="B242" t="s">
        <v>265</v>
      </c>
      <c r="C242" t="s">
        <v>245</v>
      </c>
      <c r="D242" s="1">
        <v>3467.92</v>
      </c>
      <c r="E242" s="2">
        <f t="shared" si="3"/>
        <v>596343.52320000005</v>
      </c>
    </row>
    <row r="243" spans="1:5" x14ac:dyDescent="0.25">
      <c r="A243">
        <v>47399</v>
      </c>
      <c r="B243" t="s">
        <v>266</v>
      </c>
      <c r="C243" t="s">
        <v>245</v>
      </c>
      <c r="D243" s="1">
        <v>1902.06</v>
      </c>
      <c r="E243" s="2">
        <f t="shared" si="3"/>
        <v>327078.23759999999</v>
      </c>
    </row>
    <row r="244" spans="1:5" x14ac:dyDescent="0.25">
      <c r="A244">
        <v>43984</v>
      </c>
      <c r="B244" t="s">
        <v>267</v>
      </c>
      <c r="C244" t="s">
        <v>268</v>
      </c>
      <c r="D244" s="1">
        <v>5566.05</v>
      </c>
      <c r="E244" s="2">
        <f t="shared" si="3"/>
        <v>957137.95799999998</v>
      </c>
    </row>
    <row r="245" spans="1:5" x14ac:dyDescent="0.25">
      <c r="A245">
        <v>47415</v>
      </c>
      <c r="B245" t="s">
        <v>269</v>
      </c>
      <c r="C245" t="s">
        <v>268</v>
      </c>
      <c r="D245" s="1">
        <v>599.67999999999995</v>
      </c>
      <c r="E245" s="2">
        <f t="shared" si="3"/>
        <v>103120.97279999999</v>
      </c>
    </row>
    <row r="246" spans="1:5" x14ac:dyDescent="0.25">
      <c r="A246">
        <v>47423</v>
      </c>
      <c r="B246" t="s">
        <v>270</v>
      </c>
      <c r="C246" t="s">
        <v>268</v>
      </c>
      <c r="D246" s="1">
        <v>622.92999999999995</v>
      </c>
      <c r="E246" s="2">
        <f t="shared" si="3"/>
        <v>107119.0428</v>
      </c>
    </row>
    <row r="247" spans="1:5" x14ac:dyDescent="0.25">
      <c r="A247">
        <v>47431</v>
      </c>
      <c r="B247" t="s">
        <v>271</v>
      </c>
      <c r="C247" t="s">
        <v>268</v>
      </c>
      <c r="D247" s="1">
        <v>621.5</v>
      </c>
      <c r="E247" s="2">
        <f t="shared" si="3"/>
        <v>106873.14</v>
      </c>
    </row>
    <row r="248" spans="1:5" x14ac:dyDescent="0.25">
      <c r="A248">
        <v>47449</v>
      </c>
      <c r="B248" t="s">
        <v>272</v>
      </c>
      <c r="C248" t="s">
        <v>268</v>
      </c>
      <c r="D248" s="1">
        <v>1243.25</v>
      </c>
      <c r="E248" s="2">
        <f t="shared" si="3"/>
        <v>213789.27</v>
      </c>
    </row>
    <row r="249" spans="1:5" x14ac:dyDescent="0.25">
      <c r="A249">
        <v>47456</v>
      </c>
      <c r="B249" t="s">
        <v>273</v>
      </c>
      <c r="C249" t="s">
        <v>268</v>
      </c>
      <c r="D249" s="1">
        <v>742.6</v>
      </c>
      <c r="E249" s="2">
        <f t="shared" si="3"/>
        <v>127697.496</v>
      </c>
    </row>
    <row r="250" spans="1:5" x14ac:dyDescent="0.25">
      <c r="A250">
        <v>47464</v>
      </c>
      <c r="B250" t="s">
        <v>274</v>
      </c>
      <c r="C250" t="s">
        <v>268</v>
      </c>
      <c r="D250" s="1">
        <v>1026.8499999999999</v>
      </c>
      <c r="E250" s="2">
        <f t="shared" si="3"/>
        <v>176577.12599999996</v>
      </c>
    </row>
    <row r="251" spans="1:5" x14ac:dyDescent="0.25">
      <c r="A251">
        <v>47472</v>
      </c>
      <c r="B251" t="s">
        <v>275</v>
      </c>
      <c r="C251" t="s">
        <v>268</v>
      </c>
      <c r="D251" s="1">
        <v>250.23</v>
      </c>
      <c r="E251" s="2">
        <f t="shared" si="3"/>
        <v>43029.550799999997</v>
      </c>
    </row>
    <row r="252" spans="1:5" x14ac:dyDescent="0.25">
      <c r="A252">
        <v>44172</v>
      </c>
      <c r="B252" t="s">
        <v>276</v>
      </c>
      <c r="C252" t="s">
        <v>277</v>
      </c>
      <c r="D252" s="1">
        <v>1876.07</v>
      </c>
      <c r="E252" s="2">
        <f t="shared" si="3"/>
        <v>322608.99719999998</v>
      </c>
    </row>
    <row r="253" spans="1:5" x14ac:dyDescent="0.25">
      <c r="A253">
        <v>45187</v>
      </c>
      <c r="B253" t="s">
        <v>278</v>
      </c>
      <c r="C253" t="s">
        <v>277</v>
      </c>
      <c r="D253" s="1">
        <v>947.14</v>
      </c>
      <c r="E253" s="2">
        <f t="shared" si="3"/>
        <v>162870.19439999998</v>
      </c>
    </row>
    <row r="254" spans="1:5" x14ac:dyDescent="0.25">
      <c r="A254">
        <v>47498</v>
      </c>
      <c r="B254" t="s">
        <v>279</v>
      </c>
      <c r="C254" t="s">
        <v>277</v>
      </c>
      <c r="D254" s="1">
        <v>483.69</v>
      </c>
      <c r="E254" s="2">
        <f t="shared" si="3"/>
        <v>83175.332399999999</v>
      </c>
    </row>
    <row r="255" spans="1:5" x14ac:dyDescent="0.25">
      <c r="A255">
        <v>47506</v>
      </c>
      <c r="B255" t="s">
        <v>280</v>
      </c>
      <c r="C255" t="s">
        <v>277</v>
      </c>
      <c r="D255" s="1">
        <v>573.46</v>
      </c>
      <c r="E255" s="2">
        <f t="shared" si="3"/>
        <v>98612.181599999996</v>
      </c>
    </row>
    <row r="256" spans="1:5" x14ac:dyDescent="0.25">
      <c r="A256">
        <v>47514</v>
      </c>
      <c r="B256" t="s">
        <v>281</v>
      </c>
      <c r="C256" t="s">
        <v>277</v>
      </c>
      <c r="D256" s="1">
        <v>972.13</v>
      </c>
      <c r="E256" s="2">
        <f t="shared" si="3"/>
        <v>167167.4748</v>
      </c>
    </row>
    <row r="257" spans="1:5" x14ac:dyDescent="0.25">
      <c r="A257">
        <v>47522</v>
      </c>
      <c r="B257" t="s">
        <v>282</v>
      </c>
      <c r="C257" t="s">
        <v>277</v>
      </c>
      <c r="D257" s="1">
        <v>592.32000000000005</v>
      </c>
      <c r="E257" s="2">
        <f t="shared" si="3"/>
        <v>101855.3472</v>
      </c>
    </row>
    <row r="258" spans="1:5" x14ac:dyDescent="0.25">
      <c r="A258">
        <v>45245</v>
      </c>
      <c r="B258" t="s">
        <v>283</v>
      </c>
      <c r="C258" t="s">
        <v>284</v>
      </c>
      <c r="D258" s="1">
        <v>1632.31</v>
      </c>
      <c r="E258" s="2">
        <f t="shared" si="3"/>
        <v>280692.02759999997</v>
      </c>
    </row>
    <row r="259" spans="1:5" x14ac:dyDescent="0.25">
      <c r="A259">
        <v>47548</v>
      </c>
      <c r="B259" t="s">
        <v>285</v>
      </c>
      <c r="C259" t="s">
        <v>284</v>
      </c>
      <c r="D259" s="1">
        <v>542.87</v>
      </c>
      <c r="E259" s="2">
        <f t="shared" si="3"/>
        <v>93351.925199999998</v>
      </c>
    </row>
    <row r="260" spans="1:5" x14ac:dyDescent="0.25">
      <c r="A260">
        <v>44438</v>
      </c>
      <c r="B260" t="s">
        <v>286</v>
      </c>
      <c r="C260" t="s">
        <v>287</v>
      </c>
      <c r="D260" s="1">
        <v>2009.11</v>
      </c>
      <c r="E260" s="2">
        <f t="shared" si="3"/>
        <v>345486.55559999996</v>
      </c>
    </row>
    <row r="261" spans="1:5" x14ac:dyDescent="0.25">
      <c r="A261">
        <v>47571</v>
      </c>
      <c r="B261" t="s">
        <v>288</v>
      </c>
      <c r="C261" t="s">
        <v>287</v>
      </c>
      <c r="D261" s="1">
        <v>459.15</v>
      </c>
      <c r="E261" s="2">
        <f t="shared" si="3"/>
        <v>78955.433999999994</v>
      </c>
    </row>
    <row r="262" spans="1:5" x14ac:dyDescent="0.25">
      <c r="A262">
        <v>47589</v>
      </c>
      <c r="B262" t="s">
        <v>289</v>
      </c>
      <c r="C262" t="s">
        <v>287</v>
      </c>
      <c r="D262" s="1">
        <v>1161.3</v>
      </c>
      <c r="E262" s="2">
        <f t="shared" si="3"/>
        <v>199697.14799999999</v>
      </c>
    </row>
    <row r="263" spans="1:5" x14ac:dyDescent="0.25">
      <c r="A263">
        <v>47597</v>
      </c>
      <c r="B263" t="s">
        <v>290</v>
      </c>
      <c r="C263" t="s">
        <v>287</v>
      </c>
      <c r="D263" s="1">
        <v>1034.57</v>
      </c>
      <c r="E263" s="2">
        <f t="shared" si="3"/>
        <v>177904.65719999996</v>
      </c>
    </row>
    <row r="264" spans="1:5" x14ac:dyDescent="0.25">
      <c r="A264">
        <v>44123</v>
      </c>
      <c r="B264" t="s">
        <v>291</v>
      </c>
      <c r="C264" t="s">
        <v>292</v>
      </c>
      <c r="D264" s="1">
        <v>2626.7</v>
      </c>
      <c r="E264" s="2">
        <f t="shared" si="3"/>
        <v>451687.33199999994</v>
      </c>
    </row>
    <row r="265" spans="1:5" x14ac:dyDescent="0.25">
      <c r="A265">
        <v>45401</v>
      </c>
      <c r="B265" t="s">
        <v>293</v>
      </c>
      <c r="C265" t="s">
        <v>292</v>
      </c>
      <c r="D265" s="1">
        <v>2061.9899999999998</v>
      </c>
      <c r="E265" s="2">
        <f t="shared" si="3"/>
        <v>354579.80039999995</v>
      </c>
    </row>
    <row r="266" spans="1:5" x14ac:dyDescent="0.25">
      <c r="A266">
        <v>47613</v>
      </c>
      <c r="B266" t="s">
        <v>294</v>
      </c>
      <c r="C266" t="s">
        <v>292</v>
      </c>
      <c r="D266" s="1">
        <v>751.63</v>
      </c>
      <c r="E266" s="2">
        <f t="shared" si="3"/>
        <v>129250.2948</v>
      </c>
    </row>
    <row r="267" spans="1:5" x14ac:dyDescent="0.25">
      <c r="A267">
        <v>47621</v>
      </c>
      <c r="B267" t="s">
        <v>295</v>
      </c>
      <c r="C267" t="s">
        <v>292</v>
      </c>
      <c r="D267" s="1">
        <v>923.4</v>
      </c>
      <c r="E267" s="2">
        <f t="shared" si="3"/>
        <v>158787.864</v>
      </c>
    </row>
    <row r="268" spans="1:5" x14ac:dyDescent="0.25">
      <c r="A268">
        <v>47639</v>
      </c>
      <c r="B268" t="s">
        <v>296</v>
      </c>
      <c r="C268" t="s">
        <v>292</v>
      </c>
      <c r="D268" s="1">
        <v>1288.02</v>
      </c>
      <c r="E268" s="2">
        <f t="shared" si="3"/>
        <v>221487.91919999997</v>
      </c>
    </row>
    <row r="269" spans="1:5" x14ac:dyDescent="0.25">
      <c r="A269">
        <v>44248</v>
      </c>
      <c r="B269" t="s">
        <v>297</v>
      </c>
      <c r="C269" t="s">
        <v>298</v>
      </c>
      <c r="D269" s="1">
        <v>3957.37</v>
      </c>
      <c r="E269" s="2">
        <f t="shared" si="3"/>
        <v>680509.34519999998</v>
      </c>
    </row>
    <row r="270" spans="1:5" x14ac:dyDescent="0.25">
      <c r="A270">
        <v>47688</v>
      </c>
      <c r="B270" t="s">
        <v>299</v>
      </c>
      <c r="C270" t="s">
        <v>300</v>
      </c>
      <c r="D270" s="1">
        <v>1874.7</v>
      </c>
      <c r="E270" s="2">
        <f t="shared" si="3"/>
        <v>322373.41200000001</v>
      </c>
    </row>
    <row r="271" spans="1:5" x14ac:dyDescent="0.25">
      <c r="A271">
        <v>47696</v>
      </c>
      <c r="B271" t="s">
        <v>301</v>
      </c>
      <c r="C271" t="s">
        <v>300</v>
      </c>
      <c r="D271" s="1">
        <v>2542.2199999999998</v>
      </c>
      <c r="E271" s="2">
        <f t="shared" ref="E271:E334" si="4">D271*5732*0.03</f>
        <v>437160.15119999996</v>
      </c>
    </row>
    <row r="272" spans="1:5" x14ac:dyDescent="0.25">
      <c r="A272">
        <v>43596</v>
      </c>
      <c r="B272" t="s">
        <v>302</v>
      </c>
      <c r="C272" t="s">
        <v>303</v>
      </c>
      <c r="D272" s="1">
        <v>2078.9299999999998</v>
      </c>
      <c r="E272" s="2">
        <f t="shared" si="4"/>
        <v>357492.8028</v>
      </c>
    </row>
    <row r="273" spans="1:5" x14ac:dyDescent="0.25">
      <c r="A273">
        <v>44560</v>
      </c>
      <c r="B273" t="s">
        <v>304</v>
      </c>
      <c r="C273" t="s">
        <v>303</v>
      </c>
      <c r="D273" s="1">
        <v>3032.57</v>
      </c>
      <c r="E273" s="2">
        <f t="shared" si="4"/>
        <v>521480.73720000003</v>
      </c>
    </row>
    <row r="274" spans="1:5" x14ac:dyDescent="0.25">
      <c r="A274">
        <v>45096</v>
      </c>
      <c r="B274" t="s">
        <v>305</v>
      </c>
      <c r="C274" t="s">
        <v>303</v>
      </c>
      <c r="D274" s="1">
        <v>1798.63</v>
      </c>
      <c r="E274" s="2">
        <f t="shared" si="4"/>
        <v>309292.41479999997</v>
      </c>
    </row>
    <row r="275" spans="1:5" x14ac:dyDescent="0.25">
      <c r="A275">
        <v>47712</v>
      </c>
      <c r="B275" t="s">
        <v>306</v>
      </c>
      <c r="C275" t="s">
        <v>303</v>
      </c>
      <c r="D275" s="1">
        <v>659.24</v>
      </c>
      <c r="E275" s="2">
        <f t="shared" si="4"/>
        <v>113362.91040000001</v>
      </c>
    </row>
    <row r="276" spans="1:5" x14ac:dyDescent="0.25">
      <c r="A276">
        <v>47720</v>
      </c>
      <c r="B276" t="s">
        <v>307</v>
      </c>
      <c r="C276" t="s">
        <v>303</v>
      </c>
      <c r="D276" s="1">
        <v>1085.31</v>
      </c>
      <c r="E276" s="2">
        <f t="shared" si="4"/>
        <v>186629.90759999998</v>
      </c>
    </row>
    <row r="277" spans="1:5" x14ac:dyDescent="0.25">
      <c r="A277">
        <v>47738</v>
      </c>
      <c r="B277" t="s">
        <v>308</v>
      </c>
      <c r="C277" t="s">
        <v>303</v>
      </c>
      <c r="D277" s="1">
        <v>855.78</v>
      </c>
      <c r="E277" s="2">
        <f t="shared" si="4"/>
        <v>147159.92879999999</v>
      </c>
    </row>
    <row r="278" spans="1:5" x14ac:dyDescent="0.25">
      <c r="A278">
        <v>47746</v>
      </c>
      <c r="B278" t="s">
        <v>309</v>
      </c>
      <c r="C278" t="s">
        <v>303</v>
      </c>
      <c r="D278" s="1">
        <v>1249.05</v>
      </c>
      <c r="E278" s="2">
        <f t="shared" si="4"/>
        <v>214786.63799999998</v>
      </c>
    </row>
    <row r="279" spans="1:5" x14ac:dyDescent="0.25">
      <c r="A279">
        <v>44156</v>
      </c>
      <c r="B279" t="s">
        <v>310</v>
      </c>
      <c r="C279" t="s">
        <v>311</v>
      </c>
      <c r="D279" s="1">
        <v>2471.27</v>
      </c>
      <c r="E279" s="2">
        <f t="shared" si="4"/>
        <v>424959.58919999999</v>
      </c>
    </row>
    <row r="280" spans="1:5" x14ac:dyDescent="0.25">
      <c r="A280">
        <v>45021</v>
      </c>
      <c r="B280" t="s">
        <v>312</v>
      </c>
      <c r="C280" t="s">
        <v>311</v>
      </c>
      <c r="D280" s="1">
        <v>1524.33</v>
      </c>
      <c r="E280" s="2">
        <f t="shared" si="4"/>
        <v>262123.78679999994</v>
      </c>
    </row>
    <row r="281" spans="1:5" x14ac:dyDescent="0.25">
      <c r="A281">
        <v>47761</v>
      </c>
      <c r="B281" t="s">
        <v>313</v>
      </c>
      <c r="C281" t="s">
        <v>311</v>
      </c>
      <c r="D281" s="1">
        <v>1337.63</v>
      </c>
      <c r="E281" s="2">
        <f t="shared" si="4"/>
        <v>230018.85480000003</v>
      </c>
    </row>
    <row r="282" spans="1:5" x14ac:dyDescent="0.25">
      <c r="A282">
        <v>44826</v>
      </c>
      <c r="B282" t="s">
        <v>314</v>
      </c>
      <c r="C282" t="s">
        <v>315</v>
      </c>
      <c r="D282" s="1">
        <v>2230.7199999999998</v>
      </c>
      <c r="E282" s="2">
        <f t="shared" si="4"/>
        <v>383594.61119999998</v>
      </c>
    </row>
    <row r="283" spans="1:5" x14ac:dyDescent="0.25">
      <c r="A283">
        <v>44917</v>
      </c>
      <c r="B283" t="s">
        <v>316</v>
      </c>
      <c r="C283" t="s">
        <v>315</v>
      </c>
      <c r="D283" s="1">
        <v>769.47</v>
      </c>
      <c r="E283" s="2">
        <f t="shared" si="4"/>
        <v>132318.0612</v>
      </c>
    </row>
    <row r="284" spans="1:5" x14ac:dyDescent="0.25">
      <c r="A284">
        <v>47787</v>
      </c>
      <c r="B284" t="s">
        <v>29</v>
      </c>
      <c r="C284" t="s">
        <v>315</v>
      </c>
      <c r="D284" s="1">
        <v>1983.21</v>
      </c>
      <c r="E284" s="2">
        <f t="shared" si="4"/>
        <v>341032.7916</v>
      </c>
    </row>
    <row r="285" spans="1:5" x14ac:dyDescent="0.25">
      <c r="A285">
        <v>47795</v>
      </c>
      <c r="B285" t="s">
        <v>317</v>
      </c>
      <c r="C285" t="s">
        <v>315</v>
      </c>
      <c r="D285" s="1">
        <v>1936.65</v>
      </c>
      <c r="E285" s="2">
        <f t="shared" si="4"/>
        <v>333026.33400000003</v>
      </c>
    </row>
    <row r="286" spans="1:5" x14ac:dyDescent="0.25">
      <c r="A286">
        <v>47803</v>
      </c>
      <c r="B286" t="s">
        <v>318</v>
      </c>
      <c r="C286" t="s">
        <v>315</v>
      </c>
      <c r="D286" s="1">
        <v>2214.88</v>
      </c>
      <c r="E286" s="2">
        <f t="shared" si="4"/>
        <v>380870.7648</v>
      </c>
    </row>
    <row r="287" spans="1:5" x14ac:dyDescent="0.25">
      <c r="A287">
        <v>44420</v>
      </c>
      <c r="B287" t="s">
        <v>319</v>
      </c>
      <c r="C287" t="s">
        <v>320</v>
      </c>
      <c r="D287" s="1">
        <v>4056.66</v>
      </c>
      <c r="E287" s="2">
        <f t="shared" si="4"/>
        <v>697583.25359999994</v>
      </c>
    </row>
    <row r="288" spans="1:5" x14ac:dyDescent="0.25">
      <c r="A288">
        <v>47829</v>
      </c>
      <c r="B288" t="s">
        <v>321</v>
      </c>
      <c r="C288" t="s">
        <v>320</v>
      </c>
      <c r="D288" s="1">
        <v>1157.73</v>
      </c>
      <c r="E288" s="2">
        <f t="shared" si="4"/>
        <v>199083.25080000001</v>
      </c>
    </row>
    <row r="289" spans="1:5" x14ac:dyDescent="0.25">
      <c r="A289">
        <v>47837</v>
      </c>
      <c r="B289" t="s">
        <v>322</v>
      </c>
      <c r="C289" t="s">
        <v>320</v>
      </c>
      <c r="D289" s="1">
        <v>691.59</v>
      </c>
      <c r="E289" s="2">
        <f t="shared" si="4"/>
        <v>118925.81640000001</v>
      </c>
    </row>
    <row r="290" spans="1:5" x14ac:dyDescent="0.25">
      <c r="A290">
        <v>47845</v>
      </c>
      <c r="B290" t="s">
        <v>323</v>
      </c>
      <c r="C290" t="s">
        <v>320</v>
      </c>
      <c r="D290" s="1">
        <v>1213.8599999999999</v>
      </c>
      <c r="E290" s="2">
        <f t="shared" si="4"/>
        <v>208735.36559999999</v>
      </c>
    </row>
    <row r="291" spans="1:5" x14ac:dyDescent="0.25">
      <c r="A291">
        <v>47852</v>
      </c>
      <c r="B291" t="s">
        <v>324</v>
      </c>
      <c r="C291" t="s">
        <v>320</v>
      </c>
      <c r="D291" s="1">
        <v>1194.97</v>
      </c>
      <c r="E291" s="2">
        <f t="shared" si="4"/>
        <v>205487.04120000001</v>
      </c>
    </row>
    <row r="292" spans="1:5" x14ac:dyDescent="0.25">
      <c r="A292">
        <v>44628</v>
      </c>
      <c r="B292" t="s">
        <v>325</v>
      </c>
      <c r="C292" t="s">
        <v>326</v>
      </c>
      <c r="D292" s="1">
        <v>2981.81</v>
      </c>
      <c r="E292" s="2">
        <f t="shared" si="4"/>
        <v>512752.04759999993</v>
      </c>
    </row>
    <row r="293" spans="1:5" x14ac:dyDescent="0.25">
      <c r="A293">
        <v>45088</v>
      </c>
      <c r="B293" t="s">
        <v>327</v>
      </c>
      <c r="C293" t="s">
        <v>326</v>
      </c>
      <c r="D293" s="1">
        <v>1525.33</v>
      </c>
      <c r="E293" s="2">
        <f t="shared" si="4"/>
        <v>262295.74679999996</v>
      </c>
    </row>
    <row r="294" spans="1:5" x14ac:dyDescent="0.25">
      <c r="A294">
        <v>45104</v>
      </c>
      <c r="B294" t="s">
        <v>328</v>
      </c>
      <c r="C294" t="s">
        <v>326</v>
      </c>
      <c r="D294" s="1">
        <v>8353.82</v>
      </c>
      <c r="E294" s="2">
        <f t="shared" si="4"/>
        <v>1436522.8871999998</v>
      </c>
    </row>
    <row r="295" spans="1:5" x14ac:dyDescent="0.25">
      <c r="A295">
        <v>45369</v>
      </c>
      <c r="B295" t="s">
        <v>329</v>
      </c>
      <c r="C295" t="s">
        <v>326</v>
      </c>
      <c r="D295" s="1">
        <v>522.66999999999996</v>
      </c>
      <c r="E295" s="2">
        <f t="shared" si="4"/>
        <v>89878.333199999994</v>
      </c>
    </row>
    <row r="296" spans="1:5" x14ac:dyDescent="0.25">
      <c r="A296">
        <v>45492</v>
      </c>
      <c r="B296" t="s">
        <v>330</v>
      </c>
      <c r="C296" t="s">
        <v>326</v>
      </c>
      <c r="D296" s="1">
        <v>8103.72</v>
      </c>
      <c r="E296" s="2">
        <f t="shared" si="4"/>
        <v>1393515.6912</v>
      </c>
    </row>
    <row r="297" spans="1:5" x14ac:dyDescent="0.25">
      <c r="A297">
        <v>47878</v>
      </c>
      <c r="B297" t="s">
        <v>331</v>
      </c>
      <c r="C297" t="s">
        <v>326</v>
      </c>
      <c r="D297" s="1">
        <v>1186.8900000000001</v>
      </c>
      <c r="E297" s="2">
        <f t="shared" si="4"/>
        <v>204097.60440000001</v>
      </c>
    </row>
    <row r="298" spans="1:5" x14ac:dyDescent="0.25">
      <c r="A298">
        <v>47886</v>
      </c>
      <c r="B298" t="s">
        <v>67</v>
      </c>
      <c r="C298" t="s">
        <v>326</v>
      </c>
      <c r="D298" s="1">
        <v>3292.03</v>
      </c>
      <c r="E298" s="2">
        <f t="shared" si="4"/>
        <v>566097.47880000004</v>
      </c>
    </row>
    <row r="299" spans="1:5" x14ac:dyDescent="0.25">
      <c r="A299">
        <v>47902</v>
      </c>
      <c r="B299" t="s">
        <v>17</v>
      </c>
      <c r="C299" t="s">
        <v>326</v>
      </c>
      <c r="D299" s="1">
        <v>1853.67</v>
      </c>
      <c r="E299" s="2">
        <f t="shared" si="4"/>
        <v>318757.0932</v>
      </c>
    </row>
    <row r="300" spans="1:5" x14ac:dyDescent="0.25">
      <c r="A300">
        <v>47894</v>
      </c>
      <c r="B300" t="s">
        <v>332</v>
      </c>
      <c r="C300" t="s">
        <v>326</v>
      </c>
      <c r="D300" s="1">
        <v>5063.13</v>
      </c>
      <c r="E300" s="2">
        <f t="shared" si="4"/>
        <v>870655.83479999995</v>
      </c>
    </row>
    <row r="301" spans="1:5" x14ac:dyDescent="0.25">
      <c r="A301">
        <v>44149</v>
      </c>
      <c r="B301" t="s">
        <v>333</v>
      </c>
      <c r="C301" t="s">
        <v>334</v>
      </c>
      <c r="D301" s="1">
        <v>1500.46</v>
      </c>
      <c r="E301" s="2">
        <f t="shared" si="4"/>
        <v>258019.10160000002</v>
      </c>
    </row>
    <row r="302" spans="1:5" x14ac:dyDescent="0.25">
      <c r="A302">
        <v>45294</v>
      </c>
      <c r="B302" t="s">
        <v>335</v>
      </c>
      <c r="C302" t="s">
        <v>334</v>
      </c>
      <c r="D302" s="1">
        <v>1459.59</v>
      </c>
      <c r="E302" s="2">
        <f t="shared" si="4"/>
        <v>250991.09639999998</v>
      </c>
    </row>
    <row r="303" spans="1:5" x14ac:dyDescent="0.25">
      <c r="A303">
        <v>47928</v>
      </c>
      <c r="B303" t="s">
        <v>336</v>
      </c>
      <c r="C303" t="s">
        <v>334</v>
      </c>
      <c r="D303" s="1">
        <v>1230</v>
      </c>
      <c r="E303" s="2">
        <f t="shared" si="4"/>
        <v>211510.8</v>
      </c>
    </row>
    <row r="304" spans="1:5" x14ac:dyDescent="0.25">
      <c r="A304">
        <v>47936</v>
      </c>
      <c r="B304" t="s">
        <v>337</v>
      </c>
      <c r="C304" t="s">
        <v>334</v>
      </c>
      <c r="D304" s="1">
        <v>1817.43</v>
      </c>
      <c r="E304" s="2">
        <f t="shared" si="4"/>
        <v>312525.26279999997</v>
      </c>
    </row>
    <row r="305" spans="1:5" x14ac:dyDescent="0.25">
      <c r="A305">
        <v>47944</v>
      </c>
      <c r="B305" t="s">
        <v>338</v>
      </c>
      <c r="C305" t="s">
        <v>334</v>
      </c>
      <c r="D305" s="1">
        <v>1514.35</v>
      </c>
      <c r="E305" s="2">
        <f t="shared" si="4"/>
        <v>260407.62599999996</v>
      </c>
    </row>
    <row r="306" spans="1:5" x14ac:dyDescent="0.25">
      <c r="A306">
        <v>47951</v>
      </c>
      <c r="B306" t="s">
        <v>339</v>
      </c>
      <c r="C306" t="s">
        <v>334</v>
      </c>
      <c r="D306" s="1">
        <v>1855.69</v>
      </c>
      <c r="E306" s="2">
        <f t="shared" si="4"/>
        <v>319104.45240000001</v>
      </c>
    </row>
    <row r="307" spans="1:5" x14ac:dyDescent="0.25">
      <c r="A307">
        <v>47969</v>
      </c>
      <c r="B307" t="s">
        <v>340</v>
      </c>
      <c r="C307" t="s">
        <v>334</v>
      </c>
      <c r="D307" s="1">
        <v>811.11</v>
      </c>
      <c r="E307" s="2">
        <f t="shared" si="4"/>
        <v>139478.47560000001</v>
      </c>
    </row>
    <row r="308" spans="1:5" x14ac:dyDescent="0.25">
      <c r="A308">
        <v>44115</v>
      </c>
      <c r="B308" t="s">
        <v>341</v>
      </c>
      <c r="C308" t="s">
        <v>342</v>
      </c>
      <c r="D308" s="1">
        <v>1725.93</v>
      </c>
      <c r="E308" s="2">
        <f t="shared" si="4"/>
        <v>296790.9228</v>
      </c>
    </row>
    <row r="309" spans="1:5" x14ac:dyDescent="0.25">
      <c r="A309">
        <v>44453</v>
      </c>
      <c r="B309" t="s">
        <v>343</v>
      </c>
      <c r="C309" t="s">
        <v>342</v>
      </c>
      <c r="D309" s="1">
        <v>5931.89</v>
      </c>
      <c r="E309" s="2">
        <f t="shared" si="4"/>
        <v>1020047.8044000001</v>
      </c>
    </row>
    <row r="310" spans="1:5" x14ac:dyDescent="0.25">
      <c r="A310">
        <v>45393</v>
      </c>
      <c r="B310" t="s">
        <v>344</v>
      </c>
      <c r="C310" t="s">
        <v>342</v>
      </c>
      <c r="D310" s="1">
        <v>2531.09</v>
      </c>
      <c r="E310" s="2">
        <f t="shared" si="4"/>
        <v>435246.23639999999</v>
      </c>
    </row>
    <row r="311" spans="1:5" x14ac:dyDescent="0.25">
      <c r="A311">
        <v>47985</v>
      </c>
      <c r="B311" t="s">
        <v>345</v>
      </c>
      <c r="C311" t="s">
        <v>342</v>
      </c>
      <c r="D311" s="1">
        <v>1575.85</v>
      </c>
      <c r="E311" s="2">
        <f t="shared" si="4"/>
        <v>270983.16599999997</v>
      </c>
    </row>
    <row r="312" spans="1:5" x14ac:dyDescent="0.25">
      <c r="A312">
        <v>47993</v>
      </c>
      <c r="B312" t="s">
        <v>346</v>
      </c>
      <c r="C312" t="s">
        <v>342</v>
      </c>
      <c r="D312" s="1">
        <v>2022.51</v>
      </c>
      <c r="E312" s="2">
        <f t="shared" si="4"/>
        <v>347790.81959999999</v>
      </c>
    </row>
    <row r="313" spans="1:5" x14ac:dyDescent="0.25">
      <c r="A313">
        <v>48009</v>
      </c>
      <c r="B313" t="s">
        <v>347</v>
      </c>
      <c r="C313" t="s">
        <v>342</v>
      </c>
      <c r="D313" s="1">
        <v>3380.45</v>
      </c>
      <c r="E313" s="2">
        <f t="shared" si="4"/>
        <v>581302.18199999991</v>
      </c>
    </row>
    <row r="314" spans="1:5" x14ac:dyDescent="0.25">
      <c r="A314">
        <v>48017</v>
      </c>
      <c r="B314" t="s">
        <v>348</v>
      </c>
      <c r="C314" t="s">
        <v>342</v>
      </c>
      <c r="D314" s="1">
        <v>2043.36</v>
      </c>
      <c r="E314" s="2">
        <f t="shared" si="4"/>
        <v>351376.18559999997</v>
      </c>
    </row>
    <row r="315" spans="1:5" x14ac:dyDescent="0.25">
      <c r="A315">
        <v>48025</v>
      </c>
      <c r="B315" t="s">
        <v>349</v>
      </c>
      <c r="C315" t="s">
        <v>342</v>
      </c>
      <c r="D315" s="1">
        <v>1783.49</v>
      </c>
      <c r="E315" s="2">
        <f t="shared" si="4"/>
        <v>306688.94039999996</v>
      </c>
    </row>
    <row r="316" spans="1:5" x14ac:dyDescent="0.25">
      <c r="A316">
        <v>48033</v>
      </c>
      <c r="B316" t="s">
        <v>350</v>
      </c>
      <c r="C316" t="s">
        <v>342</v>
      </c>
      <c r="D316" s="1">
        <v>1438.6</v>
      </c>
      <c r="E316" s="2">
        <f t="shared" si="4"/>
        <v>247381.65599999996</v>
      </c>
    </row>
    <row r="317" spans="1:5" x14ac:dyDescent="0.25">
      <c r="A317">
        <v>48041</v>
      </c>
      <c r="B317" t="s">
        <v>351</v>
      </c>
      <c r="C317" t="s">
        <v>342</v>
      </c>
      <c r="D317" s="1">
        <v>3831.67</v>
      </c>
      <c r="E317" s="2">
        <f t="shared" si="4"/>
        <v>658893.97320000001</v>
      </c>
    </row>
    <row r="318" spans="1:5" x14ac:dyDescent="0.25">
      <c r="A318">
        <v>43588</v>
      </c>
      <c r="B318" t="s">
        <v>352</v>
      </c>
      <c r="C318" t="s">
        <v>353</v>
      </c>
      <c r="D318" s="1">
        <v>2684.17</v>
      </c>
      <c r="E318" s="2">
        <f t="shared" si="4"/>
        <v>461569.87320000003</v>
      </c>
    </row>
    <row r="319" spans="1:5" x14ac:dyDescent="0.25">
      <c r="A319">
        <v>48074</v>
      </c>
      <c r="B319" t="s">
        <v>354</v>
      </c>
      <c r="C319" t="s">
        <v>353</v>
      </c>
      <c r="D319" s="1">
        <v>1821.55</v>
      </c>
      <c r="E319" s="2">
        <f t="shared" si="4"/>
        <v>313233.73799999995</v>
      </c>
    </row>
    <row r="320" spans="1:5" x14ac:dyDescent="0.25">
      <c r="A320">
        <v>48082</v>
      </c>
      <c r="B320" t="s">
        <v>355</v>
      </c>
      <c r="C320" t="s">
        <v>353</v>
      </c>
      <c r="D320" s="1">
        <v>1820.75</v>
      </c>
      <c r="E320" s="2">
        <f t="shared" si="4"/>
        <v>313096.17</v>
      </c>
    </row>
    <row r="321" spans="1:5" x14ac:dyDescent="0.25">
      <c r="A321">
        <v>48090</v>
      </c>
      <c r="B321" t="s">
        <v>332</v>
      </c>
      <c r="C321" t="s">
        <v>353</v>
      </c>
      <c r="D321" s="1">
        <v>740.83</v>
      </c>
      <c r="E321" s="2">
        <f t="shared" si="4"/>
        <v>127393.12680000001</v>
      </c>
    </row>
    <row r="322" spans="1:5" x14ac:dyDescent="0.25">
      <c r="A322">
        <v>48124</v>
      </c>
      <c r="B322" t="s">
        <v>356</v>
      </c>
      <c r="C322" t="s">
        <v>357</v>
      </c>
      <c r="D322" s="1">
        <v>3727.77</v>
      </c>
      <c r="E322" s="2">
        <f t="shared" si="4"/>
        <v>641027.32920000004</v>
      </c>
    </row>
    <row r="323" spans="1:5" x14ac:dyDescent="0.25">
      <c r="A323">
        <v>43943</v>
      </c>
      <c r="B323" t="s">
        <v>358</v>
      </c>
      <c r="C323" t="s">
        <v>357</v>
      </c>
      <c r="D323" s="1">
        <v>6975.93</v>
      </c>
      <c r="E323" s="2">
        <f t="shared" si="4"/>
        <v>1199580.9228000001</v>
      </c>
    </row>
    <row r="324" spans="1:5" x14ac:dyDescent="0.25">
      <c r="A324">
        <v>44263</v>
      </c>
      <c r="B324" t="s">
        <v>359</v>
      </c>
      <c r="C324" t="s">
        <v>357</v>
      </c>
      <c r="D324" s="1">
        <v>7388.64</v>
      </c>
      <c r="E324" s="2">
        <f t="shared" si="4"/>
        <v>1270550.5344</v>
      </c>
    </row>
    <row r="325" spans="1:5" x14ac:dyDescent="0.25">
      <c r="A325">
        <v>44537</v>
      </c>
      <c r="B325" t="s">
        <v>360</v>
      </c>
      <c r="C325" t="s">
        <v>357</v>
      </c>
      <c r="D325" s="1">
        <v>3870.25</v>
      </c>
      <c r="E325" s="2">
        <f t="shared" si="4"/>
        <v>665528.18999999994</v>
      </c>
    </row>
    <row r="326" spans="1:5" x14ac:dyDescent="0.25">
      <c r="A326">
        <v>44594</v>
      </c>
      <c r="B326" t="s">
        <v>361</v>
      </c>
      <c r="C326" t="s">
        <v>357</v>
      </c>
      <c r="D326" s="1">
        <v>1116.71</v>
      </c>
      <c r="E326" s="2">
        <f t="shared" si="4"/>
        <v>192029.4516</v>
      </c>
    </row>
    <row r="327" spans="1:5" x14ac:dyDescent="0.25">
      <c r="A327">
        <v>44768</v>
      </c>
      <c r="B327" t="s">
        <v>362</v>
      </c>
      <c r="C327" t="s">
        <v>357</v>
      </c>
      <c r="D327" s="1">
        <v>1912.16</v>
      </c>
      <c r="E327" s="2">
        <f t="shared" si="4"/>
        <v>328815.03360000002</v>
      </c>
    </row>
    <row r="328" spans="1:5" x14ac:dyDescent="0.25">
      <c r="A328">
        <v>45195</v>
      </c>
      <c r="B328" t="s">
        <v>363</v>
      </c>
      <c r="C328" t="s">
        <v>357</v>
      </c>
      <c r="D328" s="1">
        <v>4171.8500000000004</v>
      </c>
      <c r="E328" s="2">
        <f t="shared" si="4"/>
        <v>717391.32600000012</v>
      </c>
    </row>
    <row r="329" spans="1:5" x14ac:dyDescent="0.25">
      <c r="A329">
        <v>45658</v>
      </c>
      <c r="B329" t="s">
        <v>364</v>
      </c>
      <c r="C329" t="s">
        <v>357</v>
      </c>
      <c r="D329" s="1">
        <v>1400.52</v>
      </c>
      <c r="E329" s="2">
        <f t="shared" si="4"/>
        <v>240833.41919999997</v>
      </c>
    </row>
    <row r="330" spans="1:5" x14ac:dyDescent="0.25">
      <c r="A330">
        <v>48116</v>
      </c>
      <c r="B330" t="s">
        <v>365</v>
      </c>
      <c r="C330" t="s">
        <v>357</v>
      </c>
      <c r="D330" s="1">
        <v>3972.09</v>
      </c>
      <c r="E330" s="2">
        <f t="shared" si="4"/>
        <v>683040.59640000004</v>
      </c>
    </row>
    <row r="331" spans="1:5" x14ac:dyDescent="0.25">
      <c r="A331">
        <v>48132</v>
      </c>
      <c r="B331" t="s">
        <v>366</v>
      </c>
      <c r="C331" t="s">
        <v>357</v>
      </c>
      <c r="D331" s="1">
        <v>1706.69</v>
      </c>
      <c r="E331" s="2">
        <f t="shared" si="4"/>
        <v>293482.41239999997</v>
      </c>
    </row>
    <row r="332" spans="1:5" x14ac:dyDescent="0.25">
      <c r="A332">
        <v>48140</v>
      </c>
      <c r="B332" t="s">
        <v>367</v>
      </c>
      <c r="C332" t="s">
        <v>357</v>
      </c>
      <c r="D332" s="1">
        <v>1034.55</v>
      </c>
      <c r="E332" s="2">
        <f t="shared" si="4"/>
        <v>177901.21799999999</v>
      </c>
    </row>
    <row r="333" spans="1:5" x14ac:dyDescent="0.25">
      <c r="A333">
        <v>48157</v>
      </c>
      <c r="B333" t="s">
        <v>368</v>
      </c>
      <c r="C333" t="s">
        <v>357</v>
      </c>
      <c r="D333" s="1">
        <v>1856.39</v>
      </c>
      <c r="E333" s="2">
        <f t="shared" si="4"/>
        <v>319224.82439999998</v>
      </c>
    </row>
    <row r="334" spans="1:5" x14ac:dyDescent="0.25">
      <c r="A334">
        <v>48165</v>
      </c>
      <c r="B334" t="s">
        <v>369</v>
      </c>
      <c r="C334" t="s">
        <v>357</v>
      </c>
      <c r="D334" s="1">
        <v>1675.29</v>
      </c>
      <c r="E334" s="2">
        <f t="shared" si="4"/>
        <v>288082.86839999998</v>
      </c>
    </row>
    <row r="335" spans="1:5" x14ac:dyDescent="0.25">
      <c r="A335">
        <v>48173</v>
      </c>
      <c r="B335" t="s">
        <v>370</v>
      </c>
      <c r="C335" t="s">
        <v>357</v>
      </c>
      <c r="D335" s="1">
        <v>3423.49</v>
      </c>
      <c r="E335" s="2">
        <f t="shared" ref="E335:E398" si="5">D335*5732*0.03</f>
        <v>588703.34039999999</v>
      </c>
    </row>
    <row r="336" spans="1:5" x14ac:dyDescent="0.25">
      <c r="A336">
        <v>44362</v>
      </c>
      <c r="B336" t="s">
        <v>371</v>
      </c>
      <c r="C336" t="s">
        <v>372</v>
      </c>
      <c r="D336" s="1">
        <v>2686.76</v>
      </c>
      <c r="E336" s="2">
        <f t="shared" si="5"/>
        <v>462015.24960000004</v>
      </c>
    </row>
    <row r="337" spans="1:5" x14ac:dyDescent="0.25">
      <c r="A337">
        <v>44602</v>
      </c>
      <c r="B337" t="s">
        <v>373</v>
      </c>
      <c r="C337" t="s">
        <v>372</v>
      </c>
      <c r="D337" s="1">
        <v>3822.64</v>
      </c>
      <c r="E337" s="2">
        <f t="shared" si="5"/>
        <v>657341.17440000002</v>
      </c>
    </row>
    <row r="338" spans="1:5" x14ac:dyDescent="0.25">
      <c r="A338">
        <v>44875</v>
      </c>
      <c r="B338" t="s">
        <v>374</v>
      </c>
      <c r="C338" t="s">
        <v>372</v>
      </c>
      <c r="D338" s="1">
        <v>7427.16</v>
      </c>
      <c r="E338" s="2">
        <f t="shared" si="5"/>
        <v>1277174.4335999999</v>
      </c>
    </row>
    <row r="339" spans="1:5" x14ac:dyDescent="0.25">
      <c r="A339">
        <v>44909</v>
      </c>
      <c r="B339" t="s">
        <v>375</v>
      </c>
      <c r="C339" t="s">
        <v>372</v>
      </c>
      <c r="D339" s="1">
        <v>23556.23</v>
      </c>
      <c r="E339" s="2">
        <f t="shared" si="5"/>
        <v>4050729.3107999992</v>
      </c>
    </row>
    <row r="340" spans="1:5" x14ac:dyDescent="0.25">
      <c r="A340">
        <v>48207</v>
      </c>
      <c r="B340" t="s">
        <v>376</v>
      </c>
      <c r="C340" t="s">
        <v>372</v>
      </c>
      <c r="D340" s="1">
        <v>4410.6400000000003</v>
      </c>
      <c r="E340" s="2">
        <f t="shared" si="5"/>
        <v>758453.6544</v>
      </c>
    </row>
    <row r="341" spans="1:5" x14ac:dyDescent="0.25">
      <c r="A341">
        <v>48215</v>
      </c>
      <c r="B341" t="s">
        <v>377</v>
      </c>
      <c r="C341" t="s">
        <v>372</v>
      </c>
      <c r="D341" s="1">
        <v>1001.34</v>
      </c>
      <c r="E341" s="2">
        <f t="shared" si="5"/>
        <v>172190.4264</v>
      </c>
    </row>
    <row r="342" spans="1:5" x14ac:dyDescent="0.25">
      <c r="A342">
        <v>48223</v>
      </c>
      <c r="B342" t="s">
        <v>378</v>
      </c>
      <c r="C342" t="s">
        <v>372</v>
      </c>
      <c r="D342" s="1">
        <v>3918.77</v>
      </c>
      <c r="E342" s="2">
        <f t="shared" si="5"/>
        <v>673871.68920000002</v>
      </c>
    </row>
    <row r="343" spans="1:5" x14ac:dyDescent="0.25">
      <c r="A343">
        <v>48231</v>
      </c>
      <c r="B343" t="s">
        <v>379</v>
      </c>
      <c r="C343" t="s">
        <v>372</v>
      </c>
      <c r="D343" s="1">
        <v>6641.7</v>
      </c>
      <c r="E343" s="2">
        <f t="shared" si="5"/>
        <v>1142106.7319999998</v>
      </c>
    </row>
    <row r="344" spans="1:5" x14ac:dyDescent="0.25">
      <c r="A344">
        <v>44255</v>
      </c>
      <c r="B344" t="s">
        <v>380</v>
      </c>
      <c r="C344" t="s">
        <v>381</v>
      </c>
      <c r="D344" s="1">
        <v>2052.6799999999998</v>
      </c>
      <c r="E344" s="2">
        <f t="shared" si="5"/>
        <v>352978.85279999999</v>
      </c>
    </row>
    <row r="345" spans="1:5" x14ac:dyDescent="0.25">
      <c r="A345">
        <v>48256</v>
      </c>
      <c r="B345" t="s">
        <v>382</v>
      </c>
      <c r="C345" t="s">
        <v>381</v>
      </c>
      <c r="D345" s="1">
        <v>1310.2</v>
      </c>
      <c r="E345" s="2">
        <f t="shared" si="5"/>
        <v>225301.992</v>
      </c>
    </row>
    <row r="346" spans="1:5" x14ac:dyDescent="0.25">
      <c r="A346">
        <v>48264</v>
      </c>
      <c r="B346" t="s">
        <v>383</v>
      </c>
      <c r="C346" t="s">
        <v>381</v>
      </c>
      <c r="D346" s="1">
        <v>2170.1999999999998</v>
      </c>
      <c r="E346" s="2">
        <f t="shared" si="5"/>
        <v>373187.59199999995</v>
      </c>
    </row>
    <row r="347" spans="1:5" x14ac:dyDescent="0.25">
      <c r="A347">
        <v>48272</v>
      </c>
      <c r="B347" t="s">
        <v>384</v>
      </c>
      <c r="C347" t="s">
        <v>381</v>
      </c>
      <c r="D347" s="1">
        <v>1343.36</v>
      </c>
      <c r="E347" s="2">
        <f t="shared" si="5"/>
        <v>231004.18559999997</v>
      </c>
    </row>
    <row r="348" spans="1:5" x14ac:dyDescent="0.25">
      <c r="A348">
        <v>43703</v>
      </c>
      <c r="B348" t="s">
        <v>385</v>
      </c>
      <c r="C348" t="s">
        <v>386</v>
      </c>
      <c r="D348" s="1">
        <v>1283.9100000000001</v>
      </c>
      <c r="E348" s="2">
        <f t="shared" si="5"/>
        <v>220781.1636</v>
      </c>
    </row>
    <row r="349" spans="1:5" x14ac:dyDescent="0.25">
      <c r="A349">
        <v>44859</v>
      </c>
      <c r="B349" t="s">
        <v>387</v>
      </c>
      <c r="C349" t="s">
        <v>386</v>
      </c>
      <c r="D349" s="1">
        <v>1996.7</v>
      </c>
      <c r="E349" s="2">
        <f t="shared" si="5"/>
        <v>343352.53200000001</v>
      </c>
    </row>
    <row r="350" spans="1:5" x14ac:dyDescent="0.25">
      <c r="A350">
        <v>45161</v>
      </c>
      <c r="B350" t="s">
        <v>388</v>
      </c>
      <c r="C350" t="s">
        <v>386</v>
      </c>
      <c r="D350" s="1">
        <v>6318.57</v>
      </c>
      <c r="E350" s="2">
        <f t="shared" si="5"/>
        <v>1086541.2971999999</v>
      </c>
    </row>
    <row r="351" spans="1:5" x14ac:dyDescent="0.25">
      <c r="A351">
        <v>48298</v>
      </c>
      <c r="B351" t="s">
        <v>389</v>
      </c>
      <c r="C351" t="s">
        <v>386</v>
      </c>
      <c r="D351" s="1">
        <v>5193.9399999999996</v>
      </c>
      <c r="E351" s="2">
        <f t="shared" si="5"/>
        <v>893149.92239999992</v>
      </c>
    </row>
    <row r="352" spans="1:5" x14ac:dyDescent="0.25">
      <c r="A352">
        <v>48306</v>
      </c>
      <c r="B352" t="s">
        <v>390</v>
      </c>
      <c r="C352" t="s">
        <v>386</v>
      </c>
      <c r="D352" s="1">
        <v>4641.3599999999997</v>
      </c>
      <c r="E352" s="2">
        <f t="shared" si="5"/>
        <v>798128.26559999993</v>
      </c>
    </row>
    <row r="353" spans="1:5" x14ac:dyDescent="0.25">
      <c r="A353">
        <v>48314</v>
      </c>
      <c r="B353" t="s">
        <v>391</v>
      </c>
      <c r="C353" t="s">
        <v>386</v>
      </c>
      <c r="D353" s="1">
        <v>2999.61</v>
      </c>
      <c r="E353" s="2">
        <f t="shared" si="5"/>
        <v>515812.93559999997</v>
      </c>
    </row>
    <row r="354" spans="1:5" x14ac:dyDescent="0.25">
      <c r="A354">
        <v>48322</v>
      </c>
      <c r="B354" t="s">
        <v>392</v>
      </c>
      <c r="C354" t="s">
        <v>386</v>
      </c>
      <c r="D354" s="1">
        <v>840.5</v>
      </c>
      <c r="E354" s="2">
        <f t="shared" si="5"/>
        <v>144532.38</v>
      </c>
    </row>
    <row r="355" spans="1:5" x14ac:dyDescent="0.25">
      <c r="A355">
        <v>48330</v>
      </c>
      <c r="B355" t="s">
        <v>393</v>
      </c>
      <c r="C355" t="s">
        <v>386</v>
      </c>
      <c r="D355" s="1">
        <v>613.59</v>
      </c>
      <c r="E355" s="2">
        <f t="shared" si="5"/>
        <v>105512.93640000001</v>
      </c>
    </row>
    <row r="356" spans="1:5" x14ac:dyDescent="0.25">
      <c r="A356">
        <v>48348</v>
      </c>
      <c r="B356" t="s">
        <v>394</v>
      </c>
      <c r="C356" t="s">
        <v>386</v>
      </c>
      <c r="D356" s="1">
        <v>2292.2600000000002</v>
      </c>
      <c r="E356" s="2">
        <f t="shared" si="5"/>
        <v>394177.02960000007</v>
      </c>
    </row>
    <row r="357" spans="1:5" x14ac:dyDescent="0.25">
      <c r="A357">
        <v>48355</v>
      </c>
      <c r="B357" t="s">
        <v>395</v>
      </c>
      <c r="C357" t="s">
        <v>386</v>
      </c>
      <c r="D357" s="1">
        <v>626.29</v>
      </c>
      <c r="E357" s="2">
        <f t="shared" si="5"/>
        <v>107696.82839999998</v>
      </c>
    </row>
    <row r="358" spans="1:5" x14ac:dyDescent="0.25">
      <c r="A358">
        <v>48363</v>
      </c>
      <c r="B358" t="s">
        <v>396</v>
      </c>
      <c r="C358" t="s">
        <v>386</v>
      </c>
      <c r="D358" s="1">
        <v>1291.1500000000001</v>
      </c>
      <c r="E358" s="2">
        <f t="shared" si="5"/>
        <v>222026.15400000001</v>
      </c>
    </row>
    <row r="359" spans="1:5" x14ac:dyDescent="0.25">
      <c r="A359">
        <v>48371</v>
      </c>
      <c r="B359" t="s">
        <v>378</v>
      </c>
      <c r="C359" t="s">
        <v>386</v>
      </c>
      <c r="D359" s="1">
        <v>1159.97</v>
      </c>
      <c r="E359" s="2">
        <f t="shared" si="5"/>
        <v>199468.4412</v>
      </c>
    </row>
    <row r="360" spans="1:5" x14ac:dyDescent="0.25">
      <c r="A360">
        <v>48389</v>
      </c>
      <c r="B360" t="s">
        <v>397</v>
      </c>
      <c r="C360" t="s">
        <v>386</v>
      </c>
      <c r="D360" s="1">
        <v>2348.6999999999998</v>
      </c>
      <c r="E360" s="2">
        <f t="shared" si="5"/>
        <v>403882.45199999993</v>
      </c>
    </row>
    <row r="361" spans="1:5" x14ac:dyDescent="0.25">
      <c r="A361">
        <v>48397</v>
      </c>
      <c r="B361" t="s">
        <v>309</v>
      </c>
      <c r="C361" t="s">
        <v>386</v>
      </c>
      <c r="D361" s="1">
        <v>720.95</v>
      </c>
      <c r="E361" s="2">
        <f t="shared" si="5"/>
        <v>123974.56200000001</v>
      </c>
    </row>
    <row r="362" spans="1:5" x14ac:dyDescent="0.25">
      <c r="A362">
        <v>44339</v>
      </c>
      <c r="B362" t="s">
        <v>398</v>
      </c>
      <c r="C362" t="s">
        <v>399</v>
      </c>
      <c r="D362" s="1">
        <v>4246.8599999999997</v>
      </c>
      <c r="E362" s="2">
        <f t="shared" si="5"/>
        <v>730290.04559999995</v>
      </c>
    </row>
    <row r="363" spans="1:5" x14ac:dyDescent="0.25">
      <c r="A363">
        <v>48413</v>
      </c>
      <c r="B363" t="s">
        <v>400</v>
      </c>
      <c r="C363" t="s">
        <v>399</v>
      </c>
      <c r="D363" s="1">
        <v>1240.47</v>
      </c>
      <c r="E363" s="2">
        <f t="shared" si="5"/>
        <v>213311.2212</v>
      </c>
    </row>
    <row r="364" spans="1:5" x14ac:dyDescent="0.25">
      <c r="A364">
        <v>48421</v>
      </c>
      <c r="B364" t="s">
        <v>401</v>
      </c>
      <c r="C364" t="s">
        <v>399</v>
      </c>
      <c r="D364" s="1">
        <v>1219.54</v>
      </c>
      <c r="E364" s="2">
        <f t="shared" si="5"/>
        <v>209712.09839999996</v>
      </c>
    </row>
    <row r="365" spans="1:5" x14ac:dyDescent="0.25">
      <c r="A365">
        <v>48439</v>
      </c>
      <c r="B365" t="s">
        <v>402</v>
      </c>
      <c r="C365" t="s">
        <v>399</v>
      </c>
      <c r="D365" s="1">
        <v>794.92</v>
      </c>
      <c r="E365" s="2">
        <f t="shared" si="5"/>
        <v>136694.44319999998</v>
      </c>
    </row>
    <row r="366" spans="1:5" x14ac:dyDescent="0.25">
      <c r="A366">
        <v>48447</v>
      </c>
      <c r="B366" t="s">
        <v>403</v>
      </c>
      <c r="C366" t="s">
        <v>399</v>
      </c>
      <c r="D366" s="1">
        <v>2066.21</v>
      </c>
      <c r="E366" s="2">
        <f t="shared" si="5"/>
        <v>355305.47159999999</v>
      </c>
    </row>
    <row r="367" spans="1:5" x14ac:dyDescent="0.25">
      <c r="A367">
        <v>43661</v>
      </c>
      <c r="B367" t="s">
        <v>404</v>
      </c>
      <c r="C367" t="s">
        <v>405</v>
      </c>
      <c r="D367" s="1">
        <v>7557.68</v>
      </c>
      <c r="E367" s="2">
        <f t="shared" si="5"/>
        <v>1299618.6528</v>
      </c>
    </row>
    <row r="368" spans="1:5" x14ac:dyDescent="0.25">
      <c r="A368">
        <v>44388</v>
      </c>
      <c r="B368" t="s">
        <v>406</v>
      </c>
      <c r="C368" t="s">
        <v>405</v>
      </c>
      <c r="D368" s="1">
        <v>7527.09</v>
      </c>
      <c r="E368" s="2">
        <f t="shared" si="5"/>
        <v>1294358.3964</v>
      </c>
    </row>
    <row r="369" spans="1:5" x14ac:dyDescent="0.25">
      <c r="A369">
        <v>44974</v>
      </c>
      <c r="B369" t="s">
        <v>407</v>
      </c>
      <c r="C369" t="s">
        <v>405</v>
      </c>
      <c r="D369" s="1">
        <v>4717.18</v>
      </c>
      <c r="E369" s="2">
        <f t="shared" si="5"/>
        <v>811166.27280000004</v>
      </c>
    </row>
    <row r="370" spans="1:5" x14ac:dyDescent="0.25">
      <c r="A370">
        <v>48462</v>
      </c>
      <c r="B370" t="s">
        <v>408</v>
      </c>
      <c r="C370" t="s">
        <v>405</v>
      </c>
      <c r="D370" s="1">
        <v>1483.85</v>
      </c>
      <c r="E370" s="2">
        <f t="shared" si="5"/>
        <v>255162.84599999996</v>
      </c>
    </row>
    <row r="371" spans="1:5" x14ac:dyDescent="0.25">
      <c r="A371">
        <v>48470</v>
      </c>
      <c r="B371" t="s">
        <v>29</v>
      </c>
      <c r="C371" t="s">
        <v>405</v>
      </c>
      <c r="D371" s="1">
        <v>2282.75</v>
      </c>
      <c r="E371" s="2">
        <f t="shared" si="5"/>
        <v>392541.69</v>
      </c>
    </row>
    <row r="372" spans="1:5" x14ac:dyDescent="0.25">
      <c r="A372">
        <v>48488</v>
      </c>
      <c r="B372" t="s">
        <v>409</v>
      </c>
      <c r="C372" t="s">
        <v>405</v>
      </c>
      <c r="D372" s="1">
        <v>2943.43</v>
      </c>
      <c r="E372" s="2">
        <f t="shared" si="5"/>
        <v>506152.22279999993</v>
      </c>
    </row>
    <row r="373" spans="1:5" x14ac:dyDescent="0.25">
      <c r="A373">
        <v>48496</v>
      </c>
      <c r="B373" t="s">
        <v>410</v>
      </c>
      <c r="C373" t="s">
        <v>405</v>
      </c>
      <c r="D373" s="1">
        <v>3276.17</v>
      </c>
      <c r="E373" s="2">
        <f t="shared" si="5"/>
        <v>563370.19319999998</v>
      </c>
    </row>
    <row r="374" spans="1:5" x14ac:dyDescent="0.25">
      <c r="A374">
        <v>48512</v>
      </c>
      <c r="B374" t="s">
        <v>56</v>
      </c>
      <c r="C374" t="s">
        <v>411</v>
      </c>
      <c r="D374" s="1">
        <v>845.57</v>
      </c>
      <c r="E374" s="2">
        <f t="shared" si="5"/>
        <v>145404.21720000001</v>
      </c>
    </row>
    <row r="375" spans="1:5" x14ac:dyDescent="0.25">
      <c r="A375">
        <v>48520</v>
      </c>
      <c r="B375" t="s">
        <v>412</v>
      </c>
      <c r="C375" t="s">
        <v>411</v>
      </c>
      <c r="D375" s="1">
        <v>1819.33</v>
      </c>
      <c r="E375" s="2">
        <f t="shared" si="5"/>
        <v>312851.98679999996</v>
      </c>
    </row>
    <row r="376" spans="1:5" x14ac:dyDescent="0.25">
      <c r="A376">
        <v>48538</v>
      </c>
      <c r="B376" t="s">
        <v>112</v>
      </c>
      <c r="C376" t="s">
        <v>411</v>
      </c>
      <c r="D376" s="1">
        <v>705.69</v>
      </c>
      <c r="E376" s="2">
        <f t="shared" si="5"/>
        <v>121350.45240000001</v>
      </c>
    </row>
    <row r="377" spans="1:5" x14ac:dyDescent="0.25">
      <c r="A377">
        <v>43729</v>
      </c>
      <c r="B377" t="s">
        <v>413</v>
      </c>
      <c r="C377" t="s">
        <v>414</v>
      </c>
      <c r="D377" s="1">
        <v>2627.84</v>
      </c>
      <c r="E377" s="2">
        <f t="shared" si="5"/>
        <v>451883.3664</v>
      </c>
    </row>
    <row r="378" spans="1:5" x14ac:dyDescent="0.25">
      <c r="A378">
        <v>45310</v>
      </c>
      <c r="B378" t="s">
        <v>415</v>
      </c>
      <c r="C378" t="s">
        <v>414</v>
      </c>
      <c r="D378" s="1">
        <v>1385.39</v>
      </c>
      <c r="E378" s="2">
        <f t="shared" si="5"/>
        <v>238231.66440000001</v>
      </c>
    </row>
    <row r="379" spans="1:5" x14ac:dyDescent="0.25">
      <c r="A379">
        <v>48595</v>
      </c>
      <c r="B379" t="s">
        <v>416</v>
      </c>
      <c r="C379" t="s">
        <v>414</v>
      </c>
      <c r="D379" s="1">
        <v>976.85</v>
      </c>
      <c r="E379" s="2">
        <f t="shared" si="5"/>
        <v>167979.12599999999</v>
      </c>
    </row>
    <row r="380" spans="1:5" x14ac:dyDescent="0.25">
      <c r="A380">
        <v>48553</v>
      </c>
      <c r="B380" t="s">
        <v>417</v>
      </c>
      <c r="C380" t="s">
        <v>414</v>
      </c>
      <c r="D380" s="1">
        <v>893.03</v>
      </c>
      <c r="E380" s="2">
        <f t="shared" si="5"/>
        <v>153565.4388</v>
      </c>
    </row>
    <row r="381" spans="1:5" x14ac:dyDescent="0.25">
      <c r="A381">
        <v>48579</v>
      </c>
      <c r="B381" t="s">
        <v>418</v>
      </c>
      <c r="C381" t="s">
        <v>414</v>
      </c>
      <c r="D381" s="1">
        <v>1042.22</v>
      </c>
      <c r="E381" s="2">
        <f t="shared" si="5"/>
        <v>179220.15119999999</v>
      </c>
    </row>
    <row r="382" spans="1:5" x14ac:dyDescent="0.25">
      <c r="A382">
        <v>48587</v>
      </c>
      <c r="B382" t="s">
        <v>419</v>
      </c>
      <c r="C382" t="s">
        <v>414</v>
      </c>
      <c r="D382" s="1">
        <v>980.31</v>
      </c>
      <c r="E382" s="2">
        <f t="shared" si="5"/>
        <v>168574.10759999999</v>
      </c>
    </row>
    <row r="383" spans="1:5" x14ac:dyDescent="0.25">
      <c r="A383">
        <v>44644</v>
      </c>
      <c r="B383" t="s">
        <v>420</v>
      </c>
      <c r="C383" t="s">
        <v>421</v>
      </c>
      <c r="D383" s="1">
        <v>3544.06</v>
      </c>
      <c r="E383" s="2">
        <f t="shared" si="5"/>
        <v>609436.55759999994</v>
      </c>
    </row>
    <row r="384" spans="1:5" x14ac:dyDescent="0.25">
      <c r="A384">
        <v>44925</v>
      </c>
      <c r="B384" t="s">
        <v>422</v>
      </c>
      <c r="C384" t="s">
        <v>421</v>
      </c>
      <c r="D384" s="1">
        <v>4581.88</v>
      </c>
      <c r="E384" s="2">
        <f t="shared" si="5"/>
        <v>787900.08479999995</v>
      </c>
    </row>
    <row r="385" spans="1:5" x14ac:dyDescent="0.25">
      <c r="A385">
        <v>45229</v>
      </c>
      <c r="B385" t="s">
        <v>423</v>
      </c>
      <c r="C385" t="s">
        <v>421</v>
      </c>
      <c r="D385" s="1">
        <v>618.02</v>
      </c>
      <c r="E385" s="2">
        <f t="shared" si="5"/>
        <v>106274.71919999999</v>
      </c>
    </row>
    <row r="386" spans="1:5" x14ac:dyDescent="0.25">
      <c r="A386">
        <v>45336</v>
      </c>
      <c r="B386" t="s">
        <v>424</v>
      </c>
      <c r="C386" t="s">
        <v>421</v>
      </c>
      <c r="D386" s="1">
        <v>885.56</v>
      </c>
      <c r="E386" s="2">
        <f t="shared" si="5"/>
        <v>152280.8976</v>
      </c>
    </row>
    <row r="387" spans="1:5" x14ac:dyDescent="0.25">
      <c r="A387">
        <v>45518</v>
      </c>
      <c r="B387" t="s">
        <v>425</v>
      </c>
      <c r="C387" t="s">
        <v>421</v>
      </c>
      <c r="D387" s="1">
        <v>1632.9</v>
      </c>
      <c r="E387" s="2">
        <f t="shared" si="5"/>
        <v>280793.484</v>
      </c>
    </row>
    <row r="388" spans="1:5" x14ac:dyDescent="0.25">
      <c r="A388">
        <v>45617</v>
      </c>
      <c r="B388" t="s">
        <v>426</v>
      </c>
      <c r="C388" t="s">
        <v>421</v>
      </c>
      <c r="D388" s="1">
        <v>2607.11</v>
      </c>
      <c r="E388" s="2">
        <f t="shared" si="5"/>
        <v>448318.63560000004</v>
      </c>
    </row>
    <row r="389" spans="1:5" x14ac:dyDescent="0.25">
      <c r="A389">
        <v>48611</v>
      </c>
      <c r="B389" t="s">
        <v>427</v>
      </c>
      <c r="C389" t="s">
        <v>421</v>
      </c>
      <c r="D389" s="1">
        <v>916.82</v>
      </c>
      <c r="E389" s="2">
        <f t="shared" si="5"/>
        <v>157656.36720000001</v>
      </c>
    </row>
    <row r="390" spans="1:5" x14ac:dyDescent="0.25">
      <c r="A390">
        <v>48629</v>
      </c>
      <c r="B390" t="s">
        <v>428</v>
      </c>
      <c r="C390" t="s">
        <v>421</v>
      </c>
      <c r="D390" s="1">
        <v>1222.1099999999999</v>
      </c>
      <c r="E390" s="2">
        <f t="shared" si="5"/>
        <v>210154.03559999997</v>
      </c>
    </row>
    <row r="391" spans="1:5" x14ac:dyDescent="0.25">
      <c r="A391">
        <v>48637</v>
      </c>
      <c r="B391" t="s">
        <v>429</v>
      </c>
      <c r="C391" t="s">
        <v>421</v>
      </c>
      <c r="D391" s="1">
        <v>596.05999999999995</v>
      </c>
      <c r="E391" s="2">
        <f t="shared" si="5"/>
        <v>102498.47759999998</v>
      </c>
    </row>
    <row r="392" spans="1:5" x14ac:dyDescent="0.25">
      <c r="A392">
        <v>48652</v>
      </c>
      <c r="B392" t="s">
        <v>430</v>
      </c>
      <c r="C392" t="s">
        <v>431</v>
      </c>
      <c r="D392" s="1">
        <v>2492.9299999999998</v>
      </c>
      <c r="E392" s="2">
        <f t="shared" si="5"/>
        <v>428684.24279999995</v>
      </c>
    </row>
    <row r="393" spans="1:5" x14ac:dyDescent="0.25">
      <c r="A393">
        <v>43737</v>
      </c>
      <c r="B393" t="s">
        <v>432</v>
      </c>
      <c r="C393" t="s">
        <v>433</v>
      </c>
      <c r="D393" s="1">
        <v>8272.17</v>
      </c>
      <c r="E393" s="2">
        <f t="shared" si="5"/>
        <v>1422482.3531999998</v>
      </c>
    </row>
    <row r="394" spans="1:5" x14ac:dyDescent="0.25">
      <c r="A394">
        <v>43844</v>
      </c>
      <c r="B394" t="s">
        <v>434</v>
      </c>
      <c r="C394" t="s">
        <v>433</v>
      </c>
      <c r="D394" s="1">
        <v>14697.9</v>
      </c>
      <c r="E394" s="2">
        <f t="shared" si="5"/>
        <v>2527450.8839999996</v>
      </c>
    </row>
    <row r="395" spans="1:5" x14ac:dyDescent="0.25">
      <c r="A395">
        <v>48751</v>
      </c>
      <c r="B395" t="s">
        <v>435</v>
      </c>
      <c r="C395" t="s">
        <v>433</v>
      </c>
      <c r="D395" s="1">
        <v>6334.2</v>
      </c>
      <c r="E395" s="2">
        <f t="shared" si="5"/>
        <v>1089229.0319999999</v>
      </c>
    </row>
    <row r="396" spans="1:5" x14ac:dyDescent="0.25">
      <c r="A396">
        <v>44180</v>
      </c>
      <c r="B396" t="s">
        <v>436</v>
      </c>
      <c r="C396" t="s">
        <v>433</v>
      </c>
      <c r="D396" s="1">
        <v>7386.61</v>
      </c>
      <c r="E396" s="2">
        <f t="shared" si="5"/>
        <v>1270201.4555999998</v>
      </c>
    </row>
    <row r="397" spans="1:5" x14ac:dyDescent="0.25">
      <c r="A397">
        <v>44396</v>
      </c>
      <c r="B397" t="s">
        <v>437</v>
      </c>
      <c r="C397" t="s">
        <v>433</v>
      </c>
      <c r="D397" s="1">
        <v>5546.8</v>
      </c>
      <c r="E397" s="2">
        <f t="shared" si="5"/>
        <v>953827.728</v>
      </c>
    </row>
    <row r="398" spans="1:5" x14ac:dyDescent="0.25">
      <c r="A398">
        <v>48728</v>
      </c>
      <c r="B398" t="s">
        <v>438</v>
      </c>
      <c r="C398" t="s">
        <v>433</v>
      </c>
      <c r="D398" s="1">
        <v>5580.26</v>
      </c>
      <c r="E398" s="2">
        <f t="shared" si="5"/>
        <v>959581.50959999999</v>
      </c>
    </row>
    <row r="399" spans="1:5" x14ac:dyDescent="0.25">
      <c r="A399">
        <v>44586</v>
      </c>
      <c r="B399" t="s">
        <v>439</v>
      </c>
      <c r="C399" t="s">
        <v>433</v>
      </c>
      <c r="D399" s="1">
        <v>2138.87</v>
      </c>
      <c r="E399" s="2">
        <f t="shared" ref="E399:E462" si="6">D399*5732*0.03</f>
        <v>367800.08519999997</v>
      </c>
    </row>
    <row r="400" spans="1:5" x14ac:dyDescent="0.25">
      <c r="A400">
        <v>48694</v>
      </c>
      <c r="B400" t="s">
        <v>440</v>
      </c>
      <c r="C400" t="s">
        <v>433</v>
      </c>
      <c r="D400" s="1">
        <v>2754.73</v>
      </c>
      <c r="E400" s="2">
        <f t="shared" si="6"/>
        <v>473703.37079999998</v>
      </c>
    </row>
    <row r="401" spans="1:5" x14ac:dyDescent="0.25">
      <c r="A401">
        <v>44958</v>
      </c>
      <c r="B401" t="s">
        <v>441</v>
      </c>
      <c r="C401" t="s">
        <v>433</v>
      </c>
      <c r="D401" s="1">
        <v>3323.88</v>
      </c>
      <c r="E401" s="2">
        <f t="shared" si="6"/>
        <v>571574.40480000002</v>
      </c>
    </row>
    <row r="402" spans="1:5" x14ac:dyDescent="0.25">
      <c r="A402">
        <v>45054</v>
      </c>
      <c r="B402" t="s">
        <v>442</v>
      </c>
      <c r="C402" t="s">
        <v>433</v>
      </c>
      <c r="D402" s="1">
        <v>3668.51</v>
      </c>
      <c r="E402" s="2">
        <f t="shared" si="6"/>
        <v>630836.97959999996</v>
      </c>
    </row>
    <row r="403" spans="1:5" x14ac:dyDescent="0.25">
      <c r="A403">
        <v>48678</v>
      </c>
      <c r="B403" t="s">
        <v>443</v>
      </c>
      <c r="C403" t="s">
        <v>433</v>
      </c>
      <c r="D403" s="1">
        <v>1517.94</v>
      </c>
      <c r="E403" s="2">
        <f t="shared" si="6"/>
        <v>261024.96239999999</v>
      </c>
    </row>
    <row r="404" spans="1:5" x14ac:dyDescent="0.25">
      <c r="A404">
        <v>48686</v>
      </c>
      <c r="B404" t="s">
        <v>444</v>
      </c>
      <c r="C404" t="s">
        <v>433</v>
      </c>
      <c r="D404" s="1">
        <v>408.12</v>
      </c>
      <c r="E404" s="2">
        <f t="shared" si="6"/>
        <v>70180.315199999997</v>
      </c>
    </row>
    <row r="405" spans="1:5" x14ac:dyDescent="0.25">
      <c r="A405">
        <v>48702</v>
      </c>
      <c r="B405" t="s">
        <v>445</v>
      </c>
      <c r="C405" t="s">
        <v>433</v>
      </c>
      <c r="D405" s="1">
        <v>3494.35</v>
      </c>
      <c r="E405" s="2">
        <f t="shared" si="6"/>
        <v>600888.42599999998</v>
      </c>
    </row>
    <row r="406" spans="1:5" x14ac:dyDescent="0.25">
      <c r="A406">
        <v>48710</v>
      </c>
      <c r="B406" t="s">
        <v>446</v>
      </c>
      <c r="C406" t="s">
        <v>433</v>
      </c>
      <c r="D406" s="1">
        <v>1144.97</v>
      </c>
      <c r="E406" s="2">
        <f t="shared" si="6"/>
        <v>196889.04120000001</v>
      </c>
    </row>
    <row r="407" spans="1:5" x14ac:dyDescent="0.25">
      <c r="A407">
        <v>48736</v>
      </c>
      <c r="B407" t="s">
        <v>350</v>
      </c>
      <c r="C407" t="s">
        <v>433</v>
      </c>
      <c r="D407" s="1">
        <v>1689.72</v>
      </c>
      <c r="E407" s="2">
        <f t="shared" si="6"/>
        <v>290564.2512</v>
      </c>
    </row>
    <row r="408" spans="1:5" x14ac:dyDescent="0.25">
      <c r="A408">
        <v>48744</v>
      </c>
      <c r="B408" t="s">
        <v>447</v>
      </c>
      <c r="C408" t="s">
        <v>433</v>
      </c>
      <c r="D408" s="1">
        <v>1922.47</v>
      </c>
      <c r="E408" s="2">
        <f t="shared" si="6"/>
        <v>330587.9412</v>
      </c>
    </row>
    <row r="409" spans="1:5" x14ac:dyDescent="0.25">
      <c r="A409">
        <v>48777</v>
      </c>
      <c r="B409" t="s">
        <v>448</v>
      </c>
      <c r="C409" t="s">
        <v>449</v>
      </c>
      <c r="D409" s="1">
        <v>2096.0500000000002</v>
      </c>
      <c r="E409" s="2">
        <f t="shared" si="6"/>
        <v>360436.75800000003</v>
      </c>
    </row>
    <row r="410" spans="1:5" x14ac:dyDescent="0.25">
      <c r="A410">
        <v>45534</v>
      </c>
      <c r="B410" t="s">
        <v>450</v>
      </c>
      <c r="C410" t="s">
        <v>451</v>
      </c>
      <c r="D410" s="1">
        <v>1241.26</v>
      </c>
      <c r="E410" s="2">
        <f t="shared" si="6"/>
        <v>213447.06959999999</v>
      </c>
    </row>
    <row r="411" spans="1:5" x14ac:dyDescent="0.25">
      <c r="A411">
        <v>48793</v>
      </c>
      <c r="B411" t="s">
        <v>452</v>
      </c>
      <c r="C411" t="s">
        <v>451</v>
      </c>
      <c r="D411" s="1">
        <v>1176.8</v>
      </c>
      <c r="E411" s="2">
        <f t="shared" si="6"/>
        <v>202362.52799999999</v>
      </c>
    </row>
    <row r="412" spans="1:5" x14ac:dyDescent="0.25">
      <c r="A412">
        <v>48801</v>
      </c>
      <c r="B412" t="s">
        <v>410</v>
      </c>
      <c r="C412" t="s">
        <v>451</v>
      </c>
      <c r="D412" s="1">
        <v>1885.89</v>
      </c>
      <c r="E412" s="2">
        <f t="shared" si="6"/>
        <v>324297.64439999999</v>
      </c>
    </row>
    <row r="413" spans="1:5" x14ac:dyDescent="0.25">
      <c r="A413">
        <v>48819</v>
      </c>
      <c r="B413" t="s">
        <v>453</v>
      </c>
      <c r="C413" t="s">
        <v>451</v>
      </c>
      <c r="D413" s="1">
        <v>1138.55</v>
      </c>
      <c r="E413" s="2">
        <f t="shared" si="6"/>
        <v>195785.05799999999</v>
      </c>
    </row>
    <row r="414" spans="1:5" x14ac:dyDescent="0.25">
      <c r="A414">
        <v>45179</v>
      </c>
      <c r="B414" t="s">
        <v>454</v>
      </c>
      <c r="C414" t="s">
        <v>455</v>
      </c>
      <c r="D414" s="1">
        <v>3630.84</v>
      </c>
      <c r="E414" s="2">
        <f t="shared" si="6"/>
        <v>624359.24640000006</v>
      </c>
    </row>
    <row r="415" spans="1:5" x14ac:dyDescent="0.25">
      <c r="A415">
        <v>48835</v>
      </c>
      <c r="B415" t="s">
        <v>456</v>
      </c>
      <c r="C415" t="s">
        <v>455</v>
      </c>
      <c r="D415" s="1">
        <v>2135.25</v>
      </c>
      <c r="E415" s="2">
        <f t="shared" si="6"/>
        <v>367177.58999999997</v>
      </c>
    </row>
    <row r="416" spans="1:5" x14ac:dyDescent="0.25">
      <c r="A416">
        <v>48843</v>
      </c>
      <c r="B416" t="s">
        <v>457</v>
      </c>
      <c r="C416" t="s">
        <v>455</v>
      </c>
      <c r="D416" s="1">
        <v>2220.9699999999998</v>
      </c>
      <c r="E416" s="2">
        <f t="shared" si="6"/>
        <v>381918.00119999994</v>
      </c>
    </row>
    <row r="417" spans="1:5" x14ac:dyDescent="0.25">
      <c r="A417">
        <v>48850</v>
      </c>
      <c r="B417" t="s">
        <v>458</v>
      </c>
      <c r="C417" t="s">
        <v>455</v>
      </c>
      <c r="D417" s="1">
        <v>2155.7800000000002</v>
      </c>
      <c r="E417" s="2">
        <f t="shared" si="6"/>
        <v>370707.92879999999</v>
      </c>
    </row>
    <row r="418" spans="1:5" x14ac:dyDescent="0.25">
      <c r="A418">
        <v>48876</v>
      </c>
      <c r="B418" t="s">
        <v>459</v>
      </c>
      <c r="C418" t="s">
        <v>455</v>
      </c>
      <c r="D418" s="1">
        <v>3170.64</v>
      </c>
      <c r="E418" s="2">
        <f t="shared" si="6"/>
        <v>545223.25439999998</v>
      </c>
    </row>
    <row r="419" spans="1:5" x14ac:dyDescent="0.25">
      <c r="A419">
        <v>48884</v>
      </c>
      <c r="B419" t="s">
        <v>460</v>
      </c>
      <c r="C419" t="s">
        <v>455</v>
      </c>
      <c r="D419" s="1">
        <v>1527.18</v>
      </c>
      <c r="E419" s="2">
        <f t="shared" si="6"/>
        <v>262613.87280000001</v>
      </c>
    </row>
    <row r="420" spans="1:5" x14ac:dyDescent="0.25">
      <c r="A420">
        <v>45252</v>
      </c>
      <c r="B420" t="s">
        <v>461</v>
      </c>
      <c r="C420" t="s">
        <v>462</v>
      </c>
      <c r="D420" s="1">
        <v>845.96</v>
      </c>
      <c r="E420" s="2">
        <f t="shared" si="6"/>
        <v>145471.28160000002</v>
      </c>
    </row>
    <row r="421" spans="1:5" x14ac:dyDescent="0.25">
      <c r="A421">
        <v>48900</v>
      </c>
      <c r="B421" t="s">
        <v>463</v>
      </c>
      <c r="C421" t="s">
        <v>462</v>
      </c>
      <c r="D421" s="1">
        <v>1042.97</v>
      </c>
      <c r="E421" s="2">
        <f t="shared" si="6"/>
        <v>179349.12119999999</v>
      </c>
    </row>
    <row r="422" spans="1:5" x14ac:dyDescent="0.25">
      <c r="A422">
        <v>44651</v>
      </c>
      <c r="B422" t="s">
        <v>464</v>
      </c>
      <c r="C422" t="s">
        <v>465</v>
      </c>
      <c r="D422" s="1">
        <v>1764.26</v>
      </c>
      <c r="E422" s="2">
        <f t="shared" si="6"/>
        <v>303382.1496</v>
      </c>
    </row>
    <row r="423" spans="1:5" x14ac:dyDescent="0.25">
      <c r="A423">
        <v>48926</v>
      </c>
      <c r="B423" t="s">
        <v>466</v>
      </c>
      <c r="C423" t="s">
        <v>465</v>
      </c>
      <c r="D423" s="1">
        <v>1823.15</v>
      </c>
      <c r="E423" s="2">
        <f t="shared" si="6"/>
        <v>313508.87400000001</v>
      </c>
    </row>
    <row r="424" spans="1:5" x14ac:dyDescent="0.25">
      <c r="A424">
        <v>48934</v>
      </c>
      <c r="B424" t="s">
        <v>467</v>
      </c>
      <c r="C424" t="s">
        <v>465</v>
      </c>
      <c r="D424" s="1">
        <v>545.27</v>
      </c>
      <c r="E424" s="2">
        <f t="shared" si="6"/>
        <v>93764.629199999981</v>
      </c>
    </row>
    <row r="425" spans="1:5" x14ac:dyDescent="0.25">
      <c r="A425">
        <v>48942</v>
      </c>
      <c r="B425" t="s">
        <v>468</v>
      </c>
      <c r="C425" t="s">
        <v>465</v>
      </c>
      <c r="D425" s="1">
        <v>1484.44</v>
      </c>
      <c r="E425" s="2">
        <f t="shared" si="6"/>
        <v>255264.30239999999</v>
      </c>
    </row>
    <row r="426" spans="1:5" x14ac:dyDescent="0.25">
      <c r="A426">
        <v>48959</v>
      </c>
      <c r="B426" t="s">
        <v>469</v>
      </c>
      <c r="C426" t="s">
        <v>465</v>
      </c>
      <c r="D426" s="1">
        <v>0</v>
      </c>
      <c r="E426" s="2">
        <f t="shared" si="6"/>
        <v>0</v>
      </c>
    </row>
    <row r="427" spans="1:5" x14ac:dyDescent="0.25">
      <c r="A427">
        <v>48967</v>
      </c>
      <c r="B427" t="s">
        <v>470</v>
      </c>
      <c r="C427" t="s">
        <v>465</v>
      </c>
      <c r="D427" s="1">
        <v>0</v>
      </c>
      <c r="E427" s="2">
        <f t="shared" si="6"/>
        <v>0</v>
      </c>
    </row>
    <row r="428" spans="1:5" x14ac:dyDescent="0.25">
      <c r="A428">
        <v>48975</v>
      </c>
      <c r="B428" t="s">
        <v>471</v>
      </c>
      <c r="C428" t="s">
        <v>465</v>
      </c>
      <c r="D428" s="1">
        <v>81</v>
      </c>
      <c r="E428" s="2">
        <f t="shared" si="6"/>
        <v>13928.76</v>
      </c>
    </row>
    <row r="429" spans="1:5" x14ac:dyDescent="0.25">
      <c r="A429">
        <v>45575</v>
      </c>
      <c r="B429" t="s">
        <v>472</v>
      </c>
      <c r="C429" t="s">
        <v>473</v>
      </c>
      <c r="D429" s="1">
        <v>1511.31</v>
      </c>
      <c r="E429" s="2">
        <f t="shared" si="6"/>
        <v>259884.8676</v>
      </c>
    </row>
    <row r="430" spans="1:5" x14ac:dyDescent="0.25">
      <c r="A430">
        <v>48991</v>
      </c>
      <c r="B430" t="s">
        <v>474</v>
      </c>
      <c r="C430" t="s">
        <v>473</v>
      </c>
      <c r="D430" s="1">
        <v>662.21</v>
      </c>
      <c r="E430" s="2">
        <f t="shared" si="6"/>
        <v>113873.63160000001</v>
      </c>
    </row>
    <row r="431" spans="1:5" x14ac:dyDescent="0.25">
      <c r="A431">
        <v>49031</v>
      </c>
      <c r="B431" t="s">
        <v>475</v>
      </c>
      <c r="C431" t="s">
        <v>473</v>
      </c>
      <c r="D431" s="1">
        <v>983.34</v>
      </c>
      <c r="E431" s="2">
        <f t="shared" si="6"/>
        <v>169095.1464</v>
      </c>
    </row>
    <row r="432" spans="1:5" x14ac:dyDescent="0.25">
      <c r="A432">
        <v>44479</v>
      </c>
      <c r="B432" t="s">
        <v>476</v>
      </c>
      <c r="C432" t="s">
        <v>477</v>
      </c>
      <c r="D432" s="1">
        <v>1870.06</v>
      </c>
      <c r="E432" s="2">
        <f t="shared" si="6"/>
        <v>321575.51759999996</v>
      </c>
    </row>
    <row r="433" spans="1:5" x14ac:dyDescent="0.25">
      <c r="A433">
        <v>45351</v>
      </c>
      <c r="B433" t="s">
        <v>478</v>
      </c>
      <c r="C433" t="s">
        <v>477</v>
      </c>
      <c r="D433" s="1">
        <v>1153.22</v>
      </c>
      <c r="E433" s="2">
        <f t="shared" si="6"/>
        <v>198307.71119999999</v>
      </c>
    </row>
    <row r="434" spans="1:5" x14ac:dyDescent="0.25">
      <c r="A434">
        <v>49056</v>
      </c>
      <c r="B434" t="s">
        <v>479</v>
      </c>
      <c r="C434" t="s">
        <v>477</v>
      </c>
      <c r="D434" s="1">
        <v>2300.5300000000002</v>
      </c>
      <c r="E434" s="2">
        <f t="shared" si="6"/>
        <v>395599.13880000002</v>
      </c>
    </row>
    <row r="435" spans="1:5" x14ac:dyDescent="0.25">
      <c r="A435">
        <v>49064</v>
      </c>
      <c r="B435" t="s">
        <v>112</v>
      </c>
      <c r="C435" t="s">
        <v>477</v>
      </c>
      <c r="D435" s="1">
        <v>785.36</v>
      </c>
      <c r="E435" s="2">
        <f t="shared" si="6"/>
        <v>135050.5056</v>
      </c>
    </row>
    <row r="436" spans="1:5" x14ac:dyDescent="0.25">
      <c r="A436">
        <v>43760</v>
      </c>
      <c r="B436" t="s">
        <v>480</v>
      </c>
      <c r="C436" t="s">
        <v>481</v>
      </c>
      <c r="D436" s="1">
        <v>2186.6799999999998</v>
      </c>
      <c r="E436" s="2">
        <f t="shared" si="6"/>
        <v>376021.49280000001</v>
      </c>
    </row>
    <row r="437" spans="1:5" x14ac:dyDescent="0.25">
      <c r="A437">
        <v>49080</v>
      </c>
      <c r="B437" t="s">
        <v>482</v>
      </c>
      <c r="C437" t="s">
        <v>481</v>
      </c>
      <c r="D437" s="1">
        <v>2140.84</v>
      </c>
      <c r="E437" s="2">
        <f t="shared" si="6"/>
        <v>368138.84640000004</v>
      </c>
    </row>
    <row r="438" spans="1:5" x14ac:dyDescent="0.25">
      <c r="A438">
        <v>49098</v>
      </c>
      <c r="B438" t="s">
        <v>483</v>
      </c>
      <c r="C438" t="s">
        <v>481</v>
      </c>
      <c r="D438" s="1">
        <v>3635.3</v>
      </c>
      <c r="E438" s="2">
        <f t="shared" si="6"/>
        <v>625126.18799999997</v>
      </c>
    </row>
    <row r="439" spans="1:5" x14ac:dyDescent="0.25">
      <c r="A439">
        <v>49106</v>
      </c>
      <c r="B439" t="s">
        <v>484</v>
      </c>
      <c r="C439" t="s">
        <v>481</v>
      </c>
      <c r="D439" s="1">
        <v>1602.62</v>
      </c>
      <c r="E439" s="2">
        <f t="shared" si="6"/>
        <v>275586.53519999998</v>
      </c>
    </row>
    <row r="440" spans="1:5" x14ac:dyDescent="0.25">
      <c r="A440">
        <v>49148</v>
      </c>
      <c r="B440" t="s">
        <v>485</v>
      </c>
      <c r="C440" t="s">
        <v>486</v>
      </c>
      <c r="D440" s="1">
        <v>1941.42</v>
      </c>
      <c r="E440" s="2">
        <f t="shared" si="6"/>
        <v>333846.58320000005</v>
      </c>
    </row>
    <row r="441" spans="1:5" x14ac:dyDescent="0.25">
      <c r="A441">
        <v>49122</v>
      </c>
      <c r="B441" t="s">
        <v>56</v>
      </c>
      <c r="C441" t="s">
        <v>486</v>
      </c>
      <c r="D441" s="1">
        <v>793.81</v>
      </c>
      <c r="E441" s="2">
        <f t="shared" si="6"/>
        <v>136503.56759999998</v>
      </c>
    </row>
    <row r="442" spans="1:5" x14ac:dyDescent="0.25">
      <c r="A442">
        <v>49130</v>
      </c>
      <c r="B442" t="s">
        <v>487</v>
      </c>
      <c r="C442" t="s">
        <v>486</v>
      </c>
      <c r="D442" s="1">
        <v>1582.08</v>
      </c>
      <c r="E442" s="2">
        <f t="shared" si="6"/>
        <v>272054.47679999995</v>
      </c>
    </row>
    <row r="443" spans="1:5" x14ac:dyDescent="0.25">
      <c r="A443">
        <v>49155</v>
      </c>
      <c r="B443" t="s">
        <v>488</v>
      </c>
      <c r="C443" t="s">
        <v>486</v>
      </c>
      <c r="D443" s="1">
        <v>816.25</v>
      </c>
      <c r="E443" s="2">
        <f t="shared" si="6"/>
        <v>140362.35</v>
      </c>
    </row>
    <row r="444" spans="1:5" x14ac:dyDescent="0.25">
      <c r="A444">
        <v>49171</v>
      </c>
      <c r="B444" t="s">
        <v>489</v>
      </c>
      <c r="C444" t="s">
        <v>490</v>
      </c>
      <c r="D444" s="1">
        <v>2943.3</v>
      </c>
      <c r="E444" s="2">
        <f t="shared" si="6"/>
        <v>506129.86800000002</v>
      </c>
    </row>
    <row r="445" spans="1:5" x14ac:dyDescent="0.25">
      <c r="A445">
        <v>44164</v>
      </c>
      <c r="B445" t="s">
        <v>491</v>
      </c>
      <c r="C445" t="s">
        <v>490</v>
      </c>
      <c r="D445" s="1">
        <v>3365.12</v>
      </c>
      <c r="E445" s="2">
        <f t="shared" si="6"/>
        <v>578666.03519999993</v>
      </c>
    </row>
    <row r="446" spans="1:5" x14ac:dyDescent="0.25">
      <c r="A446">
        <v>44685</v>
      </c>
      <c r="B446" t="s">
        <v>492</v>
      </c>
      <c r="C446" t="s">
        <v>490</v>
      </c>
      <c r="D446" s="1">
        <v>2899.19</v>
      </c>
      <c r="E446" s="2">
        <f t="shared" si="6"/>
        <v>498544.71239999996</v>
      </c>
    </row>
    <row r="447" spans="1:5" x14ac:dyDescent="0.25">
      <c r="A447">
        <v>49239</v>
      </c>
      <c r="B447" t="s">
        <v>493</v>
      </c>
      <c r="C447" t="s">
        <v>490</v>
      </c>
      <c r="D447" s="1">
        <v>2103.4299999999998</v>
      </c>
      <c r="E447" s="2">
        <f t="shared" si="6"/>
        <v>361705.82279999997</v>
      </c>
    </row>
    <row r="448" spans="1:5" x14ac:dyDescent="0.25">
      <c r="A448">
        <v>45666</v>
      </c>
      <c r="B448" t="s">
        <v>494</v>
      </c>
      <c r="C448" t="s">
        <v>490</v>
      </c>
      <c r="D448" s="1">
        <v>644.08000000000004</v>
      </c>
      <c r="E448" s="2">
        <f t="shared" si="6"/>
        <v>110755.99679999999</v>
      </c>
    </row>
    <row r="449" spans="1:5" x14ac:dyDescent="0.25">
      <c r="A449">
        <v>49189</v>
      </c>
      <c r="B449" t="s">
        <v>495</v>
      </c>
      <c r="C449" t="s">
        <v>490</v>
      </c>
      <c r="D449" s="1">
        <v>2163.39</v>
      </c>
      <c r="E449" s="2">
        <f t="shared" si="6"/>
        <v>372016.54439999996</v>
      </c>
    </row>
    <row r="450" spans="1:5" x14ac:dyDescent="0.25">
      <c r="A450">
        <v>49197</v>
      </c>
      <c r="B450" t="s">
        <v>496</v>
      </c>
      <c r="C450" t="s">
        <v>490</v>
      </c>
      <c r="D450" s="1">
        <v>2181</v>
      </c>
      <c r="E450" s="2">
        <f t="shared" si="6"/>
        <v>375044.76</v>
      </c>
    </row>
    <row r="451" spans="1:5" x14ac:dyDescent="0.25">
      <c r="A451">
        <v>49205</v>
      </c>
      <c r="B451" t="s">
        <v>497</v>
      </c>
      <c r="C451" t="s">
        <v>490</v>
      </c>
      <c r="D451" s="1">
        <v>1545.94</v>
      </c>
      <c r="E451" s="2">
        <f t="shared" si="6"/>
        <v>265839.84239999996</v>
      </c>
    </row>
    <row r="452" spans="1:5" x14ac:dyDescent="0.25">
      <c r="A452">
        <v>49213</v>
      </c>
      <c r="B452" t="s">
        <v>498</v>
      </c>
      <c r="C452" t="s">
        <v>490</v>
      </c>
      <c r="D452" s="1">
        <v>1279.1300000000001</v>
      </c>
      <c r="E452" s="2">
        <f t="shared" si="6"/>
        <v>219959.19480000003</v>
      </c>
    </row>
    <row r="453" spans="1:5" x14ac:dyDescent="0.25">
      <c r="A453">
        <v>49221</v>
      </c>
      <c r="B453" t="s">
        <v>499</v>
      </c>
      <c r="C453" t="s">
        <v>490</v>
      </c>
      <c r="D453" s="1">
        <v>1938.07</v>
      </c>
      <c r="E453" s="2">
        <f t="shared" si="6"/>
        <v>333270.5172</v>
      </c>
    </row>
    <row r="454" spans="1:5" x14ac:dyDescent="0.25">
      <c r="A454">
        <v>49247</v>
      </c>
      <c r="B454" t="s">
        <v>500</v>
      </c>
      <c r="C454" t="s">
        <v>490</v>
      </c>
      <c r="D454" s="1">
        <v>1239.52</v>
      </c>
      <c r="E454" s="2">
        <f t="shared" si="6"/>
        <v>213147.85919999998</v>
      </c>
    </row>
    <row r="455" spans="1:5" x14ac:dyDescent="0.25">
      <c r="A455">
        <v>43935</v>
      </c>
      <c r="B455" t="s">
        <v>501</v>
      </c>
      <c r="C455" t="s">
        <v>502</v>
      </c>
      <c r="D455" s="1">
        <v>2227.5</v>
      </c>
      <c r="E455" s="2">
        <f t="shared" si="6"/>
        <v>383040.89999999997</v>
      </c>
    </row>
    <row r="456" spans="1:5" x14ac:dyDescent="0.25">
      <c r="A456">
        <v>64964</v>
      </c>
      <c r="B456" t="s">
        <v>503</v>
      </c>
      <c r="C456" t="s">
        <v>502</v>
      </c>
      <c r="D456" s="1">
        <v>107.49</v>
      </c>
      <c r="E456" s="2">
        <f t="shared" si="6"/>
        <v>18483.980399999997</v>
      </c>
    </row>
    <row r="457" spans="1:5" x14ac:dyDescent="0.25">
      <c r="A457">
        <v>49270</v>
      </c>
      <c r="B457" t="s">
        <v>504</v>
      </c>
      <c r="C457" t="s">
        <v>502</v>
      </c>
      <c r="D457" s="1">
        <v>1095.05</v>
      </c>
      <c r="E457" s="2">
        <f t="shared" si="6"/>
        <v>188304.79799999998</v>
      </c>
    </row>
    <row r="458" spans="1:5" x14ac:dyDescent="0.25">
      <c r="A458">
        <v>49288</v>
      </c>
      <c r="B458" t="s">
        <v>505</v>
      </c>
      <c r="C458" t="s">
        <v>502</v>
      </c>
      <c r="D458" s="1">
        <v>1442.63</v>
      </c>
      <c r="E458" s="2">
        <f t="shared" si="6"/>
        <v>248074.65480000002</v>
      </c>
    </row>
    <row r="459" spans="1:5" x14ac:dyDescent="0.25">
      <c r="A459">
        <v>91397</v>
      </c>
      <c r="B459" t="s">
        <v>506</v>
      </c>
      <c r="C459" t="s">
        <v>502</v>
      </c>
      <c r="D459" s="1">
        <v>1024.68</v>
      </c>
      <c r="E459" s="2">
        <f t="shared" si="6"/>
        <v>176203.97280000002</v>
      </c>
    </row>
    <row r="460" spans="1:5" x14ac:dyDescent="0.25">
      <c r="A460">
        <v>49296</v>
      </c>
      <c r="B460" t="s">
        <v>507</v>
      </c>
      <c r="C460" t="s">
        <v>502</v>
      </c>
      <c r="D460" s="1">
        <v>945.01</v>
      </c>
      <c r="E460" s="2">
        <f t="shared" si="6"/>
        <v>162503.91959999999</v>
      </c>
    </row>
    <row r="461" spans="1:5" x14ac:dyDescent="0.25">
      <c r="A461">
        <v>49312</v>
      </c>
      <c r="B461" t="s">
        <v>508</v>
      </c>
      <c r="C461" t="s">
        <v>509</v>
      </c>
      <c r="D461" s="1">
        <v>881.63</v>
      </c>
      <c r="E461" s="2">
        <f t="shared" si="6"/>
        <v>151605.09479999999</v>
      </c>
    </row>
    <row r="462" spans="1:5" x14ac:dyDescent="0.25">
      <c r="A462">
        <v>49320</v>
      </c>
      <c r="B462" t="s">
        <v>510</v>
      </c>
      <c r="C462" t="s">
        <v>509</v>
      </c>
      <c r="D462" s="1">
        <v>515.91</v>
      </c>
      <c r="E462" s="2">
        <f t="shared" si="6"/>
        <v>88715.883599999986</v>
      </c>
    </row>
    <row r="463" spans="1:5" x14ac:dyDescent="0.25">
      <c r="A463">
        <v>49338</v>
      </c>
      <c r="B463" t="s">
        <v>511</v>
      </c>
      <c r="C463" t="s">
        <v>509</v>
      </c>
      <c r="D463" s="1">
        <v>378.39</v>
      </c>
      <c r="E463" s="2">
        <f t="shared" ref="E463:E526" si="7">D463*5732*0.03</f>
        <v>65067.9444</v>
      </c>
    </row>
    <row r="464" spans="1:5" x14ac:dyDescent="0.25">
      <c r="A464">
        <v>49346</v>
      </c>
      <c r="B464" t="s">
        <v>512</v>
      </c>
      <c r="C464" t="s">
        <v>509</v>
      </c>
      <c r="D464" s="1">
        <v>637.54999999999995</v>
      </c>
      <c r="E464" s="2">
        <f t="shared" si="7"/>
        <v>109633.09799999998</v>
      </c>
    </row>
    <row r="465" spans="1:5" x14ac:dyDescent="0.25">
      <c r="A465">
        <v>49353</v>
      </c>
      <c r="B465" t="s">
        <v>513</v>
      </c>
      <c r="C465" t="s">
        <v>509</v>
      </c>
      <c r="D465" s="1">
        <v>627.79999999999995</v>
      </c>
      <c r="E465" s="2">
        <f t="shared" si="7"/>
        <v>107956.48799999998</v>
      </c>
    </row>
    <row r="466" spans="1:5" x14ac:dyDescent="0.25">
      <c r="A466">
        <v>49361</v>
      </c>
      <c r="B466" t="s">
        <v>514</v>
      </c>
      <c r="C466" t="s">
        <v>509</v>
      </c>
      <c r="D466" s="1">
        <v>445.47</v>
      </c>
      <c r="E466" s="2">
        <f t="shared" si="7"/>
        <v>76603.021200000003</v>
      </c>
    </row>
    <row r="467" spans="1:5" x14ac:dyDescent="0.25">
      <c r="A467">
        <v>49379</v>
      </c>
      <c r="B467" t="s">
        <v>515</v>
      </c>
      <c r="C467" t="s">
        <v>509</v>
      </c>
      <c r="D467" s="1">
        <v>1492.1</v>
      </c>
      <c r="E467" s="2">
        <f t="shared" si="7"/>
        <v>256581.51599999997</v>
      </c>
    </row>
    <row r="468" spans="1:5" x14ac:dyDescent="0.25">
      <c r="A468">
        <v>49387</v>
      </c>
      <c r="B468" t="s">
        <v>516</v>
      </c>
      <c r="C468" t="s">
        <v>509</v>
      </c>
      <c r="D468" s="1">
        <v>486.32</v>
      </c>
      <c r="E468" s="2">
        <f t="shared" si="7"/>
        <v>83627.587199999994</v>
      </c>
    </row>
    <row r="469" spans="1:5" x14ac:dyDescent="0.25">
      <c r="A469">
        <v>49395</v>
      </c>
      <c r="B469" t="s">
        <v>517</v>
      </c>
      <c r="C469" t="s">
        <v>509</v>
      </c>
      <c r="D469" s="1">
        <v>553.07000000000005</v>
      </c>
      <c r="E469" s="2">
        <f t="shared" si="7"/>
        <v>95105.917199999996</v>
      </c>
    </row>
    <row r="470" spans="1:5" x14ac:dyDescent="0.25">
      <c r="A470">
        <v>44297</v>
      </c>
      <c r="B470" t="s">
        <v>518</v>
      </c>
      <c r="C470" t="s">
        <v>519</v>
      </c>
      <c r="D470" s="1">
        <v>3399.33</v>
      </c>
      <c r="E470" s="2">
        <f t="shared" si="7"/>
        <v>584548.78679999989</v>
      </c>
    </row>
    <row r="471" spans="1:5" x14ac:dyDescent="0.25">
      <c r="A471">
        <v>44776</v>
      </c>
      <c r="B471" t="s">
        <v>520</v>
      </c>
      <c r="C471" t="s">
        <v>519</v>
      </c>
      <c r="D471" s="1">
        <v>2088.6999999999998</v>
      </c>
      <c r="E471" s="2">
        <f t="shared" si="7"/>
        <v>359172.85199999996</v>
      </c>
    </row>
    <row r="472" spans="1:5" x14ac:dyDescent="0.25">
      <c r="A472">
        <v>49411</v>
      </c>
      <c r="B472" t="s">
        <v>521</v>
      </c>
      <c r="C472" t="s">
        <v>519</v>
      </c>
      <c r="D472" s="1">
        <v>1810.98</v>
      </c>
      <c r="E472" s="2">
        <f t="shared" si="7"/>
        <v>311416.12079999998</v>
      </c>
    </row>
    <row r="473" spans="1:5" x14ac:dyDescent="0.25">
      <c r="A473">
        <v>49429</v>
      </c>
      <c r="B473" t="s">
        <v>111</v>
      </c>
      <c r="C473" t="s">
        <v>519</v>
      </c>
      <c r="D473" s="1">
        <v>1231.73</v>
      </c>
      <c r="E473" s="2">
        <f t="shared" si="7"/>
        <v>211808.29079999999</v>
      </c>
    </row>
    <row r="474" spans="1:5" x14ac:dyDescent="0.25">
      <c r="A474">
        <v>49437</v>
      </c>
      <c r="B474" t="s">
        <v>522</v>
      </c>
      <c r="C474" t="s">
        <v>519</v>
      </c>
      <c r="D474" s="1">
        <v>2618.9899999999998</v>
      </c>
      <c r="E474" s="2">
        <f t="shared" si="7"/>
        <v>450361.52039999992</v>
      </c>
    </row>
    <row r="475" spans="1:5" x14ac:dyDescent="0.25">
      <c r="A475">
        <v>49445</v>
      </c>
      <c r="B475" t="s">
        <v>523</v>
      </c>
      <c r="C475" t="s">
        <v>519</v>
      </c>
      <c r="D475" s="1">
        <v>600.21</v>
      </c>
      <c r="E475" s="2">
        <f t="shared" si="7"/>
        <v>103212.1116</v>
      </c>
    </row>
    <row r="476" spans="1:5" x14ac:dyDescent="0.25">
      <c r="A476">
        <v>49452</v>
      </c>
      <c r="B476" t="s">
        <v>67</v>
      </c>
      <c r="C476" t="s">
        <v>519</v>
      </c>
      <c r="D476" s="1">
        <v>2997.38</v>
      </c>
      <c r="E476" s="2">
        <f t="shared" si="7"/>
        <v>515429.46479999996</v>
      </c>
    </row>
    <row r="477" spans="1:5" x14ac:dyDescent="0.25">
      <c r="A477">
        <v>49478</v>
      </c>
      <c r="B477" t="s">
        <v>524</v>
      </c>
      <c r="C477" t="s">
        <v>519</v>
      </c>
      <c r="D477" s="1">
        <v>1737.41</v>
      </c>
      <c r="E477" s="2">
        <f t="shared" si="7"/>
        <v>298765.02360000001</v>
      </c>
    </row>
    <row r="478" spans="1:5" x14ac:dyDescent="0.25">
      <c r="A478">
        <v>49460</v>
      </c>
      <c r="B478" t="s">
        <v>525</v>
      </c>
      <c r="C478" t="s">
        <v>519</v>
      </c>
      <c r="D478" s="1">
        <v>861.92</v>
      </c>
      <c r="E478" s="2">
        <f t="shared" si="7"/>
        <v>148215.76319999999</v>
      </c>
    </row>
    <row r="479" spans="1:5" x14ac:dyDescent="0.25">
      <c r="A479">
        <v>43745</v>
      </c>
      <c r="B479" t="s">
        <v>526</v>
      </c>
      <c r="C479" t="s">
        <v>527</v>
      </c>
      <c r="D479" s="1">
        <v>2919.75</v>
      </c>
      <c r="E479" s="2">
        <f t="shared" si="7"/>
        <v>502080.20999999996</v>
      </c>
    </row>
    <row r="480" spans="1:5" x14ac:dyDescent="0.25">
      <c r="A480">
        <v>49494</v>
      </c>
      <c r="B480" t="s">
        <v>528</v>
      </c>
      <c r="C480" t="s">
        <v>527</v>
      </c>
      <c r="D480" s="1">
        <v>1227.82</v>
      </c>
      <c r="E480" s="2">
        <f t="shared" si="7"/>
        <v>211135.92719999998</v>
      </c>
    </row>
    <row r="481" spans="1:5" x14ac:dyDescent="0.25">
      <c r="A481">
        <v>49502</v>
      </c>
      <c r="B481" t="s">
        <v>529</v>
      </c>
      <c r="C481" t="s">
        <v>527</v>
      </c>
      <c r="D481" s="1">
        <v>1292.96</v>
      </c>
      <c r="E481" s="2">
        <f t="shared" si="7"/>
        <v>222337.40160000001</v>
      </c>
    </row>
    <row r="482" spans="1:5" x14ac:dyDescent="0.25">
      <c r="A482">
        <v>49510</v>
      </c>
      <c r="B482" t="s">
        <v>530</v>
      </c>
      <c r="C482" t="s">
        <v>527</v>
      </c>
      <c r="D482" s="1">
        <v>1041.79</v>
      </c>
      <c r="E482" s="2">
        <f t="shared" si="7"/>
        <v>179146.20839999997</v>
      </c>
    </row>
    <row r="483" spans="1:5" x14ac:dyDescent="0.25">
      <c r="A483">
        <v>49528</v>
      </c>
      <c r="B483" t="s">
        <v>86</v>
      </c>
      <c r="C483" t="s">
        <v>527</v>
      </c>
      <c r="D483" s="1">
        <v>1241.26</v>
      </c>
      <c r="E483" s="2">
        <f t="shared" si="7"/>
        <v>213447.06959999999</v>
      </c>
    </row>
    <row r="484" spans="1:5" x14ac:dyDescent="0.25">
      <c r="A484">
        <v>49536</v>
      </c>
      <c r="B484" t="s">
        <v>531</v>
      </c>
      <c r="C484" t="s">
        <v>527</v>
      </c>
      <c r="D484" s="1">
        <v>2179.58</v>
      </c>
      <c r="E484" s="2">
        <f t="shared" si="7"/>
        <v>374800.57679999992</v>
      </c>
    </row>
    <row r="485" spans="1:5" x14ac:dyDescent="0.25">
      <c r="A485">
        <v>49544</v>
      </c>
      <c r="B485" t="s">
        <v>532</v>
      </c>
      <c r="C485" t="s">
        <v>527</v>
      </c>
      <c r="D485" s="1">
        <v>1604.2</v>
      </c>
      <c r="E485" s="2">
        <f t="shared" si="7"/>
        <v>275858.23200000002</v>
      </c>
    </row>
    <row r="486" spans="1:5" x14ac:dyDescent="0.25">
      <c r="A486">
        <v>44016</v>
      </c>
      <c r="B486" t="s">
        <v>533</v>
      </c>
      <c r="C486" t="s">
        <v>534</v>
      </c>
      <c r="D486" s="1">
        <v>4251.43</v>
      </c>
      <c r="E486" s="2">
        <f t="shared" si="7"/>
        <v>731075.90280000004</v>
      </c>
    </row>
    <row r="487" spans="1:5" x14ac:dyDescent="0.25">
      <c r="A487">
        <v>45302</v>
      </c>
      <c r="B487" t="s">
        <v>535</v>
      </c>
      <c r="C487" t="s">
        <v>534</v>
      </c>
      <c r="D487" s="1">
        <v>2323.02</v>
      </c>
      <c r="E487" s="2">
        <f t="shared" si="7"/>
        <v>399466.51919999998</v>
      </c>
    </row>
    <row r="488" spans="1:5" x14ac:dyDescent="0.25">
      <c r="A488">
        <v>45385</v>
      </c>
      <c r="B488" t="s">
        <v>536</v>
      </c>
      <c r="C488" t="s">
        <v>534</v>
      </c>
      <c r="D488" s="1">
        <v>1030.83</v>
      </c>
      <c r="E488" s="2">
        <f t="shared" si="7"/>
        <v>177261.52679999999</v>
      </c>
    </row>
    <row r="489" spans="1:5" x14ac:dyDescent="0.25">
      <c r="A489">
        <v>49569</v>
      </c>
      <c r="B489" t="s">
        <v>66</v>
      </c>
      <c r="C489" t="s">
        <v>534</v>
      </c>
      <c r="D489" s="1">
        <v>1040.3699999999999</v>
      </c>
      <c r="E489" s="2">
        <f t="shared" si="7"/>
        <v>178902.02519999997</v>
      </c>
    </row>
    <row r="490" spans="1:5" x14ac:dyDescent="0.25">
      <c r="A490">
        <v>49577</v>
      </c>
      <c r="B490" t="s">
        <v>537</v>
      </c>
      <c r="C490" t="s">
        <v>534</v>
      </c>
      <c r="D490" s="1">
        <v>1141.31</v>
      </c>
      <c r="E490" s="2">
        <f t="shared" si="7"/>
        <v>196259.66759999999</v>
      </c>
    </row>
    <row r="491" spans="1:5" x14ac:dyDescent="0.25">
      <c r="A491">
        <v>44669</v>
      </c>
      <c r="B491" t="s">
        <v>538</v>
      </c>
      <c r="C491" t="s">
        <v>539</v>
      </c>
      <c r="D491" s="1">
        <v>2088.29</v>
      </c>
      <c r="E491" s="2">
        <f t="shared" si="7"/>
        <v>359102.34839999996</v>
      </c>
    </row>
    <row r="492" spans="1:5" x14ac:dyDescent="0.25">
      <c r="A492">
        <v>49593</v>
      </c>
      <c r="B492" t="s">
        <v>540</v>
      </c>
      <c r="C492" t="s">
        <v>539</v>
      </c>
      <c r="D492" s="1">
        <v>916.67</v>
      </c>
      <c r="E492" s="2">
        <f t="shared" si="7"/>
        <v>157630.57319999998</v>
      </c>
    </row>
    <row r="493" spans="1:5" x14ac:dyDescent="0.25">
      <c r="A493">
        <v>49601</v>
      </c>
      <c r="B493" t="s">
        <v>541</v>
      </c>
      <c r="C493" t="s">
        <v>539</v>
      </c>
      <c r="D493" s="1">
        <v>604.38</v>
      </c>
      <c r="E493" s="2">
        <f t="shared" si="7"/>
        <v>103929.1848</v>
      </c>
    </row>
    <row r="494" spans="1:5" x14ac:dyDescent="0.25">
      <c r="A494">
        <v>49619</v>
      </c>
      <c r="B494" t="s">
        <v>542</v>
      </c>
      <c r="C494" t="s">
        <v>539</v>
      </c>
      <c r="D494" s="1">
        <v>587.23</v>
      </c>
      <c r="E494" s="2">
        <f t="shared" si="7"/>
        <v>100980.0708</v>
      </c>
    </row>
    <row r="495" spans="1:5" x14ac:dyDescent="0.25">
      <c r="A495">
        <v>49627</v>
      </c>
      <c r="B495" t="s">
        <v>543</v>
      </c>
      <c r="C495" t="s">
        <v>539</v>
      </c>
      <c r="D495" s="1">
        <v>1513.39</v>
      </c>
      <c r="E495" s="2">
        <f t="shared" si="7"/>
        <v>260242.54440000001</v>
      </c>
    </row>
    <row r="496" spans="1:5" x14ac:dyDescent="0.25">
      <c r="A496">
        <v>44461</v>
      </c>
      <c r="B496" t="s">
        <v>544</v>
      </c>
      <c r="C496" t="s">
        <v>539</v>
      </c>
      <c r="D496" s="1">
        <v>433.69</v>
      </c>
      <c r="E496" s="2">
        <f t="shared" si="7"/>
        <v>74577.332399999999</v>
      </c>
    </row>
    <row r="497" spans="1:5" x14ac:dyDescent="0.25">
      <c r="A497">
        <v>49635</v>
      </c>
      <c r="B497" t="s">
        <v>263</v>
      </c>
      <c r="C497" t="s">
        <v>539</v>
      </c>
      <c r="D497" s="1">
        <v>1701.98</v>
      </c>
      <c r="E497" s="2">
        <f t="shared" si="7"/>
        <v>292672.48079999996</v>
      </c>
    </row>
    <row r="498" spans="1:5" x14ac:dyDescent="0.25">
      <c r="A498">
        <v>49643</v>
      </c>
      <c r="B498" t="s">
        <v>545</v>
      </c>
      <c r="C498" t="s">
        <v>539</v>
      </c>
      <c r="D498" s="1">
        <v>1085.74</v>
      </c>
      <c r="E498" s="2">
        <f t="shared" si="7"/>
        <v>186703.8504</v>
      </c>
    </row>
    <row r="499" spans="1:5" x14ac:dyDescent="0.25">
      <c r="A499">
        <v>49650</v>
      </c>
      <c r="B499" t="s">
        <v>546</v>
      </c>
      <c r="C499" t="s">
        <v>539</v>
      </c>
      <c r="D499" s="1">
        <v>1482.78</v>
      </c>
      <c r="E499" s="2">
        <f t="shared" si="7"/>
        <v>254978.84879999995</v>
      </c>
    </row>
    <row r="500" spans="1:5" x14ac:dyDescent="0.25">
      <c r="A500">
        <v>49668</v>
      </c>
      <c r="B500" t="s">
        <v>547</v>
      </c>
      <c r="C500" t="s">
        <v>539</v>
      </c>
      <c r="D500" s="1">
        <v>1549.46</v>
      </c>
      <c r="E500" s="2">
        <f t="shared" si="7"/>
        <v>266445.14160000003</v>
      </c>
    </row>
    <row r="501" spans="1:5" x14ac:dyDescent="0.25">
      <c r="A501">
        <v>43992</v>
      </c>
      <c r="B501" t="s">
        <v>548</v>
      </c>
      <c r="C501" t="s">
        <v>549</v>
      </c>
      <c r="D501" s="1">
        <v>1845.62</v>
      </c>
      <c r="E501" s="2">
        <f t="shared" si="7"/>
        <v>317372.81520000001</v>
      </c>
    </row>
    <row r="502" spans="1:5" x14ac:dyDescent="0.25">
      <c r="A502">
        <v>44891</v>
      </c>
      <c r="B502" t="s">
        <v>550</v>
      </c>
      <c r="C502" t="s">
        <v>549</v>
      </c>
      <c r="D502" s="1">
        <v>2868.25</v>
      </c>
      <c r="E502" s="2">
        <f t="shared" si="7"/>
        <v>493224.26999999996</v>
      </c>
    </row>
    <row r="503" spans="1:5" x14ac:dyDescent="0.25">
      <c r="A503">
        <v>49692</v>
      </c>
      <c r="B503" t="s">
        <v>551</v>
      </c>
      <c r="C503" t="s">
        <v>549</v>
      </c>
      <c r="D503" s="1">
        <v>180.2</v>
      </c>
      <c r="E503" s="2">
        <f t="shared" si="7"/>
        <v>30987.191999999995</v>
      </c>
    </row>
    <row r="504" spans="1:5" x14ac:dyDescent="0.25">
      <c r="A504">
        <v>49700</v>
      </c>
      <c r="B504" t="s">
        <v>552</v>
      </c>
      <c r="C504" t="s">
        <v>549</v>
      </c>
      <c r="D504" s="1">
        <v>864.79</v>
      </c>
      <c r="E504" s="2">
        <f t="shared" si="7"/>
        <v>148709.28839999996</v>
      </c>
    </row>
    <row r="505" spans="1:5" x14ac:dyDescent="0.25">
      <c r="A505">
        <v>49718</v>
      </c>
      <c r="B505" t="s">
        <v>553</v>
      </c>
      <c r="C505" t="s">
        <v>549</v>
      </c>
      <c r="D505" s="1">
        <v>387.81</v>
      </c>
      <c r="E505" s="2">
        <f t="shared" si="7"/>
        <v>66687.8076</v>
      </c>
    </row>
    <row r="506" spans="1:5" x14ac:dyDescent="0.25">
      <c r="A506">
        <v>49726</v>
      </c>
      <c r="B506" t="s">
        <v>554</v>
      </c>
      <c r="C506" t="s">
        <v>549</v>
      </c>
      <c r="D506" s="1">
        <v>470.6</v>
      </c>
      <c r="E506" s="2">
        <f t="shared" si="7"/>
        <v>80924.376000000004</v>
      </c>
    </row>
    <row r="507" spans="1:5" x14ac:dyDescent="0.25">
      <c r="A507">
        <v>49684</v>
      </c>
      <c r="B507" t="s">
        <v>555</v>
      </c>
      <c r="C507" t="s">
        <v>549</v>
      </c>
      <c r="D507" s="1">
        <v>985.53</v>
      </c>
      <c r="E507" s="2">
        <f t="shared" si="7"/>
        <v>169471.73879999999</v>
      </c>
    </row>
    <row r="508" spans="1:5" x14ac:dyDescent="0.25">
      <c r="A508">
        <v>44784</v>
      </c>
      <c r="B508" t="s">
        <v>556</v>
      </c>
      <c r="C508" t="s">
        <v>557</v>
      </c>
      <c r="D508" s="1">
        <v>3746.07</v>
      </c>
      <c r="E508" s="2">
        <f t="shared" si="7"/>
        <v>644174.19720000005</v>
      </c>
    </row>
    <row r="509" spans="1:5" x14ac:dyDescent="0.25">
      <c r="A509">
        <v>49759</v>
      </c>
      <c r="B509" t="s">
        <v>558</v>
      </c>
      <c r="C509" t="s">
        <v>557</v>
      </c>
      <c r="D509" s="1">
        <v>1290.0999999999999</v>
      </c>
      <c r="E509" s="2">
        <f t="shared" si="7"/>
        <v>221845.59599999996</v>
      </c>
    </row>
    <row r="510" spans="1:5" x14ac:dyDescent="0.25">
      <c r="A510">
        <v>49767</v>
      </c>
      <c r="B510" t="s">
        <v>559</v>
      </c>
      <c r="C510" t="s">
        <v>557</v>
      </c>
      <c r="D510" s="1">
        <v>580.33000000000004</v>
      </c>
      <c r="E510" s="2">
        <f t="shared" si="7"/>
        <v>99793.546799999996</v>
      </c>
    </row>
    <row r="511" spans="1:5" x14ac:dyDescent="0.25">
      <c r="A511">
        <v>49775</v>
      </c>
      <c r="B511" t="s">
        <v>560</v>
      </c>
      <c r="C511" t="s">
        <v>557</v>
      </c>
      <c r="D511" s="1">
        <v>625.22</v>
      </c>
      <c r="E511" s="2">
        <f t="shared" si="7"/>
        <v>107512.8312</v>
      </c>
    </row>
    <row r="512" spans="1:5" x14ac:dyDescent="0.25">
      <c r="A512">
        <v>49783</v>
      </c>
      <c r="B512" t="s">
        <v>561</v>
      </c>
      <c r="C512" t="s">
        <v>557</v>
      </c>
      <c r="D512" s="1">
        <v>840.45</v>
      </c>
      <c r="E512" s="2">
        <f t="shared" si="7"/>
        <v>144523.78200000001</v>
      </c>
    </row>
    <row r="513" spans="1:5" x14ac:dyDescent="0.25">
      <c r="A513">
        <v>49791</v>
      </c>
      <c r="B513" t="s">
        <v>562</v>
      </c>
      <c r="C513" t="s">
        <v>557</v>
      </c>
      <c r="D513" s="1">
        <v>896.35</v>
      </c>
      <c r="E513" s="2">
        <f t="shared" si="7"/>
        <v>154136.34599999999</v>
      </c>
    </row>
    <row r="514" spans="1:5" x14ac:dyDescent="0.25">
      <c r="A514">
        <v>49809</v>
      </c>
      <c r="B514" t="s">
        <v>563</v>
      </c>
      <c r="C514" t="s">
        <v>557</v>
      </c>
      <c r="D514" s="1">
        <v>529.16999999999996</v>
      </c>
      <c r="E514" s="2">
        <f t="shared" si="7"/>
        <v>90996.073199999999</v>
      </c>
    </row>
    <row r="515" spans="1:5" x14ac:dyDescent="0.25">
      <c r="A515">
        <v>49817</v>
      </c>
      <c r="B515" t="s">
        <v>564</v>
      </c>
      <c r="C515" t="s">
        <v>557</v>
      </c>
      <c r="D515" s="1">
        <v>495.38</v>
      </c>
      <c r="E515" s="2">
        <f t="shared" si="7"/>
        <v>85185.544800000003</v>
      </c>
    </row>
    <row r="516" spans="1:5" x14ac:dyDescent="0.25">
      <c r="A516">
        <v>43497</v>
      </c>
      <c r="B516" t="s">
        <v>565</v>
      </c>
      <c r="C516" t="s">
        <v>566</v>
      </c>
      <c r="D516" s="1">
        <v>2782.75</v>
      </c>
      <c r="E516" s="2">
        <f t="shared" si="7"/>
        <v>478521.69</v>
      </c>
    </row>
    <row r="517" spans="1:5" x14ac:dyDescent="0.25">
      <c r="A517">
        <v>43711</v>
      </c>
      <c r="B517" t="s">
        <v>567</v>
      </c>
      <c r="C517" t="s">
        <v>566</v>
      </c>
      <c r="D517" s="1">
        <v>9738.9</v>
      </c>
      <c r="E517" s="2">
        <f t="shared" si="7"/>
        <v>1674701.2439999999</v>
      </c>
    </row>
    <row r="518" spans="1:5" x14ac:dyDescent="0.25">
      <c r="A518">
        <v>49874</v>
      </c>
      <c r="B518" t="s">
        <v>568</v>
      </c>
      <c r="C518" t="s">
        <v>566</v>
      </c>
      <c r="D518" s="1">
        <v>3166.38</v>
      </c>
      <c r="E518" s="2">
        <f t="shared" si="7"/>
        <v>544490.70479999995</v>
      </c>
    </row>
    <row r="519" spans="1:5" x14ac:dyDescent="0.25">
      <c r="A519">
        <v>44354</v>
      </c>
      <c r="B519" t="s">
        <v>569</v>
      </c>
      <c r="C519" t="s">
        <v>566</v>
      </c>
      <c r="D519" s="1">
        <v>3996.79</v>
      </c>
      <c r="E519" s="2">
        <f t="shared" si="7"/>
        <v>687288.00840000005</v>
      </c>
    </row>
    <row r="520" spans="1:5" x14ac:dyDescent="0.25">
      <c r="A520">
        <v>44503</v>
      </c>
      <c r="B520" t="s">
        <v>570</v>
      </c>
      <c r="C520" t="s">
        <v>566</v>
      </c>
      <c r="D520" s="1">
        <v>4669.1400000000003</v>
      </c>
      <c r="E520" s="2">
        <f t="shared" si="7"/>
        <v>802905.31440000003</v>
      </c>
    </row>
    <row r="521" spans="1:5" x14ac:dyDescent="0.25">
      <c r="A521">
        <v>49833</v>
      </c>
      <c r="B521" t="s">
        <v>571</v>
      </c>
      <c r="C521" t="s">
        <v>566</v>
      </c>
      <c r="D521" s="1">
        <v>2199.1</v>
      </c>
      <c r="E521" s="2">
        <f t="shared" si="7"/>
        <v>378157.23599999998</v>
      </c>
    </row>
    <row r="522" spans="1:5" x14ac:dyDescent="0.25">
      <c r="A522">
        <v>49841</v>
      </c>
      <c r="B522" t="s">
        <v>572</v>
      </c>
      <c r="C522" t="s">
        <v>566</v>
      </c>
      <c r="D522" s="1">
        <v>1764.62</v>
      </c>
      <c r="E522" s="2">
        <f t="shared" si="7"/>
        <v>303444.0552</v>
      </c>
    </row>
    <row r="523" spans="1:5" x14ac:dyDescent="0.25">
      <c r="A523">
        <v>49858</v>
      </c>
      <c r="B523" t="s">
        <v>573</v>
      </c>
      <c r="C523" t="s">
        <v>566</v>
      </c>
      <c r="D523" s="1">
        <v>5712.63</v>
      </c>
      <c r="E523" s="2">
        <f t="shared" si="7"/>
        <v>982343.85479999997</v>
      </c>
    </row>
    <row r="524" spans="1:5" x14ac:dyDescent="0.25">
      <c r="A524">
        <v>49866</v>
      </c>
      <c r="B524" t="s">
        <v>574</v>
      </c>
      <c r="C524" t="s">
        <v>566</v>
      </c>
      <c r="D524" s="1">
        <v>3634.05</v>
      </c>
      <c r="E524" s="2">
        <f t="shared" si="7"/>
        <v>624911.23800000001</v>
      </c>
    </row>
    <row r="525" spans="1:5" x14ac:dyDescent="0.25">
      <c r="A525">
        <v>49882</v>
      </c>
      <c r="B525" t="s">
        <v>575</v>
      </c>
      <c r="C525" t="s">
        <v>566</v>
      </c>
      <c r="D525" s="1">
        <v>2551.6999999999998</v>
      </c>
      <c r="E525" s="2">
        <f t="shared" si="7"/>
        <v>438790.33199999994</v>
      </c>
    </row>
    <row r="526" spans="1:5" x14ac:dyDescent="0.25">
      <c r="A526">
        <v>49890</v>
      </c>
      <c r="B526" t="s">
        <v>576</v>
      </c>
      <c r="C526" t="s">
        <v>566</v>
      </c>
      <c r="D526" s="1">
        <v>2008.69</v>
      </c>
      <c r="E526" s="2">
        <f t="shared" si="7"/>
        <v>345414.33240000001</v>
      </c>
    </row>
    <row r="527" spans="1:5" x14ac:dyDescent="0.25">
      <c r="A527">
        <v>49908</v>
      </c>
      <c r="B527" t="s">
        <v>263</v>
      </c>
      <c r="C527" t="s">
        <v>566</v>
      </c>
      <c r="D527" s="1">
        <v>2106.4299999999998</v>
      </c>
      <c r="E527" s="2">
        <f t="shared" ref="E527:E590" si="8">D527*5732*0.03</f>
        <v>362221.70279999997</v>
      </c>
    </row>
    <row r="528" spans="1:5" x14ac:dyDescent="0.25">
      <c r="A528">
        <v>49916</v>
      </c>
      <c r="B528" t="s">
        <v>577</v>
      </c>
      <c r="C528" t="s">
        <v>566</v>
      </c>
      <c r="D528" s="1">
        <v>890.53</v>
      </c>
      <c r="E528" s="2">
        <f t="shared" si="8"/>
        <v>153135.53879999998</v>
      </c>
    </row>
    <row r="529" spans="1:5" x14ac:dyDescent="0.25">
      <c r="A529">
        <v>49924</v>
      </c>
      <c r="B529" t="s">
        <v>17</v>
      </c>
      <c r="C529" t="s">
        <v>566</v>
      </c>
      <c r="D529" s="1">
        <v>4760.45</v>
      </c>
      <c r="E529" s="2">
        <f t="shared" si="8"/>
        <v>818606.98199999996</v>
      </c>
    </row>
    <row r="530" spans="1:5" x14ac:dyDescent="0.25">
      <c r="A530">
        <v>49932</v>
      </c>
      <c r="B530" t="s">
        <v>578</v>
      </c>
      <c r="C530" t="s">
        <v>566</v>
      </c>
      <c r="D530" s="1">
        <v>5916.73</v>
      </c>
      <c r="E530" s="2">
        <f t="shared" si="8"/>
        <v>1017440.8907999999</v>
      </c>
    </row>
    <row r="531" spans="1:5" x14ac:dyDescent="0.25">
      <c r="A531">
        <v>49940</v>
      </c>
      <c r="B531" t="s">
        <v>579</v>
      </c>
      <c r="C531" t="s">
        <v>566</v>
      </c>
      <c r="D531" s="1">
        <v>1511.63</v>
      </c>
      <c r="E531" s="2">
        <f t="shared" si="8"/>
        <v>259939.89480000001</v>
      </c>
    </row>
    <row r="532" spans="1:5" x14ac:dyDescent="0.25">
      <c r="A532">
        <v>49957</v>
      </c>
      <c r="B532" t="s">
        <v>580</v>
      </c>
      <c r="C532" t="s">
        <v>566</v>
      </c>
      <c r="D532" s="1">
        <v>1491.66</v>
      </c>
      <c r="E532" s="2">
        <f t="shared" si="8"/>
        <v>256505.85360000003</v>
      </c>
    </row>
    <row r="533" spans="1:5" x14ac:dyDescent="0.25">
      <c r="A533">
        <v>43489</v>
      </c>
      <c r="B533" t="s">
        <v>581</v>
      </c>
      <c r="C533" t="s">
        <v>582</v>
      </c>
      <c r="D533" s="1">
        <v>22832.42</v>
      </c>
      <c r="E533" s="2">
        <f t="shared" si="8"/>
        <v>3926262.9431999992</v>
      </c>
    </row>
    <row r="534" spans="1:5" x14ac:dyDescent="0.25">
      <c r="A534">
        <v>43539</v>
      </c>
      <c r="B534" t="s">
        <v>583</v>
      </c>
      <c r="C534" t="s">
        <v>582</v>
      </c>
      <c r="D534" s="1">
        <v>3650.09</v>
      </c>
      <c r="E534" s="2">
        <f t="shared" si="8"/>
        <v>627669.47640000004</v>
      </c>
    </row>
    <row r="535" spans="1:5" x14ac:dyDescent="0.25">
      <c r="A535">
        <v>49981</v>
      </c>
      <c r="B535" t="s">
        <v>584</v>
      </c>
      <c r="C535" t="s">
        <v>582</v>
      </c>
      <c r="D535" s="1">
        <v>3241.14</v>
      </c>
      <c r="E535" s="2">
        <f t="shared" si="8"/>
        <v>557346.43440000003</v>
      </c>
    </row>
    <row r="536" spans="1:5" x14ac:dyDescent="0.25">
      <c r="A536">
        <v>43836</v>
      </c>
      <c r="B536" t="s">
        <v>585</v>
      </c>
      <c r="C536" t="s">
        <v>582</v>
      </c>
      <c r="D536" s="1">
        <v>4897.3500000000004</v>
      </c>
      <c r="E536" s="2">
        <f t="shared" si="8"/>
        <v>842148.3060000001</v>
      </c>
    </row>
    <row r="537" spans="1:5" x14ac:dyDescent="0.25">
      <c r="A537">
        <v>50047</v>
      </c>
      <c r="B537" t="s">
        <v>586</v>
      </c>
      <c r="C537" t="s">
        <v>582</v>
      </c>
      <c r="D537" s="1">
        <v>3983.49</v>
      </c>
      <c r="E537" s="2">
        <f t="shared" si="8"/>
        <v>685000.94039999996</v>
      </c>
    </row>
    <row r="538" spans="1:5" x14ac:dyDescent="0.25">
      <c r="A538">
        <v>44552</v>
      </c>
      <c r="B538" t="s">
        <v>587</v>
      </c>
      <c r="C538" t="s">
        <v>582</v>
      </c>
      <c r="D538" s="1">
        <v>2564.04</v>
      </c>
      <c r="E538" s="2">
        <f t="shared" si="8"/>
        <v>440912.31839999999</v>
      </c>
    </row>
    <row r="539" spans="1:5" x14ac:dyDescent="0.25">
      <c r="A539">
        <v>44834</v>
      </c>
      <c r="B539" t="s">
        <v>588</v>
      </c>
      <c r="C539" t="s">
        <v>582</v>
      </c>
      <c r="D539" s="1">
        <v>5481.2</v>
      </c>
      <c r="E539" s="2">
        <f t="shared" si="8"/>
        <v>942547.15199999989</v>
      </c>
    </row>
    <row r="540" spans="1:5" x14ac:dyDescent="0.25">
      <c r="A540">
        <v>44883</v>
      </c>
      <c r="B540" t="s">
        <v>589</v>
      </c>
      <c r="C540" t="s">
        <v>582</v>
      </c>
      <c r="D540" s="1">
        <v>2595.48</v>
      </c>
      <c r="E540" s="2">
        <f t="shared" si="8"/>
        <v>446318.74079999997</v>
      </c>
    </row>
    <row r="541" spans="1:5" x14ac:dyDescent="0.25">
      <c r="A541">
        <v>50070</v>
      </c>
      <c r="B541" t="s">
        <v>590</v>
      </c>
      <c r="C541" t="s">
        <v>582</v>
      </c>
      <c r="D541" s="1">
        <v>4218.7700000000004</v>
      </c>
      <c r="E541" s="2">
        <f t="shared" si="8"/>
        <v>725459.68920000014</v>
      </c>
    </row>
    <row r="542" spans="1:5" x14ac:dyDescent="0.25">
      <c r="A542">
        <v>49999</v>
      </c>
      <c r="B542" t="s">
        <v>591</v>
      </c>
      <c r="C542" t="s">
        <v>582</v>
      </c>
      <c r="D542" s="1">
        <v>2285.37</v>
      </c>
      <c r="E542" s="2">
        <f t="shared" si="8"/>
        <v>392992.22519999999</v>
      </c>
    </row>
    <row r="543" spans="1:5" x14ac:dyDescent="0.25">
      <c r="A543">
        <v>50013</v>
      </c>
      <c r="B543" t="s">
        <v>542</v>
      </c>
      <c r="C543" t="s">
        <v>582</v>
      </c>
      <c r="D543" s="1">
        <v>4234.34</v>
      </c>
      <c r="E543" s="2">
        <f t="shared" si="8"/>
        <v>728137.10640000005</v>
      </c>
    </row>
    <row r="544" spans="1:5" x14ac:dyDescent="0.25">
      <c r="A544">
        <v>50021</v>
      </c>
      <c r="B544" t="s">
        <v>592</v>
      </c>
      <c r="C544" t="s">
        <v>582</v>
      </c>
      <c r="D544" s="1">
        <v>4769.6899999999996</v>
      </c>
      <c r="E544" s="2">
        <f t="shared" si="8"/>
        <v>820195.8923999999</v>
      </c>
    </row>
    <row r="545" spans="1:5" x14ac:dyDescent="0.25">
      <c r="A545">
        <v>50005</v>
      </c>
      <c r="B545" t="s">
        <v>7</v>
      </c>
      <c r="C545" t="s">
        <v>582</v>
      </c>
      <c r="D545" s="1">
        <v>1497.29</v>
      </c>
      <c r="E545" s="2">
        <f t="shared" si="8"/>
        <v>257473.98839999997</v>
      </c>
    </row>
    <row r="546" spans="1:5" x14ac:dyDescent="0.25">
      <c r="A546">
        <v>50039</v>
      </c>
      <c r="B546" t="s">
        <v>593</v>
      </c>
      <c r="C546" t="s">
        <v>582</v>
      </c>
      <c r="D546" s="1">
        <v>908.96</v>
      </c>
      <c r="E546" s="2">
        <f t="shared" si="8"/>
        <v>156304.76160000003</v>
      </c>
    </row>
    <row r="547" spans="1:5" x14ac:dyDescent="0.25">
      <c r="A547">
        <v>50054</v>
      </c>
      <c r="B547" t="s">
        <v>594</v>
      </c>
      <c r="C547" t="s">
        <v>582</v>
      </c>
      <c r="D547" s="1">
        <v>2805.49</v>
      </c>
      <c r="E547" s="2">
        <f t="shared" si="8"/>
        <v>482432.0603999999</v>
      </c>
    </row>
    <row r="548" spans="1:5" x14ac:dyDescent="0.25">
      <c r="A548">
        <v>50062</v>
      </c>
      <c r="B548" t="s">
        <v>378</v>
      </c>
      <c r="C548" t="s">
        <v>582</v>
      </c>
      <c r="D548" s="1">
        <v>2354.2600000000002</v>
      </c>
      <c r="E548" s="2">
        <f t="shared" si="8"/>
        <v>404838.54960000003</v>
      </c>
    </row>
    <row r="549" spans="1:5" x14ac:dyDescent="0.25">
      <c r="A549">
        <v>49973</v>
      </c>
      <c r="B549" t="s">
        <v>595</v>
      </c>
      <c r="C549" t="s">
        <v>582</v>
      </c>
      <c r="D549" s="1">
        <v>1980.16</v>
      </c>
      <c r="E549" s="2">
        <f t="shared" si="8"/>
        <v>340508.31359999999</v>
      </c>
    </row>
    <row r="550" spans="1:5" x14ac:dyDescent="0.25">
      <c r="A550">
        <v>44065</v>
      </c>
      <c r="B550" t="s">
        <v>596</v>
      </c>
      <c r="C550" t="s">
        <v>597</v>
      </c>
      <c r="D550" s="1">
        <v>1737.89</v>
      </c>
      <c r="E550" s="2">
        <f t="shared" si="8"/>
        <v>298847.56439999997</v>
      </c>
    </row>
    <row r="551" spans="1:5" x14ac:dyDescent="0.25">
      <c r="A551">
        <v>44495</v>
      </c>
      <c r="B551" t="s">
        <v>598</v>
      </c>
      <c r="C551" t="s">
        <v>597</v>
      </c>
      <c r="D551" s="1">
        <v>2766.09</v>
      </c>
      <c r="E551" s="2">
        <f t="shared" si="8"/>
        <v>475656.83640000003</v>
      </c>
    </row>
    <row r="552" spans="1:5" x14ac:dyDescent="0.25">
      <c r="A552">
        <v>44990</v>
      </c>
      <c r="B552" t="s">
        <v>599</v>
      </c>
      <c r="C552" t="s">
        <v>597</v>
      </c>
      <c r="D552" s="1">
        <v>5487.31</v>
      </c>
      <c r="E552" s="2">
        <f t="shared" si="8"/>
        <v>943597.82759999996</v>
      </c>
    </row>
    <row r="553" spans="1:5" x14ac:dyDescent="0.25">
      <c r="A553">
        <v>45427</v>
      </c>
      <c r="B553" t="s">
        <v>600</v>
      </c>
      <c r="C553" t="s">
        <v>597</v>
      </c>
      <c r="D553" s="1">
        <v>2098.08</v>
      </c>
      <c r="E553" s="2">
        <f t="shared" si="8"/>
        <v>360785.83679999993</v>
      </c>
    </row>
    <row r="554" spans="1:5" x14ac:dyDescent="0.25">
      <c r="A554">
        <v>45567</v>
      </c>
      <c r="B554" t="s">
        <v>601</v>
      </c>
      <c r="C554" t="s">
        <v>597</v>
      </c>
      <c r="D554" s="1">
        <v>1421.8</v>
      </c>
      <c r="E554" s="2">
        <f t="shared" si="8"/>
        <v>244492.72799999997</v>
      </c>
    </row>
    <row r="555" spans="1:5" x14ac:dyDescent="0.25">
      <c r="A555">
        <v>50096</v>
      </c>
      <c r="B555" t="s">
        <v>602</v>
      </c>
      <c r="C555" t="s">
        <v>597</v>
      </c>
      <c r="D555" s="1">
        <v>287.02999999999997</v>
      </c>
      <c r="E555" s="2">
        <f t="shared" si="8"/>
        <v>49357.678799999987</v>
      </c>
    </row>
    <row r="556" spans="1:5" x14ac:dyDescent="0.25">
      <c r="A556">
        <v>50112</v>
      </c>
      <c r="B556" t="s">
        <v>603</v>
      </c>
      <c r="C556" t="s">
        <v>597</v>
      </c>
      <c r="D556" s="1">
        <v>771.57</v>
      </c>
      <c r="E556" s="2">
        <f t="shared" si="8"/>
        <v>132679.17720000001</v>
      </c>
    </row>
    <row r="557" spans="1:5" x14ac:dyDescent="0.25">
      <c r="A557">
        <v>50120</v>
      </c>
      <c r="B557" t="s">
        <v>604</v>
      </c>
      <c r="C557" t="s">
        <v>597</v>
      </c>
      <c r="D557" s="1">
        <v>1183.5</v>
      </c>
      <c r="E557" s="2">
        <f t="shared" si="8"/>
        <v>203514.66</v>
      </c>
    </row>
    <row r="558" spans="1:5" x14ac:dyDescent="0.25">
      <c r="A558">
        <v>50138</v>
      </c>
      <c r="B558" t="s">
        <v>605</v>
      </c>
      <c r="C558" t="s">
        <v>597</v>
      </c>
      <c r="D558" s="1">
        <v>1554.55</v>
      </c>
      <c r="E558" s="2">
        <f t="shared" si="8"/>
        <v>267320.41800000001</v>
      </c>
    </row>
    <row r="559" spans="1:5" x14ac:dyDescent="0.25">
      <c r="A559">
        <v>50161</v>
      </c>
      <c r="B559" t="s">
        <v>606</v>
      </c>
      <c r="C559" t="s">
        <v>597</v>
      </c>
      <c r="D559" s="1">
        <v>2992.56</v>
      </c>
      <c r="E559" s="2">
        <f t="shared" si="8"/>
        <v>514600.61759999994</v>
      </c>
    </row>
    <row r="560" spans="1:5" x14ac:dyDescent="0.25">
      <c r="A560">
        <v>50179</v>
      </c>
      <c r="B560" t="s">
        <v>607</v>
      </c>
      <c r="C560" t="s">
        <v>597</v>
      </c>
      <c r="D560" s="1">
        <v>987.55</v>
      </c>
      <c r="E560" s="2">
        <f t="shared" si="8"/>
        <v>169819.09799999997</v>
      </c>
    </row>
    <row r="561" spans="1:5" x14ac:dyDescent="0.25">
      <c r="A561">
        <v>50245</v>
      </c>
      <c r="B561" t="s">
        <v>608</v>
      </c>
      <c r="C561" t="s">
        <v>597</v>
      </c>
      <c r="D561" s="1">
        <v>1527.23</v>
      </c>
      <c r="E561" s="2">
        <f t="shared" si="8"/>
        <v>262622.47079999995</v>
      </c>
    </row>
    <row r="562" spans="1:5" x14ac:dyDescent="0.25">
      <c r="A562">
        <v>50187</v>
      </c>
      <c r="B562" t="s">
        <v>609</v>
      </c>
      <c r="C562" t="s">
        <v>597</v>
      </c>
      <c r="D562" s="1">
        <v>1921.51</v>
      </c>
      <c r="E562" s="2">
        <f t="shared" si="8"/>
        <v>330422.85960000003</v>
      </c>
    </row>
    <row r="563" spans="1:5" x14ac:dyDescent="0.25">
      <c r="A563">
        <v>50195</v>
      </c>
      <c r="B563" t="s">
        <v>610</v>
      </c>
      <c r="C563" t="s">
        <v>597</v>
      </c>
      <c r="D563" s="1">
        <v>1074.3</v>
      </c>
      <c r="E563" s="2">
        <f t="shared" si="8"/>
        <v>184736.62799999997</v>
      </c>
    </row>
    <row r="564" spans="1:5" x14ac:dyDescent="0.25">
      <c r="A564">
        <v>50203</v>
      </c>
      <c r="B564" t="s">
        <v>611</v>
      </c>
      <c r="C564" t="s">
        <v>597</v>
      </c>
      <c r="D564" s="1">
        <v>588.38</v>
      </c>
      <c r="E564" s="2">
        <f t="shared" si="8"/>
        <v>101177.8248</v>
      </c>
    </row>
    <row r="565" spans="1:5" x14ac:dyDescent="0.25">
      <c r="A565">
        <v>50211</v>
      </c>
      <c r="B565" t="s">
        <v>612</v>
      </c>
      <c r="C565" t="s">
        <v>597</v>
      </c>
      <c r="D565" s="1">
        <v>912.13</v>
      </c>
      <c r="E565" s="2">
        <f t="shared" si="8"/>
        <v>156849.87479999999</v>
      </c>
    </row>
    <row r="566" spans="1:5" x14ac:dyDescent="0.25">
      <c r="A566">
        <v>50153</v>
      </c>
      <c r="B566" t="s">
        <v>613</v>
      </c>
      <c r="C566" t="s">
        <v>597</v>
      </c>
      <c r="D566" s="1">
        <v>887.16</v>
      </c>
      <c r="E566" s="2">
        <f t="shared" si="8"/>
        <v>152556.0336</v>
      </c>
    </row>
    <row r="567" spans="1:5" x14ac:dyDescent="0.25">
      <c r="A567">
        <v>50229</v>
      </c>
      <c r="B567" t="s">
        <v>614</v>
      </c>
      <c r="C567" t="s">
        <v>597</v>
      </c>
      <c r="D567" s="1">
        <v>900.46</v>
      </c>
      <c r="E567" s="2">
        <f t="shared" si="8"/>
        <v>154843.10160000002</v>
      </c>
    </row>
    <row r="568" spans="1:5" x14ac:dyDescent="0.25">
      <c r="A568">
        <v>50237</v>
      </c>
      <c r="B568" t="s">
        <v>615</v>
      </c>
      <c r="C568" t="s">
        <v>597</v>
      </c>
      <c r="D568" s="1">
        <v>595.65</v>
      </c>
      <c r="E568" s="2">
        <f t="shared" si="8"/>
        <v>102427.97399999999</v>
      </c>
    </row>
    <row r="569" spans="1:5" x14ac:dyDescent="0.25">
      <c r="A569">
        <v>50252</v>
      </c>
      <c r="B569" t="s">
        <v>616</v>
      </c>
      <c r="C569" t="s">
        <v>597</v>
      </c>
      <c r="D569" s="1">
        <v>969.34</v>
      </c>
      <c r="E569" s="2">
        <f t="shared" si="8"/>
        <v>166687.7064</v>
      </c>
    </row>
    <row r="570" spans="1:5" x14ac:dyDescent="0.25">
      <c r="A570">
        <v>43778</v>
      </c>
      <c r="B570" t="s">
        <v>617</v>
      </c>
      <c r="C570" t="s">
        <v>618</v>
      </c>
      <c r="D570" s="1">
        <v>2106.1999999999998</v>
      </c>
      <c r="E570" s="2">
        <f t="shared" si="8"/>
        <v>362182.15199999994</v>
      </c>
    </row>
    <row r="571" spans="1:5" x14ac:dyDescent="0.25">
      <c r="A571">
        <v>43893</v>
      </c>
      <c r="B571" t="s">
        <v>619</v>
      </c>
      <c r="C571" t="s">
        <v>618</v>
      </c>
      <c r="D571" s="1">
        <v>2663.06</v>
      </c>
      <c r="E571" s="2">
        <f t="shared" si="8"/>
        <v>457939.79759999999</v>
      </c>
    </row>
    <row r="572" spans="1:5" x14ac:dyDescent="0.25">
      <c r="A572">
        <v>44487</v>
      </c>
      <c r="B572" t="s">
        <v>620</v>
      </c>
      <c r="C572" t="s">
        <v>618</v>
      </c>
      <c r="D572" s="1">
        <v>2988.19</v>
      </c>
      <c r="E572" s="2">
        <f t="shared" si="8"/>
        <v>513849.15240000002</v>
      </c>
    </row>
    <row r="573" spans="1:5" x14ac:dyDescent="0.25">
      <c r="A573">
        <v>45542</v>
      </c>
      <c r="B573" t="s">
        <v>621</v>
      </c>
      <c r="C573" t="s">
        <v>618</v>
      </c>
      <c r="D573" s="1">
        <v>1111.06</v>
      </c>
      <c r="E573" s="2">
        <f t="shared" si="8"/>
        <v>191057.87759999998</v>
      </c>
    </row>
    <row r="574" spans="1:5" x14ac:dyDescent="0.25">
      <c r="A574">
        <v>50278</v>
      </c>
      <c r="B574" t="s">
        <v>622</v>
      </c>
      <c r="C574" t="s">
        <v>618</v>
      </c>
      <c r="D574" s="1">
        <v>1247.55</v>
      </c>
      <c r="E574" s="2">
        <f t="shared" si="8"/>
        <v>214528.69799999997</v>
      </c>
    </row>
    <row r="575" spans="1:5" x14ac:dyDescent="0.25">
      <c r="A575">
        <v>50286</v>
      </c>
      <c r="B575" t="s">
        <v>623</v>
      </c>
      <c r="C575" t="s">
        <v>618</v>
      </c>
      <c r="D575" s="1">
        <v>1855.64</v>
      </c>
      <c r="E575" s="2">
        <f t="shared" si="8"/>
        <v>319095.85440000001</v>
      </c>
    </row>
    <row r="576" spans="1:5" x14ac:dyDescent="0.25">
      <c r="A576">
        <v>50294</v>
      </c>
      <c r="B576" t="s">
        <v>624</v>
      </c>
      <c r="C576" t="s">
        <v>618</v>
      </c>
      <c r="D576" s="1">
        <v>643.38</v>
      </c>
      <c r="E576" s="2">
        <f t="shared" si="8"/>
        <v>110635.62480000001</v>
      </c>
    </row>
    <row r="577" spans="1:5" x14ac:dyDescent="0.25">
      <c r="A577">
        <v>50302</v>
      </c>
      <c r="B577" t="s">
        <v>625</v>
      </c>
      <c r="C577" t="s">
        <v>618</v>
      </c>
      <c r="D577" s="1">
        <v>1543.14</v>
      </c>
      <c r="E577" s="2">
        <f t="shared" si="8"/>
        <v>265358.35440000001</v>
      </c>
    </row>
    <row r="578" spans="1:5" x14ac:dyDescent="0.25">
      <c r="A578">
        <v>45476</v>
      </c>
      <c r="B578" t="s">
        <v>626</v>
      </c>
      <c r="C578" t="s">
        <v>627</v>
      </c>
      <c r="D578" s="1">
        <v>5283.05</v>
      </c>
      <c r="E578" s="2">
        <f t="shared" si="8"/>
        <v>908473.27800000005</v>
      </c>
    </row>
    <row r="579" spans="1:5" x14ac:dyDescent="0.25">
      <c r="A579">
        <v>50328</v>
      </c>
      <c r="B579" t="s">
        <v>628</v>
      </c>
      <c r="C579" t="s">
        <v>627</v>
      </c>
      <c r="D579" s="1">
        <v>1002.86</v>
      </c>
      <c r="E579" s="2">
        <f t="shared" si="8"/>
        <v>172451.80560000002</v>
      </c>
    </row>
    <row r="580" spans="1:5" x14ac:dyDescent="0.25">
      <c r="A580">
        <v>50336</v>
      </c>
      <c r="B580" t="s">
        <v>629</v>
      </c>
      <c r="C580" t="s">
        <v>627</v>
      </c>
      <c r="D580" s="1">
        <v>1469.69</v>
      </c>
      <c r="E580" s="2">
        <f t="shared" si="8"/>
        <v>252727.89239999998</v>
      </c>
    </row>
    <row r="581" spans="1:5" x14ac:dyDescent="0.25">
      <c r="A581">
        <v>44966</v>
      </c>
      <c r="B581" t="s">
        <v>630</v>
      </c>
      <c r="C581" t="s">
        <v>631</v>
      </c>
      <c r="D581" s="1">
        <v>1924.5</v>
      </c>
      <c r="E581" s="2">
        <f t="shared" si="8"/>
        <v>330937.01999999996</v>
      </c>
    </row>
    <row r="582" spans="1:5" x14ac:dyDescent="0.25">
      <c r="A582">
        <v>50351</v>
      </c>
      <c r="B582" t="s">
        <v>111</v>
      </c>
      <c r="C582" t="s">
        <v>631</v>
      </c>
      <c r="D582" s="1">
        <v>912.17</v>
      </c>
      <c r="E582" s="2">
        <f t="shared" si="8"/>
        <v>156856.75319999998</v>
      </c>
    </row>
    <row r="583" spans="1:5" x14ac:dyDescent="0.25">
      <c r="A583">
        <v>50369</v>
      </c>
      <c r="B583" t="s">
        <v>632</v>
      </c>
      <c r="C583" t="s">
        <v>631</v>
      </c>
      <c r="D583" s="1">
        <v>878.08</v>
      </c>
      <c r="E583" s="2">
        <f t="shared" si="8"/>
        <v>150994.63680000001</v>
      </c>
    </row>
    <row r="584" spans="1:5" x14ac:dyDescent="0.25">
      <c r="A584">
        <v>50393</v>
      </c>
      <c r="B584" t="s">
        <v>633</v>
      </c>
      <c r="C584" t="s">
        <v>634</v>
      </c>
      <c r="D584" s="1">
        <v>2265.73</v>
      </c>
      <c r="E584" s="2">
        <f t="shared" si="8"/>
        <v>389614.93079999997</v>
      </c>
    </row>
    <row r="585" spans="1:5" x14ac:dyDescent="0.25">
      <c r="A585">
        <v>44008</v>
      </c>
      <c r="B585" t="s">
        <v>635</v>
      </c>
      <c r="C585" t="s">
        <v>636</v>
      </c>
      <c r="D585" s="1">
        <v>3041.83</v>
      </c>
      <c r="E585" s="2">
        <f t="shared" si="8"/>
        <v>523073.08679999993</v>
      </c>
    </row>
    <row r="586" spans="1:5" x14ac:dyDescent="0.25">
      <c r="A586">
        <v>44214</v>
      </c>
      <c r="B586" t="s">
        <v>637</v>
      </c>
      <c r="C586" t="s">
        <v>636</v>
      </c>
      <c r="D586" s="1">
        <v>5573.3</v>
      </c>
      <c r="E586" s="2">
        <f t="shared" si="8"/>
        <v>958384.66800000006</v>
      </c>
    </row>
    <row r="587" spans="1:5" x14ac:dyDescent="0.25">
      <c r="A587">
        <v>50450</v>
      </c>
      <c r="B587" t="s">
        <v>638</v>
      </c>
      <c r="C587" t="s">
        <v>636</v>
      </c>
      <c r="D587" s="1">
        <v>10780.76</v>
      </c>
      <c r="E587" s="2">
        <f t="shared" si="8"/>
        <v>1853859.4896</v>
      </c>
    </row>
    <row r="588" spans="1:5" x14ac:dyDescent="0.25">
      <c r="A588">
        <v>50427</v>
      </c>
      <c r="B588" t="s">
        <v>639</v>
      </c>
      <c r="C588" t="s">
        <v>636</v>
      </c>
      <c r="D588" s="1">
        <v>5672.41</v>
      </c>
      <c r="E588" s="2">
        <f t="shared" si="8"/>
        <v>975427.62359999993</v>
      </c>
    </row>
    <row r="589" spans="1:5" x14ac:dyDescent="0.25">
      <c r="A589">
        <v>50419</v>
      </c>
      <c r="B589" t="s">
        <v>640</v>
      </c>
      <c r="C589" t="s">
        <v>636</v>
      </c>
      <c r="D589" s="1">
        <v>1761.06</v>
      </c>
      <c r="E589" s="2">
        <f t="shared" si="8"/>
        <v>302831.87760000001</v>
      </c>
    </row>
    <row r="590" spans="1:5" x14ac:dyDescent="0.25">
      <c r="A590">
        <v>50435</v>
      </c>
      <c r="B590" t="s">
        <v>641</v>
      </c>
      <c r="C590" t="s">
        <v>636</v>
      </c>
      <c r="D590" s="1">
        <v>3895.63</v>
      </c>
      <c r="E590" s="2">
        <f t="shared" si="8"/>
        <v>669892.53480000002</v>
      </c>
    </row>
    <row r="591" spans="1:5" x14ac:dyDescent="0.25">
      <c r="A591">
        <v>50443</v>
      </c>
      <c r="B591" t="s">
        <v>642</v>
      </c>
      <c r="C591" t="s">
        <v>636</v>
      </c>
      <c r="D591" s="1">
        <v>3980.53</v>
      </c>
      <c r="E591" s="2">
        <f t="shared" ref="E591:E627" si="9">D591*5732*0.03</f>
        <v>684491.9388</v>
      </c>
    </row>
    <row r="592" spans="1:5" x14ac:dyDescent="0.25">
      <c r="A592">
        <v>50468</v>
      </c>
      <c r="B592" t="s">
        <v>643</v>
      </c>
      <c r="C592" t="s">
        <v>636</v>
      </c>
      <c r="D592" s="1">
        <v>1493.46</v>
      </c>
      <c r="E592" s="2">
        <f t="shared" si="9"/>
        <v>256815.38160000002</v>
      </c>
    </row>
    <row r="593" spans="1:5" x14ac:dyDescent="0.25">
      <c r="A593">
        <v>43604</v>
      </c>
      <c r="B593" t="s">
        <v>644</v>
      </c>
      <c r="C593" t="s">
        <v>645</v>
      </c>
      <c r="D593" s="1">
        <v>1000.62</v>
      </c>
      <c r="E593" s="2">
        <f t="shared" si="9"/>
        <v>172066.6152</v>
      </c>
    </row>
    <row r="594" spans="1:5" x14ac:dyDescent="0.25">
      <c r="A594">
        <v>44321</v>
      </c>
      <c r="B594" t="s">
        <v>646</v>
      </c>
      <c r="C594" t="s">
        <v>645</v>
      </c>
      <c r="D594" s="1">
        <v>2890.07</v>
      </c>
      <c r="E594" s="2">
        <f t="shared" si="9"/>
        <v>496976.43719999999</v>
      </c>
    </row>
    <row r="595" spans="1:5" x14ac:dyDescent="0.25">
      <c r="A595">
        <v>50484</v>
      </c>
      <c r="B595" t="s">
        <v>647</v>
      </c>
      <c r="C595" t="s">
        <v>645</v>
      </c>
      <c r="D595" s="1">
        <v>1054.02</v>
      </c>
      <c r="E595" s="2">
        <f t="shared" si="9"/>
        <v>181249.27919999999</v>
      </c>
    </row>
    <row r="596" spans="1:5" x14ac:dyDescent="0.25">
      <c r="A596">
        <v>50492</v>
      </c>
      <c r="B596" t="s">
        <v>648</v>
      </c>
      <c r="C596" t="s">
        <v>645</v>
      </c>
      <c r="D596" s="1">
        <v>768.85</v>
      </c>
      <c r="E596" s="2">
        <f t="shared" si="9"/>
        <v>132211.446</v>
      </c>
    </row>
    <row r="597" spans="1:5" x14ac:dyDescent="0.25">
      <c r="A597">
        <v>50500</v>
      </c>
      <c r="B597" t="s">
        <v>649</v>
      </c>
      <c r="C597" t="s">
        <v>645</v>
      </c>
      <c r="D597" s="1">
        <v>2537.4299999999998</v>
      </c>
      <c r="E597" s="2">
        <f t="shared" si="9"/>
        <v>436336.46279999998</v>
      </c>
    </row>
    <row r="598" spans="1:5" x14ac:dyDescent="0.25">
      <c r="A598">
        <v>50518</v>
      </c>
      <c r="B598" t="s">
        <v>650</v>
      </c>
      <c r="C598" t="s">
        <v>645</v>
      </c>
      <c r="D598" s="1">
        <v>634.35</v>
      </c>
      <c r="E598" s="2">
        <f t="shared" si="9"/>
        <v>109082.826</v>
      </c>
    </row>
    <row r="599" spans="1:5" x14ac:dyDescent="0.25">
      <c r="A599">
        <v>44610</v>
      </c>
      <c r="B599" t="s">
        <v>651</v>
      </c>
      <c r="C599" t="s">
        <v>652</v>
      </c>
      <c r="D599" s="1">
        <v>1617.1</v>
      </c>
      <c r="E599" s="2">
        <f t="shared" si="9"/>
        <v>278076.51599999995</v>
      </c>
    </row>
    <row r="600" spans="1:5" x14ac:dyDescent="0.25">
      <c r="A600">
        <v>45120</v>
      </c>
      <c r="B600" t="s">
        <v>653</v>
      </c>
      <c r="C600" t="s">
        <v>652</v>
      </c>
      <c r="D600" s="1">
        <v>3749.76</v>
      </c>
      <c r="E600" s="2">
        <f t="shared" si="9"/>
        <v>644808.72959999996</v>
      </c>
    </row>
    <row r="601" spans="1:5" x14ac:dyDescent="0.25">
      <c r="A601">
        <v>45591</v>
      </c>
      <c r="B601" t="s">
        <v>654</v>
      </c>
      <c r="C601" t="s">
        <v>652</v>
      </c>
      <c r="D601" s="1">
        <v>1083.3699999999999</v>
      </c>
      <c r="E601" s="2">
        <f t="shared" si="9"/>
        <v>186296.30519999997</v>
      </c>
    </row>
    <row r="602" spans="1:5" x14ac:dyDescent="0.25">
      <c r="A602">
        <v>50534</v>
      </c>
      <c r="B602" t="s">
        <v>655</v>
      </c>
      <c r="C602" t="s">
        <v>652</v>
      </c>
      <c r="D602" s="1">
        <v>1446.01</v>
      </c>
      <c r="E602" s="2">
        <f t="shared" si="9"/>
        <v>248655.87959999999</v>
      </c>
    </row>
    <row r="603" spans="1:5" x14ac:dyDescent="0.25">
      <c r="A603">
        <v>50542</v>
      </c>
      <c r="B603" t="s">
        <v>656</v>
      </c>
      <c r="C603" t="s">
        <v>652</v>
      </c>
      <c r="D603" s="1">
        <v>925.07</v>
      </c>
      <c r="E603" s="2">
        <f t="shared" si="9"/>
        <v>159075.03719999999</v>
      </c>
    </row>
    <row r="604" spans="1:5" x14ac:dyDescent="0.25">
      <c r="A604">
        <v>50559</v>
      </c>
      <c r="B604" t="s">
        <v>542</v>
      </c>
      <c r="C604" t="s">
        <v>652</v>
      </c>
      <c r="D604" s="1">
        <v>1249.3499999999999</v>
      </c>
      <c r="E604" s="2">
        <f t="shared" si="9"/>
        <v>214838.22599999997</v>
      </c>
    </row>
    <row r="605" spans="1:5" x14ac:dyDescent="0.25">
      <c r="A605">
        <v>50567</v>
      </c>
      <c r="B605" t="s">
        <v>657</v>
      </c>
      <c r="C605" t="s">
        <v>652</v>
      </c>
      <c r="D605" s="1">
        <v>1386.14</v>
      </c>
      <c r="E605" s="2">
        <f t="shared" si="9"/>
        <v>238360.63440000001</v>
      </c>
    </row>
    <row r="606" spans="1:5" x14ac:dyDescent="0.25">
      <c r="A606">
        <v>50575</v>
      </c>
      <c r="B606" t="s">
        <v>85</v>
      </c>
      <c r="C606" t="s">
        <v>652</v>
      </c>
      <c r="D606" s="1">
        <v>1426.13</v>
      </c>
      <c r="E606" s="2">
        <f t="shared" si="9"/>
        <v>245237.31480000002</v>
      </c>
    </row>
    <row r="607" spans="1:5" x14ac:dyDescent="0.25">
      <c r="A607">
        <v>50583</v>
      </c>
      <c r="B607" t="s">
        <v>499</v>
      </c>
      <c r="C607" t="s">
        <v>652</v>
      </c>
      <c r="D607" s="1">
        <v>1593.28</v>
      </c>
      <c r="E607" s="2">
        <f t="shared" si="9"/>
        <v>273980.42879999994</v>
      </c>
    </row>
    <row r="608" spans="1:5" x14ac:dyDescent="0.25">
      <c r="A608">
        <v>50591</v>
      </c>
      <c r="B608" t="s">
        <v>658</v>
      </c>
      <c r="C608" t="s">
        <v>652</v>
      </c>
      <c r="D608" s="1">
        <v>1841.18</v>
      </c>
      <c r="E608" s="2">
        <f t="shared" si="9"/>
        <v>316609.31279999996</v>
      </c>
    </row>
    <row r="609" spans="1:5" x14ac:dyDescent="0.25">
      <c r="A609">
        <v>43679</v>
      </c>
      <c r="B609" t="s">
        <v>659</v>
      </c>
      <c r="C609" t="s">
        <v>660</v>
      </c>
      <c r="D609" s="1">
        <v>2002.64</v>
      </c>
      <c r="E609" s="2">
        <f t="shared" si="9"/>
        <v>344373.97440000001</v>
      </c>
    </row>
    <row r="610" spans="1:5" x14ac:dyDescent="0.25">
      <c r="A610">
        <v>45526</v>
      </c>
      <c r="B610" t="s">
        <v>661</v>
      </c>
      <c r="C610" t="s">
        <v>660</v>
      </c>
      <c r="D610" s="1">
        <v>1062.55</v>
      </c>
      <c r="E610" s="2">
        <f t="shared" si="9"/>
        <v>182716.09799999997</v>
      </c>
    </row>
    <row r="611" spans="1:5" x14ac:dyDescent="0.25">
      <c r="A611">
        <v>50617</v>
      </c>
      <c r="B611" t="s">
        <v>662</v>
      </c>
      <c r="C611" t="s">
        <v>660</v>
      </c>
      <c r="D611" s="1">
        <v>616.82000000000005</v>
      </c>
      <c r="E611" s="2">
        <f t="shared" si="9"/>
        <v>106068.36720000001</v>
      </c>
    </row>
    <row r="612" spans="1:5" x14ac:dyDescent="0.25">
      <c r="A612">
        <v>50625</v>
      </c>
      <c r="B612" t="s">
        <v>663</v>
      </c>
      <c r="C612" t="s">
        <v>660</v>
      </c>
      <c r="D612" s="1">
        <v>631.46</v>
      </c>
      <c r="E612" s="2">
        <f t="shared" si="9"/>
        <v>108585.8616</v>
      </c>
    </row>
    <row r="613" spans="1:5" x14ac:dyDescent="0.25">
      <c r="A613">
        <v>50633</v>
      </c>
      <c r="B613" t="s">
        <v>664</v>
      </c>
      <c r="C613" t="s">
        <v>660</v>
      </c>
      <c r="D613" s="1">
        <v>642.20000000000005</v>
      </c>
      <c r="E613" s="2">
        <f t="shared" si="9"/>
        <v>110432.71200000001</v>
      </c>
    </row>
    <row r="614" spans="1:5" x14ac:dyDescent="0.25">
      <c r="A614">
        <v>50641</v>
      </c>
      <c r="B614" t="s">
        <v>657</v>
      </c>
      <c r="C614" t="s">
        <v>660</v>
      </c>
      <c r="D614" s="1">
        <v>645.13</v>
      </c>
      <c r="E614" s="2">
        <f t="shared" si="9"/>
        <v>110936.5548</v>
      </c>
    </row>
    <row r="615" spans="1:5" x14ac:dyDescent="0.25">
      <c r="A615">
        <v>50658</v>
      </c>
      <c r="B615" t="s">
        <v>665</v>
      </c>
      <c r="C615" t="s">
        <v>660</v>
      </c>
      <c r="D615" s="1">
        <v>451.55</v>
      </c>
      <c r="E615" s="2">
        <f t="shared" si="9"/>
        <v>77648.538</v>
      </c>
    </row>
    <row r="616" spans="1:5" x14ac:dyDescent="0.25">
      <c r="A616">
        <v>43638</v>
      </c>
      <c r="B616" t="s">
        <v>666</v>
      </c>
      <c r="C616" t="s">
        <v>667</v>
      </c>
      <c r="D616" s="1">
        <v>3041.82</v>
      </c>
      <c r="E616" s="2">
        <f t="shared" si="9"/>
        <v>523071.36720000004</v>
      </c>
    </row>
    <row r="617" spans="1:5" x14ac:dyDescent="0.25">
      <c r="A617">
        <v>45583</v>
      </c>
      <c r="B617" t="s">
        <v>668</v>
      </c>
      <c r="C617" t="s">
        <v>667</v>
      </c>
      <c r="D617" s="1">
        <v>4621.33</v>
      </c>
      <c r="E617" s="2">
        <f t="shared" si="9"/>
        <v>794683.90679999988</v>
      </c>
    </row>
    <row r="618" spans="1:5" x14ac:dyDescent="0.25">
      <c r="A618">
        <v>45609</v>
      </c>
      <c r="B618" t="s">
        <v>669</v>
      </c>
      <c r="C618" t="s">
        <v>667</v>
      </c>
      <c r="D618" s="1">
        <v>1849.24</v>
      </c>
      <c r="E618" s="2">
        <f t="shared" si="9"/>
        <v>317995.31039999996</v>
      </c>
    </row>
    <row r="619" spans="1:5" x14ac:dyDescent="0.25">
      <c r="A619">
        <v>50674</v>
      </c>
      <c r="B619" t="s">
        <v>670</v>
      </c>
      <c r="C619" t="s">
        <v>667</v>
      </c>
      <c r="D619" s="1">
        <v>1619.23</v>
      </c>
      <c r="E619" s="2">
        <f t="shared" si="9"/>
        <v>278442.79079999996</v>
      </c>
    </row>
    <row r="620" spans="1:5" x14ac:dyDescent="0.25">
      <c r="A620">
        <v>50682</v>
      </c>
      <c r="B620" t="s">
        <v>671</v>
      </c>
      <c r="C620" t="s">
        <v>667</v>
      </c>
      <c r="D620" s="1">
        <v>1256.6300000000001</v>
      </c>
      <c r="E620" s="2">
        <f t="shared" si="9"/>
        <v>216090.09480000002</v>
      </c>
    </row>
    <row r="621" spans="1:5" x14ac:dyDescent="0.25">
      <c r="A621">
        <v>50690</v>
      </c>
      <c r="B621" t="s">
        <v>574</v>
      </c>
      <c r="C621" t="s">
        <v>667</v>
      </c>
      <c r="D621" s="1">
        <v>1666.23</v>
      </c>
      <c r="E621" s="2">
        <f t="shared" si="9"/>
        <v>286524.91079999995</v>
      </c>
    </row>
    <row r="622" spans="1:5" x14ac:dyDescent="0.25">
      <c r="A622">
        <v>50708</v>
      </c>
      <c r="B622" t="s">
        <v>672</v>
      </c>
      <c r="C622" t="s">
        <v>667</v>
      </c>
      <c r="D622" s="1">
        <v>734.82</v>
      </c>
      <c r="E622" s="2">
        <f t="shared" si="9"/>
        <v>126359.64720000001</v>
      </c>
    </row>
    <row r="623" spans="1:5" x14ac:dyDescent="0.25">
      <c r="A623">
        <v>50716</v>
      </c>
      <c r="B623" t="s">
        <v>673</v>
      </c>
      <c r="C623" t="s">
        <v>667</v>
      </c>
      <c r="D623" s="1">
        <v>989.49</v>
      </c>
      <c r="E623" s="2">
        <f t="shared" si="9"/>
        <v>170152.70039999997</v>
      </c>
    </row>
    <row r="624" spans="1:5" x14ac:dyDescent="0.25">
      <c r="A624">
        <v>50724</v>
      </c>
      <c r="B624" t="s">
        <v>674</v>
      </c>
      <c r="C624" t="s">
        <v>667</v>
      </c>
      <c r="D624" s="1">
        <v>1531.86</v>
      </c>
      <c r="E624" s="2">
        <f t="shared" si="9"/>
        <v>263418.64559999999</v>
      </c>
    </row>
    <row r="625" spans="1:5" x14ac:dyDescent="0.25">
      <c r="A625">
        <v>45260</v>
      </c>
      <c r="B625" t="s">
        <v>675</v>
      </c>
      <c r="C625" t="s">
        <v>676</v>
      </c>
      <c r="D625" s="1">
        <v>863.22</v>
      </c>
      <c r="E625" s="2">
        <f t="shared" si="9"/>
        <v>148439.3112</v>
      </c>
    </row>
    <row r="626" spans="1:5" x14ac:dyDescent="0.25">
      <c r="A626">
        <v>45625</v>
      </c>
      <c r="B626" t="s">
        <v>677</v>
      </c>
      <c r="C626" t="s">
        <v>676</v>
      </c>
      <c r="D626" s="1">
        <v>1693.39</v>
      </c>
      <c r="E626" s="2">
        <f t="shared" si="9"/>
        <v>291195.3444</v>
      </c>
    </row>
    <row r="627" spans="1:5" x14ac:dyDescent="0.25">
      <c r="A627">
        <v>50740</v>
      </c>
      <c r="B627" t="s">
        <v>678</v>
      </c>
      <c r="C627" t="s">
        <v>676</v>
      </c>
      <c r="D627" s="1">
        <v>947.16</v>
      </c>
      <c r="E627" s="2">
        <f t="shared" si="9"/>
        <v>162873.6336</v>
      </c>
    </row>
  </sheetData>
  <mergeCells count="4">
    <mergeCell ref="A1:E1"/>
    <mergeCell ref="A3:E3"/>
    <mergeCell ref="A4:E4"/>
    <mergeCell ref="A6:E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7"/>
  <sheetViews>
    <sheetView workbookViewId="0">
      <selection sqref="A1:E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16.42578125" style="2" bestFit="1" customWidth="1"/>
    <col min="5" max="5" width="12.7109375" style="2" bestFit="1" customWidth="1"/>
    <col min="6" max="6" width="15.7109375" style="2" bestFit="1" customWidth="1"/>
    <col min="7" max="7" width="13.85546875" bestFit="1" customWidth="1"/>
  </cols>
  <sheetData>
    <row r="1" spans="1:7" x14ac:dyDescent="0.25">
      <c r="A1" s="7" t="s">
        <v>679</v>
      </c>
      <c r="B1" s="7"/>
      <c r="C1" s="7"/>
      <c r="D1" s="7"/>
      <c r="E1" s="7"/>
    </row>
    <row r="3" spans="1:7" x14ac:dyDescent="0.25">
      <c r="A3" s="8" t="s">
        <v>695</v>
      </c>
      <c r="B3" s="8"/>
      <c r="C3" s="8"/>
      <c r="D3" s="8"/>
      <c r="E3" s="8"/>
      <c r="F3" s="8"/>
    </row>
    <row r="4" spans="1:7" x14ac:dyDescent="0.25">
      <c r="A4" s="8" t="s">
        <v>696</v>
      </c>
      <c r="B4" s="9"/>
      <c r="C4" s="9"/>
      <c r="D4" s="9"/>
      <c r="E4" s="9"/>
      <c r="F4" s="9"/>
    </row>
    <row r="6" spans="1:7" x14ac:dyDescent="0.25">
      <c r="A6" s="8" t="s">
        <v>682</v>
      </c>
      <c r="B6" s="8"/>
      <c r="C6" s="8"/>
      <c r="D6" s="8"/>
      <c r="E6" s="8"/>
      <c r="F6" s="8"/>
    </row>
    <row r="7" spans="1:7" x14ac:dyDescent="0.25">
      <c r="A7" s="6"/>
      <c r="B7" s="6"/>
      <c r="C7" s="6"/>
      <c r="D7" s="6"/>
      <c r="E7" s="6"/>
      <c r="F7" s="6"/>
    </row>
    <row r="8" spans="1:7" x14ac:dyDescent="0.25">
      <c r="D8" s="4" t="s">
        <v>683</v>
      </c>
      <c r="E8" s="4"/>
      <c r="F8" s="4" t="s">
        <v>684</v>
      </c>
    </row>
    <row r="9" spans="1:7" x14ac:dyDescent="0.25">
      <c r="D9" s="4" t="s">
        <v>1</v>
      </c>
      <c r="E9" s="4"/>
      <c r="F9" s="4" t="s">
        <v>685</v>
      </c>
    </row>
    <row r="10" spans="1:7" x14ac:dyDescent="0.25">
      <c r="D10" s="4" t="s">
        <v>686</v>
      </c>
      <c r="E10" s="4" t="s">
        <v>687</v>
      </c>
      <c r="F10" s="4" t="s">
        <v>688</v>
      </c>
    </row>
    <row r="11" spans="1:7" x14ac:dyDescent="0.25">
      <c r="D11" s="4" t="s">
        <v>689</v>
      </c>
      <c r="E11" s="4" t="s">
        <v>690</v>
      </c>
      <c r="F11" s="4" t="s">
        <v>691</v>
      </c>
    </row>
    <row r="12" spans="1:7" x14ac:dyDescent="0.25">
      <c r="A12" s="5" t="s">
        <v>2</v>
      </c>
      <c r="B12" s="5" t="s">
        <v>3</v>
      </c>
      <c r="C12" s="5" t="s">
        <v>4</v>
      </c>
      <c r="D12" s="4" t="s">
        <v>692</v>
      </c>
      <c r="E12" s="4" t="s">
        <v>693</v>
      </c>
      <c r="F12" s="4" t="s">
        <v>694</v>
      </c>
    </row>
    <row r="14" spans="1:7" x14ac:dyDescent="0.25">
      <c r="A14">
        <v>442</v>
      </c>
      <c r="B14" t="s">
        <v>7</v>
      </c>
      <c r="C14" t="s">
        <v>8</v>
      </c>
      <c r="D14" s="2">
        <v>1164395.8600000001</v>
      </c>
      <c r="E14" s="2">
        <v>110791.29</v>
      </c>
      <c r="F14" s="2">
        <f>D14+E14</f>
        <v>1275187.1500000001</v>
      </c>
      <c r="G14" s="2" t="s">
        <v>700</v>
      </c>
    </row>
    <row r="15" spans="1:7" x14ac:dyDescent="0.25">
      <c r="A15">
        <v>61903</v>
      </c>
      <c r="B15" t="s">
        <v>9</v>
      </c>
      <c r="C15" t="s">
        <v>8</v>
      </c>
      <c r="D15" s="2">
        <v>25510994.5</v>
      </c>
      <c r="E15" s="2">
        <v>327062.2</v>
      </c>
      <c r="F15" s="2">
        <f t="shared" ref="F15:F78" si="0">D15+E15</f>
        <v>25838056.699999999</v>
      </c>
      <c r="G15" s="2" t="s">
        <v>700</v>
      </c>
    </row>
    <row r="16" spans="1:7" x14ac:dyDescent="0.25">
      <c r="A16">
        <v>43885</v>
      </c>
      <c r="B16" t="s">
        <v>10</v>
      </c>
      <c r="C16" t="s">
        <v>11</v>
      </c>
      <c r="D16" s="2">
        <v>1851285.2</v>
      </c>
      <c r="E16" s="2">
        <v>782496.78</v>
      </c>
      <c r="F16" s="2">
        <f t="shared" si="0"/>
        <v>2633781.98</v>
      </c>
      <c r="G16" s="2" t="s">
        <v>700</v>
      </c>
    </row>
    <row r="17" spans="1:7" x14ac:dyDescent="0.25">
      <c r="A17">
        <v>44222</v>
      </c>
      <c r="B17" t="s">
        <v>12</v>
      </c>
      <c r="C17" t="s">
        <v>11</v>
      </c>
      <c r="D17" s="2">
        <v>25949419.120000001</v>
      </c>
      <c r="E17" s="2">
        <v>0</v>
      </c>
      <c r="F17" s="2">
        <f t="shared" si="0"/>
        <v>25949419.120000001</v>
      </c>
      <c r="G17" s="2" t="s">
        <v>700</v>
      </c>
    </row>
    <row r="18" spans="1:7" x14ac:dyDescent="0.25">
      <c r="A18">
        <v>45211</v>
      </c>
      <c r="B18" t="s">
        <v>13</v>
      </c>
      <c r="C18" t="s">
        <v>11</v>
      </c>
      <c r="D18" s="2">
        <v>3800411.73</v>
      </c>
      <c r="E18" s="2">
        <v>319099.53999999998</v>
      </c>
      <c r="F18" s="2">
        <f t="shared" si="0"/>
        <v>4119511.27</v>
      </c>
    </row>
    <row r="19" spans="1:7" x14ac:dyDescent="0.25">
      <c r="A19">
        <v>45757</v>
      </c>
      <c r="B19" t="s">
        <v>14</v>
      </c>
      <c r="C19" t="s">
        <v>11</v>
      </c>
      <c r="D19" s="2">
        <v>4436721.82</v>
      </c>
      <c r="E19" s="2">
        <v>524283.83</v>
      </c>
      <c r="F19" s="2">
        <f t="shared" si="0"/>
        <v>4961005.6500000004</v>
      </c>
    </row>
    <row r="20" spans="1:7" x14ac:dyDescent="0.25">
      <c r="A20">
        <v>45765</v>
      </c>
      <c r="B20" t="s">
        <v>15</v>
      </c>
      <c r="C20" t="s">
        <v>11</v>
      </c>
      <c r="D20" s="2">
        <v>3530758.41</v>
      </c>
      <c r="E20" s="2">
        <v>878420.02</v>
      </c>
      <c r="F20" s="2">
        <f t="shared" si="0"/>
        <v>4409178.43</v>
      </c>
    </row>
    <row r="21" spans="1:7" x14ac:dyDescent="0.25">
      <c r="A21">
        <v>45773</v>
      </c>
      <c r="B21" t="s">
        <v>16</v>
      </c>
      <c r="C21" t="s">
        <v>11</v>
      </c>
      <c r="D21" s="2">
        <v>5408735.6100000003</v>
      </c>
      <c r="E21" s="2">
        <v>870363.23</v>
      </c>
      <c r="F21" s="2">
        <f t="shared" si="0"/>
        <v>6279098.8399999999</v>
      </c>
    </row>
    <row r="22" spans="1:7" x14ac:dyDescent="0.25">
      <c r="A22">
        <v>45781</v>
      </c>
      <c r="B22" t="s">
        <v>17</v>
      </c>
      <c r="C22" t="s">
        <v>11</v>
      </c>
      <c r="D22" s="2">
        <v>2561703.77</v>
      </c>
      <c r="E22" s="2">
        <v>559651.6</v>
      </c>
      <c r="F22" s="2">
        <f t="shared" si="0"/>
        <v>3121355.37</v>
      </c>
    </row>
    <row r="23" spans="1:7" x14ac:dyDescent="0.25">
      <c r="A23">
        <v>45799</v>
      </c>
      <c r="B23" t="s">
        <v>18</v>
      </c>
      <c r="C23" t="s">
        <v>11</v>
      </c>
      <c r="D23" s="2">
        <v>2697793.9</v>
      </c>
      <c r="E23" s="2">
        <v>1237387.3500000001</v>
      </c>
      <c r="F23" s="2">
        <f t="shared" si="0"/>
        <v>3935181.25</v>
      </c>
    </row>
    <row r="24" spans="1:7" x14ac:dyDescent="0.25">
      <c r="A24">
        <v>45807</v>
      </c>
      <c r="B24" t="s">
        <v>19</v>
      </c>
      <c r="C24" t="s">
        <v>11</v>
      </c>
      <c r="D24" s="2">
        <v>4208211.87</v>
      </c>
      <c r="E24" s="2">
        <v>500275.66</v>
      </c>
      <c r="F24" s="2">
        <f t="shared" si="0"/>
        <v>4708487.53</v>
      </c>
    </row>
    <row r="25" spans="1:7" x14ac:dyDescent="0.25">
      <c r="A25">
        <v>43505</v>
      </c>
      <c r="B25" t="s">
        <v>20</v>
      </c>
      <c r="C25" t="s">
        <v>21</v>
      </c>
      <c r="D25" s="2">
        <v>9407040.1099999994</v>
      </c>
      <c r="E25" s="2">
        <v>0</v>
      </c>
      <c r="F25" s="2">
        <f t="shared" si="0"/>
        <v>9407040.1099999994</v>
      </c>
    </row>
    <row r="26" spans="1:7" x14ac:dyDescent="0.25">
      <c r="A26">
        <v>45468</v>
      </c>
      <c r="B26" t="s">
        <v>22</v>
      </c>
      <c r="C26" t="s">
        <v>21</v>
      </c>
      <c r="D26" s="2">
        <v>4114477.62</v>
      </c>
      <c r="E26" s="2">
        <v>0</v>
      </c>
      <c r="F26" s="2">
        <f t="shared" si="0"/>
        <v>4114477.62</v>
      </c>
    </row>
    <row r="27" spans="1:7" x14ac:dyDescent="0.25">
      <c r="A27">
        <v>45823</v>
      </c>
      <c r="B27" t="s">
        <v>23</v>
      </c>
      <c r="C27" t="s">
        <v>21</v>
      </c>
      <c r="D27" s="2">
        <v>3665552.68</v>
      </c>
      <c r="E27" s="2">
        <v>0</v>
      </c>
      <c r="F27" s="2">
        <f t="shared" si="0"/>
        <v>3665552.68</v>
      </c>
    </row>
    <row r="28" spans="1:7" x14ac:dyDescent="0.25">
      <c r="A28">
        <v>45831</v>
      </c>
      <c r="B28" t="s">
        <v>24</v>
      </c>
      <c r="C28" t="s">
        <v>21</v>
      </c>
      <c r="D28" s="2">
        <v>4123736.35</v>
      </c>
      <c r="E28" s="2">
        <v>0</v>
      </c>
      <c r="F28" s="2">
        <f t="shared" si="0"/>
        <v>4123736.35</v>
      </c>
    </row>
    <row r="29" spans="1:7" x14ac:dyDescent="0.25">
      <c r="A29">
        <v>43513</v>
      </c>
      <c r="B29" t="s">
        <v>25</v>
      </c>
      <c r="C29" t="s">
        <v>26</v>
      </c>
      <c r="D29" s="2">
        <v>20870969.5</v>
      </c>
      <c r="E29" s="2">
        <v>0</v>
      </c>
      <c r="F29" s="2">
        <f t="shared" si="0"/>
        <v>20870969.5</v>
      </c>
    </row>
    <row r="30" spans="1:7" x14ac:dyDescent="0.25">
      <c r="A30">
        <v>43810</v>
      </c>
      <c r="B30" t="s">
        <v>27</v>
      </c>
      <c r="C30" t="s">
        <v>26</v>
      </c>
      <c r="D30" s="2">
        <v>11288463.880000001</v>
      </c>
      <c r="E30" s="2">
        <v>73380</v>
      </c>
      <c r="F30" s="2">
        <f t="shared" si="0"/>
        <v>11361843.880000001</v>
      </c>
    </row>
    <row r="31" spans="1:7" x14ac:dyDescent="0.25">
      <c r="A31">
        <v>44057</v>
      </c>
      <c r="B31" t="s">
        <v>28</v>
      </c>
      <c r="C31" t="s">
        <v>26</v>
      </c>
      <c r="D31" s="2">
        <v>12255486.460000001</v>
      </c>
      <c r="E31" s="2">
        <v>0</v>
      </c>
      <c r="F31" s="2">
        <f t="shared" si="0"/>
        <v>12255486.460000001</v>
      </c>
    </row>
    <row r="32" spans="1:7" x14ac:dyDescent="0.25">
      <c r="A32">
        <v>45856</v>
      </c>
      <c r="B32" t="s">
        <v>29</v>
      </c>
      <c r="C32" t="s">
        <v>26</v>
      </c>
      <c r="D32" s="2">
        <v>5060084.59</v>
      </c>
      <c r="E32" s="2">
        <v>1240599</v>
      </c>
      <c r="F32" s="2">
        <f t="shared" si="0"/>
        <v>6300683.5899999999</v>
      </c>
    </row>
    <row r="33" spans="1:6" x14ac:dyDescent="0.25">
      <c r="A33">
        <v>45864</v>
      </c>
      <c r="B33" t="s">
        <v>30</v>
      </c>
      <c r="C33" t="s">
        <v>26</v>
      </c>
      <c r="D33" s="2">
        <v>5469892.3399999999</v>
      </c>
      <c r="E33" s="2">
        <v>331912</v>
      </c>
      <c r="F33" s="2">
        <f t="shared" si="0"/>
        <v>5801804.3399999999</v>
      </c>
    </row>
    <row r="34" spans="1:6" x14ac:dyDescent="0.25">
      <c r="A34">
        <v>45872</v>
      </c>
      <c r="B34" t="s">
        <v>31</v>
      </c>
      <c r="C34" t="s">
        <v>26</v>
      </c>
      <c r="D34" s="2">
        <v>7675748.6399999997</v>
      </c>
      <c r="E34" s="2">
        <v>366060</v>
      </c>
      <c r="F34" s="2">
        <f t="shared" si="0"/>
        <v>8041808.6399999997</v>
      </c>
    </row>
    <row r="35" spans="1:6" x14ac:dyDescent="0.25">
      <c r="A35">
        <v>45880</v>
      </c>
      <c r="B35" t="s">
        <v>32</v>
      </c>
      <c r="C35" t="s">
        <v>26</v>
      </c>
      <c r="D35" s="2">
        <v>6092840.2999999998</v>
      </c>
      <c r="E35" s="2">
        <v>344773</v>
      </c>
      <c r="F35" s="2">
        <f t="shared" si="0"/>
        <v>6437613.2999999998</v>
      </c>
    </row>
    <row r="36" spans="1:6" x14ac:dyDescent="0.25">
      <c r="A36">
        <v>43521</v>
      </c>
      <c r="B36" t="s">
        <v>33</v>
      </c>
      <c r="C36" t="s">
        <v>34</v>
      </c>
      <c r="D36" s="2">
        <v>9270122.8800000008</v>
      </c>
      <c r="E36" s="2">
        <v>0</v>
      </c>
      <c r="F36" s="2">
        <f t="shared" si="0"/>
        <v>9270122.8800000008</v>
      </c>
    </row>
    <row r="37" spans="1:6" x14ac:dyDescent="0.25">
      <c r="A37">
        <v>44446</v>
      </c>
      <c r="B37" t="s">
        <v>35</v>
      </c>
      <c r="C37" t="s">
        <v>34</v>
      </c>
      <c r="D37" s="2">
        <v>8660696.6400000006</v>
      </c>
      <c r="E37" s="2">
        <v>0</v>
      </c>
      <c r="F37" s="2">
        <f t="shared" si="0"/>
        <v>8660696.6400000006</v>
      </c>
    </row>
    <row r="38" spans="1:6" x14ac:dyDescent="0.25">
      <c r="A38">
        <v>45906</v>
      </c>
      <c r="B38" t="s">
        <v>36</v>
      </c>
      <c r="C38" t="s">
        <v>34</v>
      </c>
      <c r="D38" s="2">
        <v>9327521.5099999998</v>
      </c>
      <c r="E38" s="2">
        <v>0</v>
      </c>
      <c r="F38" s="2">
        <f t="shared" si="0"/>
        <v>9327521.5099999998</v>
      </c>
    </row>
    <row r="39" spans="1:6" x14ac:dyDescent="0.25">
      <c r="A39">
        <v>45914</v>
      </c>
      <c r="B39" t="s">
        <v>37</v>
      </c>
      <c r="C39" t="s">
        <v>34</v>
      </c>
      <c r="D39" s="2">
        <v>6641208.8300000001</v>
      </c>
      <c r="E39" s="2">
        <v>0</v>
      </c>
      <c r="F39" s="2">
        <f t="shared" si="0"/>
        <v>6641208.8300000001</v>
      </c>
    </row>
    <row r="40" spans="1:6" x14ac:dyDescent="0.25">
      <c r="A40">
        <v>45922</v>
      </c>
      <c r="B40" t="s">
        <v>38</v>
      </c>
      <c r="C40" t="s">
        <v>34</v>
      </c>
      <c r="D40" s="2">
        <v>6801898.79</v>
      </c>
      <c r="E40" s="2">
        <v>132684.59</v>
      </c>
      <c r="F40" s="2">
        <f t="shared" si="0"/>
        <v>6934583.3799999999</v>
      </c>
    </row>
    <row r="41" spans="1:6" x14ac:dyDescent="0.25">
      <c r="A41">
        <v>44727</v>
      </c>
      <c r="B41" t="s">
        <v>39</v>
      </c>
      <c r="C41" t="s">
        <v>40</v>
      </c>
      <c r="D41" s="2">
        <v>8861686.3000000007</v>
      </c>
      <c r="E41" s="2">
        <v>1000000</v>
      </c>
      <c r="F41" s="2">
        <f t="shared" si="0"/>
        <v>9861686.3000000007</v>
      </c>
    </row>
    <row r="42" spans="1:6" x14ac:dyDescent="0.25">
      <c r="A42">
        <v>44982</v>
      </c>
      <c r="B42" t="s">
        <v>41</v>
      </c>
      <c r="C42" t="s">
        <v>40</v>
      </c>
      <c r="D42" s="2">
        <v>10948961.189999999</v>
      </c>
      <c r="E42" s="2">
        <v>1175000</v>
      </c>
      <c r="F42" s="2">
        <f t="shared" si="0"/>
        <v>12123961.189999999</v>
      </c>
    </row>
    <row r="43" spans="1:6" x14ac:dyDescent="0.25">
      <c r="A43">
        <v>45948</v>
      </c>
      <c r="B43" t="s">
        <v>42</v>
      </c>
      <c r="C43" t="s">
        <v>40</v>
      </c>
      <c r="D43" s="2">
        <v>2138019.35</v>
      </c>
      <c r="E43" s="2">
        <v>150000</v>
      </c>
      <c r="F43" s="2">
        <f t="shared" si="0"/>
        <v>2288019.35</v>
      </c>
    </row>
    <row r="44" spans="1:6" x14ac:dyDescent="0.25">
      <c r="A44">
        <v>45955</v>
      </c>
      <c r="B44" t="s">
        <v>43</v>
      </c>
      <c r="C44" t="s">
        <v>40</v>
      </c>
      <c r="D44" s="2">
        <v>3047226.31</v>
      </c>
      <c r="E44" s="2">
        <v>360000</v>
      </c>
      <c r="F44" s="2">
        <f t="shared" si="0"/>
        <v>3407226.31</v>
      </c>
    </row>
    <row r="45" spans="1:6" x14ac:dyDescent="0.25">
      <c r="A45">
        <v>45963</v>
      </c>
      <c r="B45" t="s">
        <v>44</v>
      </c>
      <c r="C45" t="s">
        <v>40</v>
      </c>
      <c r="D45" s="2">
        <v>1985855.77</v>
      </c>
      <c r="E45" s="2">
        <v>70000</v>
      </c>
      <c r="F45" s="2">
        <f t="shared" si="0"/>
        <v>2055855.77</v>
      </c>
    </row>
    <row r="46" spans="1:6" x14ac:dyDescent="0.25">
      <c r="A46">
        <v>45971</v>
      </c>
      <c r="B46" t="s">
        <v>45</v>
      </c>
      <c r="C46" t="s">
        <v>40</v>
      </c>
      <c r="D46" s="2">
        <v>3345817.31</v>
      </c>
      <c r="E46" s="2">
        <v>165000</v>
      </c>
      <c r="F46" s="2">
        <f t="shared" si="0"/>
        <v>3510817.31</v>
      </c>
    </row>
    <row r="47" spans="1:6" x14ac:dyDescent="0.25">
      <c r="A47">
        <v>43570</v>
      </c>
      <c r="B47" t="s">
        <v>46</v>
      </c>
      <c r="C47" t="s">
        <v>47</v>
      </c>
      <c r="D47" s="2">
        <v>9004054.1999999993</v>
      </c>
      <c r="E47" s="2">
        <v>27168.400000000001</v>
      </c>
      <c r="F47" s="2">
        <f t="shared" si="0"/>
        <v>9031222.5999999996</v>
      </c>
    </row>
    <row r="48" spans="1:6" x14ac:dyDescent="0.25">
      <c r="A48">
        <v>44347</v>
      </c>
      <c r="B48" t="s">
        <v>48</v>
      </c>
      <c r="C48" t="s">
        <v>47</v>
      </c>
      <c r="D48" s="2">
        <v>8952185.2400000002</v>
      </c>
      <c r="E48" s="2">
        <v>18720.310000000001</v>
      </c>
      <c r="F48" s="2">
        <f t="shared" si="0"/>
        <v>8970905.5500000007</v>
      </c>
    </row>
    <row r="49" spans="1:6" x14ac:dyDescent="0.25">
      <c r="A49">
        <v>45997</v>
      </c>
      <c r="B49" t="s">
        <v>49</v>
      </c>
      <c r="C49" t="s">
        <v>47</v>
      </c>
      <c r="D49" s="2">
        <v>3689738.29</v>
      </c>
      <c r="E49" s="2">
        <v>0</v>
      </c>
      <c r="F49" s="2">
        <f t="shared" si="0"/>
        <v>3689738.29</v>
      </c>
    </row>
    <row r="50" spans="1:6" x14ac:dyDescent="0.25">
      <c r="A50">
        <v>45203</v>
      </c>
      <c r="B50" t="s">
        <v>50</v>
      </c>
      <c r="C50" t="s">
        <v>47</v>
      </c>
      <c r="D50" s="2">
        <v>5991169.3499999996</v>
      </c>
      <c r="E50" s="2">
        <v>0</v>
      </c>
      <c r="F50" s="2">
        <f t="shared" si="0"/>
        <v>5991169.3499999996</v>
      </c>
    </row>
    <row r="51" spans="1:6" x14ac:dyDescent="0.25">
      <c r="A51">
        <v>45237</v>
      </c>
      <c r="B51" t="s">
        <v>51</v>
      </c>
      <c r="C51" t="s">
        <v>47</v>
      </c>
      <c r="D51" s="2">
        <v>4032443.69</v>
      </c>
      <c r="E51" s="2">
        <v>75486.66</v>
      </c>
      <c r="F51" s="2">
        <f t="shared" si="0"/>
        <v>4107930.35</v>
      </c>
    </row>
    <row r="52" spans="1:6" x14ac:dyDescent="0.25">
      <c r="A52">
        <v>46003</v>
      </c>
      <c r="B52" t="s">
        <v>52</v>
      </c>
      <c r="C52" t="s">
        <v>47</v>
      </c>
      <c r="D52" s="2">
        <v>3099332.52</v>
      </c>
      <c r="E52" s="2">
        <v>66591.11</v>
      </c>
      <c r="F52" s="2">
        <f t="shared" si="0"/>
        <v>3165923.63</v>
      </c>
    </row>
    <row r="53" spans="1:6" x14ac:dyDescent="0.25">
      <c r="A53">
        <v>46011</v>
      </c>
      <c r="B53" t="s">
        <v>53</v>
      </c>
      <c r="C53" t="s">
        <v>47</v>
      </c>
      <c r="D53" s="2">
        <v>8572111.8599999994</v>
      </c>
      <c r="E53" s="2">
        <v>4710.72</v>
      </c>
      <c r="F53" s="2">
        <f t="shared" si="0"/>
        <v>8576822.5800000001</v>
      </c>
    </row>
    <row r="54" spans="1:6" x14ac:dyDescent="0.25">
      <c r="A54">
        <v>45377</v>
      </c>
      <c r="B54" t="s">
        <v>54</v>
      </c>
      <c r="C54" t="s">
        <v>55</v>
      </c>
      <c r="D54" s="2">
        <v>4599424.4800000004</v>
      </c>
      <c r="E54" s="2">
        <v>417179.91</v>
      </c>
      <c r="F54" s="2">
        <f t="shared" si="0"/>
        <v>5016604.3900000006</v>
      </c>
    </row>
    <row r="55" spans="1:6" x14ac:dyDescent="0.25">
      <c r="A55">
        <v>46037</v>
      </c>
      <c r="B55" t="s">
        <v>56</v>
      </c>
      <c r="C55" t="s">
        <v>55</v>
      </c>
      <c r="D55" s="2">
        <v>6479860.2199999997</v>
      </c>
      <c r="E55" s="2">
        <v>496638.64</v>
      </c>
      <c r="F55" s="2">
        <f t="shared" si="0"/>
        <v>6976498.8599999994</v>
      </c>
    </row>
    <row r="56" spans="1:6" x14ac:dyDescent="0.25">
      <c r="A56">
        <v>46045</v>
      </c>
      <c r="B56" t="s">
        <v>57</v>
      </c>
      <c r="C56" t="s">
        <v>55</v>
      </c>
      <c r="D56" s="2">
        <v>4653050.08</v>
      </c>
      <c r="E56" s="2">
        <v>510050.37</v>
      </c>
      <c r="F56" s="2">
        <f t="shared" si="0"/>
        <v>5163100.45</v>
      </c>
    </row>
    <row r="57" spans="1:6" x14ac:dyDescent="0.25">
      <c r="A57">
        <v>46078</v>
      </c>
      <c r="B57" t="s">
        <v>58</v>
      </c>
      <c r="C57" t="s">
        <v>55</v>
      </c>
      <c r="D57" s="2">
        <v>6582759.8700000001</v>
      </c>
      <c r="E57" s="2">
        <v>270256.33</v>
      </c>
      <c r="F57" s="2">
        <f t="shared" si="0"/>
        <v>6853016.2000000002</v>
      </c>
    </row>
    <row r="58" spans="1:6" x14ac:dyDescent="0.25">
      <c r="A58">
        <v>46060</v>
      </c>
      <c r="B58" t="s">
        <v>59</v>
      </c>
      <c r="C58" t="s">
        <v>55</v>
      </c>
      <c r="D58" s="2">
        <v>17407984.890000001</v>
      </c>
      <c r="E58" s="2">
        <v>1425370.11</v>
      </c>
      <c r="F58" s="2">
        <f t="shared" si="0"/>
        <v>18833355</v>
      </c>
    </row>
    <row r="59" spans="1:6" x14ac:dyDescent="0.25">
      <c r="A59">
        <v>46094</v>
      </c>
      <c r="B59" t="s">
        <v>60</v>
      </c>
      <c r="C59" t="s">
        <v>61</v>
      </c>
      <c r="D59" s="2">
        <v>13918380.33</v>
      </c>
      <c r="E59" s="2">
        <v>0</v>
      </c>
      <c r="F59" s="2">
        <f t="shared" si="0"/>
        <v>13918380.33</v>
      </c>
    </row>
    <row r="60" spans="1:6" x14ac:dyDescent="0.25">
      <c r="A60">
        <v>46102</v>
      </c>
      <c r="B60" t="s">
        <v>62</v>
      </c>
      <c r="C60" t="s">
        <v>61</v>
      </c>
      <c r="D60" s="2">
        <v>22132039.129999999</v>
      </c>
      <c r="E60" s="2">
        <v>0</v>
      </c>
      <c r="F60" s="2">
        <f t="shared" si="0"/>
        <v>22132039.129999999</v>
      </c>
    </row>
    <row r="61" spans="1:6" x14ac:dyDescent="0.25">
      <c r="A61">
        <v>44107</v>
      </c>
      <c r="B61" t="s">
        <v>63</v>
      </c>
      <c r="C61" t="s">
        <v>61</v>
      </c>
      <c r="D61" s="2">
        <v>49265393.619999997</v>
      </c>
      <c r="E61" s="2">
        <v>0</v>
      </c>
      <c r="F61" s="2">
        <f t="shared" si="0"/>
        <v>49265393.619999997</v>
      </c>
    </row>
    <row r="62" spans="1:6" x14ac:dyDescent="0.25">
      <c r="A62">
        <v>44404</v>
      </c>
      <c r="B62" t="s">
        <v>64</v>
      </c>
      <c r="C62" t="s">
        <v>61</v>
      </c>
      <c r="D62" s="2">
        <v>22173622.949999999</v>
      </c>
      <c r="E62" s="2">
        <v>0</v>
      </c>
      <c r="F62" s="2">
        <f t="shared" si="0"/>
        <v>22173622.949999999</v>
      </c>
    </row>
    <row r="63" spans="1:6" x14ac:dyDescent="0.25">
      <c r="A63">
        <v>46151</v>
      </c>
      <c r="B63" t="s">
        <v>65</v>
      </c>
      <c r="C63" t="s">
        <v>61</v>
      </c>
      <c r="D63" s="2">
        <v>8455858.6400000006</v>
      </c>
      <c r="E63" s="2">
        <v>0</v>
      </c>
      <c r="F63" s="2">
        <f t="shared" si="0"/>
        <v>8455858.6400000006</v>
      </c>
    </row>
    <row r="64" spans="1:6" x14ac:dyDescent="0.25">
      <c r="A64">
        <v>46110</v>
      </c>
      <c r="B64" t="s">
        <v>66</v>
      </c>
      <c r="C64" t="s">
        <v>61</v>
      </c>
      <c r="D64" s="2">
        <v>41970789.729999997</v>
      </c>
      <c r="E64" s="2">
        <v>0</v>
      </c>
      <c r="F64" s="2">
        <f t="shared" si="0"/>
        <v>41970789.729999997</v>
      </c>
    </row>
    <row r="65" spans="1:6" x14ac:dyDescent="0.25">
      <c r="A65">
        <v>46128</v>
      </c>
      <c r="B65" t="s">
        <v>67</v>
      </c>
      <c r="C65" t="s">
        <v>61</v>
      </c>
      <c r="D65" s="2">
        <v>6152178.7199999997</v>
      </c>
      <c r="E65" s="2">
        <v>0</v>
      </c>
      <c r="F65" s="2">
        <f t="shared" si="0"/>
        <v>6152178.7199999997</v>
      </c>
    </row>
    <row r="66" spans="1:6" x14ac:dyDescent="0.25">
      <c r="A66">
        <v>139303</v>
      </c>
      <c r="B66" t="s">
        <v>68</v>
      </c>
      <c r="C66" t="s">
        <v>61</v>
      </c>
      <c r="D66" s="2">
        <v>4792060.96</v>
      </c>
      <c r="E66" s="2">
        <v>0</v>
      </c>
      <c r="F66" s="2">
        <f t="shared" si="0"/>
        <v>4792060.96</v>
      </c>
    </row>
    <row r="67" spans="1:6" x14ac:dyDescent="0.25">
      <c r="A67">
        <v>46136</v>
      </c>
      <c r="B67" t="s">
        <v>69</v>
      </c>
      <c r="C67" t="s">
        <v>61</v>
      </c>
      <c r="D67" s="2">
        <v>4494771.78</v>
      </c>
      <c r="E67" s="2">
        <v>0</v>
      </c>
      <c r="F67" s="2">
        <f t="shared" si="0"/>
        <v>4494771.78</v>
      </c>
    </row>
    <row r="68" spans="1:6" x14ac:dyDescent="0.25">
      <c r="A68">
        <v>46144</v>
      </c>
      <c r="B68" t="s">
        <v>70</v>
      </c>
      <c r="C68" t="s">
        <v>61</v>
      </c>
      <c r="D68" s="2">
        <v>10191227.57</v>
      </c>
      <c r="E68" s="2">
        <v>0</v>
      </c>
      <c r="F68" s="2">
        <f t="shared" si="0"/>
        <v>10191227.57</v>
      </c>
    </row>
    <row r="69" spans="1:6" x14ac:dyDescent="0.25">
      <c r="A69">
        <v>45278</v>
      </c>
      <c r="B69" t="s">
        <v>71</v>
      </c>
      <c r="C69" t="s">
        <v>72</v>
      </c>
      <c r="D69" s="2">
        <v>11019853.529999999</v>
      </c>
      <c r="E69" s="2">
        <v>0</v>
      </c>
      <c r="F69" s="2">
        <f t="shared" si="0"/>
        <v>11019853.529999999</v>
      </c>
    </row>
    <row r="70" spans="1:6" x14ac:dyDescent="0.25">
      <c r="A70">
        <v>46177</v>
      </c>
      <c r="B70" t="s">
        <v>73</v>
      </c>
      <c r="C70" t="s">
        <v>72</v>
      </c>
      <c r="D70" s="2">
        <v>2065546.87</v>
      </c>
      <c r="E70" s="2">
        <v>37452.160000000003</v>
      </c>
      <c r="F70" s="2">
        <f t="shared" si="0"/>
        <v>2102999.0300000003</v>
      </c>
    </row>
    <row r="71" spans="1:6" x14ac:dyDescent="0.25">
      <c r="A71">
        <v>44941</v>
      </c>
      <c r="B71" t="s">
        <v>74</v>
      </c>
      <c r="C71" t="s">
        <v>75</v>
      </c>
      <c r="D71" s="2">
        <v>7093455.4500000002</v>
      </c>
      <c r="E71" s="2">
        <v>1110666.1299999999</v>
      </c>
      <c r="F71" s="2">
        <f t="shared" si="0"/>
        <v>8204121.5800000001</v>
      </c>
    </row>
    <row r="72" spans="1:6" x14ac:dyDescent="0.25">
      <c r="A72">
        <v>45484</v>
      </c>
      <c r="B72" t="s">
        <v>76</v>
      </c>
      <c r="C72" t="s">
        <v>75</v>
      </c>
      <c r="D72" s="2">
        <v>4076493.64</v>
      </c>
      <c r="E72" s="2">
        <v>471775.28</v>
      </c>
      <c r="F72" s="2">
        <f t="shared" si="0"/>
        <v>4548268.92</v>
      </c>
    </row>
    <row r="73" spans="1:6" x14ac:dyDescent="0.25">
      <c r="A73">
        <v>46193</v>
      </c>
      <c r="B73" t="s">
        <v>77</v>
      </c>
      <c r="C73" t="s">
        <v>75</v>
      </c>
      <c r="D73" s="2">
        <v>9955552.8800000008</v>
      </c>
      <c r="E73" s="2">
        <v>0</v>
      </c>
      <c r="F73" s="2">
        <f t="shared" si="0"/>
        <v>9955552.8800000008</v>
      </c>
    </row>
    <row r="74" spans="1:6" x14ac:dyDescent="0.25">
      <c r="A74">
        <v>46201</v>
      </c>
      <c r="B74" t="s">
        <v>78</v>
      </c>
      <c r="C74" t="s">
        <v>75</v>
      </c>
      <c r="D74" s="2">
        <v>4724445.16</v>
      </c>
      <c r="E74" s="2">
        <v>577515.36</v>
      </c>
      <c r="F74" s="2">
        <f t="shared" si="0"/>
        <v>5301960.5200000005</v>
      </c>
    </row>
    <row r="75" spans="1:6" x14ac:dyDescent="0.25">
      <c r="A75">
        <v>46219</v>
      </c>
      <c r="B75" t="s">
        <v>79</v>
      </c>
      <c r="C75" t="s">
        <v>75</v>
      </c>
      <c r="D75" s="2">
        <v>5282476.04</v>
      </c>
      <c r="E75" s="2">
        <v>665509.23</v>
      </c>
      <c r="F75" s="2">
        <f t="shared" si="0"/>
        <v>5947985.2699999996</v>
      </c>
    </row>
    <row r="76" spans="1:6" x14ac:dyDescent="0.25">
      <c r="A76">
        <v>44818</v>
      </c>
      <c r="B76" t="s">
        <v>80</v>
      </c>
      <c r="C76" t="s">
        <v>81</v>
      </c>
      <c r="D76" s="2">
        <v>42461706.75</v>
      </c>
      <c r="E76" s="2">
        <v>0</v>
      </c>
      <c r="F76" s="2">
        <f t="shared" si="0"/>
        <v>42461706.75</v>
      </c>
    </row>
    <row r="77" spans="1:6" x14ac:dyDescent="0.25">
      <c r="A77">
        <v>46284</v>
      </c>
      <c r="B77" t="s">
        <v>82</v>
      </c>
      <c r="C77" t="s">
        <v>81</v>
      </c>
      <c r="D77" s="2">
        <v>5819204.9800000004</v>
      </c>
      <c r="E77" s="2">
        <v>10242.39</v>
      </c>
      <c r="F77" s="2">
        <f t="shared" si="0"/>
        <v>5829447.3700000001</v>
      </c>
    </row>
    <row r="78" spans="1:6" x14ac:dyDescent="0.25">
      <c r="A78">
        <v>46235</v>
      </c>
      <c r="B78" t="s">
        <v>83</v>
      </c>
      <c r="C78" t="s">
        <v>81</v>
      </c>
      <c r="D78" s="2">
        <v>6448230.5</v>
      </c>
      <c r="E78" s="2">
        <v>0</v>
      </c>
      <c r="F78" s="2">
        <f t="shared" si="0"/>
        <v>6448230.5</v>
      </c>
    </row>
    <row r="79" spans="1:6" x14ac:dyDescent="0.25">
      <c r="A79">
        <v>46250</v>
      </c>
      <c r="B79" t="s">
        <v>84</v>
      </c>
      <c r="C79" t="s">
        <v>81</v>
      </c>
      <c r="D79" s="2">
        <v>13348925.619999999</v>
      </c>
      <c r="E79" s="2">
        <v>0</v>
      </c>
      <c r="F79" s="2">
        <f t="shared" ref="F79:F142" si="1">D79+E79</f>
        <v>13348925.619999999</v>
      </c>
    </row>
    <row r="80" spans="1:6" x14ac:dyDescent="0.25">
      <c r="A80">
        <v>46268</v>
      </c>
      <c r="B80" t="s">
        <v>85</v>
      </c>
      <c r="C80" t="s">
        <v>81</v>
      </c>
      <c r="D80" s="2">
        <v>6389106.6200000001</v>
      </c>
      <c r="E80" s="2">
        <v>5215.5</v>
      </c>
      <c r="F80" s="2">
        <f t="shared" si="1"/>
        <v>6394322.1200000001</v>
      </c>
    </row>
    <row r="81" spans="1:6" x14ac:dyDescent="0.25">
      <c r="A81">
        <v>46276</v>
      </c>
      <c r="B81" t="s">
        <v>86</v>
      </c>
      <c r="C81" t="s">
        <v>81</v>
      </c>
      <c r="D81" s="2">
        <v>3361207.6</v>
      </c>
      <c r="E81" s="2">
        <v>12934.14</v>
      </c>
      <c r="F81" s="2">
        <f t="shared" si="1"/>
        <v>3374141.74</v>
      </c>
    </row>
    <row r="82" spans="1:6" x14ac:dyDescent="0.25">
      <c r="A82">
        <v>46243</v>
      </c>
      <c r="B82" t="s">
        <v>87</v>
      </c>
      <c r="C82" t="s">
        <v>81</v>
      </c>
      <c r="D82" s="2">
        <v>16068759.24</v>
      </c>
      <c r="E82" s="2">
        <v>73911.81</v>
      </c>
      <c r="F82" s="2">
        <f t="shared" si="1"/>
        <v>16142671.050000001</v>
      </c>
    </row>
    <row r="83" spans="1:6" x14ac:dyDescent="0.25">
      <c r="A83">
        <v>45500</v>
      </c>
      <c r="B83" t="s">
        <v>88</v>
      </c>
      <c r="C83" t="s">
        <v>89</v>
      </c>
      <c r="D83" s="2">
        <v>16050393.880000001</v>
      </c>
      <c r="E83" s="2">
        <v>0</v>
      </c>
      <c r="F83" s="2">
        <f t="shared" si="1"/>
        <v>16050393.880000001</v>
      </c>
    </row>
    <row r="84" spans="1:6" x14ac:dyDescent="0.25">
      <c r="A84">
        <v>45559</v>
      </c>
      <c r="B84" t="s">
        <v>90</v>
      </c>
      <c r="C84" t="s">
        <v>89</v>
      </c>
      <c r="D84" s="2">
        <v>4291561.66</v>
      </c>
      <c r="E84" s="2">
        <v>0</v>
      </c>
      <c r="F84" s="2">
        <f t="shared" si="1"/>
        <v>4291561.66</v>
      </c>
    </row>
    <row r="85" spans="1:6" x14ac:dyDescent="0.25">
      <c r="A85">
        <v>46300</v>
      </c>
      <c r="B85" t="s">
        <v>91</v>
      </c>
      <c r="C85" t="s">
        <v>89</v>
      </c>
      <c r="D85" s="2">
        <v>7731102.7800000003</v>
      </c>
      <c r="E85" s="2">
        <v>0</v>
      </c>
      <c r="F85" s="2">
        <f t="shared" si="1"/>
        <v>7731102.7800000003</v>
      </c>
    </row>
    <row r="86" spans="1:6" x14ac:dyDescent="0.25">
      <c r="A86">
        <v>46318</v>
      </c>
      <c r="B86" t="s">
        <v>92</v>
      </c>
      <c r="C86" t="s">
        <v>89</v>
      </c>
      <c r="D86" s="2">
        <v>9880426.8399999999</v>
      </c>
      <c r="E86" s="2">
        <v>0</v>
      </c>
      <c r="F86" s="2">
        <f t="shared" si="1"/>
        <v>9880426.8399999999</v>
      </c>
    </row>
    <row r="87" spans="1:6" x14ac:dyDescent="0.25">
      <c r="A87">
        <v>46326</v>
      </c>
      <c r="B87" t="s">
        <v>93</v>
      </c>
      <c r="C87" t="s">
        <v>89</v>
      </c>
      <c r="D87" s="2">
        <v>4379907.96</v>
      </c>
      <c r="E87" s="2">
        <v>0</v>
      </c>
      <c r="F87" s="2">
        <f t="shared" si="1"/>
        <v>4379907.96</v>
      </c>
    </row>
    <row r="88" spans="1:6" x14ac:dyDescent="0.25">
      <c r="A88">
        <v>46334</v>
      </c>
      <c r="B88" t="s">
        <v>94</v>
      </c>
      <c r="C88" t="s">
        <v>89</v>
      </c>
      <c r="D88" s="2">
        <v>6613994.96</v>
      </c>
      <c r="E88" s="2">
        <v>0</v>
      </c>
      <c r="F88" s="2">
        <f t="shared" si="1"/>
        <v>6613994.96</v>
      </c>
    </row>
    <row r="89" spans="1:6" x14ac:dyDescent="0.25">
      <c r="A89">
        <v>46342</v>
      </c>
      <c r="B89" t="s">
        <v>95</v>
      </c>
      <c r="C89" t="s">
        <v>89</v>
      </c>
      <c r="D89" s="2">
        <v>12212551.01</v>
      </c>
      <c r="E89" s="2">
        <v>0</v>
      </c>
      <c r="F89" s="2">
        <f t="shared" si="1"/>
        <v>12212551.01</v>
      </c>
    </row>
    <row r="90" spans="1:6" x14ac:dyDescent="0.25">
      <c r="A90">
        <v>46359</v>
      </c>
      <c r="B90" t="s">
        <v>96</v>
      </c>
      <c r="C90" t="s">
        <v>89</v>
      </c>
      <c r="D90" s="2">
        <v>21399776.030000001</v>
      </c>
      <c r="E90" s="2">
        <v>0</v>
      </c>
      <c r="F90" s="2">
        <f t="shared" si="1"/>
        <v>21399776.030000001</v>
      </c>
    </row>
    <row r="91" spans="1:6" x14ac:dyDescent="0.25">
      <c r="A91">
        <v>46367</v>
      </c>
      <c r="B91" t="s">
        <v>97</v>
      </c>
      <c r="C91" t="s">
        <v>89</v>
      </c>
      <c r="D91" s="2">
        <v>3696123.93</v>
      </c>
      <c r="E91" s="2">
        <v>0</v>
      </c>
      <c r="F91" s="2">
        <f t="shared" si="1"/>
        <v>3696123.93</v>
      </c>
    </row>
    <row r="92" spans="1:6" x14ac:dyDescent="0.25">
      <c r="A92">
        <v>45112</v>
      </c>
      <c r="B92" t="s">
        <v>98</v>
      </c>
      <c r="C92" t="s">
        <v>99</v>
      </c>
      <c r="D92" s="2">
        <v>7157267.2300000004</v>
      </c>
      <c r="E92" s="2">
        <v>343020.13</v>
      </c>
      <c r="F92" s="2">
        <f t="shared" si="1"/>
        <v>7500287.3600000003</v>
      </c>
    </row>
    <row r="93" spans="1:6" x14ac:dyDescent="0.25">
      <c r="A93">
        <v>46383</v>
      </c>
      <c r="B93" t="s">
        <v>100</v>
      </c>
      <c r="C93" t="s">
        <v>99</v>
      </c>
      <c r="D93" s="2">
        <v>9564805.9600000009</v>
      </c>
      <c r="E93" s="2">
        <v>237560.49</v>
      </c>
      <c r="F93" s="2">
        <f t="shared" si="1"/>
        <v>9802366.4500000011</v>
      </c>
    </row>
    <row r="94" spans="1:6" x14ac:dyDescent="0.25">
      <c r="A94">
        <v>46391</v>
      </c>
      <c r="B94" t="s">
        <v>101</v>
      </c>
      <c r="C94" t="s">
        <v>99</v>
      </c>
      <c r="D94" s="2">
        <v>8342242.9900000002</v>
      </c>
      <c r="E94" s="2">
        <v>280296</v>
      </c>
      <c r="F94" s="2">
        <f t="shared" si="1"/>
        <v>8622538.9900000002</v>
      </c>
    </row>
    <row r="95" spans="1:6" x14ac:dyDescent="0.25">
      <c r="A95">
        <v>46409</v>
      </c>
      <c r="B95" t="s">
        <v>102</v>
      </c>
      <c r="C95" t="s">
        <v>99</v>
      </c>
      <c r="D95" s="2">
        <v>7667332.1600000001</v>
      </c>
      <c r="E95" s="2">
        <v>228863.68</v>
      </c>
      <c r="F95" s="2">
        <f t="shared" si="1"/>
        <v>7896195.8399999999</v>
      </c>
    </row>
    <row r="96" spans="1:6" x14ac:dyDescent="0.25">
      <c r="A96">
        <v>43919</v>
      </c>
      <c r="B96" t="s">
        <v>103</v>
      </c>
      <c r="C96" t="s">
        <v>104</v>
      </c>
      <c r="D96" s="2">
        <v>15477542.800000001</v>
      </c>
      <c r="E96" s="2">
        <v>39374</v>
      </c>
      <c r="F96" s="2">
        <f t="shared" si="1"/>
        <v>15516916.800000001</v>
      </c>
    </row>
    <row r="97" spans="1:6" x14ac:dyDescent="0.25">
      <c r="A97">
        <v>43927</v>
      </c>
      <c r="B97" t="s">
        <v>105</v>
      </c>
      <c r="C97" t="s">
        <v>104</v>
      </c>
      <c r="D97" s="2">
        <v>6142767.8600000003</v>
      </c>
      <c r="E97" s="2">
        <v>142769</v>
      </c>
      <c r="F97" s="2">
        <f t="shared" si="1"/>
        <v>6285536.8600000003</v>
      </c>
    </row>
    <row r="98" spans="1:6" x14ac:dyDescent="0.25">
      <c r="A98">
        <v>44735</v>
      </c>
      <c r="B98" t="s">
        <v>106</v>
      </c>
      <c r="C98" t="s">
        <v>104</v>
      </c>
      <c r="D98" s="2">
        <v>5555732.6799999997</v>
      </c>
      <c r="E98" s="2">
        <v>48972</v>
      </c>
      <c r="F98" s="2">
        <f t="shared" si="1"/>
        <v>5604704.6799999997</v>
      </c>
    </row>
    <row r="99" spans="1:6" x14ac:dyDescent="0.25">
      <c r="A99">
        <v>45328</v>
      </c>
      <c r="B99" t="s">
        <v>107</v>
      </c>
      <c r="C99" t="s">
        <v>104</v>
      </c>
      <c r="D99" s="2">
        <v>1825510.39</v>
      </c>
      <c r="E99" s="2">
        <v>0</v>
      </c>
      <c r="F99" s="2">
        <f t="shared" si="1"/>
        <v>1825510.39</v>
      </c>
    </row>
    <row r="100" spans="1:6" x14ac:dyDescent="0.25">
      <c r="A100">
        <v>45443</v>
      </c>
      <c r="B100" t="s">
        <v>108</v>
      </c>
      <c r="C100" t="s">
        <v>104</v>
      </c>
      <c r="D100" s="2">
        <v>4030580.76</v>
      </c>
      <c r="E100" s="2">
        <v>88712</v>
      </c>
      <c r="F100" s="2">
        <f t="shared" si="1"/>
        <v>4119292.76</v>
      </c>
    </row>
    <row r="101" spans="1:6" x14ac:dyDescent="0.25">
      <c r="A101">
        <v>45450</v>
      </c>
      <c r="B101" t="s">
        <v>109</v>
      </c>
      <c r="C101" t="s">
        <v>104</v>
      </c>
      <c r="D101" s="2">
        <v>5892349.8799999999</v>
      </c>
      <c r="E101" s="2">
        <v>0</v>
      </c>
      <c r="F101" s="2">
        <f t="shared" si="1"/>
        <v>5892349.8799999999</v>
      </c>
    </row>
    <row r="102" spans="1:6" x14ac:dyDescent="0.25">
      <c r="A102">
        <v>46425</v>
      </c>
      <c r="B102" t="s">
        <v>110</v>
      </c>
      <c r="C102" t="s">
        <v>104</v>
      </c>
      <c r="D102" s="2">
        <v>9299575.3300000001</v>
      </c>
      <c r="E102" s="2">
        <v>62847</v>
      </c>
      <c r="F102" s="2">
        <f t="shared" si="1"/>
        <v>9362422.3300000001</v>
      </c>
    </row>
    <row r="103" spans="1:6" x14ac:dyDescent="0.25">
      <c r="A103">
        <v>46433</v>
      </c>
      <c r="B103" t="s">
        <v>111</v>
      </c>
      <c r="C103" t="s">
        <v>104</v>
      </c>
      <c r="D103" s="2">
        <v>5968722.1799999997</v>
      </c>
      <c r="E103" s="2">
        <v>110599</v>
      </c>
      <c r="F103" s="2">
        <f t="shared" si="1"/>
        <v>6079321.1799999997</v>
      </c>
    </row>
    <row r="104" spans="1:6" x14ac:dyDescent="0.25">
      <c r="A104">
        <v>46441</v>
      </c>
      <c r="B104" t="s">
        <v>112</v>
      </c>
      <c r="C104" t="s">
        <v>104</v>
      </c>
      <c r="D104" s="2">
        <v>5664080.6100000003</v>
      </c>
      <c r="E104" s="2">
        <v>125353</v>
      </c>
      <c r="F104" s="2">
        <f t="shared" si="1"/>
        <v>5789433.6100000003</v>
      </c>
    </row>
    <row r="105" spans="1:6" x14ac:dyDescent="0.25">
      <c r="A105">
        <v>46458</v>
      </c>
      <c r="B105" t="s">
        <v>113</v>
      </c>
      <c r="C105" t="s">
        <v>104</v>
      </c>
      <c r="D105" s="2">
        <v>7062853.9900000002</v>
      </c>
      <c r="E105" s="2">
        <v>44402</v>
      </c>
      <c r="F105" s="2">
        <f t="shared" si="1"/>
        <v>7107255.9900000002</v>
      </c>
    </row>
    <row r="106" spans="1:6" x14ac:dyDescent="0.25">
      <c r="A106">
        <v>45039</v>
      </c>
      <c r="B106" t="s">
        <v>114</v>
      </c>
      <c r="C106" t="s">
        <v>104</v>
      </c>
      <c r="D106" s="2">
        <v>5707948.54</v>
      </c>
      <c r="E106" s="2">
        <v>94274</v>
      </c>
      <c r="F106" s="2">
        <f t="shared" si="1"/>
        <v>5802222.54</v>
      </c>
    </row>
    <row r="107" spans="1:6" x14ac:dyDescent="0.25">
      <c r="A107">
        <v>43828</v>
      </c>
      <c r="B107" t="s">
        <v>115</v>
      </c>
      <c r="C107" t="s">
        <v>116</v>
      </c>
      <c r="D107" s="2">
        <v>8401796.7300000004</v>
      </c>
      <c r="E107" s="2">
        <v>45130.82</v>
      </c>
      <c r="F107" s="2">
        <f t="shared" si="1"/>
        <v>8446927.5500000007</v>
      </c>
    </row>
    <row r="108" spans="1:6" x14ac:dyDescent="0.25">
      <c r="A108">
        <v>46474</v>
      </c>
      <c r="B108" t="s">
        <v>117</v>
      </c>
      <c r="C108" t="s">
        <v>116</v>
      </c>
      <c r="D108" s="2">
        <v>6915550.0999999996</v>
      </c>
      <c r="E108" s="2">
        <v>170240.51</v>
      </c>
      <c r="F108" s="2">
        <f t="shared" si="1"/>
        <v>7085790.6099999994</v>
      </c>
    </row>
    <row r="109" spans="1:6" x14ac:dyDescent="0.25">
      <c r="A109">
        <v>46482</v>
      </c>
      <c r="B109" t="s">
        <v>118</v>
      </c>
      <c r="C109" t="s">
        <v>116</v>
      </c>
      <c r="D109" s="2">
        <v>7640718.4199999999</v>
      </c>
      <c r="E109" s="2">
        <v>125937.76</v>
      </c>
      <c r="F109" s="2">
        <f t="shared" si="1"/>
        <v>7766656.1799999997</v>
      </c>
    </row>
    <row r="110" spans="1:6" x14ac:dyDescent="0.25">
      <c r="A110">
        <v>43687</v>
      </c>
      <c r="B110" t="s">
        <v>119</v>
      </c>
      <c r="C110" t="s">
        <v>120</v>
      </c>
      <c r="D110" s="2">
        <v>7231041.5700000003</v>
      </c>
      <c r="E110" s="2">
        <v>390817</v>
      </c>
      <c r="F110" s="2">
        <f t="shared" si="1"/>
        <v>7621858.5700000003</v>
      </c>
    </row>
    <row r="111" spans="1:6" x14ac:dyDescent="0.25">
      <c r="A111">
        <v>44024</v>
      </c>
      <c r="B111" t="s">
        <v>121</v>
      </c>
      <c r="C111" t="s">
        <v>120</v>
      </c>
      <c r="D111" s="2">
        <v>8357388.9500000002</v>
      </c>
      <c r="E111" s="2">
        <v>201339.45</v>
      </c>
      <c r="F111" s="2">
        <f t="shared" si="1"/>
        <v>8558728.4000000004</v>
      </c>
    </row>
    <row r="112" spans="1:6" x14ac:dyDescent="0.25">
      <c r="A112">
        <v>45344</v>
      </c>
      <c r="B112" t="s">
        <v>122</v>
      </c>
      <c r="C112" t="s">
        <v>120</v>
      </c>
      <c r="D112" s="2">
        <v>2960899.9</v>
      </c>
      <c r="E112" s="2">
        <v>110257.76</v>
      </c>
      <c r="F112" s="2">
        <f t="shared" si="1"/>
        <v>3071157.6599999997</v>
      </c>
    </row>
    <row r="113" spans="1:6" x14ac:dyDescent="0.25">
      <c r="A113">
        <v>46508</v>
      </c>
      <c r="B113" t="s">
        <v>123</v>
      </c>
      <c r="C113" t="s">
        <v>120</v>
      </c>
      <c r="D113" s="2">
        <v>3009355.27</v>
      </c>
      <c r="E113" s="2">
        <v>195603</v>
      </c>
      <c r="F113" s="2">
        <f t="shared" si="1"/>
        <v>3204958.27</v>
      </c>
    </row>
    <row r="114" spans="1:6" x14ac:dyDescent="0.25">
      <c r="A114">
        <v>46516</v>
      </c>
      <c r="B114" t="s">
        <v>124</v>
      </c>
      <c r="C114" t="s">
        <v>120</v>
      </c>
      <c r="D114" s="2">
        <v>2687950.23</v>
      </c>
      <c r="E114" s="2">
        <v>225618</v>
      </c>
      <c r="F114" s="2">
        <f t="shared" si="1"/>
        <v>2913568.23</v>
      </c>
    </row>
    <row r="115" spans="1:6" x14ac:dyDescent="0.25">
      <c r="A115">
        <v>46524</v>
      </c>
      <c r="B115" t="s">
        <v>125</v>
      </c>
      <c r="C115" t="s">
        <v>120</v>
      </c>
      <c r="D115" s="2">
        <v>4693698.6399999997</v>
      </c>
      <c r="E115" s="2">
        <v>150786</v>
      </c>
      <c r="F115" s="2">
        <f t="shared" si="1"/>
        <v>4844484.6399999997</v>
      </c>
    </row>
    <row r="116" spans="1:6" x14ac:dyDescent="0.25">
      <c r="A116">
        <v>43547</v>
      </c>
      <c r="B116" t="s">
        <v>126</v>
      </c>
      <c r="C116" t="s">
        <v>127</v>
      </c>
      <c r="D116" s="2">
        <v>3951952.3</v>
      </c>
      <c r="E116" s="2">
        <v>0</v>
      </c>
      <c r="F116" s="2">
        <f t="shared" si="1"/>
        <v>3951952.3</v>
      </c>
    </row>
    <row r="117" spans="1:6" x14ac:dyDescent="0.25">
      <c r="A117">
        <v>43554</v>
      </c>
      <c r="B117" t="s">
        <v>128</v>
      </c>
      <c r="C117" t="s">
        <v>127</v>
      </c>
      <c r="D117" s="2">
        <v>1573715.25</v>
      </c>
      <c r="E117" s="2">
        <v>0</v>
      </c>
      <c r="F117" s="2">
        <f t="shared" si="1"/>
        <v>1573715.25</v>
      </c>
    </row>
    <row r="118" spans="1:6" x14ac:dyDescent="0.25">
      <c r="A118">
        <v>43562</v>
      </c>
      <c r="B118" t="s">
        <v>129</v>
      </c>
      <c r="C118" t="s">
        <v>127</v>
      </c>
      <c r="D118" s="2">
        <v>5282138.96</v>
      </c>
      <c r="E118" s="2">
        <v>0</v>
      </c>
      <c r="F118" s="2">
        <f t="shared" si="1"/>
        <v>5282138.96</v>
      </c>
    </row>
    <row r="119" spans="1:6" x14ac:dyDescent="0.25">
      <c r="A119">
        <v>43612</v>
      </c>
      <c r="B119" t="s">
        <v>130</v>
      </c>
      <c r="C119" t="s">
        <v>127</v>
      </c>
      <c r="D119" s="2">
        <v>6603047.4500000002</v>
      </c>
      <c r="E119" s="2">
        <v>0</v>
      </c>
      <c r="F119" s="2">
        <f t="shared" si="1"/>
        <v>6603047.4500000002</v>
      </c>
    </row>
    <row r="120" spans="1:6" x14ac:dyDescent="0.25">
      <c r="A120">
        <v>43646</v>
      </c>
      <c r="B120" t="s">
        <v>131</v>
      </c>
      <c r="C120" t="s">
        <v>127</v>
      </c>
      <c r="D120" s="2">
        <v>4984035.6900000004</v>
      </c>
      <c r="E120" s="2">
        <v>0</v>
      </c>
      <c r="F120" s="2">
        <f t="shared" si="1"/>
        <v>4984035.6900000004</v>
      </c>
    </row>
    <row r="121" spans="1:6" x14ac:dyDescent="0.25">
      <c r="A121">
        <v>43653</v>
      </c>
      <c r="B121" t="s">
        <v>132</v>
      </c>
      <c r="C121" t="s">
        <v>127</v>
      </c>
      <c r="D121" s="2">
        <v>332786.19</v>
      </c>
      <c r="E121" s="2">
        <v>0</v>
      </c>
      <c r="F121" s="2">
        <f t="shared" si="1"/>
        <v>332786.19</v>
      </c>
    </row>
    <row r="122" spans="1:6" x14ac:dyDescent="0.25">
      <c r="A122">
        <v>43794</v>
      </c>
      <c r="B122" t="s">
        <v>133</v>
      </c>
      <c r="C122" t="s">
        <v>127</v>
      </c>
      <c r="D122" s="2">
        <v>17788560.390000001</v>
      </c>
      <c r="E122" s="2">
        <v>0</v>
      </c>
      <c r="F122" s="2">
        <f t="shared" si="1"/>
        <v>17788560.390000001</v>
      </c>
    </row>
    <row r="123" spans="1:6" x14ac:dyDescent="0.25">
      <c r="A123">
        <v>43786</v>
      </c>
      <c r="B123" t="s">
        <v>134</v>
      </c>
      <c r="C123" t="s">
        <v>127</v>
      </c>
      <c r="D123" s="2">
        <v>316052766.5</v>
      </c>
      <c r="E123" s="2">
        <v>0</v>
      </c>
      <c r="F123" s="2">
        <f t="shared" si="1"/>
        <v>316052766.5</v>
      </c>
    </row>
    <row r="124" spans="1:6" x14ac:dyDescent="0.25">
      <c r="A124">
        <v>43901</v>
      </c>
      <c r="B124" t="s">
        <v>135</v>
      </c>
      <c r="C124" t="s">
        <v>127</v>
      </c>
      <c r="D124" s="2">
        <v>33537722.27</v>
      </c>
      <c r="E124" s="2">
        <v>0</v>
      </c>
      <c r="F124" s="2">
        <f t="shared" si="1"/>
        <v>33537722.27</v>
      </c>
    </row>
    <row r="125" spans="1:6" x14ac:dyDescent="0.25">
      <c r="A125">
        <v>43950</v>
      </c>
      <c r="B125" t="s">
        <v>136</v>
      </c>
      <c r="C125" t="s">
        <v>127</v>
      </c>
      <c r="D125" s="2">
        <v>22849932.699999999</v>
      </c>
      <c r="E125" s="2">
        <v>0</v>
      </c>
      <c r="F125" s="2">
        <f t="shared" si="1"/>
        <v>22849932.699999999</v>
      </c>
    </row>
    <row r="126" spans="1:6" x14ac:dyDescent="0.25">
      <c r="A126">
        <v>43976</v>
      </c>
      <c r="B126" t="s">
        <v>137</v>
      </c>
      <c r="C126" t="s">
        <v>127</v>
      </c>
      <c r="D126" s="2">
        <v>1681440.85</v>
      </c>
      <c r="E126" s="2">
        <v>0</v>
      </c>
      <c r="F126" s="2">
        <f t="shared" si="1"/>
        <v>1681440.85</v>
      </c>
    </row>
    <row r="127" spans="1:6" x14ac:dyDescent="0.25">
      <c r="A127">
        <v>44040</v>
      </c>
      <c r="B127" t="s">
        <v>138</v>
      </c>
      <c r="C127" t="s">
        <v>127</v>
      </c>
      <c r="D127" s="2">
        <v>15928124.460000001</v>
      </c>
      <c r="E127" s="2">
        <v>0</v>
      </c>
      <c r="F127" s="2">
        <f t="shared" si="1"/>
        <v>15928124.460000001</v>
      </c>
    </row>
    <row r="128" spans="1:6" x14ac:dyDescent="0.25">
      <c r="A128">
        <v>44198</v>
      </c>
      <c r="B128" t="s">
        <v>139</v>
      </c>
      <c r="C128" t="s">
        <v>127</v>
      </c>
      <c r="D128" s="2">
        <v>17110431.039999999</v>
      </c>
      <c r="E128" s="2">
        <v>0</v>
      </c>
      <c r="F128" s="2">
        <f t="shared" si="1"/>
        <v>17110431.039999999</v>
      </c>
    </row>
    <row r="129" spans="1:6" x14ac:dyDescent="0.25">
      <c r="A129">
        <v>44305</v>
      </c>
      <c r="B129" t="s">
        <v>140</v>
      </c>
      <c r="C129" t="s">
        <v>127</v>
      </c>
      <c r="D129" s="2">
        <v>16133971.41</v>
      </c>
      <c r="E129" s="2">
        <v>0</v>
      </c>
      <c r="F129" s="2">
        <f t="shared" si="1"/>
        <v>16133971.41</v>
      </c>
    </row>
    <row r="130" spans="1:6" x14ac:dyDescent="0.25">
      <c r="A130">
        <v>44370</v>
      </c>
      <c r="B130" t="s">
        <v>141</v>
      </c>
      <c r="C130" t="s">
        <v>127</v>
      </c>
      <c r="D130" s="2">
        <v>5226771.8099999996</v>
      </c>
      <c r="E130" s="2">
        <v>0</v>
      </c>
      <c r="F130" s="2">
        <f t="shared" si="1"/>
        <v>5226771.8099999996</v>
      </c>
    </row>
    <row r="131" spans="1:6" x14ac:dyDescent="0.25">
      <c r="A131">
        <v>44529</v>
      </c>
      <c r="B131" t="s">
        <v>142</v>
      </c>
      <c r="C131" t="s">
        <v>127</v>
      </c>
      <c r="D131" s="2">
        <v>6100240.8099999996</v>
      </c>
      <c r="E131" s="2">
        <v>0</v>
      </c>
      <c r="F131" s="2">
        <f t="shared" si="1"/>
        <v>6100240.8099999996</v>
      </c>
    </row>
    <row r="132" spans="1:6" x14ac:dyDescent="0.25">
      <c r="A132">
        <v>44545</v>
      </c>
      <c r="B132" t="s">
        <v>143</v>
      </c>
      <c r="C132" t="s">
        <v>127</v>
      </c>
      <c r="D132" s="2">
        <v>4676820.71</v>
      </c>
      <c r="E132" s="2">
        <v>0</v>
      </c>
      <c r="F132" s="2">
        <f t="shared" si="1"/>
        <v>4676820.71</v>
      </c>
    </row>
    <row r="133" spans="1:6" x14ac:dyDescent="0.25">
      <c r="A133">
        <v>46573</v>
      </c>
      <c r="B133" t="s">
        <v>144</v>
      </c>
      <c r="C133" t="s">
        <v>127</v>
      </c>
      <c r="D133" s="2">
        <v>10635168.09</v>
      </c>
      <c r="E133" s="2">
        <v>0</v>
      </c>
      <c r="F133" s="2">
        <f t="shared" si="1"/>
        <v>10635168.09</v>
      </c>
    </row>
    <row r="134" spans="1:6" x14ac:dyDescent="0.25">
      <c r="A134">
        <v>46581</v>
      </c>
      <c r="B134" t="s">
        <v>145</v>
      </c>
      <c r="C134" t="s">
        <v>127</v>
      </c>
      <c r="D134" s="2">
        <v>1323566.47</v>
      </c>
      <c r="E134" s="2">
        <v>0</v>
      </c>
      <c r="F134" s="2">
        <f t="shared" si="1"/>
        <v>1323566.47</v>
      </c>
    </row>
    <row r="135" spans="1:6" x14ac:dyDescent="0.25">
      <c r="A135">
        <v>44636</v>
      </c>
      <c r="B135" t="s">
        <v>146</v>
      </c>
      <c r="C135" t="s">
        <v>127</v>
      </c>
      <c r="D135" s="2">
        <v>20879287.300000001</v>
      </c>
      <c r="E135" s="2">
        <v>0</v>
      </c>
      <c r="F135" s="2">
        <f t="shared" si="1"/>
        <v>20879287.300000001</v>
      </c>
    </row>
    <row r="136" spans="1:6" x14ac:dyDescent="0.25">
      <c r="A136">
        <v>44701</v>
      </c>
      <c r="B136" t="s">
        <v>147</v>
      </c>
      <c r="C136" t="s">
        <v>127</v>
      </c>
      <c r="D136" s="2">
        <v>1041974.06</v>
      </c>
      <c r="E136" s="2">
        <v>0</v>
      </c>
      <c r="F136" s="2">
        <f t="shared" si="1"/>
        <v>1041974.06</v>
      </c>
    </row>
    <row r="137" spans="1:6" x14ac:dyDescent="0.25">
      <c r="A137">
        <v>44750</v>
      </c>
      <c r="B137" t="s">
        <v>148</v>
      </c>
      <c r="C137" t="s">
        <v>127</v>
      </c>
      <c r="D137" s="2">
        <v>13466323.51</v>
      </c>
      <c r="E137" s="2">
        <v>0</v>
      </c>
      <c r="F137" s="2">
        <f t="shared" si="1"/>
        <v>13466323.51</v>
      </c>
    </row>
    <row r="138" spans="1:6" x14ac:dyDescent="0.25">
      <c r="A138">
        <v>46607</v>
      </c>
      <c r="B138" t="s">
        <v>149</v>
      </c>
      <c r="C138" t="s">
        <v>127</v>
      </c>
      <c r="D138" s="2">
        <v>2249817.7000000002</v>
      </c>
      <c r="E138" s="2">
        <v>0</v>
      </c>
      <c r="F138" s="2">
        <f t="shared" si="1"/>
        <v>2249817.7000000002</v>
      </c>
    </row>
    <row r="139" spans="1:6" x14ac:dyDescent="0.25">
      <c r="A139">
        <v>44792</v>
      </c>
      <c r="B139" t="s">
        <v>150</v>
      </c>
      <c r="C139" t="s">
        <v>127</v>
      </c>
      <c r="D139" s="2">
        <v>5717455.2599999998</v>
      </c>
      <c r="E139" s="2">
        <v>0</v>
      </c>
      <c r="F139" s="2">
        <f t="shared" si="1"/>
        <v>5717455.2599999998</v>
      </c>
    </row>
    <row r="140" spans="1:6" x14ac:dyDescent="0.25">
      <c r="A140">
        <v>44842</v>
      </c>
      <c r="B140" t="s">
        <v>151</v>
      </c>
      <c r="C140" t="s">
        <v>127</v>
      </c>
      <c r="D140" s="2">
        <v>9291658.8900000006</v>
      </c>
      <c r="E140" s="2">
        <v>0</v>
      </c>
      <c r="F140" s="2">
        <f t="shared" si="1"/>
        <v>9291658.8900000006</v>
      </c>
    </row>
    <row r="141" spans="1:6" x14ac:dyDescent="0.25">
      <c r="A141">
        <v>45005</v>
      </c>
      <c r="B141" t="s">
        <v>152</v>
      </c>
      <c r="C141" t="s">
        <v>127</v>
      </c>
      <c r="D141" s="2">
        <v>9280743.5399999991</v>
      </c>
      <c r="E141" s="2">
        <v>0</v>
      </c>
      <c r="F141" s="2">
        <f t="shared" si="1"/>
        <v>9280743.5399999991</v>
      </c>
    </row>
    <row r="142" spans="1:6" x14ac:dyDescent="0.25">
      <c r="A142">
        <v>45062</v>
      </c>
      <c r="B142" t="s">
        <v>153</v>
      </c>
      <c r="C142" t="s">
        <v>127</v>
      </c>
      <c r="D142" s="2">
        <v>2064552.98</v>
      </c>
      <c r="E142" s="2">
        <v>0</v>
      </c>
      <c r="F142" s="2">
        <f t="shared" si="1"/>
        <v>2064552.98</v>
      </c>
    </row>
    <row r="143" spans="1:6" x14ac:dyDescent="0.25">
      <c r="A143">
        <v>45286</v>
      </c>
      <c r="B143" t="s">
        <v>154</v>
      </c>
      <c r="C143" t="s">
        <v>127</v>
      </c>
      <c r="D143" s="2">
        <v>1764650.19</v>
      </c>
      <c r="E143" s="2">
        <v>0</v>
      </c>
      <c r="F143" s="2">
        <f t="shared" ref="F143:F206" si="2">D143+E143</f>
        <v>1764650.19</v>
      </c>
    </row>
    <row r="144" spans="1:6" x14ac:dyDescent="0.25">
      <c r="A144">
        <v>46557</v>
      </c>
      <c r="B144" t="s">
        <v>155</v>
      </c>
      <c r="C144" t="s">
        <v>127</v>
      </c>
      <c r="D144" s="2">
        <v>423526.64</v>
      </c>
      <c r="E144" s="2">
        <v>0</v>
      </c>
      <c r="F144" s="2">
        <f t="shared" si="2"/>
        <v>423526.64</v>
      </c>
    </row>
    <row r="145" spans="1:6" x14ac:dyDescent="0.25">
      <c r="A145">
        <v>46565</v>
      </c>
      <c r="B145" t="s">
        <v>156</v>
      </c>
      <c r="C145" t="s">
        <v>127</v>
      </c>
      <c r="D145" s="2">
        <v>455336.79</v>
      </c>
      <c r="E145" s="2">
        <v>0</v>
      </c>
      <c r="F145" s="2">
        <f t="shared" si="2"/>
        <v>455336.79</v>
      </c>
    </row>
    <row r="146" spans="1:6" x14ac:dyDescent="0.25">
      <c r="A146">
        <v>46599</v>
      </c>
      <c r="B146" t="s">
        <v>157</v>
      </c>
      <c r="C146" t="s">
        <v>127</v>
      </c>
      <c r="D146" s="2">
        <v>629802.06999999995</v>
      </c>
      <c r="E146" s="2">
        <v>0</v>
      </c>
      <c r="F146" s="2">
        <f t="shared" si="2"/>
        <v>629802.06999999995</v>
      </c>
    </row>
    <row r="147" spans="1:6" x14ac:dyDescent="0.25">
      <c r="A147">
        <v>44099</v>
      </c>
      <c r="B147" t="s">
        <v>158</v>
      </c>
      <c r="C147" t="s">
        <v>159</v>
      </c>
      <c r="D147" s="2">
        <v>9000640.7200000007</v>
      </c>
      <c r="E147" s="2">
        <v>0</v>
      </c>
      <c r="F147" s="2">
        <f t="shared" si="2"/>
        <v>9000640.7200000007</v>
      </c>
    </row>
    <row r="148" spans="1:6" x14ac:dyDescent="0.25">
      <c r="A148">
        <v>45633</v>
      </c>
      <c r="B148" t="s">
        <v>160</v>
      </c>
      <c r="C148" t="s">
        <v>159</v>
      </c>
      <c r="D148" s="2">
        <v>5879403.79</v>
      </c>
      <c r="E148" s="2">
        <v>49595.23</v>
      </c>
      <c r="F148" s="2">
        <f t="shared" si="2"/>
        <v>5928999.0200000005</v>
      </c>
    </row>
    <row r="149" spans="1:6" x14ac:dyDescent="0.25">
      <c r="A149">
        <v>46623</v>
      </c>
      <c r="B149" t="s">
        <v>161</v>
      </c>
      <c r="C149" t="s">
        <v>159</v>
      </c>
      <c r="D149" s="2">
        <v>3958463.92</v>
      </c>
      <c r="E149" s="2">
        <v>34186.28</v>
      </c>
      <c r="F149" s="2">
        <f t="shared" si="2"/>
        <v>3992650.1999999997</v>
      </c>
    </row>
    <row r="150" spans="1:6" x14ac:dyDescent="0.25">
      <c r="A150">
        <v>46631</v>
      </c>
      <c r="B150" t="s">
        <v>162</v>
      </c>
      <c r="C150" t="s">
        <v>159</v>
      </c>
      <c r="D150" s="2">
        <v>4116614.52</v>
      </c>
      <c r="E150" s="2">
        <v>55434.79</v>
      </c>
      <c r="F150" s="2">
        <f t="shared" si="2"/>
        <v>4172049.31</v>
      </c>
    </row>
    <row r="151" spans="1:6" x14ac:dyDescent="0.25">
      <c r="A151">
        <v>46649</v>
      </c>
      <c r="B151" t="s">
        <v>163</v>
      </c>
      <c r="C151" t="s">
        <v>159</v>
      </c>
      <c r="D151" s="2">
        <v>3645282.76</v>
      </c>
      <c r="E151" s="2">
        <v>47438.36</v>
      </c>
      <c r="F151" s="2">
        <f t="shared" si="2"/>
        <v>3692721.1199999996</v>
      </c>
    </row>
    <row r="152" spans="1:6" x14ac:dyDescent="0.25">
      <c r="A152">
        <v>46672</v>
      </c>
      <c r="B152" t="s">
        <v>164</v>
      </c>
      <c r="C152" t="s">
        <v>159</v>
      </c>
      <c r="D152" s="2">
        <v>3933509.6</v>
      </c>
      <c r="E152" s="2">
        <v>41235.199999999997</v>
      </c>
      <c r="F152" s="2">
        <f t="shared" si="2"/>
        <v>3974744.8000000003</v>
      </c>
    </row>
    <row r="153" spans="1:6" x14ac:dyDescent="0.25">
      <c r="A153">
        <v>46680</v>
      </c>
      <c r="B153" t="s">
        <v>165</v>
      </c>
      <c r="C153" t="s">
        <v>159</v>
      </c>
      <c r="D153" s="2">
        <v>2974225.4</v>
      </c>
      <c r="E153" s="2">
        <v>34705.019999999997</v>
      </c>
      <c r="F153" s="2">
        <f t="shared" si="2"/>
        <v>3008930.42</v>
      </c>
    </row>
    <row r="154" spans="1:6" x14ac:dyDescent="0.25">
      <c r="A154">
        <v>43869</v>
      </c>
      <c r="B154" t="s">
        <v>166</v>
      </c>
      <c r="C154" t="s">
        <v>167</v>
      </c>
      <c r="D154" s="2">
        <v>11003935.98</v>
      </c>
      <c r="E154" s="2">
        <v>474993</v>
      </c>
      <c r="F154" s="2">
        <f t="shared" si="2"/>
        <v>11478928.98</v>
      </c>
    </row>
    <row r="155" spans="1:6" x14ac:dyDescent="0.25">
      <c r="A155">
        <v>45419</v>
      </c>
      <c r="B155" t="s">
        <v>168</v>
      </c>
      <c r="C155" t="s">
        <v>167</v>
      </c>
      <c r="D155" s="2">
        <v>4256578.3099999996</v>
      </c>
      <c r="E155" s="2">
        <v>222667</v>
      </c>
      <c r="F155" s="2">
        <f t="shared" si="2"/>
        <v>4479245.3099999996</v>
      </c>
    </row>
    <row r="156" spans="1:6" x14ac:dyDescent="0.25">
      <c r="A156">
        <v>46706</v>
      </c>
      <c r="B156" t="s">
        <v>169</v>
      </c>
      <c r="C156" t="s">
        <v>167</v>
      </c>
      <c r="D156" s="2">
        <v>2922703.7</v>
      </c>
      <c r="E156" s="2">
        <v>71649</v>
      </c>
      <c r="F156" s="2">
        <f t="shared" si="2"/>
        <v>2994352.7</v>
      </c>
    </row>
    <row r="157" spans="1:6" x14ac:dyDescent="0.25">
      <c r="A157">
        <v>46714</v>
      </c>
      <c r="B157" t="s">
        <v>170</v>
      </c>
      <c r="C157" t="s">
        <v>167</v>
      </c>
      <c r="D157" s="2">
        <v>5550455.2000000002</v>
      </c>
      <c r="E157" s="2">
        <v>351123</v>
      </c>
      <c r="F157" s="2">
        <f t="shared" si="2"/>
        <v>5901578.2000000002</v>
      </c>
    </row>
    <row r="158" spans="1:6" x14ac:dyDescent="0.25">
      <c r="A158">
        <v>46722</v>
      </c>
      <c r="B158" t="s">
        <v>84</v>
      </c>
      <c r="C158" t="s">
        <v>167</v>
      </c>
      <c r="D158" s="2">
        <v>2072374.2</v>
      </c>
      <c r="E158" s="2">
        <v>166461</v>
      </c>
      <c r="F158" s="2">
        <f t="shared" si="2"/>
        <v>2238835.2000000002</v>
      </c>
    </row>
    <row r="159" spans="1:6" x14ac:dyDescent="0.25">
      <c r="A159">
        <v>43877</v>
      </c>
      <c r="B159" t="s">
        <v>171</v>
      </c>
      <c r="C159" t="s">
        <v>172</v>
      </c>
      <c r="D159" s="2">
        <v>10187477.48</v>
      </c>
      <c r="E159" s="2">
        <v>0</v>
      </c>
      <c r="F159" s="2">
        <f t="shared" si="2"/>
        <v>10187477.48</v>
      </c>
    </row>
    <row r="160" spans="1:6" x14ac:dyDescent="0.25">
      <c r="A160">
        <v>46748</v>
      </c>
      <c r="B160" t="s">
        <v>173</v>
      </c>
      <c r="C160" t="s">
        <v>172</v>
      </c>
      <c r="D160" s="2">
        <v>3969439.44</v>
      </c>
      <c r="E160" s="2">
        <v>0</v>
      </c>
      <c r="F160" s="2">
        <f t="shared" si="2"/>
        <v>3969439.44</v>
      </c>
    </row>
    <row r="161" spans="1:6" x14ac:dyDescent="0.25">
      <c r="A161">
        <v>46755</v>
      </c>
      <c r="B161" t="s">
        <v>174</v>
      </c>
      <c r="C161" t="s">
        <v>172</v>
      </c>
      <c r="D161" s="2">
        <v>2847966.56</v>
      </c>
      <c r="E161" s="2">
        <v>1498205.2</v>
      </c>
      <c r="F161" s="2">
        <f t="shared" si="2"/>
        <v>4346171.76</v>
      </c>
    </row>
    <row r="162" spans="1:6" x14ac:dyDescent="0.25">
      <c r="A162">
        <v>46763</v>
      </c>
      <c r="B162" t="s">
        <v>175</v>
      </c>
      <c r="C162" t="s">
        <v>172</v>
      </c>
      <c r="D162" s="2">
        <v>5875549.2199999997</v>
      </c>
      <c r="E162" s="2">
        <v>0</v>
      </c>
      <c r="F162" s="2">
        <f t="shared" si="2"/>
        <v>5875549.2199999997</v>
      </c>
    </row>
    <row r="163" spans="1:6" x14ac:dyDescent="0.25">
      <c r="A163">
        <v>44131</v>
      </c>
      <c r="B163" t="s">
        <v>176</v>
      </c>
      <c r="C163" t="s">
        <v>177</v>
      </c>
      <c r="D163" s="2">
        <v>1681790.27</v>
      </c>
      <c r="E163" s="2">
        <v>582000</v>
      </c>
      <c r="F163" s="2">
        <f t="shared" si="2"/>
        <v>2263790.27</v>
      </c>
    </row>
    <row r="164" spans="1:6" x14ac:dyDescent="0.25">
      <c r="A164">
        <v>44743</v>
      </c>
      <c r="B164" t="s">
        <v>178</v>
      </c>
      <c r="C164" t="s">
        <v>177</v>
      </c>
      <c r="D164" s="2">
        <v>12956398.18</v>
      </c>
      <c r="E164" s="2">
        <v>0</v>
      </c>
      <c r="F164" s="2">
        <f t="shared" si="2"/>
        <v>12956398.18</v>
      </c>
    </row>
    <row r="165" spans="1:6" x14ac:dyDescent="0.25">
      <c r="A165">
        <v>46789</v>
      </c>
      <c r="B165" t="s">
        <v>179</v>
      </c>
      <c r="C165" t="s">
        <v>177</v>
      </c>
      <c r="D165" s="2">
        <v>4765855.7300000004</v>
      </c>
      <c r="E165" s="2">
        <v>570000</v>
      </c>
      <c r="F165" s="2">
        <f t="shared" si="2"/>
        <v>5335855.7300000004</v>
      </c>
    </row>
    <row r="166" spans="1:6" x14ac:dyDescent="0.25">
      <c r="A166">
        <v>46797</v>
      </c>
      <c r="B166" t="s">
        <v>180</v>
      </c>
      <c r="C166" t="s">
        <v>177</v>
      </c>
      <c r="D166" s="2">
        <v>1042.5</v>
      </c>
      <c r="E166" s="2">
        <v>0</v>
      </c>
      <c r="F166" s="2">
        <f t="shared" si="2"/>
        <v>1042.5</v>
      </c>
    </row>
    <row r="167" spans="1:6" x14ac:dyDescent="0.25">
      <c r="A167">
        <v>46805</v>
      </c>
      <c r="B167" t="s">
        <v>181</v>
      </c>
      <c r="C167" t="s">
        <v>177</v>
      </c>
      <c r="D167" s="2">
        <v>3807647.86</v>
      </c>
      <c r="E167" s="2">
        <v>393000</v>
      </c>
      <c r="F167" s="2">
        <f t="shared" si="2"/>
        <v>4200647.8599999994</v>
      </c>
    </row>
    <row r="168" spans="1:6" x14ac:dyDescent="0.25">
      <c r="A168">
        <v>46813</v>
      </c>
      <c r="B168" t="s">
        <v>182</v>
      </c>
      <c r="C168" t="s">
        <v>177</v>
      </c>
      <c r="D168" s="2">
        <v>5657162.2699999996</v>
      </c>
      <c r="E168" s="2">
        <v>0</v>
      </c>
      <c r="F168" s="2">
        <f t="shared" si="2"/>
        <v>5657162.2699999996</v>
      </c>
    </row>
    <row r="169" spans="1:6" x14ac:dyDescent="0.25">
      <c r="A169">
        <v>46821</v>
      </c>
      <c r="B169" t="s">
        <v>183</v>
      </c>
      <c r="C169" t="s">
        <v>177</v>
      </c>
      <c r="D169" s="2">
        <v>4476491.33</v>
      </c>
      <c r="E169" s="2">
        <v>0</v>
      </c>
      <c r="F169" s="2">
        <f t="shared" si="2"/>
        <v>4476491.33</v>
      </c>
    </row>
    <row r="170" spans="1:6" x14ac:dyDescent="0.25">
      <c r="A170">
        <v>44206</v>
      </c>
      <c r="B170" t="s">
        <v>184</v>
      </c>
      <c r="C170" t="s">
        <v>185</v>
      </c>
      <c r="D170" s="2">
        <v>17166954.329999998</v>
      </c>
      <c r="E170" s="2">
        <v>0</v>
      </c>
      <c r="F170" s="2">
        <f t="shared" si="2"/>
        <v>17166954.329999998</v>
      </c>
    </row>
    <row r="171" spans="1:6" x14ac:dyDescent="0.25">
      <c r="A171">
        <v>46847</v>
      </c>
      <c r="B171" t="s">
        <v>186</v>
      </c>
      <c r="C171" t="s">
        <v>185</v>
      </c>
      <c r="D171" s="2">
        <v>9299020.9000000004</v>
      </c>
      <c r="E171" s="2">
        <v>141817.79</v>
      </c>
      <c r="F171" s="2">
        <f t="shared" si="2"/>
        <v>9440838.6899999995</v>
      </c>
    </row>
    <row r="172" spans="1:6" x14ac:dyDescent="0.25">
      <c r="A172">
        <v>46854</v>
      </c>
      <c r="B172" t="s">
        <v>187</v>
      </c>
      <c r="C172" t="s">
        <v>185</v>
      </c>
      <c r="D172" s="2">
        <v>3552364.86</v>
      </c>
      <c r="E172" s="2">
        <v>81150.350000000006</v>
      </c>
      <c r="F172" s="2">
        <f t="shared" si="2"/>
        <v>3633515.21</v>
      </c>
    </row>
    <row r="173" spans="1:6" x14ac:dyDescent="0.25">
      <c r="A173">
        <v>46862</v>
      </c>
      <c r="B173" t="s">
        <v>188</v>
      </c>
      <c r="C173" t="s">
        <v>185</v>
      </c>
      <c r="D173" s="2">
        <v>3482862.05</v>
      </c>
      <c r="E173" s="2">
        <v>0</v>
      </c>
      <c r="F173" s="2">
        <f t="shared" si="2"/>
        <v>3482862.05</v>
      </c>
    </row>
    <row r="174" spans="1:6" x14ac:dyDescent="0.25">
      <c r="A174">
        <v>46870</v>
      </c>
      <c r="B174" t="s">
        <v>189</v>
      </c>
      <c r="C174" t="s">
        <v>185</v>
      </c>
      <c r="D174" s="2">
        <v>9210939.3599999994</v>
      </c>
      <c r="E174" s="2">
        <v>211566.84</v>
      </c>
      <c r="F174" s="2">
        <f t="shared" si="2"/>
        <v>9422506.1999999993</v>
      </c>
    </row>
    <row r="175" spans="1:6" x14ac:dyDescent="0.25">
      <c r="A175">
        <v>46888</v>
      </c>
      <c r="B175" t="s">
        <v>190</v>
      </c>
      <c r="C175" t="s">
        <v>185</v>
      </c>
      <c r="D175" s="2">
        <v>5283848.24</v>
      </c>
      <c r="E175" s="2">
        <v>154973.57999999999</v>
      </c>
      <c r="F175" s="2">
        <f t="shared" si="2"/>
        <v>5438821.8200000003</v>
      </c>
    </row>
    <row r="176" spans="1:6" x14ac:dyDescent="0.25">
      <c r="A176">
        <v>46896</v>
      </c>
      <c r="B176" t="s">
        <v>191</v>
      </c>
      <c r="C176" t="s">
        <v>185</v>
      </c>
      <c r="D176" s="2">
        <v>41273704.890000001</v>
      </c>
      <c r="E176" s="2">
        <v>644825.74</v>
      </c>
      <c r="F176" s="2">
        <f t="shared" si="2"/>
        <v>41918530.630000003</v>
      </c>
    </row>
    <row r="177" spans="1:6" x14ac:dyDescent="0.25">
      <c r="A177">
        <v>46904</v>
      </c>
      <c r="B177" t="s">
        <v>192</v>
      </c>
      <c r="C177" t="s">
        <v>185</v>
      </c>
      <c r="D177" s="2">
        <v>1489780.95</v>
      </c>
      <c r="E177" s="2">
        <v>86723.68</v>
      </c>
      <c r="F177" s="2">
        <f t="shared" si="2"/>
        <v>1576504.63</v>
      </c>
    </row>
    <row r="178" spans="1:6" x14ac:dyDescent="0.25">
      <c r="A178">
        <v>45013</v>
      </c>
      <c r="B178" t="s">
        <v>193</v>
      </c>
      <c r="C178" t="s">
        <v>194</v>
      </c>
      <c r="D178" s="2">
        <v>11503415.48</v>
      </c>
      <c r="E178" s="2">
        <v>225150.33</v>
      </c>
      <c r="F178" s="2">
        <f t="shared" si="2"/>
        <v>11728565.810000001</v>
      </c>
    </row>
    <row r="179" spans="1:6" x14ac:dyDescent="0.25">
      <c r="A179">
        <v>46920</v>
      </c>
      <c r="B179" t="s">
        <v>195</v>
      </c>
      <c r="C179" t="s">
        <v>194</v>
      </c>
      <c r="D179" s="2">
        <v>8907628.0399999991</v>
      </c>
      <c r="E179" s="2">
        <v>165304.25</v>
      </c>
      <c r="F179" s="2">
        <f t="shared" si="2"/>
        <v>9072932.2899999991</v>
      </c>
    </row>
    <row r="180" spans="1:6" x14ac:dyDescent="0.25">
      <c r="A180">
        <v>43620</v>
      </c>
      <c r="B180" t="s">
        <v>196</v>
      </c>
      <c r="C180" t="s">
        <v>197</v>
      </c>
      <c r="D180" s="2">
        <v>3523171.61</v>
      </c>
      <c r="E180" s="2">
        <v>0</v>
      </c>
      <c r="F180" s="2">
        <f t="shared" si="2"/>
        <v>3523171.61</v>
      </c>
    </row>
    <row r="181" spans="1:6" x14ac:dyDescent="0.25">
      <c r="A181">
        <v>43802</v>
      </c>
      <c r="B181" t="s">
        <v>198</v>
      </c>
      <c r="C181" t="s">
        <v>197</v>
      </c>
      <c r="D181" s="2">
        <v>137777907.31999999</v>
      </c>
      <c r="E181" s="2">
        <v>0</v>
      </c>
      <c r="F181" s="2">
        <f t="shared" si="2"/>
        <v>137777907.31999999</v>
      </c>
    </row>
    <row r="182" spans="1:6" x14ac:dyDescent="0.25">
      <c r="A182">
        <v>47027</v>
      </c>
      <c r="B182" t="s">
        <v>199</v>
      </c>
      <c r="C182" t="s">
        <v>197</v>
      </c>
      <c r="D182" s="2">
        <v>13290235.9</v>
      </c>
      <c r="E182" s="2">
        <v>0</v>
      </c>
      <c r="F182" s="2">
        <f t="shared" si="2"/>
        <v>13290235.9</v>
      </c>
    </row>
    <row r="183" spans="1:6" x14ac:dyDescent="0.25">
      <c r="A183">
        <v>46961</v>
      </c>
      <c r="B183" t="s">
        <v>200</v>
      </c>
      <c r="C183" t="s">
        <v>197</v>
      </c>
      <c r="D183" s="2">
        <v>8851971.9000000004</v>
      </c>
      <c r="E183" s="2">
        <v>0</v>
      </c>
      <c r="F183" s="2">
        <f t="shared" si="2"/>
        <v>8851971.9000000004</v>
      </c>
    </row>
    <row r="184" spans="1:6" x14ac:dyDescent="0.25">
      <c r="A184">
        <v>44073</v>
      </c>
      <c r="B184" t="s">
        <v>201</v>
      </c>
      <c r="C184" t="s">
        <v>197</v>
      </c>
      <c r="D184" s="2">
        <v>1495431.12</v>
      </c>
      <c r="E184" s="2">
        <v>0</v>
      </c>
      <c r="F184" s="2">
        <f t="shared" si="2"/>
        <v>1495431.12</v>
      </c>
    </row>
    <row r="185" spans="1:6" x14ac:dyDescent="0.25">
      <c r="A185">
        <v>47019</v>
      </c>
      <c r="B185" t="s">
        <v>202</v>
      </c>
      <c r="C185" t="s">
        <v>197</v>
      </c>
      <c r="D185" s="2">
        <v>31314242.59</v>
      </c>
      <c r="E185" s="2">
        <v>1946000</v>
      </c>
      <c r="F185" s="2">
        <f t="shared" si="2"/>
        <v>33260242.59</v>
      </c>
    </row>
    <row r="186" spans="1:6" x14ac:dyDescent="0.25">
      <c r="A186">
        <v>47001</v>
      </c>
      <c r="B186" t="s">
        <v>203</v>
      </c>
      <c r="C186" t="s">
        <v>197</v>
      </c>
      <c r="D186" s="2">
        <v>21599537.829999998</v>
      </c>
      <c r="E186" s="2">
        <v>746000</v>
      </c>
      <c r="F186" s="2">
        <f t="shared" si="2"/>
        <v>22345537.829999998</v>
      </c>
    </row>
    <row r="187" spans="1:6" x14ac:dyDescent="0.25">
      <c r="A187">
        <v>44800</v>
      </c>
      <c r="B187" t="s">
        <v>204</v>
      </c>
      <c r="C187" t="s">
        <v>197</v>
      </c>
      <c r="D187" s="2">
        <v>78749078.989999995</v>
      </c>
      <c r="E187" s="2">
        <v>0</v>
      </c>
      <c r="F187" s="2">
        <f t="shared" si="2"/>
        <v>78749078.989999995</v>
      </c>
    </row>
    <row r="188" spans="1:6" x14ac:dyDescent="0.25">
      <c r="A188">
        <v>44933</v>
      </c>
      <c r="B188" t="s">
        <v>205</v>
      </c>
      <c r="C188" t="s">
        <v>197</v>
      </c>
      <c r="D188" s="2">
        <v>-35892.47</v>
      </c>
      <c r="E188" s="2">
        <v>0</v>
      </c>
      <c r="F188" s="2">
        <f t="shared" si="2"/>
        <v>-35892.47</v>
      </c>
    </row>
    <row r="189" spans="1:6" x14ac:dyDescent="0.25">
      <c r="A189">
        <v>45047</v>
      </c>
      <c r="B189" t="s">
        <v>206</v>
      </c>
      <c r="C189" t="s">
        <v>197</v>
      </c>
      <c r="D189" s="2">
        <v>26075926.879999999</v>
      </c>
      <c r="E189" s="2">
        <v>0</v>
      </c>
      <c r="F189" s="2">
        <f t="shared" si="2"/>
        <v>26075926.879999999</v>
      </c>
    </row>
    <row r="190" spans="1:6" x14ac:dyDescent="0.25">
      <c r="A190">
        <v>45070</v>
      </c>
      <c r="B190" t="s">
        <v>207</v>
      </c>
      <c r="C190" t="s">
        <v>197</v>
      </c>
      <c r="D190" s="2">
        <v>14142091.199999999</v>
      </c>
      <c r="E190" s="2">
        <v>0</v>
      </c>
      <c r="F190" s="2">
        <f t="shared" si="2"/>
        <v>14142091.199999999</v>
      </c>
    </row>
    <row r="191" spans="1:6" x14ac:dyDescent="0.25">
      <c r="A191">
        <v>45138</v>
      </c>
      <c r="B191" t="s">
        <v>208</v>
      </c>
      <c r="C191" t="s">
        <v>197</v>
      </c>
      <c r="D191" s="2">
        <v>11903187.550000001</v>
      </c>
      <c r="E191" s="2">
        <v>0</v>
      </c>
      <c r="F191" s="2">
        <f t="shared" si="2"/>
        <v>11903187.550000001</v>
      </c>
    </row>
    <row r="192" spans="1:6" x14ac:dyDescent="0.25">
      <c r="A192">
        <v>46946</v>
      </c>
      <c r="B192" t="s">
        <v>209</v>
      </c>
      <c r="C192" t="s">
        <v>197</v>
      </c>
      <c r="D192" s="2">
        <v>12062888.4</v>
      </c>
      <c r="E192" s="2">
        <v>0</v>
      </c>
      <c r="F192" s="2">
        <f t="shared" si="2"/>
        <v>12062888.4</v>
      </c>
    </row>
    <row r="193" spans="1:6" x14ac:dyDescent="0.25">
      <c r="A193">
        <v>46979</v>
      </c>
      <c r="B193" t="s">
        <v>210</v>
      </c>
      <c r="C193" t="s">
        <v>197</v>
      </c>
      <c r="D193" s="2">
        <v>19191691.84</v>
      </c>
      <c r="E193" s="2">
        <v>104580</v>
      </c>
      <c r="F193" s="2">
        <f t="shared" si="2"/>
        <v>19296271.84</v>
      </c>
    </row>
    <row r="194" spans="1:6" x14ac:dyDescent="0.25">
      <c r="A194">
        <v>46953</v>
      </c>
      <c r="B194" t="s">
        <v>211</v>
      </c>
      <c r="C194" t="s">
        <v>197</v>
      </c>
      <c r="D194" s="2">
        <v>14402821.33</v>
      </c>
      <c r="E194" s="2">
        <v>801760</v>
      </c>
      <c r="F194" s="2">
        <f t="shared" si="2"/>
        <v>15204581.33</v>
      </c>
    </row>
    <row r="195" spans="1:6" x14ac:dyDescent="0.25">
      <c r="A195">
        <v>46995</v>
      </c>
      <c r="B195" t="s">
        <v>212</v>
      </c>
      <c r="C195" t="s">
        <v>197</v>
      </c>
      <c r="D195" s="2">
        <v>1904253.07</v>
      </c>
      <c r="E195" s="2">
        <v>0</v>
      </c>
      <c r="F195" s="2">
        <f t="shared" si="2"/>
        <v>1904253.07</v>
      </c>
    </row>
    <row r="196" spans="1:6" x14ac:dyDescent="0.25">
      <c r="A196">
        <v>45641</v>
      </c>
      <c r="B196" t="s">
        <v>213</v>
      </c>
      <c r="C196" t="s">
        <v>214</v>
      </c>
      <c r="D196" s="2">
        <v>8207959.5199999996</v>
      </c>
      <c r="E196" s="2">
        <v>384358</v>
      </c>
      <c r="F196" s="2">
        <f t="shared" si="2"/>
        <v>8592317.5199999996</v>
      </c>
    </row>
    <row r="197" spans="1:6" x14ac:dyDescent="0.25">
      <c r="A197">
        <v>47043</v>
      </c>
      <c r="B197" t="s">
        <v>215</v>
      </c>
      <c r="C197" t="s">
        <v>214</v>
      </c>
      <c r="D197" s="2">
        <v>1967592.82</v>
      </c>
      <c r="E197" s="2">
        <v>561314</v>
      </c>
      <c r="F197" s="2">
        <f t="shared" si="2"/>
        <v>2528906.8200000003</v>
      </c>
    </row>
    <row r="198" spans="1:6" x14ac:dyDescent="0.25">
      <c r="A198">
        <v>47050</v>
      </c>
      <c r="B198" t="s">
        <v>216</v>
      </c>
      <c r="C198" t="s">
        <v>214</v>
      </c>
      <c r="D198" s="2">
        <v>4104745.05</v>
      </c>
      <c r="E198" s="2">
        <v>640613</v>
      </c>
      <c r="F198" s="2">
        <f t="shared" si="2"/>
        <v>4745358.05</v>
      </c>
    </row>
    <row r="199" spans="1:6" x14ac:dyDescent="0.25">
      <c r="A199">
        <v>47068</v>
      </c>
      <c r="B199" t="s">
        <v>217</v>
      </c>
      <c r="C199" t="s">
        <v>214</v>
      </c>
      <c r="D199" s="2">
        <v>1952993.58</v>
      </c>
      <c r="E199" s="2">
        <v>266336</v>
      </c>
      <c r="F199" s="2">
        <f t="shared" si="2"/>
        <v>2219329.58</v>
      </c>
    </row>
    <row r="200" spans="1:6" x14ac:dyDescent="0.25">
      <c r="A200">
        <v>47076</v>
      </c>
      <c r="B200" t="s">
        <v>218</v>
      </c>
      <c r="C200" t="s">
        <v>214</v>
      </c>
      <c r="D200" s="2">
        <v>2484215.0299999998</v>
      </c>
      <c r="E200" s="2">
        <v>83468</v>
      </c>
      <c r="F200" s="2">
        <f t="shared" si="2"/>
        <v>2567683.0299999998</v>
      </c>
    </row>
    <row r="201" spans="1:6" x14ac:dyDescent="0.25">
      <c r="A201">
        <v>47084</v>
      </c>
      <c r="B201" t="s">
        <v>219</v>
      </c>
      <c r="C201" t="s">
        <v>214</v>
      </c>
      <c r="D201" s="2">
        <v>4925001.1399999997</v>
      </c>
      <c r="E201" s="2">
        <v>905218</v>
      </c>
      <c r="F201" s="2">
        <f t="shared" si="2"/>
        <v>5830219.1399999997</v>
      </c>
    </row>
    <row r="202" spans="1:6" x14ac:dyDescent="0.25">
      <c r="A202">
        <v>47092</v>
      </c>
      <c r="B202" t="s">
        <v>220</v>
      </c>
      <c r="C202" t="s">
        <v>214</v>
      </c>
      <c r="D202" s="2">
        <v>3746929.31</v>
      </c>
      <c r="E202" s="2">
        <v>0</v>
      </c>
      <c r="F202" s="2">
        <f t="shared" si="2"/>
        <v>3746929.31</v>
      </c>
    </row>
    <row r="203" spans="1:6" x14ac:dyDescent="0.25">
      <c r="A203">
        <v>44032</v>
      </c>
      <c r="B203" t="s">
        <v>221</v>
      </c>
      <c r="C203" t="s">
        <v>222</v>
      </c>
      <c r="D203" s="2">
        <v>12330869.27</v>
      </c>
      <c r="E203" s="2">
        <v>0</v>
      </c>
      <c r="F203" s="2">
        <f t="shared" si="2"/>
        <v>12330869.27</v>
      </c>
    </row>
    <row r="204" spans="1:6" x14ac:dyDescent="0.25">
      <c r="A204">
        <v>65680</v>
      </c>
      <c r="B204" t="s">
        <v>223</v>
      </c>
      <c r="C204" t="s">
        <v>222</v>
      </c>
      <c r="D204" s="2">
        <v>10264118</v>
      </c>
      <c r="E204" s="2">
        <v>40000</v>
      </c>
      <c r="F204" s="2">
        <f t="shared" si="2"/>
        <v>10304118</v>
      </c>
    </row>
    <row r="205" spans="1:6" x14ac:dyDescent="0.25">
      <c r="A205">
        <v>47167</v>
      </c>
      <c r="B205" t="s">
        <v>224</v>
      </c>
      <c r="C205" t="s">
        <v>225</v>
      </c>
      <c r="D205" s="2">
        <v>2549069.35</v>
      </c>
      <c r="E205" s="2">
        <v>295921.8</v>
      </c>
      <c r="F205" s="2">
        <f t="shared" si="2"/>
        <v>2844991.15</v>
      </c>
    </row>
    <row r="206" spans="1:6" x14ac:dyDescent="0.25">
      <c r="A206">
        <v>47175</v>
      </c>
      <c r="B206" t="s">
        <v>226</v>
      </c>
      <c r="C206" t="s">
        <v>225</v>
      </c>
      <c r="D206" s="2">
        <v>2180178.7400000002</v>
      </c>
      <c r="E206" s="2">
        <v>184371.32</v>
      </c>
      <c r="F206" s="2">
        <f t="shared" si="2"/>
        <v>2364550.06</v>
      </c>
    </row>
    <row r="207" spans="1:6" x14ac:dyDescent="0.25">
      <c r="A207">
        <v>47183</v>
      </c>
      <c r="B207" t="s">
        <v>227</v>
      </c>
      <c r="C207" t="s">
        <v>225</v>
      </c>
      <c r="D207" s="2">
        <v>4743100.28</v>
      </c>
      <c r="E207" s="2">
        <v>267848.59000000003</v>
      </c>
      <c r="F207" s="2">
        <f t="shared" ref="F207:F270" si="3">D207+E207</f>
        <v>5010948.87</v>
      </c>
    </row>
    <row r="208" spans="1:6" x14ac:dyDescent="0.25">
      <c r="A208">
        <v>47191</v>
      </c>
      <c r="B208" t="s">
        <v>228</v>
      </c>
      <c r="C208" t="s">
        <v>225</v>
      </c>
      <c r="D208" s="2">
        <v>3422827.58</v>
      </c>
      <c r="E208" s="2">
        <v>281476.8</v>
      </c>
      <c r="F208" s="2">
        <f t="shared" si="3"/>
        <v>3704304.38</v>
      </c>
    </row>
    <row r="209" spans="1:6" x14ac:dyDescent="0.25">
      <c r="A209">
        <v>47209</v>
      </c>
      <c r="B209" t="s">
        <v>229</v>
      </c>
      <c r="C209" t="s">
        <v>225</v>
      </c>
      <c r="D209" s="2">
        <v>1516162.61</v>
      </c>
      <c r="E209" s="2">
        <v>112100.87</v>
      </c>
      <c r="F209" s="2">
        <f t="shared" si="3"/>
        <v>1628263.48</v>
      </c>
    </row>
    <row r="210" spans="1:6" x14ac:dyDescent="0.25">
      <c r="A210">
        <v>47217</v>
      </c>
      <c r="B210" t="s">
        <v>230</v>
      </c>
      <c r="C210" t="s">
        <v>225</v>
      </c>
      <c r="D210" s="2">
        <v>802668.46</v>
      </c>
      <c r="E210" s="2">
        <v>112100.87</v>
      </c>
      <c r="F210" s="2">
        <f t="shared" si="3"/>
        <v>914769.33</v>
      </c>
    </row>
    <row r="211" spans="1:6" x14ac:dyDescent="0.25">
      <c r="A211">
        <v>47225</v>
      </c>
      <c r="B211" t="s">
        <v>231</v>
      </c>
      <c r="C211" t="s">
        <v>225</v>
      </c>
      <c r="D211" s="2">
        <v>3253110</v>
      </c>
      <c r="E211" s="2">
        <v>361545.73</v>
      </c>
      <c r="F211" s="2">
        <f t="shared" si="3"/>
        <v>3614655.73</v>
      </c>
    </row>
    <row r="212" spans="1:6" x14ac:dyDescent="0.25">
      <c r="A212">
        <v>47241</v>
      </c>
      <c r="B212" t="s">
        <v>232</v>
      </c>
      <c r="C212" t="s">
        <v>233</v>
      </c>
      <c r="D212" s="2">
        <v>7036507.4299999997</v>
      </c>
      <c r="E212" s="2">
        <v>2310000</v>
      </c>
      <c r="F212" s="2">
        <f t="shared" si="3"/>
        <v>9346507.4299999997</v>
      </c>
    </row>
    <row r="213" spans="1:6" x14ac:dyDescent="0.25">
      <c r="A213">
        <v>43968</v>
      </c>
      <c r="B213" t="s">
        <v>234</v>
      </c>
      <c r="C213" t="s">
        <v>233</v>
      </c>
      <c r="D213" s="2">
        <v>14500968.92</v>
      </c>
      <c r="E213" s="2">
        <v>0</v>
      </c>
      <c r="F213" s="2">
        <f t="shared" si="3"/>
        <v>14500968.92</v>
      </c>
    </row>
    <row r="214" spans="1:6" x14ac:dyDescent="0.25">
      <c r="A214">
        <v>45153</v>
      </c>
      <c r="B214" t="s">
        <v>235</v>
      </c>
      <c r="C214" t="s">
        <v>233</v>
      </c>
      <c r="D214" s="2">
        <v>13688191.66</v>
      </c>
      <c r="E214" s="2">
        <v>2914976.34</v>
      </c>
      <c r="F214" s="2">
        <f t="shared" si="3"/>
        <v>16603168</v>
      </c>
    </row>
    <row r="215" spans="1:6" x14ac:dyDescent="0.25">
      <c r="A215">
        <v>45674</v>
      </c>
      <c r="B215" t="s">
        <v>236</v>
      </c>
      <c r="C215" t="s">
        <v>233</v>
      </c>
      <c r="D215" s="2">
        <v>1501742.3</v>
      </c>
      <c r="E215" s="2">
        <v>1610.25</v>
      </c>
      <c r="F215" s="2">
        <f t="shared" si="3"/>
        <v>1503352.55</v>
      </c>
    </row>
    <row r="216" spans="1:6" x14ac:dyDescent="0.25">
      <c r="A216">
        <v>47258</v>
      </c>
      <c r="B216" t="s">
        <v>237</v>
      </c>
      <c r="C216" t="s">
        <v>233</v>
      </c>
      <c r="D216" s="2">
        <v>2571259.35</v>
      </c>
      <c r="E216" s="2">
        <v>1918.05</v>
      </c>
      <c r="F216" s="2">
        <f t="shared" si="3"/>
        <v>2573177.4</v>
      </c>
    </row>
    <row r="217" spans="1:6" x14ac:dyDescent="0.25">
      <c r="A217">
        <v>47266</v>
      </c>
      <c r="B217" t="s">
        <v>238</v>
      </c>
      <c r="C217" t="s">
        <v>233</v>
      </c>
      <c r="D217" s="2">
        <v>4646046.84</v>
      </c>
      <c r="E217" s="2">
        <v>954049.85</v>
      </c>
      <c r="F217" s="2">
        <f t="shared" si="3"/>
        <v>5600096.6899999995</v>
      </c>
    </row>
    <row r="218" spans="1:6" x14ac:dyDescent="0.25">
      <c r="A218">
        <v>47274</v>
      </c>
      <c r="B218" t="s">
        <v>239</v>
      </c>
      <c r="C218" t="s">
        <v>233</v>
      </c>
      <c r="D218" s="2">
        <v>5680283.1900000004</v>
      </c>
      <c r="E218" s="2">
        <v>21609.48</v>
      </c>
      <c r="F218" s="2">
        <f t="shared" si="3"/>
        <v>5701892.6700000009</v>
      </c>
    </row>
    <row r="219" spans="1:6" x14ac:dyDescent="0.25">
      <c r="A219">
        <v>43695</v>
      </c>
      <c r="B219" t="s">
        <v>240</v>
      </c>
      <c r="C219" t="s">
        <v>241</v>
      </c>
      <c r="D219" s="2">
        <v>11606622.689999999</v>
      </c>
      <c r="E219" s="2">
        <v>251320.14</v>
      </c>
      <c r="F219" s="2">
        <f t="shared" si="3"/>
        <v>11857942.83</v>
      </c>
    </row>
    <row r="220" spans="1:6" x14ac:dyDescent="0.25">
      <c r="A220">
        <v>69682</v>
      </c>
      <c r="B220" t="s">
        <v>242</v>
      </c>
      <c r="C220" t="s">
        <v>241</v>
      </c>
      <c r="D220" s="2">
        <v>6665290.25</v>
      </c>
      <c r="E220" s="2">
        <v>304413.03999999998</v>
      </c>
      <c r="F220" s="2">
        <f t="shared" si="3"/>
        <v>6969703.29</v>
      </c>
    </row>
    <row r="221" spans="1:6" x14ac:dyDescent="0.25">
      <c r="A221">
        <v>47308</v>
      </c>
      <c r="B221" t="s">
        <v>243</v>
      </c>
      <c r="C221" t="s">
        <v>241</v>
      </c>
      <c r="D221" s="2">
        <v>8364824.79</v>
      </c>
      <c r="E221" s="2">
        <v>438655.32</v>
      </c>
      <c r="F221" s="2">
        <f t="shared" si="3"/>
        <v>8803480.1099999994</v>
      </c>
    </row>
    <row r="222" spans="1:6" x14ac:dyDescent="0.25">
      <c r="A222">
        <v>43752</v>
      </c>
      <c r="B222" t="s">
        <v>244</v>
      </c>
      <c r="C222" t="s">
        <v>245</v>
      </c>
      <c r="D222" s="2">
        <v>85021226.930000007</v>
      </c>
      <c r="E222" s="2">
        <v>0</v>
      </c>
      <c r="F222" s="2">
        <f t="shared" si="3"/>
        <v>85021226.930000007</v>
      </c>
    </row>
    <row r="223" spans="1:6" x14ac:dyDescent="0.25">
      <c r="A223">
        <v>43851</v>
      </c>
      <c r="B223" t="s">
        <v>246</v>
      </c>
      <c r="C223" t="s">
        <v>245</v>
      </c>
      <c r="D223" s="2">
        <v>2637325.5499999998</v>
      </c>
      <c r="E223" s="2">
        <v>0</v>
      </c>
      <c r="F223" s="2">
        <f t="shared" si="3"/>
        <v>2637325.5499999998</v>
      </c>
    </row>
    <row r="224" spans="1:6" x14ac:dyDescent="0.25">
      <c r="A224">
        <v>44230</v>
      </c>
      <c r="B224" t="s">
        <v>247</v>
      </c>
      <c r="C224" t="s">
        <v>245</v>
      </c>
      <c r="D224" s="2">
        <v>2089967.58</v>
      </c>
      <c r="E224" s="2">
        <v>0</v>
      </c>
      <c r="F224" s="2">
        <f t="shared" si="3"/>
        <v>2089967.58</v>
      </c>
    </row>
    <row r="225" spans="1:6" x14ac:dyDescent="0.25">
      <c r="A225">
        <v>44271</v>
      </c>
      <c r="B225" t="s">
        <v>248</v>
      </c>
      <c r="C225" t="s">
        <v>245</v>
      </c>
      <c r="D225" s="2">
        <v>10515142</v>
      </c>
      <c r="E225" s="2">
        <v>0</v>
      </c>
      <c r="F225" s="2">
        <f t="shared" si="3"/>
        <v>10515142</v>
      </c>
    </row>
    <row r="226" spans="1:6" x14ac:dyDescent="0.25">
      <c r="A226">
        <v>44289</v>
      </c>
      <c r="B226" t="s">
        <v>249</v>
      </c>
      <c r="C226" t="s">
        <v>245</v>
      </c>
      <c r="D226" s="2">
        <v>2761926.9</v>
      </c>
      <c r="E226" s="2">
        <v>0</v>
      </c>
      <c r="F226" s="2">
        <f t="shared" si="3"/>
        <v>2761926.9</v>
      </c>
    </row>
    <row r="227" spans="1:6" x14ac:dyDescent="0.25">
      <c r="A227">
        <v>44313</v>
      </c>
      <c r="B227" t="s">
        <v>250</v>
      </c>
      <c r="C227" t="s">
        <v>245</v>
      </c>
      <c r="D227" s="2">
        <v>2879081.84</v>
      </c>
      <c r="E227" s="2">
        <v>0</v>
      </c>
      <c r="F227" s="2">
        <f t="shared" si="3"/>
        <v>2879081.84</v>
      </c>
    </row>
    <row r="228" spans="1:6" x14ac:dyDescent="0.25">
      <c r="A228">
        <v>44412</v>
      </c>
      <c r="B228" t="s">
        <v>251</v>
      </c>
      <c r="C228" t="s">
        <v>245</v>
      </c>
      <c r="D228" s="2">
        <v>18115777.48</v>
      </c>
      <c r="E228" s="2">
        <v>0</v>
      </c>
      <c r="F228" s="2">
        <f t="shared" si="3"/>
        <v>18115777.48</v>
      </c>
    </row>
    <row r="229" spans="1:6" x14ac:dyDescent="0.25">
      <c r="A229">
        <v>44511</v>
      </c>
      <c r="B229" t="s">
        <v>252</v>
      </c>
      <c r="C229" t="s">
        <v>245</v>
      </c>
      <c r="D229" s="2">
        <v>6894724.04</v>
      </c>
      <c r="E229" s="2">
        <v>0</v>
      </c>
      <c r="F229" s="2">
        <f t="shared" si="3"/>
        <v>6894724.04</v>
      </c>
    </row>
    <row r="230" spans="1:6" x14ac:dyDescent="0.25">
      <c r="A230">
        <v>44578</v>
      </c>
      <c r="B230" t="s">
        <v>253</v>
      </c>
      <c r="C230" t="s">
        <v>245</v>
      </c>
      <c r="D230" s="2">
        <v>7061131.29</v>
      </c>
      <c r="E230" s="2">
        <v>0</v>
      </c>
      <c r="F230" s="2">
        <f t="shared" si="3"/>
        <v>7061131.29</v>
      </c>
    </row>
    <row r="231" spans="1:6" x14ac:dyDescent="0.25">
      <c r="A231">
        <v>44677</v>
      </c>
      <c r="B231" t="s">
        <v>254</v>
      </c>
      <c r="C231" t="s">
        <v>245</v>
      </c>
      <c r="D231" s="2">
        <v>3461901.77</v>
      </c>
      <c r="E231" s="2">
        <v>0</v>
      </c>
      <c r="F231" s="2">
        <f t="shared" si="3"/>
        <v>3461901.77</v>
      </c>
    </row>
    <row r="232" spans="1:6" x14ac:dyDescent="0.25">
      <c r="A232">
        <v>44693</v>
      </c>
      <c r="B232" t="s">
        <v>255</v>
      </c>
      <c r="C232" t="s">
        <v>245</v>
      </c>
      <c r="D232" s="2">
        <v>4173055.35</v>
      </c>
      <c r="E232" s="2">
        <v>0</v>
      </c>
      <c r="F232" s="2">
        <f t="shared" si="3"/>
        <v>4173055.35</v>
      </c>
    </row>
    <row r="233" spans="1:6" x14ac:dyDescent="0.25">
      <c r="A233">
        <v>44719</v>
      </c>
      <c r="B233" t="s">
        <v>256</v>
      </c>
      <c r="C233" t="s">
        <v>245</v>
      </c>
      <c r="D233" s="2">
        <v>3297803.69</v>
      </c>
      <c r="E233" s="2">
        <v>0</v>
      </c>
      <c r="F233" s="2">
        <f t="shared" si="3"/>
        <v>3297803.69</v>
      </c>
    </row>
    <row r="234" spans="1:6" x14ac:dyDescent="0.25">
      <c r="A234">
        <v>44867</v>
      </c>
      <c r="B234" t="s">
        <v>257</v>
      </c>
      <c r="C234" t="s">
        <v>245</v>
      </c>
      <c r="D234" s="2">
        <v>2364925.38</v>
      </c>
      <c r="E234" s="2">
        <v>0</v>
      </c>
      <c r="F234" s="2">
        <f t="shared" si="3"/>
        <v>2364925.38</v>
      </c>
    </row>
    <row r="235" spans="1:6" x14ac:dyDescent="0.25">
      <c r="A235">
        <v>44081</v>
      </c>
      <c r="B235" t="s">
        <v>258</v>
      </c>
      <c r="C235" t="s">
        <v>245</v>
      </c>
      <c r="D235" s="2">
        <v>11491099.710000001</v>
      </c>
      <c r="E235" s="2">
        <v>0</v>
      </c>
      <c r="F235" s="2">
        <f t="shared" si="3"/>
        <v>11491099.710000001</v>
      </c>
    </row>
    <row r="236" spans="1:6" x14ac:dyDescent="0.25">
      <c r="A236">
        <v>45146</v>
      </c>
      <c r="B236" t="s">
        <v>259</v>
      </c>
      <c r="C236" t="s">
        <v>245</v>
      </c>
      <c r="D236" s="2">
        <v>5316895.1900000004</v>
      </c>
      <c r="E236" s="2">
        <v>0</v>
      </c>
      <c r="F236" s="2">
        <f t="shared" si="3"/>
        <v>5316895.1900000004</v>
      </c>
    </row>
    <row r="237" spans="1:6" x14ac:dyDescent="0.25">
      <c r="A237">
        <v>45435</v>
      </c>
      <c r="B237" t="s">
        <v>260</v>
      </c>
      <c r="C237" t="s">
        <v>245</v>
      </c>
      <c r="D237" s="2">
        <v>858765.3</v>
      </c>
      <c r="E237" s="2">
        <v>0</v>
      </c>
      <c r="F237" s="2">
        <f t="shared" si="3"/>
        <v>858765.3</v>
      </c>
    </row>
    <row r="238" spans="1:6" x14ac:dyDescent="0.25">
      <c r="A238">
        <v>47332</v>
      </c>
      <c r="B238" t="s">
        <v>261</v>
      </c>
      <c r="C238" t="s">
        <v>245</v>
      </c>
      <c r="D238" s="2">
        <v>5431988.4800000004</v>
      </c>
      <c r="E238" s="2">
        <v>0</v>
      </c>
      <c r="F238" s="2">
        <f t="shared" si="3"/>
        <v>5431988.4800000004</v>
      </c>
    </row>
    <row r="239" spans="1:6" x14ac:dyDescent="0.25">
      <c r="A239">
        <v>47340</v>
      </c>
      <c r="B239" t="s">
        <v>262</v>
      </c>
      <c r="C239" t="s">
        <v>245</v>
      </c>
      <c r="D239" s="2">
        <v>16770333.9</v>
      </c>
      <c r="E239" s="2">
        <v>0</v>
      </c>
      <c r="F239" s="2">
        <f t="shared" si="3"/>
        <v>16770333.9</v>
      </c>
    </row>
    <row r="240" spans="1:6" x14ac:dyDescent="0.25">
      <c r="A240">
        <v>47365</v>
      </c>
      <c r="B240" t="s">
        <v>263</v>
      </c>
      <c r="C240" t="s">
        <v>245</v>
      </c>
      <c r="D240" s="2">
        <v>24785695.219999999</v>
      </c>
      <c r="E240" s="2">
        <v>0</v>
      </c>
      <c r="F240" s="2">
        <f t="shared" si="3"/>
        <v>24785695.219999999</v>
      </c>
    </row>
    <row r="241" spans="1:6" x14ac:dyDescent="0.25">
      <c r="A241">
        <v>47373</v>
      </c>
      <c r="B241" t="s">
        <v>264</v>
      </c>
      <c r="C241" t="s">
        <v>245</v>
      </c>
      <c r="D241" s="2">
        <v>23833819.82</v>
      </c>
      <c r="E241" s="2">
        <v>0</v>
      </c>
      <c r="F241" s="2">
        <f t="shared" si="3"/>
        <v>23833819.82</v>
      </c>
    </row>
    <row r="242" spans="1:6" x14ac:dyDescent="0.25">
      <c r="A242">
        <v>47381</v>
      </c>
      <c r="B242" t="s">
        <v>265</v>
      </c>
      <c r="C242" t="s">
        <v>245</v>
      </c>
      <c r="D242" s="2">
        <v>12898804.85</v>
      </c>
      <c r="E242" s="2">
        <v>0</v>
      </c>
      <c r="F242" s="2">
        <f t="shared" si="3"/>
        <v>12898804.85</v>
      </c>
    </row>
    <row r="243" spans="1:6" x14ac:dyDescent="0.25">
      <c r="A243">
        <v>47399</v>
      </c>
      <c r="B243" t="s">
        <v>266</v>
      </c>
      <c r="C243" t="s">
        <v>245</v>
      </c>
      <c r="D243" s="2">
        <v>3381780.23</v>
      </c>
      <c r="E243" s="2">
        <v>0</v>
      </c>
      <c r="F243" s="2">
        <f t="shared" si="3"/>
        <v>3381780.23</v>
      </c>
    </row>
    <row r="244" spans="1:6" x14ac:dyDescent="0.25">
      <c r="A244">
        <v>43984</v>
      </c>
      <c r="B244" t="s">
        <v>267</v>
      </c>
      <c r="C244" t="s">
        <v>268</v>
      </c>
      <c r="D244" s="2">
        <v>16785744.550000001</v>
      </c>
      <c r="E244" s="2">
        <v>0</v>
      </c>
      <c r="F244" s="2">
        <f t="shared" si="3"/>
        <v>16785744.550000001</v>
      </c>
    </row>
    <row r="245" spans="1:6" x14ac:dyDescent="0.25">
      <c r="A245">
        <v>47415</v>
      </c>
      <c r="B245" t="s">
        <v>269</v>
      </c>
      <c r="C245" t="s">
        <v>268</v>
      </c>
      <c r="D245" s="2">
        <v>2061914.07</v>
      </c>
      <c r="E245" s="2">
        <v>146126.01</v>
      </c>
      <c r="F245" s="2">
        <f t="shared" si="3"/>
        <v>2208040.08</v>
      </c>
    </row>
    <row r="246" spans="1:6" x14ac:dyDescent="0.25">
      <c r="A246">
        <v>47423</v>
      </c>
      <c r="B246" t="s">
        <v>270</v>
      </c>
      <c r="C246" t="s">
        <v>268</v>
      </c>
      <c r="D246" s="2">
        <v>2749318.19</v>
      </c>
      <c r="E246" s="2">
        <v>214418.36</v>
      </c>
      <c r="F246" s="2">
        <f t="shared" si="3"/>
        <v>2963736.55</v>
      </c>
    </row>
    <row r="247" spans="1:6" x14ac:dyDescent="0.25">
      <c r="A247">
        <v>47431</v>
      </c>
      <c r="B247" t="s">
        <v>271</v>
      </c>
      <c r="C247" t="s">
        <v>268</v>
      </c>
      <c r="D247" s="2">
        <v>2355497.37</v>
      </c>
      <c r="E247" s="2">
        <v>206839.74</v>
      </c>
      <c r="F247" s="2">
        <f t="shared" si="3"/>
        <v>2562337.1100000003</v>
      </c>
    </row>
    <row r="248" spans="1:6" x14ac:dyDescent="0.25">
      <c r="A248">
        <v>47449</v>
      </c>
      <c r="B248" t="s">
        <v>272</v>
      </c>
      <c r="C248" t="s">
        <v>268</v>
      </c>
      <c r="D248" s="2">
        <v>4907805.9800000004</v>
      </c>
      <c r="E248" s="2">
        <v>331488.57</v>
      </c>
      <c r="F248" s="2">
        <f t="shared" si="3"/>
        <v>5239294.5500000007</v>
      </c>
    </row>
    <row r="249" spans="1:6" x14ac:dyDescent="0.25">
      <c r="A249">
        <v>47456</v>
      </c>
      <c r="B249" t="s">
        <v>273</v>
      </c>
      <c r="C249" t="s">
        <v>268</v>
      </c>
      <c r="D249" s="2">
        <v>3335214.34</v>
      </c>
      <c r="E249" s="2">
        <v>277513.62</v>
      </c>
      <c r="F249" s="2">
        <f t="shared" si="3"/>
        <v>3612727.96</v>
      </c>
    </row>
    <row r="250" spans="1:6" x14ac:dyDescent="0.25">
      <c r="A250">
        <v>47464</v>
      </c>
      <c r="B250" t="s">
        <v>274</v>
      </c>
      <c r="C250" t="s">
        <v>268</v>
      </c>
      <c r="D250" s="2">
        <v>701027.31</v>
      </c>
      <c r="E250" s="2">
        <v>305725.42</v>
      </c>
      <c r="F250" s="2">
        <f t="shared" si="3"/>
        <v>1006752.73</v>
      </c>
    </row>
    <row r="251" spans="1:6" x14ac:dyDescent="0.25">
      <c r="A251">
        <v>47472</v>
      </c>
      <c r="B251" t="s">
        <v>275</v>
      </c>
      <c r="C251" t="s">
        <v>268</v>
      </c>
      <c r="D251" s="2">
        <v>1329064.42</v>
      </c>
      <c r="E251" s="2">
        <v>66427.77</v>
      </c>
      <c r="F251" s="2">
        <f t="shared" si="3"/>
        <v>1395492.19</v>
      </c>
    </row>
    <row r="252" spans="1:6" x14ac:dyDescent="0.25">
      <c r="A252">
        <v>44172</v>
      </c>
      <c r="B252" t="s">
        <v>276</v>
      </c>
      <c r="C252" t="s">
        <v>277</v>
      </c>
      <c r="D252" s="2">
        <v>7495043.0300000003</v>
      </c>
      <c r="E252" s="2">
        <v>552907.53</v>
      </c>
      <c r="F252" s="2">
        <f t="shared" si="3"/>
        <v>8047950.5600000005</v>
      </c>
    </row>
    <row r="253" spans="1:6" x14ac:dyDescent="0.25">
      <c r="A253">
        <v>45187</v>
      </c>
      <c r="B253" t="s">
        <v>278</v>
      </c>
      <c r="C253" t="s">
        <v>277</v>
      </c>
      <c r="D253" s="2">
        <v>4049726.74</v>
      </c>
      <c r="E253" s="2">
        <v>121519.91</v>
      </c>
      <c r="F253" s="2">
        <f t="shared" si="3"/>
        <v>4171246.6500000004</v>
      </c>
    </row>
    <row r="254" spans="1:6" x14ac:dyDescent="0.25">
      <c r="A254">
        <v>47498</v>
      </c>
      <c r="B254" t="s">
        <v>279</v>
      </c>
      <c r="C254" t="s">
        <v>277</v>
      </c>
      <c r="D254" s="2">
        <v>2322808.3199999998</v>
      </c>
      <c r="E254" s="2">
        <v>0</v>
      </c>
      <c r="F254" s="2">
        <f t="shared" si="3"/>
        <v>2322808.3199999998</v>
      </c>
    </row>
    <row r="255" spans="1:6" x14ac:dyDescent="0.25">
      <c r="A255">
        <v>47506</v>
      </c>
      <c r="B255" t="s">
        <v>280</v>
      </c>
      <c r="C255" t="s">
        <v>277</v>
      </c>
      <c r="D255" s="2">
        <v>2582069.63</v>
      </c>
      <c r="E255" s="2">
        <v>108516.06</v>
      </c>
      <c r="F255" s="2">
        <f t="shared" si="3"/>
        <v>2690585.69</v>
      </c>
    </row>
    <row r="256" spans="1:6" x14ac:dyDescent="0.25">
      <c r="A256">
        <v>47514</v>
      </c>
      <c r="B256" t="s">
        <v>281</v>
      </c>
      <c r="C256" t="s">
        <v>277</v>
      </c>
      <c r="D256" s="2">
        <v>5006777.4400000004</v>
      </c>
      <c r="E256" s="2">
        <v>147412.19</v>
      </c>
      <c r="F256" s="2">
        <f t="shared" si="3"/>
        <v>5154189.6300000008</v>
      </c>
    </row>
    <row r="257" spans="1:6" x14ac:dyDescent="0.25">
      <c r="A257">
        <v>47522</v>
      </c>
      <c r="B257" t="s">
        <v>282</v>
      </c>
      <c r="C257" t="s">
        <v>277</v>
      </c>
      <c r="D257" s="2">
        <v>3214342.46</v>
      </c>
      <c r="E257" s="2">
        <v>200000</v>
      </c>
      <c r="F257" s="2">
        <f t="shared" si="3"/>
        <v>3414342.46</v>
      </c>
    </row>
    <row r="258" spans="1:6" x14ac:dyDescent="0.25">
      <c r="A258">
        <v>45245</v>
      </c>
      <c r="B258" t="s">
        <v>283</v>
      </c>
      <c r="C258" t="s">
        <v>284</v>
      </c>
      <c r="D258" s="2">
        <v>8286853.8899999997</v>
      </c>
      <c r="E258" s="2">
        <v>0</v>
      </c>
      <c r="F258" s="2">
        <f t="shared" si="3"/>
        <v>8286853.8899999997</v>
      </c>
    </row>
    <row r="259" spans="1:6" x14ac:dyDescent="0.25">
      <c r="A259">
        <v>47548</v>
      </c>
      <c r="B259" t="s">
        <v>285</v>
      </c>
      <c r="C259" t="s">
        <v>284</v>
      </c>
      <c r="D259" s="2">
        <v>2148910.42</v>
      </c>
      <c r="E259" s="2">
        <v>185578.56</v>
      </c>
      <c r="F259" s="2">
        <f t="shared" si="3"/>
        <v>2334488.98</v>
      </c>
    </row>
    <row r="260" spans="1:6" x14ac:dyDescent="0.25">
      <c r="A260">
        <v>44438</v>
      </c>
      <c r="B260" t="s">
        <v>286</v>
      </c>
      <c r="C260" t="s">
        <v>287</v>
      </c>
      <c r="D260" s="2">
        <v>5224331.8</v>
      </c>
      <c r="E260" s="2">
        <v>1670964</v>
      </c>
      <c r="F260" s="2">
        <f t="shared" si="3"/>
        <v>6895295.7999999998</v>
      </c>
    </row>
    <row r="261" spans="1:6" x14ac:dyDescent="0.25">
      <c r="A261">
        <v>47571</v>
      </c>
      <c r="B261" t="s">
        <v>288</v>
      </c>
      <c r="C261" t="s">
        <v>287</v>
      </c>
      <c r="D261" s="2">
        <v>2183176.86</v>
      </c>
      <c r="E261" s="2">
        <v>384498</v>
      </c>
      <c r="F261" s="2">
        <f t="shared" si="3"/>
        <v>2567674.86</v>
      </c>
    </row>
    <row r="262" spans="1:6" x14ac:dyDescent="0.25">
      <c r="A262">
        <v>47589</v>
      </c>
      <c r="B262" t="s">
        <v>289</v>
      </c>
      <c r="C262" t="s">
        <v>287</v>
      </c>
      <c r="D262" s="2">
        <v>4411784.09</v>
      </c>
      <c r="E262" s="2">
        <v>1472014</v>
      </c>
      <c r="F262" s="2">
        <f t="shared" si="3"/>
        <v>5883798.0899999999</v>
      </c>
    </row>
    <row r="263" spans="1:6" x14ac:dyDescent="0.25">
      <c r="A263">
        <v>47597</v>
      </c>
      <c r="B263" t="s">
        <v>290</v>
      </c>
      <c r="C263" t="s">
        <v>287</v>
      </c>
      <c r="D263" s="2">
        <v>4447195.2300000004</v>
      </c>
      <c r="E263" s="2">
        <v>594432</v>
      </c>
      <c r="F263" s="2">
        <f t="shared" si="3"/>
        <v>5041627.2300000004</v>
      </c>
    </row>
    <row r="264" spans="1:6" x14ac:dyDescent="0.25">
      <c r="A264">
        <v>44123</v>
      </c>
      <c r="B264" t="s">
        <v>291</v>
      </c>
      <c r="C264" t="s">
        <v>292</v>
      </c>
      <c r="D264" s="2">
        <v>11910028.98</v>
      </c>
      <c r="E264" s="2">
        <v>204522.81</v>
      </c>
      <c r="F264" s="2">
        <f t="shared" si="3"/>
        <v>12114551.790000001</v>
      </c>
    </row>
    <row r="265" spans="1:6" x14ac:dyDescent="0.25">
      <c r="A265">
        <v>45401</v>
      </c>
      <c r="B265" t="s">
        <v>293</v>
      </c>
      <c r="C265" t="s">
        <v>292</v>
      </c>
      <c r="D265" s="2">
        <v>11814650.84</v>
      </c>
      <c r="E265" s="2">
        <v>138880.32000000001</v>
      </c>
      <c r="F265" s="2">
        <f t="shared" si="3"/>
        <v>11953531.16</v>
      </c>
    </row>
    <row r="266" spans="1:6" x14ac:dyDescent="0.25">
      <c r="A266">
        <v>47613</v>
      </c>
      <c r="B266" t="s">
        <v>294</v>
      </c>
      <c r="C266" t="s">
        <v>292</v>
      </c>
      <c r="D266" s="2">
        <v>4363908.53</v>
      </c>
      <c r="E266" s="2">
        <v>150986.21</v>
      </c>
      <c r="F266" s="2">
        <f t="shared" si="3"/>
        <v>4514894.74</v>
      </c>
    </row>
    <row r="267" spans="1:6" x14ac:dyDescent="0.25">
      <c r="A267">
        <v>47621</v>
      </c>
      <c r="B267" t="s">
        <v>295</v>
      </c>
      <c r="C267" t="s">
        <v>292</v>
      </c>
      <c r="D267" s="2">
        <v>4688813.95</v>
      </c>
      <c r="E267" s="2">
        <v>138215.85999999999</v>
      </c>
      <c r="F267" s="2">
        <f t="shared" si="3"/>
        <v>4827029.8100000005</v>
      </c>
    </row>
    <row r="268" spans="1:6" x14ac:dyDescent="0.25">
      <c r="A268">
        <v>47639</v>
      </c>
      <c r="B268" t="s">
        <v>296</v>
      </c>
      <c r="C268" t="s">
        <v>292</v>
      </c>
      <c r="D268" s="2">
        <v>7631525.1699999999</v>
      </c>
      <c r="E268" s="2">
        <v>206637.87</v>
      </c>
      <c r="F268" s="2">
        <f t="shared" si="3"/>
        <v>7838163.04</v>
      </c>
    </row>
    <row r="269" spans="1:6" x14ac:dyDescent="0.25">
      <c r="A269">
        <v>44248</v>
      </c>
      <c r="B269" t="s">
        <v>297</v>
      </c>
      <c r="C269" t="s">
        <v>298</v>
      </c>
      <c r="D269" s="2">
        <v>20193035.23</v>
      </c>
      <c r="E269" s="2">
        <v>329314.21000000002</v>
      </c>
      <c r="F269" s="2">
        <f t="shared" si="3"/>
        <v>20522349.440000001</v>
      </c>
    </row>
    <row r="270" spans="1:6" x14ac:dyDescent="0.25">
      <c r="A270">
        <v>47688</v>
      </c>
      <c r="B270" t="s">
        <v>299</v>
      </c>
      <c r="C270" t="s">
        <v>300</v>
      </c>
      <c r="D270" s="2">
        <v>4634836.76</v>
      </c>
      <c r="E270" s="2">
        <v>0</v>
      </c>
      <c r="F270" s="2">
        <f t="shared" si="3"/>
        <v>4634836.76</v>
      </c>
    </row>
    <row r="271" spans="1:6" x14ac:dyDescent="0.25">
      <c r="A271">
        <v>47696</v>
      </c>
      <c r="B271" t="s">
        <v>301</v>
      </c>
      <c r="C271" t="s">
        <v>300</v>
      </c>
      <c r="D271" s="2">
        <v>10307235.1</v>
      </c>
      <c r="E271" s="2">
        <v>0</v>
      </c>
      <c r="F271" s="2">
        <f t="shared" ref="F271:F334" si="4">D271+E271</f>
        <v>10307235.1</v>
      </c>
    </row>
    <row r="272" spans="1:6" x14ac:dyDescent="0.25">
      <c r="A272">
        <v>43596</v>
      </c>
      <c r="B272" t="s">
        <v>302</v>
      </c>
      <c r="C272" t="s">
        <v>303</v>
      </c>
      <c r="D272" s="2">
        <v>8128127.0899999999</v>
      </c>
      <c r="E272" s="2">
        <v>398000</v>
      </c>
      <c r="F272" s="2">
        <f t="shared" si="4"/>
        <v>8526127.0899999999</v>
      </c>
    </row>
    <row r="273" spans="1:6" x14ac:dyDescent="0.25">
      <c r="A273">
        <v>44560</v>
      </c>
      <c r="B273" t="s">
        <v>304</v>
      </c>
      <c r="C273" t="s">
        <v>303</v>
      </c>
      <c r="D273" s="2">
        <v>11469292.51</v>
      </c>
      <c r="E273" s="2">
        <v>360000</v>
      </c>
      <c r="F273" s="2">
        <f t="shared" si="4"/>
        <v>11829292.51</v>
      </c>
    </row>
    <row r="274" spans="1:6" x14ac:dyDescent="0.25">
      <c r="A274">
        <v>45096</v>
      </c>
      <c r="B274" t="s">
        <v>305</v>
      </c>
      <c r="C274" t="s">
        <v>303</v>
      </c>
      <c r="D274" s="2">
        <v>7848391.6299999999</v>
      </c>
      <c r="E274" s="2">
        <v>360000</v>
      </c>
      <c r="F274" s="2">
        <f t="shared" si="4"/>
        <v>8208391.6299999999</v>
      </c>
    </row>
    <row r="275" spans="1:6" x14ac:dyDescent="0.25">
      <c r="A275">
        <v>47712</v>
      </c>
      <c r="B275" t="s">
        <v>306</v>
      </c>
      <c r="C275" t="s">
        <v>303</v>
      </c>
      <c r="D275" s="2">
        <v>1999044.78</v>
      </c>
      <c r="E275" s="2">
        <v>56299.94</v>
      </c>
      <c r="F275" s="2">
        <f t="shared" si="4"/>
        <v>2055344.72</v>
      </c>
    </row>
    <row r="276" spans="1:6" x14ac:dyDescent="0.25">
      <c r="A276">
        <v>47720</v>
      </c>
      <c r="B276" t="s">
        <v>307</v>
      </c>
      <c r="C276" t="s">
        <v>303</v>
      </c>
      <c r="D276" s="2">
        <v>5266544.63</v>
      </c>
      <c r="E276" s="2">
        <v>200000</v>
      </c>
      <c r="F276" s="2">
        <f t="shared" si="4"/>
        <v>5466544.6299999999</v>
      </c>
    </row>
    <row r="277" spans="1:6" x14ac:dyDescent="0.25">
      <c r="A277">
        <v>47738</v>
      </c>
      <c r="B277" t="s">
        <v>308</v>
      </c>
      <c r="C277" t="s">
        <v>303</v>
      </c>
      <c r="D277" s="2">
        <v>4261339.6500000004</v>
      </c>
      <c r="E277" s="2">
        <v>379000</v>
      </c>
      <c r="F277" s="2">
        <f t="shared" si="4"/>
        <v>4640339.6500000004</v>
      </c>
    </row>
    <row r="278" spans="1:6" x14ac:dyDescent="0.25">
      <c r="A278">
        <v>47746</v>
      </c>
      <c r="B278" t="s">
        <v>309</v>
      </c>
      <c r="C278" t="s">
        <v>303</v>
      </c>
      <c r="D278" s="2">
        <v>5746325.6799999997</v>
      </c>
      <c r="E278" s="2">
        <v>424000</v>
      </c>
      <c r="F278" s="2">
        <f t="shared" si="4"/>
        <v>6170325.6799999997</v>
      </c>
    </row>
    <row r="279" spans="1:6" x14ac:dyDescent="0.25">
      <c r="A279">
        <v>44156</v>
      </c>
      <c r="B279" t="s">
        <v>310</v>
      </c>
      <c r="C279" t="s">
        <v>311</v>
      </c>
      <c r="D279" s="2">
        <v>13511349.720000001</v>
      </c>
      <c r="E279" s="2">
        <v>0</v>
      </c>
      <c r="F279" s="2">
        <f t="shared" si="4"/>
        <v>13511349.720000001</v>
      </c>
    </row>
    <row r="280" spans="1:6" x14ac:dyDescent="0.25">
      <c r="A280">
        <v>45021</v>
      </c>
      <c r="B280" t="s">
        <v>312</v>
      </c>
      <c r="C280" t="s">
        <v>311</v>
      </c>
      <c r="D280" s="2">
        <v>9970341.8300000001</v>
      </c>
      <c r="E280" s="2">
        <v>0</v>
      </c>
      <c r="F280" s="2">
        <f t="shared" si="4"/>
        <v>9970341.8300000001</v>
      </c>
    </row>
    <row r="281" spans="1:6" x14ac:dyDescent="0.25">
      <c r="A281">
        <v>47761</v>
      </c>
      <c r="B281" t="s">
        <v>313</v>
      </c>
      <c r="C281" t="s">
        <v>311</v>
      </c>
      <c r="D281" s="2">
        <v>7936963.8600000003</v>
      </c>
      <c r="E281" s="2">
        <v>0</v>
      </c>
      <c r="F281" s="2">
        <f t="shared" si="4"/>
        <v>7936963.8600000003</v>
      </c>
    </row>
    <row r="282" spans="1:6" x14ac:dyDescent="0.25">
      <c r="A282">
        <v>44826</v>
      </c>
      <c r="B282" t="s">
        <v>314</v>
      </c>
      <c r="C282" t="s">
        <v>315</v>
      </c>
      <c r="D282" s="2">
        <v>13186980.35</v>
      </c>
      <c r="E282" s="2">
        <v>0</v>
      </c>
      <c r="F282" s="2">
        <f t="shared" si="4"/>
        <v>13186980.35</v>
      </c>
    </row>
    <row r="283" spans="1:6" x14ac:dyDescent="0.25">
      <c r="A283">
        <v>44917</v>
      </c>
      <c r="B283" t="s">
        <v>316</v>
      </c>
      <c r="C283" t="s">
        <v>315</v>
      </c>
      <c r="D283" s="2">
        <v>3491791.09</v>
      </c>
      <c r="E283" s="2">
        <v>0</v>
      </c>
      <c r="F283" s="2">
        <f t="shared" si="4"/>
        <v>3491791.09</v>
      </c>
    </row>
    <row r="284" spans="1:6" x14ac:dyDescent="0.25">
      <c r="A284">
        <v>47787</v>
      </c>
      <c r="B284" t="s">
        <v>29</v>
      </c>
      <c r="C284" t="s">
        <v>315</v>
      </c>
      <c r="D284" s="2">
        <v>8962580.7300000004</v>
      </c>
      <c r="E284" s="2">
        <v>143438.32999999999</v>
      </c>
      <c r="F284" s="2">
        <f t="shared" si="4"/>
        <v>9106019.0600000005</v>
      </c>
    </row>
    <row r="285" spans="1:6" x14ac:dyDescent="0.25">
      <c r="A285">
        <v>47795</v>
      </c>
      <c r="B285" t="s">
        <v>317</v>
      </c>
      <c r="C285" t="s">
        <v>315</v>
      </c>
      <c r="D285" s="2">
        <v>6689472.9900000002</v>
      </c>
      <c r="E285" s="2">
        <v>118735.34</v>
      </c>
      <c r="F285" s="2">
        <f t="shared" si="4"/>
        <v>6808208.3300000001</v>
      </c>
    </row>
    <row r="286" spans="1:6" x14ac:dyDescent="0.25">
      <c r="A286">
        <v>47803</v>
      </c>
      <c r="B286" t="s">
        <v>318</v>
      </c>
      <c r="C286" t="s">
        <v>315</v>
      </c>
      <c r="D286" s="2">
        <v>7337608.2300000004</v>
      </c>
      <c r="E286" s="2">
        <v>196589.33</v>
      </c>
      <c r="F286" s="2">
        <f t="shared" si="4"/>
        <v>7534197.5600000005</v>
      </c>
    </row>
    <row r="287" spans="1:6" x14ac:dyDescent="0.25">
      <c r="A287">
        <v>44420</v>
      </c>
      <c r="B287" t="s">
        <v>319</v>
      </c>
      <c r="C287" t="s">
        <v>320</v>
      </c>
      <c r="D287" s="2">
        <v>10850659.359999999</v>
      </c>
      <c r="E287" s="2">
        <v>1505974.53</v>
      </c>
      <c r="F287" s="2">
        <f t="shared" si="4"/>
        <v>12356633.889999999</v>
      </c>
    </row>
    <row r="288" spans="1:6" x14ac:dyDescent="0.25">
      <c r="A288">
        <v>47829</v>
      </c>
      <c r="B288" t="s">
        <v>321</v>
      </c>
      <c r="C288" t="s">
        <v>320</v>
      </c>
      <c r="D288" s="2">
        <v>4419071.2699999996</v>
      </c>
      <c r="E288" s="2">
        <v>525308.30000000005</v>
      </c>
      <c r="F288" s="2">
        <f t="shared" si="4"/>
        <v>4944379.5699999994</v>
      </c>
    </row>
    <row r="289" spans="1:6" x14ac:dyDescent="0.25">
      <c r="A289">
        <v>47837</v>
      </c>
      <c r="B289" t="s">
        <v>322</v>
      </c>
      <c r="C289" t="s">
        <v>320</v>
      </c>
      <c r="D289" s="2">
        <v>3028017.26</v>
      </c>
      <c r="E289" s="2">
        <v>388814.95</v>
      </c>
      <c r="F289" s="2">
        <f t="shared" si="4"/>
        <v>3416832.21</v>
      </c>
    </row>
    <row r="290" spans="1:6" x14ac:dyDescent="0.25">
      <c r="A290">
        <v>47845</v>
      </c>
      <c r="B290" t="s">
        <v>323</v>
      </c>
      <c r="C290" t="s">
        <v>320</v>
      </c>
      <c r="D290" s="2">
        <v>2427909.35</v>
      </c>
      <c r="E290" s="2">
        <v>545051.4</v>
      </c>
      <c r="F290" s="2">
        <f t="shared" si="4"/>
        <v>2972960.75</v>
      </c>
    </row>
    <row r="291" spans="1:6" x14ac:dyDescent="0.25">
      <c r="A291">
        <v>47852</v>
      </c>
      <c r="B291" t="s">
        <v>324</v>
      </c>
      <c r="C291" t="s">
        <v>320</v>
      </c>
      <c r="D291" s="2">
        <v>3899035.77</v>
      </c>
      <c r="E291" s="2">
        <v>405762.99</v>
      </c>
      <c r="F291" s="2">
        <f t="shared" si="4"/>
        <v>4304798.76</v>
      </c>
    </row>
    <row r="292" spans="1:6" x14ac:dyDescent="0.25">
      <c r="A292">
        <v>44628</v>
      </c>
      <c r="B292" t="s">
        <v>325</v>
      </c>
      <c r="C292" t="s">
        <v>326</v>
      </c>
      <c r="D292" s="2">
        <v>17829915.23</v>
      </c>
      <c r="E292" s="2">
        <v>0</v>
      </c>
      <c r="F292" s="2">
        <f t="shared" si="4"/>
        <v>17829915.23</v>
      </c>
    </row>
    <row r="293" spans="1:6" x14ac:dyDescent="0.25">
      <c r="A293">
        <v>45088</v>
      </c>
      <c r="B293" t="s">
        <v>327</v>
      </c>
      <c r="C293" t="s">
        <v>326</v>
      </c>
      <c r="D293" s="2">
        <v>1444494.27</v>
      </c>
      <c r="E293" s="2">
        <v>0</v>
      </c>
      <c r="F293" s="2">
        <f t="shared" si="4"/>
        <v>1444494.27</v>
      </c>
    </row>
    <row r="294" spans="1:6" x14ac:dyDescent="0.25">
      <c r="A294">
        <v>45104</v>
      </c>
      <c r="B294" t="s">
        <v>328</v>
      </c>
      <c r="C294" t="s">
        <v>326</v>
      </c>
      <c r="D294" s="2">
        <v>11644885.890000001</v>
      </c>
      <c r="E294" s="2">
        <v>0</v>
      </c>
      <c r="F294" s="2">
        <f t="shared" si="4"/>
        <v>11644885.890000001</v>
      </c>
    </row>
    <row r="295" spans="1:6" x14ac:dyDescent="0.25">
      <c r="A295">
        <v>45369</v>
      </c>
      <c r="B295" t="s">
        <v>329</v>
      </c>
      <c r="C295" t="s">
        <v>326</v>
      </c>
      <c r="D295" s="2">
        <v>1790734.91</v>
      </c>
      <c r="E295" s="2">
        <v>0</v>
      </c>
      <c r="F295" s="2">
        <f t="shared" si="4"/>
        <v>1790734.91</v>
      </c>
    </row>
    <row r="296" spans="1:6" x14ac:dyDescent="0.25">
      <c r="A296">
        <v>45492</v>
      </c>
      <c r="B296" t="s">
        <v>330</v>
      </c>
      <c r="C296" t="s">
        <v>326</v>
      </c>
      <c r="D296" s="2">
        <v>15331612.67</v>
      </c>
      <c r="E296" s="2">
        <v>0</v>
      </c>
      <c r="F296" s="2">
        <f t="shared" si="4"/>
        <v>15331612.67</v>
      </c>
    </row>
    <row r="297" spans="1:6" x14ac:dyDescent="0.25">
      <c r="A297">
        <v>47878</v>
      </c>
      <c r="B297" t="s">
        <v>331</v>
      </c>
      <c r="C297" t="s">
        <v>326</v>
      </c>
      <c r="D297" s="2">
        <v>928114.66</v>
      </c>
      <c r="E297" s="2">
        <v>0</v>
      </c>
      <c r="F297" s="2">
        <f t="shared" si="4"/>
        <v>928114.66</v>
      </c>
    </row>
    <row r="298" spans="1:6" x14ac:dyDescent="0.25">
      <c r="A298">
        <v>47886</v>
      </c>
      <c r="B298" t="s">
        <v>67</v>
      </c>
      <c r="C298" t="s">
        <v>326</v>
      </c>
      <c r="D298" s="2">
        <v>14435781.310000001</v>
      </c>
      <c r="E298" s="2">
        <v>0</v>
      </c>
      <c r="F298" s="2">
        <f t="shared" si="4"/>
        <v>14435781.310000001</v>
      </c>
    </row>
    <row r="299" spans="1:6" x14ac:dyDescent="0.25">
      <c r="A299">
        <v>47902</v>
      </c>
      <c r="B299" t="s">
        <v>17</v>
      </c>
      <c r="C299" t="s">
        <v>326</v>
      </c>
      <c r="D299" s="2">
        <v>692244</v>
      </c>
      <c r="E299" s="2">
        <v>0</v>
      </c>
      <c r="F299" s="2">
        <f t="shared" si="4"/>
        <v>692244</v>
      </c>
    </row>
    <row r="300" spans="1:6" x14ac:dyDescent="0.25">
      <c r="A300">
        <v>47894</v>
      </c>
      <c r="B300" t="s">
        <v>332</v>
      </c>
      <c r="C300" t="s">
        <v>326</v>
      </c>
      <c r="D300" s="2">
        <v>6063688.0300000003</v>
      </c>
      <c r="E300" s="2">
        <v>0</v>
      </c>
      <c r="F300" s="2">
        <f t="shared" si="4"/>
        <v>6063688.0300000003</v>
      </c>
    </row>
    <row r="301" spans="1:6" x14ac:dyDescent="0.25">
      <c r="A301">
        <v>44149</v>
      </c>
      <c r="B301" t="s">
        <v>333</v>
      </c>
      <c r="C301" t="s">
        <v>334</v>
      </c>
      <c r="D301" s="2">
        <v>8152967.9699999997</v>
      </c>
      <c r="E301" s="2">
        <v>47892.13</v>
      </c>
      <c r="F301" s="2">
        <f t="shared" si="4"/>
        <v>8200860.0999999996</v>
      </c>
    </row>
    <row r="302" spans="1:6" x14ac:dyDescent="0.25">
      <c r="A302">
        <v>45294</v>
      </c>
      <c r="B302" t="s">
        <v>335</v>
      </c>
      <c r="C302" t="s">
        <v>334</v>
      </c>
      <c r="D302" s="2">
        <v>8450280.4499999993</v>
      </c>
      <c r="E302" s="2">
        <v>0</v>
      </c>
      <c r="F302" s="2">
        <f t="shared" si="4"/>
        <v>8450280.4499999993</v>
      </c>
    </row>
    <row r="303" spans="1:6" x14ac:dyDescent="0.25">
      <c r="A303">
        <v>47928</v>
      </c>
      <c r="B303" t="s">
        <v>336</v>
      </c>
      <c r="C303" t="s">
        <v>334</v>
      </c>
      <c r="D303" s="2">
        <v>8531174.4600000009</v>
      </c>
      <c r="E303" s="2">
        <v>41281.57</v>
      </c>
      <c r="F303" s="2">
        <f t="shared" si="4"/>
        <v>8572456.0300000012</v>
      </c>
    </row>
    <row r="304" spans="1:6" x14ac:dyDescent="0.25">
      <c r="A304">
        <v>47936</v>
      </c>
      <c r="B304" t="s">
        <v>337</v>
      </c>
      <c r="C304" t="s">
        <v>334</v>
      </c>
      <c r="D304" s="2">
        <v>8856534.5999999996</v>
      </c>
      <c r="E304" s="2">
        <v>60011.49</v>
      </c>
      <c r="F304" s="2">
        <f t="shared" si="4"/>
        <v>8916546.0899999999</v>
      </c>
    </row>
    <row r="305" spans="1:6" x14ac:dyDescent="0.25">
      <c r="A305">
        <v>47944</v>
      </c>
      <c r="B305" t="s">
        <v>338</v>
      </c>
      <c r="C305" t="s">
        <v>334</v>
      </c>
      <c r="D305" s="2">
        <v>12462837.720000001</v>
      </c>
      <c r="E305" s="2">
        <v>60149.21</v>
      </c>
      <c r="F305" s="2">
        <f t="shared" si="4"/>
        <v>12522986.930000002</v>
      </c>
    </row>
    <row r="306" spans="1:6" x14ac:dyDescent="0.25">
      <c r="A306">
        <v>47951</v>
      </c>
      <c r="B306" t="s">
        <v>339</v>
      </c>
      <c r="C306" t="s">
        <v>334</v>
      </c>
      <c r="D306" s="2">
        <v>10428905.34</v>
      </c>
      <c r="E306" s="2">
        <v>68377.98</v>
      </c>
      <c r="F306" s="2">
        <f t="shared" si="4"/>
        <v>10497283.32</v>
      </c>
    </row>
    <row r="307" spans="1:6" x14ac:dyDescent="0.25">
      <c r="A307">
        <v>47969</v>
      </c>
      <c r="B307" t="s">
        <v>340</v>
      </c>
      <c r="C307" t="s">
        <v>334</v>
      </c>
      <c r="D307" s="2">
        <v>5905406.96</v>
      </c>
      <c r="E307" s="2">
        <v>28370.32</v>
      </c>
      <c r="F307" s="2">
        <f t="shared" si="4"/>
        <v>5933777.2800000003</v>
      </c>
    </row>
    <row r="308" spans="1:6" x14ac:dyDescent="0.25">
      <c r="A308">
        <v>44115</v>
      </c>
      <c r="B308" t="s">
        <v>341</v>
      </c>
      <c r="C308" t="s">
        <v>342</v>
      </c>
      <c r="D308" s="2">
        <v>3369112.56</v>
      </c>
      <c r="E308" s="2">
        <v>597503.87</v>
      </c>
      <c r="F308" s="2">
        <f t="shared" si="4"/>
        <v>3966616.43</v>
      </c>
    </row>
    <row r="309" spans="1:6" x14ac:dyDescent="0.25">
      <c r="A309">
        <v>44453</v>
      </c>
      <c r="B309" t="s">
        <v>343</v>
      </c>
      <c r="C309" t="s">
        <v>342</v>
      </c>
      <c r="D309" s="2">
        <v>20614769.629999999</v>
      </c>
      <c r="E309" s="2">
        <v>846002.28</v>
      </c>
      <c r="F309" s="2">
        <f t="shared" si="4"/>
        <v>21460771.91</v>
      </c>
    </row>
    <row r="310" spans="1:6" x14ac:dyDescent="0.25">
      <c r="A310">
        <v>45393</v>
      </c>
      <c r="B310" t="s">
        <v>344</v>
      </c>
      <c r="C310" t="s">
        <v>342</v>
      </c>
      <c r="D310" s="2">
        <v>4829219.47</v>
      </c>
      <c r="E310" s="2">
        <v>410428.61</v>
      </c>
      <c r="F310" s="2">
        <f t="shared" si="4"/>
        <v>5239648.08</v>
      </c>
    </row>
    <row r="311" spans="1:6" x14ac:dyDescent="0.25">
      <c r="A311">
        <v>47985</v>
      </c>
      <c r="B311" t="s">
        <v>345</v>
      </c>
      <c r="C311" t="s">
        <v>342</v>
      </c>
      <c r="D311" s="2">
        <v>3745777.37</v>
      </c>
      <c r="E311" s="2">
        <v>435175.04</v>
      </c>
      <c r="F311" s="2">
        <f t="shared" si="4"/>
        <v>4180952.41</v>
      </c>
    </row>
    <row r="312" spans="1:6" x14ac:dyDescent="0.25">
      <c r="A312">
        <v>47993</v>
      </c>
      <c r="B312" t="s">
        <v>346</v>
      </c>
      <c r="C312" t="s">
        <v>342</v>
      </c>
      <c r="D312" s="2">
        <v>3368586.26</v>
      </c>
      <c r="E312" s="2">
        <v>461241.64</v>
      </c>
      <c r="F312" s="2">
        <f t="shared" si="4"/>
        <v>3829827.9</v>
      </c>
    </row>
    <row r="313" spans="1:6" x14ac:dyDescent="0.25">
      <c r="A313">
        <v>48009</v>
      </c>
      <c r="B313" t="s">
        <v>347</v>
      </c>
      <c r="C313" t="s">
        <v>342</v>
      </c>
      <c r="D313" s="2">
        <v>4987546.5199999996</v>
      </c>
      <c r="E313" s="2">
        <v>1829727.68</v>
      </c>
      <c r="F313" s="2">
        <f t="shared" si="4"/>
        <v>6817274.1999999993</v>
      </c>
    </row>
    <row r="314" spans="1:6" x14ac:dyDescent="0.25">
      <c r="A314">
        <v>48017</v>
      </c>
      <c r="B314" t="s">
        <v>348</v>
      </c>
      <c r="C314" t="s">
        <v>342</v>
      </c>
      <c r="D314" s="2">
        <v>9024088.4700000007</v>
      </c>
      <c r="E314" s="2">
        <v>675748.44</v>
      </c>
      <c r="F314" s="2">
        <f t="shared" si="4"/>
        <v>9699836.9100000001</v>
      </c>
    </row>
    <row r="315" spans="1:6" x14ac:dyDescent="0.25">
      <c r="A315">
        <v>48025</v>
      </c>
      <c r="B315" t="s">
        <v>349</v>
      </c>
      <c r="C315" t="s">
        <v>342</v>
      </c>
      <c r="D315" s="2">
        <v>7223351.1399999997</v>
      </c>
      <c r="E315" s="2">
        <v>952679.94</v>
      </c>
      <c r="F315" s="2">
        <f t="shared" si="4"/>
        <v>8176031.0800000001</v>
      </c>
    </row>
    <row r="316" spans="1:6" x14ac:dyDescent="0.25">
      <c r="A316">
        <v>48033</v>
      </c>
      <c r="B316" t="s">
        <v>350</v>
      </c>
      <c r="C316" t="s">
        <v>342</v>
      </c>
      <c r="D316" s="2">
        <v>3947438.45</v>
      </c>
      <c r="E316" s="2">
        <v>609456.63</v>
      </c>
      <c r="F316" s="2">
        <f t="shared" si="4"/>
        <v>4556895.08</v>
      </c>
    </row>
    <row r="317" spans="1:6" x14ac:dyDescent="0.25">
      <c r="A317">
        <v>48041</v>
      </c>
      <c r="B317" t="s">
        <v>351</v>
      </c>
      <c r="C317" t="s">
        <v>342</v>
      </c>
      <c r="D317" s="2">
        <v>9508698.1199999992</v>
      </c>
      <c r="E317" s="2">
        <v>690108.18</v>
      </c>
      <c r="F317" s="2">
        <f t="shared" si="4"/>
        <v>10198806.299999999</v>
      </c>
    </row>
    <row r="318" spans="1:6" x14ac:dyDescent="0.25">
      <c r="A318">
        <v>43588</v>
      </c>
      <c r="B318" t="s">
        <v>352</v>
      </c>
      <c r="C318" t="s">
        <v>353</v>
      </c>
      <c r="D318" s="2">
        <v>11908032.970000001</v>
      </c>
      <c r="E318" s="2">
        <v>0</v>
      </c>
      <c r="F318" s="2">
        <f t="shared" si="4"/>
        <v>11908032.970000001</v>
      </c>
    </row>
    <row r="319" spans="1:6" x14ac:dyDescent="0.25">
      <c r="A319">
        <v>48074</v>
      </c>
      <c r="B319" t="s">
        <v>354</v>
      </c>
      <c r="C319" t="s">
        <v>353</v>
      </c>
      <c r="D319" s="2">
        <v>5361391.49</v>
      </c>
      <c r="E319" s="2">
        <v>36936</v>
      </c>
      <c r="F319" s="2">
        <f t="shared" si="4"/>
        <v>5398327.4900000002</v>
      </c>
    </row>
    <row r="320" spans="1:6" x14ac:dyDescent="0.25">
      <c r="A320">
        <v>48082</v>
      </c>
      <c r="B320" t="s">
        <v>355</v>
      </c>
      <c r="C320" t="s">
        <v>353</v>
      </c>
      <c r="D320" s="2">
        <v>4573909.0199999996</v>
      </c>
      <c r="E320" s="2">
        <v>205763</v>
      </c>
      <c r="F320" s="2">
        <f t="shared" si="4"/>
        <v>4779672.0199999996</v>
      </c>
    </row>
    <row r="321" spans="1:6" x14ac:dyDescent="0.25">
      <c r="A321">
        <v>48090</v>
      </c>
      <c r="B321" t="s">
        <v>332</v>
      </c>
      <c r="C321" t="s">
        <v>353</v>
      </c>
      <c r="D321" s="2">
        <v>3702985.38</v>
      </c>
      <c r="E321" s="2">
        <v>143608</v>
      </c>
      <c r="F321" s="2">
        <f t="shared" si="4"/>
        <v>3846593.38</v>
      </c>
    </row>
    <row r="322" spans="1:6" x14ac:dyDescent="0.25">
      <c r="A322">
        <v>48124</v>
      </c>
      <c r="B322" t="s">
        <v>356</v>
      </c>
      <c r="C322" t="s">
        <v>357</v>
      </c>
      <c r="D322" s="2">
        <v>1187763.02</v>
      </c>
      <c r="E322" s="2">
        <v>580482.78</v>
      </c>
      <c r="F322" s="2">
        <f t="shared" si="4"/>
        <v>1768245.8</v>
      </c>
    </row>
    <row r="323" spans="1:6" x14ac:dyDescent="0.25">
      <c r="A323">
        <v>43943</v>
      </c>
      <c r="B323" t="s">
        <v>358</v>
      </c>
      <c r="C323" t="s">
        <v>357</v>
      </c>
      <c r="D323" s="2">
        <v>27944395.82</v>
      </c>
      <c r="E323" s="2">
        <v>30409.97</v>
      </c>
      <c r="F323" s="2">
        <f t="shared" si="4"/>
        <v>27974805.789999999</v>
      </c>
    </row>
    <row r="324" spans="1:6" x14ac:dyDescent="0.25">
      <c r="A324">
        <v>44263</v>
      </c>
      <c r="B324" t="s">
        <v>359</v>
      </c>
      <c r="C324" t="s">
        <v>357</v>
      </c>
      <c r="D324" s="2">
        <v>48701796.07</v>
      </c>
      <c r="E324" s="2">
        <v>176925.1</v>
      </c>
      <c r="F324" s="2">
        <f t="shared" si="4"/>
        <v>48878721.170000002</v>
      </c>
    </row>
    <row r="325" spans="1:6" x14ac:dyDescent="0.25">
      <c r="A325">
        <v>44537</v>
      </c>
      <c r="B325" t="s">
        <v>360</v>
      </c>
      <c r="C325" t="s">
        <v>357</v>
      </c>
      <c r="D325" s="2">
        <v>7438731.1799999997</v>
      </c>
      <c r="E325" s="2">
        <v>0</v>
      </c>
      <c r="F325" s="2">
        <f t="shared" si="4"/>
        <v>7438731.1799999997</v>
      </c>
    </row>
    <row r="326" spans="1:6" x14ac:dyDescent="0.25">
      <c r="A326">
        <v>44594</v>
      </c>
      <c r="B326" t="s">
        <v>361</v>
      </c>
      <c r="C326" t="s">
        <v>357</v>
      </c>
      <c r="D326" s="2">
        <v>3258745.21</v>
      </c>
      <c r="E326" s="2">
        <v>0</v>
      </c>
      <c r="F326" s="2">
        <f t="shared" si="4"/>
        <v>3258745.21</v>
      </c>
    </row>
    <row r="327" spans="1:6" x14ac:dyDescent="0.25">
      <c r="A327">
        <v>44768</v>
      </c>
      <c r="B327" t="s">
        <v>362</v>
      </c>
      <c r="C327" t="s">
        <v>357</v>
      </c>
      <c r="D327" s="2">
        <v>5209169.29</v>
      </c>
      <c r="E327" s="2">
        <v>11675.37</v>
      </c>
      <c r="F327" s="2">
        <f t="shared" si="4"/>
        <v>5220844.66</v>
      </c>
    </row>
    <row r="328" spans="1:6" x14ac:dyDescent="0.25">
      <c r="A328">
        <v>45195</v>
      </c>
      <c r="B328" t="s">
        <v>363</v>
      </c>
      <c r="C328" t="s">
        <v>357</v>
      </c>
      <c r="D328" s="2">
        <v>14925604.17</v>
      </c>
      <c r="E328" s="2">
        <v>34291.47</v>
      </c>
      <c r="F328" s="2">
        <f t="shared" si="4"/>
        <v>14959895.640000001</v>
      </c>
    </row>
    <row r="329" spans="1:6" x14ac:dyDescent="0.25">
      <c r="A329">
        <v>45658</v>
      </c>
      <c r="B329" t="s">
        <v>364</v>
      </c>
      <c r="C329" t="s">
        <v>357</v>
      </c>
      <c r="D329" s="2">
        <v>5313259.71</v>
      </c>
      <c r="E329" s="2">
        <v>0</v>
      </c>
      <c r="F329" s="2">
        <f t="shared" si="4"/>
        <v>5313259.71</v>
      </c>
    </row>
    <row r="330" spans="1:6" x14ac:dyDescent="0.25">
      <c r="A330">
        <v>48116</v>
      </c>
      <c r="B330" t="s">
        <v>365</v>
      </c>
      <c r="C330" t="s">
        <v>357</v>
      </c>
      <c r="D330" s="2">
        <v>3194060.56</v>
      </c>
      <c r="E330" s="2">
        <v>0</v>
      </c>
      <c r="F330" s="2">
        <f t="shared" si="4"/>
        <v>3194060.56</v>
      </c>
    </row>
    <row r="331" spans="1:6" x14ac:dyDescent="0.25">
      <c r="A331">
        <v>48132</v>
      </c>
      <c r="B331" t="s">
        <v>366</v>
      </c>
      <c r="C331" t="s">
        <v>357</v>
      </c>
      <c r="D331" s="2">
        <v>9376850.3300000001</v>
      </c>
      <c r="E331" s="2">
        <v>0</v>
      </c>
      <c r="F331" s="2">
        <f t="shared" si="4"/>
        <v>9376850.3300000001</v>
      </c>
    </row>
    <row r="332" spans="1:6" x14ac:dyDescent="0.25">
      <c r="A332">
        <v>48140</v>
      </c>
      <c r="B332" t="s">
        <v>367</v>
      </c>
      <c r="C332" t="s">
        <v>357</v>
      </c>
      <c r="D332" s="2">
        <v>2580029.9</v>
      </c>
      <c r="E332" s="2">
        <v>0</v>
      </c>
      <c r="F332" s="2">
        <f t="shared" si="4"/>
        <v>2580029.9</v>
      </c>
    </row>
    <row r="333" spans="1:6" x14ac:dyDescent="0.25">
      <c r="A333">
        <v>48157</v>
      </c>
      <c r="B333" t="s">
        <v>368</v>
      </c>
      <c r="C333" t="s">
        <v>357</v>
      </c>
      <c r="D333" s="2">
        <v>6997965.3200000003</v>
      </c>
      <c r="E333" s="2">
        <v>0</v>
      </c>
      <c r="F333" s="2">
        <f t="shared" si="4"/>
        <v>6997965.3200000003</v>
      </c>
    </row>
    <row r="334" spans="1:6" x14ac:dyDescent="0.25">
      <c r="A334">
        <v>48165</v>
      </c>
      <c r="B334" t="s">
        <v>369</v>
      </c>
      <c r="C334" t="s">
        <v>357</v>
      </c>
      <c r="D334" s="2">
        <v>6487509.4299999997</v>
      </c>
      <c r="E334" s="2">
        <v>0</v>
      </c>
      <c r="F334" s="2">
        <f t="shared" si="4"/>
        <v>6487509.4299999997</v>
      </c>
    </row>
    <row r="335" spans="1:6" x14ac:dyDescent="0.25">
      <c r="A335">
        <v>48173</v>
      </c>
      <c r="B335" t="s">
        <v>370</v>
      </c>
      <c r="C335" t="s">
        <v>357</v>
      </c>
      <c r="D335" s="2">
        <v>11761701.26</v>
      </c>
      <c r="E335" s="2">
        <v>0</v>
      </c>
      <c r="F335" s="2">
        <f t="shared" ref="F335:F398" si="5">D335+E335</f>
        <v>11761701.26</v>
      </c>
    </row>
    <row r="336" spans="1:6" x14ac:dyDescent="0.25">
      <c r="A336">
        <v>44362</v>
      </c>
      <c r="B336" t="s">
        <v>371</v>
      </c>
      <c r="C336" t="s">
        <v>372</v>
      </c>
      <c r="D336" s="2">
        <v>3312195.92</v>
      </c>
      <c r="E336" s="2">
        <v>315590</v>
      </c>
      <c r="F336" s="2">
        <f t="shared" si="5"/>
        <v>3627785.92</v>
      </c>
    </row>
    <row r="337" spans="1:6" x14ac:dyDescent="0.25">
      <c r="A337">
        <v>44602</v>
      </c>
      <c r="B337" t="s">
        <v>373</v>
      </c>
      <c r="C337" t="s">
        <v>372</v>
      </c>
      <c r="D337" s="2">
        <v>8965144.9100000001</v>
      </c>
      <c r="E337" s="2">
        <v>207000</v>
      </c>
      <c r="F337" s="2">
        <f t="shared" si="5"/>
        <v>9172144.9100000001</v>
      </c>
    </row>
    <row r="338" spans="1:6" x14ac:dyDescent="0.25">
      <c r="A338">
        <v>44875</v>
      </c>
      <c r="B338" t="s">
        <v>374</v>
      </c>
      <c r="C338" t="s">
        <v>372</v>
      </c>
      <c r="D338" s="2">
        <v>11472259.43</v>
      </c>
      <c r="E338" s="2">
        <v>593250</v>
      </c>
      <c r="F338" s="2">
        <f t="shared" si="5"/>
        <v>12065509.43</v>
      </c>
    </row>
    <row r="339" spans="1:6" x14ac:dyDescent="0.25">
      <c r="A339">
        <v>44909</v>
      </c>
      <c r="B339" t="s">
        <v>375</v>
      </c>
      <c r="C339" t="s">
        <v>372</v>
      </c>
      <c r="D339" s="2">
        <v>133491213.95999999</v>
      </c>
      <c r="E339" s="2">
        <v>0</v>
      </c>
      <c r="F339" s="2">
        <f t="shared" si="5"/>
        <v>133491213.95999999</v>
      </c>
    </row>
    <row r="340" spans="1:6" x14ac:dyDescent="0.25">
      <c r="A340">
        <v>48207</v>
      </c>
      <c r="B340" t="s">
        <v>376</v>
      </c>
      <c r="C340" t="s">
        <v>372</v>
      </c>
      <c r="D340" s="2">
        <v>5187160.5599999996</v>
      </c>
      <c r="E340" s="2">
        <v>211370</v>
      </c>
      <c r="F340" s="2">
        <f t="shared" si="5"/>
        <v>5398530.5599999996</v>
      </c>
    </row>
    <row r="341" spans="1:6" x14ac:dyDescent="0.25">
      <c r="A341">
        <v>48215</v>
      </c>
      <c r="B341" t="s">
        <v>377</v>
      </c>
      <c r="C341" t="s">
        <v>372</v>
      </c>
      <c r="D341" s="2">
        <v>1542070.09</v>
      </c>
      <c r="E341" s="2">
        <v>0</v>
      </c>
      <c r="F341" s="2">
        <f t="shared" si="5"/>
        <v>1542070.09</v>
      </c>
    </row>
    <row r="342" spans="1:6" x14ac:dyDescent="0.25">
      <c r="A342">
        <v>48223</v>
      </c>
      <c r="B342" t="s">
        <v>378</v>
      </c>
      <c r="C342" t="s">
        <v>372</v>
      </c>
      <c r="D342" s="2">
        <v>3556062.22</v>
      </c>
      <c r="E342" s="2">
        <v>1411114</v>
      </c>
      <c r="F342" s="2">
        <f t="shared" si="5"/>
        <v>4967176.2200000007</v>
      </c>
    </row>
    <row r="343" spans="1:6" x14ac:dyDescent="0.25">
      <c r="A343">
        <v>48231</v>
      </c>
      <c r="B343" t="s">
        <v>379</v>
      </c>
      <c r="C343" t="s">
        <v>372</v>
      </c>
      <c r="D343" s="2">
        <v>15827516.24</v>
      </c>
      <c r="E343" s="2">
        <v>2191116</v>
      </c>
      <c r="F343" s="2">
        <f t="shared" si="5"/>
        <v>18018632.240000002</v>
      </c>
    </row>
    <row r="344" spans="1:6" x14ac:dyDescent="0.25">
      <c r="A344">
        <v>44255</v>
      </c>
      <c r="B344" t="s">
        <v>380</v>
      </c>
      <c r="C344" t="s">
        <v>381</v>
      </c>
      <c r="D344" s="2">
        <v>5980565.1200000001</v>
      </c>
      <c r="E344" s="2">
        <v>144368.82999999999</v>
      </c>
      <c r="F344" s="2">
        <f t="shared" si="5"/>
        <v>6124933.9500000002</v>
      </c>
    </row>
    <row r="345" spans="1:6" x14ac:dyDescent="0.25">
      <c r="A345">
        <v>48256</v>
      </c>
      <c r="B345" t="s">
        <v>382</v>
      </c>
      <c r="C345" t="s">
        <v>381</v>
      </c>
      <c r="D345" s="2">
        <v>3684622.58</v>
      </c>
      <c r="E345" s="2">
        <v>398792.38</v>
      </c>
      <c r="F345" s="2">
        <f t="shared" si="5"/>
        <v>4083414.96</v>
      </c>
    </row>
    <row r="346" spans="1:6" x14ac:dyDescent="0.25">
      <c r="A346">
        <v>48264</v>
      </c>
      <c r="B346" t="s">
        <v>383</v>
      </c>
      <c r="C346" t="s">
        <v>381</v>
      </c>
      <c r="D346" s="2">
        <v>6963459.7000000002</v>
      </c>
      <c r="E346" s="2">
        <v>63851.23</v>
      </c>
      <c r="F346" s="2">
        <f t="shared" si="5"/>
        <v>7027310.9300000006</v>
      </c>
    </row>
    <row r="347" spans="1:6" x14ac:dyDescent="0.25">
      <c r="A347">
        <v>48272</v>
      </c>
      <c r="B347" t="s">
        <v>384</v>
      </c>
      <c r="C347" t="s">
        <v>381</v>
      </c>
      <c r="D347" s="2">
        <v>4585296.0599999996</v>
      </c>
      <c r="E347" s="2">
        <v>45368.42</v>
      </c>
      <c r="F347" s="2">
        <f t="shared" si="5"/>
        <v>4630664.4799999995</v>
      </c>
    </row>
    <row r="348" spans="1:6" x14ac:dyDescent="0.25">
      <c r="A348">
        <v>43703</v>
      </c>
      <c r="B348" t="s">
        <v>385</v>
      </c>
      <c r="C348" t="s">
        <v>386</v>
      </c>
      <c r="D348" s="2">
        <v>8663898.8100000005</v>
      </c>
      <c r="E348" s="2">
        <v>380440</v>
      </c>
      <c r="F348" s="2">
        <f t="shared" si="5"/>
        <v>9044338.8100000005</v>
      </c>
    </row>
    <row r="349" spans="1:6" x14ac:dyDescent="0.25">
      <c r="A349">
        <v>44859</v>
      </c>
      <c r="B349" t="s">
        <v>387</v>
      </c>
      <c r="C349" t="s">
        <v>386</v>
      </c>
      <c r="D349" s="2">
        <v>10398656.32</v>
      </c>
      <c r="E349" s="2">
        <v>718185</v>
      </c>
      <c r="F349" s="2">
        <f t="shared" si="5"/>
        <v>11116841.32</v>
      </c>
    </row>
    <row r="350" spans="1:6" x14ac:dyDescent="0.25">
      <c r="A350">
        <v>45161</v>
      </c>
      <c r="B350" t="s">
        <v>388</v>
      </c>
      <c r="C350" t="s">
        <v>386</v>
      </c>
      <c r="D350" s="2">
        <v>49527429.039999999</v>
      </c>
      <c r="E350" s="2">
        <v>0</v>
      </c>
      <c r="F350" s="2">
        <f t="shared" si="5"/>
        <v>49527429.039999999</v>
      </c>
    </row>
    <row r="351" spans="1:6" x14ac:dyDescent="0.25">
      <c r="A351">
        <v>48298</v>
      </c>
      <c r="B351" t="s">
        <v>389</v>
      </c>
      <c r="C351" t="s">
        <v>386</v>
      </c>
      <c r="D351" s="2">
        <v>16663613.130000001</v>
      </c>
      <c r="E351" s="2">
        <v>2093213</v>
      </c>
      <c r="F351" s="2">
        <f t="shared" si="5"/>
        <v>18756826.130000003</v>
      </c>
    </row>
    <row r="352" spans="1:6" x14ac:dyDescent="0.25">
      <c r="A352">
        <v>48306</v>
      </c>
      <c r="B352" t="s">
        <v>390</v>
      </c>
      <c r="C352" t="s">
        <v>386</v>
      </c>
      <c r="D352" s="2">
        <v>4615306.25</v>
      </c>
      <c r="E352" s="2">
        <v>1025109</v>
      </c>
      <c r="F352" s="2">
        <f t="shared" si="5"/>
        <v>5640415.25</v>
      </c>
    </row>
    <row r="353" spans="1:6" x14ac:dyDescent="0.25">
      <c r="A353">
        <v>48314</v>
      </c>
      <c r="B353" t="s">
        <v>391</v>
      </c>
      <c r="C353" t="s">
        <v>386</v>
      </c>
      <c r="D353" s="2">
        <v>5495614.8499999996</v>
      </c>
      <c r="E353" s="2">
        <v>429488</v>
      </c>
      <c r="F353" s="2">
        <f t="shared" si="5"/>
        <v>5925102.8499999996</v>
      </c>
    </row>
    <row r="354" spans="1:6" x14ac:dyDescent="0.25">
      <c r="A354">
        <v>48322</v>
      </c>
      <c r="B354" t="s">
        <v>392</v>
      </c>
      <c r="C354" t="s">
        <v>386</v>
      </c>
      <c r="D354" s="2">
        <v>1312548.24</v>
      </c>
      <c r="E354" s="2">
        <v>624074</v>
      </c>
      <c r="F354" s="2">
        <f t="shared" si="5"/>
        <v>1936622.24</v>
      </c>
    </row>
    <row r="355" spans="1:6" x14ac:dyDescent="0.25">
      <c r="A355">
        <v>48330</v>
      </c>
      <c r="B355" t="s">
        <v>393</v>
      </c>
      <c r="C355" t="s">
        <v>386</v>
      </c>
      <c r="D355" s="2">
        <v>3364828.17</v>
      </c>
      <c r="E355" s="2">
        <v>194780</v>
      </c>
      <c r="F355" s="2">
        <f t="shared" si="5"/>
        <v>3559608.17</v>
      </c>
    </row>
    <row r="356" spans="1:6" x14ac:dyDescent="0.25">
      <c r="A356">
        <v>48348</v>
      </c>
      <c r="B356" t="s">
        <v>394</v>
      </c>
      <c r="C356" t="s">
        <v>386</v>
      </c>
      <c r="D356" s="2">
        <v>4521947.12</v>
      </c>
      <c r="E356" s="2">
        <v>861685</v>
      </c>
      <c r="F356" s="2">
        <f t="shared" si="5"/>
        <v>5383632.1200000001</v>
      </c>
    </row>
    <row r="357" spans="1:6" x14ac:dyDescent="0.25">
      <c r="A357">
        <v>48355</v>
      </c>
      <c r="B357" t="s">
        <v>395</v>
      </c>
      <c r="C357" t="s">
        <v>386</v>
      </c>
      <c r="D357" s="2">
        <v>3247100.26</v>
      </c>
      <c r="E357" s="2">
        <v>471578</v>
      </c>
      <c r="F357" s="2">
        <f t="shared" si="5"/>
        <v>3718678.26</v>
      </c>
    </row>
    <row r="358" spans="1:6" x14ac:dyDescent="0.25">
      <c r="A358">
        <v>48363</v>
      </c>
      <c r="B358" t="s">
        <v>396</v>
      </c>
      <c r="C358" t="s">
        <v>386</v>
      </c>
      <c r="D358" s="2">
        <v>4450104.0199999996</v>
      </c>
      <c r="E358" s="2">
        <v>352186</v>
      </c>
      <c r="F358" s="2">
        <f t="shared" si="5"/>
        <v>4802290.0199999996</v>
      </c>
    </row>
    <row r="359" spans="1:6" x14ac:dyDescent="0.25">
      <c r="A359">
        <v>48371</v>
      </c>
      <c r="B359" t="s">
        <v>378</v>
      </c>
      <c r="C359" t="s">
        <v>386</v>
      </c>
      <c r="D359" s="2">
        <v>3791896.14</v>
      </c>
      <c r="E359" s="2">
        <v>572272</v>
      </c>
      <c r="F359" s="2">
        <f t="shared" si="5"/>
        <v>4364168.1400000006</v>
      </c>
    </row>
    <row r="360" spans="1:6" x14ac:dyDescent="0.25">
      <c r="A360">
        <v>48389</v>
      </c>
      <c r="B360" t="s">
        <v>397</v>
      </c>
      <c r="C360" t="s">
        <v>386</v>
      </c>
      <c r="D360" s="2">
        <v>11485195.33</v>
      </c>
      <c r="E360" s="2">
        <v>1048964</v>
      </c>
      <c r="F360" s="2">
        <f t="shared" si="5"/>
        <v>12534159.33</v>
      </c>
    </row>
    <row r="361" spans="1:6" x14ac:dyDescent="0.25">
      <c r="A361">
        <v>48397</v>
      </c>
      <c r="B361" t="s">
        <v>309</v>
      </c>
      <c r="C361" t="s">
        <v>386</v>
      </c>
      <c r="D361" s="2">
        <v>2392719.5299999998</v>
      </c>
      <c r="E361" s="2">
        <v>474957</v>
      </c>
      <c r="F361" s="2">
        <f t="shared" si="5"/>
        <v>2867676.53</v>
      </c>
    </row>
    <row r="362" spans="1:6" x14ac:dyDescent="0.25">
      <c r="A362">
        <v>44339</v>
      </c>
      <c r="B362" t="s">
        <v>398</v>
      </c>
      <c r="C362" t="s">
        <v>399</v>
      </c>
      <c r="D362" s="2">
        <v>26403521.559999999</v>
      </c>
      <c r="E362" s="2">
        <v>320573.45</v>
      </c>
      <c r="F362" s="2">
        <f t="shared" si="5"/>
        <v>26724095.009999998</v>
      </c>
    </row>
    <row r="363" spans="1:6" x14ac:dyDescent="0.25">
      <c r="A363">
        <v>48413</v>
      </c>
      <c r="B363" t="s">
        <v>400</v>
      </c>
      <c r="C363" t="s">
        <v>399</v>
      </c>
      <c r="D363" s="2">
        <v>6039420</v>
      </c>
      <c r="E363" s="2">
        <v>406764.5</v>
      </c>
      <c r="F363" s="2">
        <f t="shared" si="5"/>
        <v>6446184.5</v>
      </c>
    </row>
    <row r="364" spans="1:6" x14ac:dyDescent="0.25">
      <c r="A364">
        <v>48421</v>
      </c>
      <c r="B364" t="s">
        <v>401</v>
      </c>
      <c r="C364" t="s">
        <v>399</v>
      </c>
      <c r="D364" s="2">
        <v>4009520.25</v>
      </c>
      <c r="E364" s="2">
        <v>0</v>
      </c>
      <c r="F364" s="2">
        <f t="shared" si="5"/>
        <v>4009520.25</v>
      </c>
    </row>
    <row r="365" spans="1:6" x14ac:dyDescent="0.25">
      <c r="A365">
        <v>48439</v>
      </c>
      <c r="B365" t="s">
        <v>402</v>
      </c>
      <c r="C365" t="s">
        <v>399</v>
      </c>
      <c r="D365" s="2">
        <v>3133841.06</v>
      </c>
      <c r="E365" s="2">
        <v>182342.32</v>
      </c>
      <c r="F365" s="2">
        <f t="shared" si="5"/>
        <v>3316183.38</v>
      </c>
    </row>
    <row r="366" spans="1:6" x14ac:dyDescent="0.25">
      <c r="A366">
        <v>48447</v>
      </c>
      <c r="B366" t="s">
        <v>403</v>
      </c>
      <c r="C366" t="s">
        <v>399</v>
      </c>
      <c r="D366" s="2">
        <v>6233623.5899999999</v>
      </c>
      <c r="E366" s="2">
        <v>353549.29</v>
      </c>
      <c r="F366" s="2">
        <f t="shared" si="5"/>
        <v>6587172.8799999999</v>
      </c>
    </row>
    <row r="367" spans="1:6" x14ac:dyDescent="0.25">
      <c r="A367">
        <v>43661</v>
      </c>
      <c r="B367" t="s">
        <v>404</v>
      </c>
      <c r="C367" t="s">
        <v>405</v>
      </c>
      <c r="D367" s="2">
        <v>20820589.170000002</v>
      </c>
      <c r="E367" s="2">
        <v>0</v>
      </c>
      <c r="F367" s="2">
        <f t="shared" si="5"/>
        <v>20820589.170000002</v>
      </c>
    </row>
    <row r="368" spans="1:6" x14ac:dyDescent="0.25">
      <c r="A368">
        <v>44388</v>
      </c>
      <c r="B368" t="s">
        <v>406</v>
      </c>
      <c r="C368" t="s">
        <v>405</v>
      </c>
      <c r="D368" s="2">
        <v>15158664.92</v>
      </c>
      <c r="E368" s="2">
        <v>0</v>
      </c>
      <c r="F368" s="2">
        <f t="shared" si="5"/>
        <v>15158664.92</v>
      </c>
    </row>
    <row r="369" spans="1:6" x14ac:dyDescent="0.25">
      <c r="A369">
        <v>44974</v>
      </c>
      <c r="B369" t="s">
        <v>407</v>
      </c>
      <c r="C369" t="s">
        <v>405</v>
      </c>
      <c r="D369" s="2">
        <v>14513532.310000001</v>
      </c>
      <c r="E369" s="2">
        <v>0</v>
      </c>
      <c r="F369" s="2">
        <f t="shared" si="5"/>
        <v>14513532.310000001</v>
      </c>
    </row>
    <row r="370" spans="1:6" x14ac:dyDescent="0.25">
      <c r="A370">
        <v>48462</v>
      </c>
      <c r="B370" t="s">
        <v>408</v>
      </c>
      <c r="C370" t="s">
        <v>405</v>
      </c>
      <c r="D370" s="2">
        <v>6754809.5300000003</v>
      </c>
      <c r="E370" s="2">
        <v>0</v>
      </c>
      <c r="F370" s="2">
        <f t="shared" si="5"/>
        <v>6754809.5300000003</v>
      </c>
    </row>
    <row r="371" spans="1:6" x14ac:dyDescent="0.25">
      <c r="A371">
        <v>48470</v>
      </c>
      <c r="B371" t="s">
        <v>29</v>
      </c>
      <c r="C371" t="s">
        <v>405</v>
      </c>
      <c r="D371" s="2">
        <v>4301081.9400000004</v>
      </c>
      <c r="E371" s="2">
        <v>0</v>
      </c>
      <c r="F371" s="2">
        <f t="shared" si="5"/>
        <v>4301081.9400000004</v>
      </c>
    </row>
    <row r="372" spans="1:6" x14ac:dyDescent="0.25">
      <c r="A372">
        <v>48488</v>
      </c>
      <c r="B372" t="s">
        <v>409</v>
      </c>
      <c r="C372" t="s">
        <v>405</v>
      </c>
      <c r="D372" s="2">
        <v>8942157.3000000007</v>
      </c>
      <c r="E372" s="2">
        <v>0</v>
      </c>
      <c r="F372" s="2">
        <f t="shared" si="5"/>
        <v>8942157.3000000007</v>
      </c>
    </row>
    <row r="373" spans="1:6" x14ac:dyDescent="0.25">
      <c r="A373">
        <v>48496</v>
      </c>
      <c r="B373" t="s">
        <v>410</v>
      </c>
      <c r="C373" t="s">
        <v>405</v>
      </c>
      <c r="D373" s="2">
        <v>4097282.14</v>
      </c>
      <c r="E373" s="2">
        <v>0</v>
      </c>
      <c r="F373" s="2">
        <f t="shared" si="5"/>
        <v>4097282.14</v>
      </c>
    </row>
    <row r="374" spans="1:6" x14ac:dyDescent="0.25">
      <c r="A374">
        <v>48512</v>
      </c>
      <c r="B374" t="s">
        <v>56</v>
      </c>
      <c r="C374" t="s">
        <v>411</v>
      </c>
      <c r="D374" s="2">
        <v>5378768.5199999996</v>
      </c>
      <c r="E374" s="2">
        <v>0</v>
      </c>
      <c r="F374" s="2">
        <f t="shared" si="5"/>
        <v>5378768.5199999996</v>
      </c>
    </row>
    <row r="375" spans="1:6" x14ac:dyDescent="0.25">
      <c r="A375">
        <v>48520</v>
      </c>
      <c r="B375" t="s">
        <v>412</v>
      </c>
      <c r="C375" t="s">
        <v>411</v>
      </c>
      <c r="D375" s="2">
        <v>12847570.300000001</v>
      </c>
      <c r="E375" s="2">
        <v>932520.15</v>
      </c>
      <c r="F375" s="2">
        <f t="shared" si="5"/>
        <v>13780090.450000001</v>
      </c>
    </row>
    <row r="376" spans="1:6" x14ac:dyDescent="0.25">
      <c r="A376">
        <v>48538</v>
      </c>
      <c r="B376" t="s">
        <v>112</v>
      </c>
      <c r="C376" t="s">
        <v>411</v>
      </c>
      <c r="D376" s="2">
        <v>4014818.65</v>
      </c>
      <c r="E376" s="2">
        <v>0</v>
      </c>
      <c r="F376" s="2">
        <f t="shared" si="5"/>
        <v>4014818.65</v>
      </c>
    </row>
    <row r="377" spans="1:6" x14ac:dyDescent="0.25">
      <c r="A377">
        <v>43729</v>
      </c>
      <c r="B377" t="s">
        <v>413</v>
      </c>
      <c r="C377" t="s">
        <v>414</v>
      </c>
      <c r="D377" s="2">
        <v>8962197.4900000002</v>
      </c>
      <c r="E377" s="2">
        <v>437590</v>
      </c>
      <c r="F377" s="2">
        <f t="shared" si="5"/>
        <v>9399787.4900000002</v>
      </c>
    </row>
    <row r="378" spans="1:6" x14ac:dyDescent="0.25">
      <c r="A378">
        <v>45310</v>
      </c>
      <c r="B378" t="s">
        <v>415</v>
      </c>
      <c r="C378" t="s">
        <v>414</v>
      </c>
      <c r="D378" s="2">
        <v>6958112.96</v>
      </c>
      <c r="E378" s="2">
        <v>518471</v>
      </c>
      <c r="F378" s="2">
        <f t="shared" si="5"/>
        <v>7476583.96</v>
      </c>
    </row>
    <row r="379" spans="1:6" x14ac:dyDescent="0.25">
      <c r="A379">
        <v>48595</v>
      </c>
      <c r="B379" t="s">
        <v>416</v>
      </c>
      <c r="C379" t="s">
        <v>414</v>
      </c>
      <c r="D379" s="2">
        <v>4185209.17</v>
      </c>
      <c r="E379" s="2">
        <v>456607</v>
      </c>
      <c r="F379" s="2">
        <f t="shared" si="5"/>
        <v>4641816.17</v>
      </c>
    </row>
    <row r="380" spans="1:6" x14ac:dyDescent="0.25">
      <c r="A380">
        <v>48553</v>
      </c>
      <c r="B380" t="s">
        <v>417</v>
      </c>
      <c r="C380" t="s">
        <v>414</v>
      </c>
      <c r="D380" s="2">
        <v>4232923.6500000004</v>
      </c>
      <c r="E380" s="2">
        <v>278479</v>
      </c>
      <c r="F380" s="2">
        <f t="shared" si="5"/>
        <v>4511402.6500000004</v>
      </c>
    </row>
    <row r="381" spans="1:6" x14ac:dyDescent="0.25">
      <c r="A381">
        <v>48579</v>
      </c>
      <c r="B381" t="s">
        <v>418</v>
      </c>
      <c r="C381" t="s">
        <v>414</v>
      </c>
      <c r="D381" s="2">
        <v>4891865.13</v>
      </c>
      <c r="E381" s="2">
        <v>792750</v>
      </c>
      <c r="F381" s="2">
        <f t="shared" si="5"/>
        <v>5684615.1299999999</v>
      </c>
    </row>
    <row r="382" spans="1:6" x14ac:dyDescent="0.25">
      <c r="A382">
        <v>48587</v>
      </c>
      <c r="B382" t="s">
        <v>419</v>
      </c>
      <c r="C382" t="s">
        <v>414</v>
      </c>
      <c r="D382" s="2">
        <v>5042150.33</v>
      </c>
      <c r="E382" s="2">
        <v>263372</v>
      </c>
      <c r="F382" s="2">
        <f t="shared" si="5"/>
        <v>5305522.33</v>
      </c>
    </row>
    <row r="383" spans="1:6" x14ac:dyDescent="0.25">
      <c r="A383">
        <v>44644</v>
      </c>
      <c r="B383" t="s">
        <v>420</v>
      </c>
      <c r="C383" t="s">
        <v>421</v>
      </c>
      <c r="D383" s="2">
        <v>9460294.8300000001</v>
      </c>
      <c r="E383" s="2">
        <v>2468366.34</v>
      </c>
      <c r="F383" s="2">
        <f t="shared" si="5"/>
        <v>11928661.17</v>
      </c>
    </row>
    <row r="384" spans="1:6" x14ac:dyDescent="0.25">
      <c r="A384">
        <v>44925</v>
      </c>
      <c r="B384" t="s">
        <v>422</v>
      </c>
      <c r="C384" t="s">
        <v>421</v>
      </c>
      <c r="D384" s="2">
        <v>7724646.1100000003</v>
      </c>
      <c r="E384" s="2">
        <v>2459968.11</v>
      </c>
      <c r="F384" s="2">
        <f t="shared" si="5"/>
        <v>10184614.220000001</v>
      </c>
    </row>
    <row r="385" spans="1:6" x14ac:dyDescent="0.25">
      <c r="A385">
        <v>45229</v>
      </c>
      <c r="B385" t="s">
        <v>423</v>
      </c>
      <c r="C385" t="s">
        <v>421</v>
      </c>
      <c r="D385" s="2">
        <v>3160833.1</v>
      </c>
      <c r="E385" s="2">
        <v>0</v>
      </c>
      <c r="F385" s="2">
        <f t="shared" si="5"/>
        <v>3160833.1</v>
      </c>
    </row>
    <row r="386" spans="1:6" x14ac:dyDescent="0.25">
      <c r="A386">
        <v>45336</v>
      </c>
      <c r="B386" t="s">
        <v>424</v>
      </c>
      <c r="C386" t="s">
        <v>421</v>
      </c>
      <c r="D386" s="2">
        <v>2924065.82</v>
      </c>
      <c r="E386" s="2">
        <v>402113.46</v>
      </c>
      <c r="F386" s="2">
        <f t="shared" si="5"/>
        <v>3326179.28</v>
      </c>
    </row>
    <row r="387" spans="1:6" x14ac:dyDescent="0.25">
      <c r="A387">
        <v>45518</v>
      </c>
      <c r="B387" t="s">
        <v>425</v>
      </c>
      <c r="C387" t="s">
        <v>421</v>
      </c>
      <c r="D387" s="2">
        <v>5936074.9900000002</v>
      </c>
      <c r="E387" s="2">
        <v>469462.71</v>
      </c>
      <c r="F387" s="2">
        <f t="shared" si="5"/>
        <v>6405537.7000000002</v>
      </c>
    </row>
    <row r="388" spans="1:6" x14ac:dyDescent="0.25">
      <c r="A388">
        <v>45617</v>
      </c>
      <c r="B388" t="s">
        <v>426</v>
      </c>
      <c r="C388" t="s">
        <v>421</v>
      </c>
      <c r="D388" s="2">
        <v>6548342</v>
      </c>
      <c r="E388" s="2">
        <v>665866.19999999995</v>
      </c>
      <c r="F388" s="2">
        <f t="shared" si="5"/>
        <v>7214208.2000000002</v>
      </c>
    </row>
    <row r="389" spans="1:6" x14ac:dyDescent="0.25">
      <c r="A389">
        <v>48611</v>
      </c>
      <c r="B389" t="s">
        <v>427</v>
      </c>
      <c r="C389" t="s">
        <v>421</v>
      </c>
      <c r="D389" s="2">
        <v>1999144.07</v>
      </c>
      <c r="E389" s="2">
        <v>790843.54</v>
      </c>
      <c r="F389" s="2">
        <f t="shared" si="5"/>
        <v>2789987.6100000003</v>
      </c>
    </row>
    <row r="390" spans="1:6" x14ac:dyDescent="0.25">
      <c r="A390">
        <v>48629</v>
      </c>
      <c r="B390" t="s">
        <v>428</v>
      </c>
      <c r="C390" t="s">
        <v>421</v>
      </c>
      <c r="D390" s="2">
        <v>3887867.39</v>
      </c>
      <c r="E390" s="2">
        <v>520019.35</v>
      </c>
      <c r="F390" s="2">
        <f t="shared" si="5"/>
        <v>4407886.74</v>
      </c>
    </row>
    <row r="391" spans="1:6" x14ac:dyDescent="0.25">
      <c r="A391">
        <v>48637</v>
      </c>
      <c r="B391" t="s">
        <v>429</v>
      </c>
      <c r="C391" t="s">
        <v>421</v>
      </c>
      <c r="D391" s="2">
        <v>2072667.13</v>
      </c>
      <c r="E391" s="2">
        <v>217718.61</v>
      </c>
      <c r="F391" s="2">
        <f t="shared" si="5"/>
        <v>2290385.7399999998</v>
      </c>
    </row>
    <row r="392" spans="1:6" x14ac:dyDescent="0.25">
      <c r="A392">
        <v>48652</v>
      </c>
      <c r="B392" t="s">
        <v>430</v>
      </c>
      <c r="C392" t="s">
        <v>431</v>
      </c>
      <c r="D392" s="2">
        <v>12145080.460000001</v>
      </c>
      <c r="E392" s="2">
        <v>1018608.66</v>
      </c>
      <c r="F392" s="2">
        <f t="shared" si="5"/>
        <v>13163689.120000001</v>
      </c>
    </row>
    <row r="393" spans="1:6" x14ac:dyDescent="0.25">
      <c r="A393">
        <v>43737</v>
      </c>
      <c r="B393" t="s">
        <v>432</v>
      </c>
      <c r="C393" t="s">
        <v>433</v>
      </c>
      <c r="D393" s="2">
        <v>10329866.390000001</v>
      </c>
      <c r="E393" s="2">
        <v>400000</v>
      </c>
      <c r="F393" s="2">
        <f t="shared" si="5"/>
        <v>10729866.390000001</v>
      </c>
    </row>
    <row r="394" spans="1:6" x14ac:dyDescent="0.25">
      <c r="A394">
        <v>43844</v>
      </c>
      <c r="B394" t="s">
        <v>434</v>
      </c>
      <c r="C394" t="s">
        <v>433</v>
      </c>
      <c r="D394" s="2">
        <v>79137241.739999995</v>
      </c>
      <c r="E394" s="2">
        <v>2091228.53</v>
      </c>
      <c r="F394" s="2">
        <f t="shared" si="5"/>
        <v>81228470.269999996</v>
      </c>
    </row>
    <row r="395" spans="1:6" x14ac:dyDescent="0.25">
      <c r="A395">
        <v>48751</v>
      </c>
      <c r="B395" t="s">
        <v>435</v>
      </c>
      <c r="C395" t="s">
        <v>433</v>
      </c>
      <c r="D395" s="2">
        <v>21461192.579999998</v>
      </c>
      <c r="E395" s="2">
        <v>1555627.81</v>
      </c>
      <c r="F395" s="2">
        <f t="shared" si="5"/>
        <v>23016820.389999997</v>
      </c>
    </row>
    <row r="396" spans="1:6" x14ac:dyDescent="0.25">
      <c r="A396">
        <v>44180</v>
      </c>
      <c r="B396" t="s">
        <v>436</v>
      </c>
      <c r="C396" t="s">
        <v>433</v>
      </c>
      <c r="D396" s="2">
        <v>9787702.5199999996</v>
      </c>
      <c r="E396" s="2">
        <v>1386874.1</v>
      </c>
      <c r="F396" s="2">
        <f t="shared" si="5"/>
        <v>11174576.619999999</v>
      </c>
    </row>
    <row r="397" spans="1:6" x14ac:dyDescent="0.25">
      <c r="A397">
        <v>44396</v>
      </c>
      <c r="B397" t="s">
        <v>437</v>
      </c>
      <c r="C397" t="s">
        <v>433</v>
      </c>
      <c r="D397" s="2">
        <v>9789226.8200000003</v>
      </c>
      <c r="E397" s="2">
        <v>342340.81</v>
      </c>
      <c r="F397" s="2">
        <f t="shared" si="5"/>
        <v>10131567.630000001</v>
      </c>
    </row>
    <row r="398" spans="1:6" x14ac:dyDescent="0.25">
      <c r="A398">
        <v>48728</v>
      </c>
      <c r="B398" t="s">
        <v>438</v>
      </c>
      <c r="C398" t="s">
        <v>433</v>
      </c>
      <c r="D398" s="2">
        <v>17922517.379999999</v>
      </c>
      <c r="E398" s="2">
        <v>1216390</v>
      </c>
      <c r="F398" s="2">
        <f t="shared" si="5"/>
        <v>19138907.379999999</v>
      </c>
    </row>
    <row r="399" spans="1:6" x14ac:dyDescent="0.25">
      <c r="A399">
        <v>44586</v>
      </c>
      <c r="B399" t="s">
        <v>439</v>
      </c>
      <c r="C399" t="s">
        <v>433</v>
      </c>
      <c r="D399" s="2">
        <v>5065966.4800000004</v>
      </c>
      <c r="E399" s="2">
        <v>199962.32</v>
      </c>
      <c r="F399" s="2">
        <f t="shared" ref="F399:F462" si="6">D399+E399</f>
        <v>5265928.8000000007</v>
      </c>
    </row>
    <row r="400" spans="1:6" x14ac:dyDescent="0.25">
      <c r="A400">
        <v>48694</v>
      </c>
      <c r="B400" t="s">
        <v>440</v>
      </c>
      <c r="C400" t="s">
        <v>433</v>
      </c>
      <c r="D400" s="2">
        <v>15517509.300000001</v>
      </c>
      <c r="E400" s="2">
        <v>598537.53</v>
      </c>
      <c r="F400" s="2">
        <f t="shared" si="6"/>
        <v>16116046.83</v>
      </c>
    </row>
    <row r="401" spans="1:6" x14ac:dyDescent="0.25">
      <c r="A401">
        <v>44958</v>
      </c>
      <c r="B401" t="s">
        <v>441</v>
      </c>
      <c r="C401" t="s">
        <v>433</v>
      </c>
      <c r="D401" s="2">
        <v>3339968.86</v>
      </c>
      <c r="E401" s="2">
        <v>0</v>
      </c>
      <c r="F401" s="2">
        <f t="shared" si="6"/>
        <v>3339968.86</v>
      </c>
    </row>
    <row r="402" spans="1:6" x14ac:dyDescent="0.25">
      <c r="A402">
        <v>45054</v>
      </c>
      <c r="B402" t="s">
        <v>442</v>
      </c>
      <c r="C402" t="s">
        <v>433</v>
      </c>
      <c r="D402" s="2">
        <v>12118993.199999999</v>
      </c>
      <c r="E402" s="2">
        <v>1063251.33</v>
      </c>
      <c r="F402" s="2">
        <f t="shared" si="6"/>
        <v>13182244.529999999</v>
      </c>
    </row>
    <row r="403" spans="1:6" x14ac:dyDescent="0.25">
      <c r="A403">
        <v>48678</v>
      </c>
      <c r="B403" t="s">
        <v>443</v>
      </c>
      <c r="C403" t="s">
        <v>433</v>
      </c>
      <c r="D403" s="2">
        <v>4560281.6100000003</v>
      </c>
      <c r="E403" s="2">
        <v>229103.44</v>
      </c>
      <c r="F403" s="2">
        <f t="shared" si="6"/>
        <v>4789385.0500000007</v>
      </c>
    </row>
    <row r="404" spans="1:6" x14ac:dyDescent="0.25">
      <c r="A404">
        <v>48686</v>
      </c>
      <c r="B404" t="s">
        <v>444</v>
      </c>
      <c r="C404" t="s">
        <v>433</v>
      </c>
      <c r="D404" s="2">
        <v>1236345.67</v>
      </c>
      <c r="E404" s="2">
        <v>880952.91</v>
      </c>
      <c r="F404" s="2">
        <f t="shared" si="6"/>
        <v>2117298.58</v>
      </c>
    </row>
    <row r="405" spans="1:6" x14ac:dyDescent="0.25">
      <c r="A405">
        <v>48702</v>
      </c>
      <c r="B405" t="s">
        <v>445</v>
      </c>
      <c r="C405" t="s">
        <v>433</v>
      </c>
      <c r="D405" s="2">
        <v>20493934.43</v>
      </c>
      <c r="E405" s="2">
        <v>702219.04</v>
      </c>
      <c r="F405" s="2">
        <f t="shared" si="6"/>
        <v>21196153.469999999</v>
      </c>
    </row>
    <row r="406" spans="1:6" x14ac:dyDescent="0.25">
      <c r="A406">
        <v>48710</v>
      </c>
      <c r="B406" t="s">
        <v>446</v>
      </c>
      <c r="C406" t="s">
        <v>433</v>
      </c>
      <c r="D406" s="2">
        <v>5807749.0700000003</v>
      </c>
      <c r="E406" s="2">
        <v>291591.55</v>
      </c>
      <c r="F406" s="2">
        <f t="shared" si="6"/>
        <v>6099340.6200000001</v>
      </c>
    </row>
    <row r="407" spans="1:6" x14ac:dyDescent="0.25">
      <c r="A407">
        <v>48736</v>
      </c>
      <c r="B407" t="s">
        <v>350</v>
      </c>
      <c r="C407" t="s">
        <v>433</v>
      </c>
      <c r="D407" s="2">
        <v>6759337.0700000003</v>
      </c>
      <c r="E407" s="2">
        <v>1354377.86</v>
      </c>
      <c r="F407" s="2">
        <f t="shared" si="6"/>
        <v>8113714.9300000006</v>
      </c>
    </row>
    <row r="408" spans="1:6" x14ac:dyDescent="0.25">
      <c r="A408">
        <v>48744</v>
      </c>
      <c r="B408" t="s">
        <v>447</v>
      </c>
      <c r="C408" t="s">
        <v>433</v>
      </c>
      <c r="D408" s="2">
        <v>7142504.0899999999</v>
      </c>
      <c r="E408" s="2">
        <v>396683.81</v>
      </c>
      <c r="F408" s="2">
        <f t="shared" si="6"/>
        <v>7539187.8999999994</v>
      </c>
    </row>
    <row r="409" spans="1:6" x14ac:dyDescent="0.25">
      <c r="A409">
        <v>48777</v>
      </c>
      <c r="B409" t="s">
        <v>448</v>
      </c>
      <c r="C409" t="s">
        <v>449</v>
      </c>
      <c r="D409" s="2">
        <v>13628260.810000001</v>
      </c>
      <c r="E409" s="2">
        <v>171159.16</v>
      </c>
      <c r="F409" s="2">
        <f t="shared" si="6"/>
        <v>13799419.970000001</v>
      </c>
    </row>
    <row r="410" spans="1:6" x14ac:dyDescent="0.25">
      <c r="A410">
        <v>45534</v>
      </c>
      <c r="B410" t="s">
        <v>450</v>
      </c>
      <c r="C410" t="s">
        <v>451</v>
      </c>
      <c r="D410" s="2">
        <v>5045431.34</v>
      </c>
      <c r="E410" s="2">
        <v>422328.37</v>
      </c>
      <c r="F410" s="2">
        <f t="shared" si="6"/>
        <v>5467759.71</v>
      </c>
    </row>
    <row r="411" spans="1:6" x14ac:dyDescent="0.25">
      <c r="A411">
        <v>48793</v>
      </c>
      <c r="B411" t="s">
        <v>452</v>
      </c>
      <c r="C411" t="s">
        <v>451</v>
      </c>
      <c r="D411" s="2">
        <v>6525758.8799999999</v>
      </c>
      <c r="E411" s="2">
        <v>138826</v>
      </c>
      <c r="F411" s="2">
        <f t="shared" si="6"/>
        <v>6664584.8799999999</v>
      </c>
    </row>
    <row r="412" spans="1:6" x14ac:dyDescent="0.25">
      <c r="A412">
        <v>48801</v>
      </c>
      <c r="B412" t="s">
        <v>410</v>
      </c>
      <c r="C412" t="s">
        <v>451</v>
      </c>
      <c r="D412" s="2">
        <v>8544478.6099999994</v>
      </c>
      <c r="E412" s="2">
        <v>209776</v>
      </c>
      <c r="F412" s="2">
        <f t="shared" si="6"/>
        <v>8754254.6099999994</v>
      </c>
    </row>
    <row r="413" spans="1:6" x14ac:dyDescent="0.25">
      <c r="A413">
        <v>48819</v>
      </c>
      <c r="B413" t="s">
        <v>453</v>
      </c>
      <c r="C413" t="s">
        <v>451</v>
      </c>
      <c r="D413" s="2">
        <v>4497743.41</v>
      </c>
      <c r="E413" s="2">
        <v>182973</v>
      </c>
      <c r="F413" s="2">
        <f t="shared" si="6"/>
        <v>4680716.41</v>
      </c>
    </row>
    <row r="414" spans="1:6" x14ac:dyDescent="0.25">
      <c r="A414">
        <v>45179</v>
      </c>
      <c r="B414" t="s">
        <v>454</v>
      </c>
      <c r="C414" t="s">
        <v>455</v>
      </c>
      <c r="D414" s="2">
        <v>16591923.35</v>
      </c>
      <c r="E414" s="2">
        <v>575713</v>
      </c>
      <c r="F414" s="2">
        <f t="shared" si="6"/>
        <v>17167636.350000001</v>
      </c>
    </row>
    <row r="415" spans="1:6" x14ac:dyDescent="0.25">
      <c r="A415">
        <v>48835</v>
      </c>
      <c r="B415" t="s">
        <v>456</v>
      </c>
      <c r="C415" t="s">
        <v>455</v>
      </c>
      <c r="D415" s="2">
        <v>8834952.5099999998</v>
      </c>
      <c r="E415" s="2">
        <v>811489.54</v>
      </c>
      <c r="F415" s="2">
        <f t="shared" si="6"/>
        <v>9646442.0500000007</v>
      </c>
    </row>
    <row r="416" spans="1:6" x14ac:dyDescent="0.25">
      <c r="A416">
        <v>48843</v>
      </c>
      <c r="B416" t="s">
        <v>457</v>
      </c>
      <c r="C416" t="s">
        <v>455</v>
      </c>
      <c r="D416" s="2">
        <v>11996721.41</v>
      </c>
      <c r="E416" s="2">
        <v>482239.33</v>
      </c>
      <c r="F416" s="2">
        <f t="shared" si="6"/>
        <v>12478960.74</v>
      </c>
    </row>
    <row r="417" spans="1:6" x14ac:dyDescent="0.25">
      <c r="A417">
        <v>48850</v>
      </c>
      <c r="B417" t="s">
        <v>458</v>
      </c>
      <c r="C417" t="s">
        <v>455</v>
      </c>
      <c r="D417" s="2">
        <v>12312743.07</v>
      </c>
      <c r="E417" s="2">
        <v>465370.38</v>
      </c>
      <c r="F417" s="2">
        <f t="shared" si="6"/>
        <v>12778113.450000001</v>
      </c>
    </row>
    <row r="418" spans="1:6" x14ac:dyDescent="0.25">
      <c r="A418">
        <v>48876</v>
      </c>
      <c r="B418" t="s">
        <v>459</v>
      </c>
      <c r="C418" t="s">
        <v>455</v>
      </c>
      <c r="D418" s="2">
        <v>14664886.34</v>
      </c>
      <c r="E418" s="2">
        <v>1034000</v>
      </c>
      <c r="F418" s="2">
        <f t="shared" si="6"/>
        <v>15698886.34</v>
      </c>
    </row>
    <row r="419" spans="1:6" x14ac:dyDescent="0.25">
      <c r="A419">
        <v>48884</v>
      </c>
      <c r="B419" t="s">
        <v>460</v>
      </c>
      <c r="C419" t="s">
        <v>455</v>
      </c>
      <c r="D419" s="2">
        <v>4189406.33</v>
      </c>
      <c r="E419" s="2">
        <v>793314</v>
      </c>
      <c r="F419" s="2">
        <f t="shared" si="6"/>
        <v>4982720.33</v>
      </c>
    </row>
    <row r="420" spans="1:6" x14ac:dyDescent="0.25">
      <c r="A420">
        <v>45252</v>
      </c>
      <c r="B420" t="s">
        <v>461</v>
      </c>
      <c r="C420" t="s">
        <v>462</v>
      </c>
      <c r="D420" s="2">
        <v>3389966.46</v>
      </c>
      <c r="E420" s="2">
        <v>351188.55</v>
      </c>
      <c r="F420" s="2">
        <f t="shared" si="6"/>
        <v>3741155.01</v>
      </c>
    </row>
    <row r="421" spans="1:6" x14ac:dyDescent="0.25">
      <c r="A421">
        <v>48900</v>
      </c>
      <c r="B421" t="s">
        <v>463</v>
      </c>
      <c r="C421" t="s">
        <v>462</v>
      </c>
      <c r="D421" s="2">
        <v>5518680.6399999997</v>
      </c>
      <c r="E421" s="2">
        <v>238601.81</v>
      </c>
      <c r="F421" s="2">
        <f t="shared" si="6"/>
        <v>5757282.4499999993</v>
      </c>
    </row>
    <row r="422" spans="1:6" x14ac:dyDescent="0.25">
      <c r="A422">
        <v>44651</v>
      </c>
      <c r="B422" t="s">
        <v>464</v>
      </c>
      <c r="C422" t="s">
        <v>465</v>
      </c>
      <c r="D422" s="2">
        <v>2366094.77</v>
      </c>
      <c r="E422" s="2">
        <v>500000</v>
      </c>
      <c r="F422" s="2">
        <f t="shared" si="6"/>
        <v>2866094.77</v>
      </c>
    </row>
    <row r="423" spans="1:6" x14ac:dyDescent="0.25">
      <c r="A423">
        <v>48926</v>
      </c>
      <c r="B423" t="s">
        <v>466</v>
      </c>
      <c r="C423" t="s">
        <v>465</v>
      </c>
      <c r="D423" s="2">
        <v>3079234.31</v>
      </c>
      <c r="E423" s="2">
        <v>613000</v>
      </c>
      <c r="F423" s="2">
        <f t="shared" si="6"/>
        <v>3692234.31</v>
      </c>
    </row>
    <row r="424" spans="1:6" x14ac:dyDescent="0.25">
      <c r="A424">
        <v>48934</v>
      </c>
      <c r="B424" t="s">
        <v>467</v>
      </c>
      <c r="C424" t="s">
        <v>465</v>
      </c>
      <c r="D424" s="2">
        <v>563016.84</v>
      </c>
      <c r="E424" s="2">
        <v>0</v>
      </c>
      <c r="F424" s="2">
        <f t="shared" si="6"/>
        <v>563016.84</v>
      </c>
    </row>
    <row r="425" spans="1:6" x14ac:dyDescent="0.25">
      <c r="A425">
        <v>48942</v>
      </c>
      <c r="B425" t="s">
        <v>468</v>
      </c>
      <c r="C425" t="s">
        <v>465</v>
      </c>
      <c r="D425" s="2">
        <v>5738299.9400000004</v>
      </c>
      <c r="E425" s="2">
        <v>0</v>
      </c>
      <c r="F425" s="2">
        <f t="shared" si="6"/>
        <v>5738299.9400000004</v>
      </c>
    </row>
    <row r="426" spans="1:6" x14ac:dyDescent="0.25">
      <c r="A426">
        <v>48959</v>
      </c>
      <c r="B426" t="s">
        <v>469</v>
      </c>
      <c r="C426" t="s">
        <v>465</v>
      </c>
      <c r="D426" s="2">
        <v>0</v>
      </c>
      <c r="E426" s="2">
        <v>0</v>
      </c>
      <c r="F426" s="2">
        <f t="shared" si="6"/>
        <v>0</v>
      </c>
    </row>
    <row r="427" spans="1:6" x14ac:dyDescent="0.25">
      <c r="A427">
        <v>48967</v>
      </c>
      <c r="B427" t="s">
        <v>470</v>
      </c>
      <c r="C427" t="s">
        <v>465</v>
      </c>
      <c r="D427" s="2">
        <v>21362.93</v>
      </c>
      <c r="E427" s="2">
        <v>0</v>
      </c>
      <c r="F427" s="2">
        <f t="shared" si="6"/>
        <v>21362.93</v>
      </c>
    </row>
    <row r="428" spans="1:6" x14ac:dyDescent="0.25">
      <c r="A428">
        <v>48975</v>
      </c>
      <c r="B428" t="s">
        <v>471</v>
      </c>
      <c r="C428" t="s">
        <v>465</v>
      </c>
      <c r="D428" s="2">
        <v>19259.77</v>
      </c>
      <c r="E428" s="2">
        <v>0</v>
      </c>
      <c r="F428" s="2">
        <f t="shared" si="6"/>
        <v>19259.77</v>
      </c>
    </row>
    <row r="429" spans="1:6" x14ac:dyDescent="0.25">
      <c r="A429">
        <v>45575</v>
      </c>
      <c r="B429" t="s">
        <v>472</v>
      </c>
      <c r="C429" t="s">
        <v>473</v>
      </c>
      <c r="D429" s="2">
        <v>7833486.1200000001</v>
      </c>
      <c r="E429" s="2">
        <v>196534</v>
      </c>
      <c r="F429" s="2">
        <f t="shared" si="6"/>
        <v>8030020.1200000001</v>
      </c>
    </row>
    <row r="430" spans="1:6" x14ac:dyDescent="0.25">
      <c r="A430">
        <v>48991</v>
      </c>
      <c r="B430" t="s">
        <v>474</v>
      </c>
      <c r="C430" t="s">
        <v>473</v>
      </c>
      <c r="D430" s="2">
        <v>2744987.25</v>
      </c>
      <c r="E430" s="2">
        <v>637474</v>
      </c>
      <c r="F430" s="2">
        <f t="shared" si="6"/>
        <v>3382461.25</v>
      </c>
    </row>
    <row r="431" spans="1:6" x14ac:dyDescent="0.25">
      <c r="A431">
        <v>49031</v>
      </c>
      <c r="B431" t="s">
        <v>475</v>
      </c>
      <c r="C431" t="s">
        <v>473</v>
      </c>
      <c r="D431" s="2">
        <v>3862016.78</v>
      </c>
      <c r="E431" s="2">
        <v>756232</v>
      </c>
      <c r="F431" s="2">
        <f t="shared" si="6"/>
        <v>4618248.7799999993</v>
      </c>
    </row>
    <row r="432" spans="1:6" x14ac:dyDescent="0.25">
      <c r="A432">
        <v>44479</v>
      </c>
      <c r="B432" t="s">
        <v>476</v>
      </c>
      <c r="C432" t="s">
        <v>477</v>
      </c>
      <c r="D432" s="2">
        <v>11499306.380000001</v>
      </c>
      <c r="E432" s="2">
        <v>1461399.46</v>
      </c>
      <c r="F432" s="2">
        <f t="shared" si="6"/>
        <v>12960705.84</v>
      </c>
    </row>
    <row r="433" spans="1:6" x14ac:dyDescent="0.25">
      <c r="A433">
        <v>45351</v>
      </c>
      <c r="B433" t="s">
        <v>478</v>
      </c>
      <c r="C433" t="s">
        <v>477</v>
      </c>
      <c r="D433" s="2">
        <v>7147934.3899999997</v>
      </c>
      <c r="E433" s="2">
        <v>419886.87</v>
      </c>
      <c r="F433" s="2">
        <f t="shared" si="6"/>
        <v>7567821.2599999998</v>
      </c>
    </row>
    <row r="434" spans="1:6" x14ac:dyDescent="0.25">
      <c r="A434">
        <v>49056</v>
      </c>
      <c r="B434" t="s">
        <v>479</v>
      </c>
      <c r="C434" t="s">
        <v>477</v>
      </c>
      <c r="D434" s="2">
        <v>11581080.91</v>
      </c>
      <c r="E434" s="2">
        <v>235528.95</v>
      </c>
      <c r="F434" s="2">
        <f t="shared" si="6"/>
        <v>11816609.859999999</v>
      </c>
    </row>
    <row r="435" spans="1:6" x14ac:dyDescent="0.25">
      <c r="A435">
        <v>49064</v>
      </c>
      <c r="B435" t="s">
        <v>112</v>
      </c>
      <c r="C435" t="s">
        <v>477</v>
      </c>
      <c r="D435" s="2">
        <v>6150422.8600000003</v>
      </c>
      <c r="E435" s="2">
        <v>609049.18000000005</v>
      </c>
      <c r="F435" s="2">
        <f t="shared" si="6"/>
        <v>6759472.04</v>
      </c>
    </row>
    <row r="436" spans="1:6" x14ac:dyDescent="0.25">
      <c r="A436">
        <v>43760</v>
      </c>
      <c r="B436" t="s">
        <v>480</v>
      </c>
      <c r="C436" t="s">
        <v>481</v>
      </c>
      <c r="D436" s="2">
        <v>8666323.9299999997</v>
      </c>
      <c r="E436" s="2">
        <v>222293</v>
      </c>
      <c r="F436" s="2">
        <f t="shared" si="6"/>
        <v>8888616.9299999997</v>
      </c>
    </row>
    <row r="437" spans="1:6" x14ac:dyDescent="0.25">
      <c r="A437">
        <v>49080</v>
      </c>
      <c r="B437" t="s">
        <v>482</v>
      </c>
      <c r="C437" t="s">
        <v>481</v>
      </c>
      <c r="D437" s="2">
        <v>6799373.0499999998</v>
      </c>
      <c r="E437" s="2">
        <v>429333</v>
      </c>
      <c r="F437" s="2">
        <f t="shared" si="6"/>
        <v>7228706.0499999998</v>
      </c>
    </row>
    <row r="438" spans="1:6" x14ac:dyDescent="0.25">
      <c r="A438">
        <v>49098</v>
      </c>
      <c r="B438" t="s">
        <v>483</v>
      </c>
      <c r="C438" t="s">
        <v>481</v>
      </c>
      <c r="D438" s="2">
        <v>14764545.369999999</v>
      </c>
      <c r="E438" s="2">
        <v>739238</v>
      </c>
      <c r="F438" s="2">
        <f t="shared" si="6"/>
        <v>15503783.369999999</v>
      </c>
    </row>
    <row r="439" spans="1:6" x14ac:dyDescent="0.25">
      <c r="A439">
        <v>49106</v>
      </c>
      <c r="B439" t="s">
        <v>484</v>
      </c>
      <c r="C439" t="s">
        <v>481</v>
      </c>
      <c r="D439" s="2">
        <v>7460547.0899999999</v>
      </c>
      <c r="E439" s="2">
        <v>301711</v>
      </c>
      <c r="F439" s="2">
        <f t="shared" si="6"/>
        <v>7762258.0899999999</v>
      </c>
    </row>
    <row r="440" spans="1:6" x14ac:dyDescent="0.25">
      <c r="A440">
        <v>49148</v>
      </c>
      <c r="B440" t="s">
        <v>485</v>
      </c>
      <c r="C440" t="s">
        <v>486</v>
      </c>
      <c r="D440" s="2">
        <v>10560960.58</v>
      </c>
      <c r="E440" s="2">
        <v>200670</v>
      </c>
      <c r="F440" s="2">
        <f t="shared" si="6"/>
        <v>10761630.58</v>
      </c>
    </row>
    <row r="441" spans="1:6" x14ac:dyDescent="0.25">
      <c r="A441">
        <v>49122</v>
      </c>
      <c r="B441" t="s">
        <v>56</v>
      </c>
      <c r="C441" t="s">
        <v>486</v>
      </c>
      <c r="D441" s="2">
        <v>5164710.5599999996</v>
      </c>
      <c r="E441" s="2">
        <v>180803</v>
      </c>
      <c r="F441" s="2">
        <f t="shared" si="6"/>
        <v>5345513.5599999996</v>
      </c>
    </row>
    <row r="442" spans="1:6" x14ac:dyDescent="0.25">
      <c r="A442">
        <v>49130</v>
      </c>
      <c r="B442" t="s">
        <v>487</v>
      </c>
      <c r="C442" t="s">
        <v>486</v>
      </c>
      <c r="D442" s="2">
        <v>9788142.7400000002</v>
      </c>
      <c r="E442" s="2">
        <v>324074</v>
      </c>
      <c r="F442" s="2">
        <f t="shared" si="6"/>
        <v>10112216.74</v>
      </c>
    </row>
    <row r="443" spans="1:6" x14ac:dyDescent="0.25">
      <c r="A443">
        <v>49155</v>
      </c>
      <c r="B443" t="s">
        <v>488</v>
      </c>
      <c r="C443" t="s">
        <v>486</v>
      </c>
      <c r="D443" s="2">
        <v>5445594.6900000004</v>
      </c>
      <c r="E443" s="2">
        <v>171117</v>
      </c>
      <c r="F443" s="2">
        <f t="shared" si="6"/>
        <v>5616711.6900000004</v>
      </c>
    </row>
    <row r="444" spans="1:6" x14ac:dyDescent="0.25">
      <c r="A444">
        <v>49171</v>
      </c>
      <c r="B444" t="s">
        <v>489</v>
      </c>
      <c r="C444" t="s">
        <v>490</v>
      </c>
      <c r="D444" s="2">
        <v>3533019.58</v>
      </c>
      <c r="E444" s="2">
        <v>0</v>
      </c>
      <c r="F444" s="2">
        <f t="shared" si="6"/>
        <v>3533019.58</v>
      </c>
    </row>
    <row r="445" spans="1:6" x14ac:dyDescent="0.25">
      <c r="A445">
        <v>44164</v>
      </c>
      <c r="B445" t="s">
        <v>491</v>
      </c>
      <c r="C445" t="s">
        <v>490</v>
      </c>
      <c r="D445" s="2">
        <v>14608533.65</v>
      </c>
      <c r="E445" s="2">
        <v>43818</v>
      </c>
      <c r="F445" s="2">
        <f t="shared" si="6"/>
        <v>14652351.65</v>
      </c>
    </row>
    <row r="446" spans="1:6" x14ac:dyDescent="0.25">
      <c r="A446">
        <v>44685</v>
      </c>
      <c r="B446" t="s">
        <v>492</v>
      </c>
      <c r="C446" t="s">
        <v>490</v>
      </c>
      <c r="D446" s="2">
        <v>11948476.67</v>
      </c>
      <c r="E446" s="2">
        <v>0</v>
      </c>
      <c r="F446" s="2">
        <f t="shared" si="6"/>
        <v>11948476.67</v>
      </c>
    </row>
    <row r="447" spans="1:6" x14ac:dyDescent="0.25">
      <c r="A447">
        <v>49239</v>
      </c>
      <c r="B447" t="s">
        <v>493</v>
      </c>
      <c r="C447" t="s">
        <v>490</v>
      </c>
      <c r="D447" s="2">
        <v>3163708.98</v>
      </c>
      <c r="E447" s="2">
        <v>0</v>
      </c>
      <c r="F447" s="2">
        <f t="shared" si="6"/>
        <v>3163708.98</v>
      </c>
    </row>
    <row r="448" spans="1:6" x14ac:dyDescent="0.25">
      <c r="A448">
        <v>45666</v>
      </c>
      <c r="B448" t="s">
        <v>494</v>
      </c>
      <c r="C448" t="s">
        <v>490</v>
      </c>
      <c r="D448" s="2">
        <v>5439064.6200000001</v>
      </c>
      <c r="E448" s="2">
        <v>0</v>
      </c>
      <c r="F448" s="2">
        <f t="shared" si="6"/>
        <v>5439064.6200000001</v>
      </c>
    </row>
    <row r="449" spans="1:6" x14ac:dyDescent="0.25">
      <c r="A449">
        <v>49189</v>
      </c>
      <c r="B449" t="s">
        <v>495</v>
      </c>
      <c r="C449" t="s">
        <v>490</v>
      </c>
      <c r="D449" s="2">
        <v>11221042.67</v>
      </c>
      <c r="E449" s="2">
        <v>0</v>
      </c>
      <c r="F449" s="2">
        <f t="shared" si="6"/>
        <v>11221042.67</v>
      </c>
    </row>
    <row r="450" spans="1:6" x14ac:dyDescent="0.25">
      <c r="A450">
        <v>49197</v>
      </c>
      <c r="B450" t="s">
        <v>496</v>
      </c>
      <c r="C450" t="s">
        <v>490</v>
      </c>
      <c r="D450" s="2">
        <v>4878273.6399999997</v>
      </c>
      <c r="E450" s="2">
        <v>395974.42</v>
      </c>
      <c r="F450" s="2">
        <f t="shared" si="6"/>
        <v>5274248.0599999996</v>
      </c>
    </row>
    <row r="451" spans="1:6" x14ac:dyDescent="0.25">
      <c r="A451">
        <v>49205</v>
      </c>
      <c r="B451" t="s">
        <v>497</v>
      </c>
      <c r="C451" t="s">
        <v>490</v>
      </c>
      <c r="D451" s="2">
        <v>5964538.5499999998</v>
      </c>
      <c r="E451" s="2">
        <v>400657.5</v>
      </c>
      <c r="F451" s="2">
        <f t="shared" si="6"/>
        <v>6365196.0499999998</v>
      </c>
    </row>
    <row r="452" spans="1:6" x14ac:dyDescent="0.25">
      <c r="A452">
        <v>49213</v>
      </c>
      <c r="B452" t="s">
        <v>498</v>
      </c>
      <c r="C452" t="s">
        <v>490</v>
      </c>
      <c r="D452" s="2">
        <v>3842457.28</v>
      </c>
      <c r="E452" s="2">
        <v>210764.61</v>
      </c>
      <c r="F452" s="2">
        <f t="shared" si="6"/>
        <v>4053221.8899999997</v>
      </c>
    </row>
    <row r="453" spans="1:6" x14ac:dyDescent="0.25">
      <c r="A453">
        <v>49221</v>
      </c>
      <c r="B453" t="s">
        <v>499</v>
      </c>
      <c r="C453" t="s">
        <v>490</v>
      </c>
      <c r="D453" s="2">
        <v>9144715.0600000005</v>
      </c>
      <c r="E453" s="2">
        <v>1130188.8500000001</v>
      </c>
      <c r="F453" s="2">
        <f t="shared" si="6"/>
        <v>10274903.91</v>
      </c>
    </row>
    <row r="454" spans="1:6" x14ac:dyDescent="0.25">
      <c r="A454">
        <v>49247</v>
      </c>
      <c r="B454" t="s">
        <v>500</v>
      </c>
      <c r="C454" t="s">
        <v>490</v>
      </c>
      <c r="D454" s="2">
        <v>5587083.0899999999</v>
      </c>
      <c r="E454" s="2">
        <v>0</v>
      </c>
      <c r="F454" s="2">
        <f t="shared" si="6"/>
        <v>5587083.0899999999</v>
      </c>
    </row>
    <row r="455" spans="1:6" x14ac:dyDescent="0.25">
      <c r="A455">
        <v>43935</v>
      </c>
      <c r="B455" t="s">
        <v>501</v>
      </c>
      <c r="C455" t="s">
        <v>502</v>
      </c>
      <c r="D455" s="2">
        <v>5841871.54</v>
      </c>
      <c r="E455" s="2">
        <v>1436224.34</v>
      </c>
      <c r="F455" s="2">
        <f t="shared" si="6"/>
        <v>7278095.8799999999</v>
      </c>
    </row>
    <row r="456" spans="1:6" x14ac:dyDescent="0.25">
      <c r="A456">
        <v>64964</v>
      </c>
      <c r="B456" t="s">
        <v>503</v>
      </c>
      <c r="C456" t="s">
        <v>502</v>
      </c>
      <c r="D456" s="2">
        <v>637206</v>
      </c>
      <c r="E456" s="2">
        <v>0</v>
      </c>
      <c r="F456" s="2">
        <f t="shared" si="6"/>
        <v>637206</v>
      </c>
    </row>
    <row r="457" spans="1:6" x14ac:dyDescent="0.25">
      <c r="A457">
        <v>49270</v>
      </c>
      <c r="B457" t="s">
        <v>504</v>
      </c>
      <c r="C457" t="s">
        <v>502</v>
      </c>
      <c r="D457" s="2">
        <v>3949164.25</v>
      </c>
      <c r="E457" s="2">
        <v>837054.06</v>
      </c>
      <c r="F457" s="2">
        <f t="shared" si="6"/>
        <v>4786218.3100000005</v>
      </c>
    </row>
    <row r="458" spans="1:6" x14ac:dyDescent="0.25">
      <c r="A458">
        <v>49288</v>
      </c>
      <c r="B458" t="s">
        <v>505</v>
      </c>
      <c r="C458" t="s">
        <v>502</v>
      </c>
      <c r="D458" s="2">
        <v>6539127.6900000004</v>
      </c>
      <c r="E458" s="2">
        <v>98855</v>
      </c>
      <c r="F458" s="2">
        <f t="shared" si="6"/>
        <v>6637982.6900000004</v>
      </c>
    </row>
    <row r="459" spans="1:6" x14ac:dyDescent="0.25">
      <c r="A459">
        <v>91397</v>
      </c>
      <c r="B459" t="s">
        <v>506</v>
      </c>
      <c r="C459" t="s">
        <v>502</v>
      </c>
      <c r="D459" s="2">
        <v>2841409.6</v>
      </c>
      <c r="E459" s="2">
        <v>646574.32999999996</v>
      </c>
      <c r="F459" s="2">
        <f t="shared" si="6"/>
        <v>3487983.93</v>
      </c>
    </row>
    <row r="460" spans="1:6" x14ac:dyDescent="0.25">
      <c r="A460">
        <v>49296</v>
      </c>
      <c r="B460" t="s">
        <v>507</v>
      </c>
      <c r="C460" t="s">
        <v>502</v>
      </c>
      <c r="D460" s="2">
        <v>3525261.78</v>
      </c>
      <c r="E460" s="2">
        <v>621943.68000000005</v>
      </c>
      <c r="F460" s="2">
        <f t="shared" si="6"/>
        <v>4147205.46</v>
      </c>
    </row>
    <row r="461" spans="1:6" x14ac:dyDescent="0.25">
      <c r="A461">
        <v>49312</v>
      </c>
      <c r="B461" t="s">
        <v>508</v>
      </c>
      <c r="C461" t="s">
        <v>509</v>
      </c>
      <c r="D461" s="2">
        <v>4005535.25</v>
      </c>
      <c r="E461" s="2">
        <v>188000</v>
      </c>
      <c r="F461" s="2">
        <f t="shared" si="6"/>
        <v>4193535.25</v>
      </c>
    </row>
    <row r="462" spans="1:6" x14ac:dyDescent="0.25">
      <c r="A462">
        <v>49320</v>
      </c>
      <c r="B462" t="s">
        <v>510</v>
      </c>
      <c r="C462" t="s">
        <v>509</v>
      </c>
      <c r="D462" s="2">
        <v>2960095.06</v>
      </c>
      <c r="E462" s="2">
        <v>280000</v>
      </c>
      <c r="F462" s="2">
        <f t="shared" si="6"/>
        <v>3240095.06</v>
      </c>
    </row>
    <row r="463" spans="1:6" x14ac:dyDescent="0.25">
      <c r="A463">
        <v>49338</v>
      </c>
      <c r="B463" t="s">
        <v>511</v>
      </c>
      <c r="C463" t="s">
        <v>509</v>
      </c>
      <c r="D463" s="2">
        <v>1861581.11</v>
      </c>
      <c r="E463" s="2">
        <v>31000</v>
      </c>
      <c r="F463" s="2">
        <f t="shared" ref="F463:F526" si="7">D463+E463</f>
        <v>1892581.11</v>
      </c>
    </row>
    <row r="464" spans="1:6" x14ac:dyDescent="0.25">
      <c r="A464">
        <v>49346</v>
      </c>
      <c r="B464" t="s">
        <v>512</v>
      </c>
      <c r="C464" t="s">
        <v>509</v>
      </c>
      <c r="D464" s="2">
        <v>2619496.14</v>
      </c>
      <c r="E464" s="2">
        <v>70000</v>
      </c>
      <c r="F464" s="2">
        <f t="shared" si="7"/>
        <v>2689496.14</v>
      </c>
    </row>
    <row r="465" spans="1:6" x14ac:dyDescent="0.25">
      <c r="A465">
        <v>49353</v>
      </c>
      <c r="B465" t="s">
        <v>513</v>
      </c>
      <c r="C465" t="s">
        <v>509</v>
      </c>
      <c r="D465" s="2">
        <v>3131574.18</v>
      </c>
      <c r="E465" s="2">
        <v>250000</v>
      </c>
      <c r="F465" s="2">
        <f t="shared" si="7"/>
        <v>3381574.18</v>
      </c>
    </row>
    <row r="466" spans="1:6" x14ac:dyDescent="0.25">
      <c r="A466">
        <v>49361</v>
      </c>
      <c r="B466" t="s">
        <v>514</v>
      </c>
      <c r="C466" t="s">
        <v>509</v>
      </c>
      <c r="D466" s="2">
        <v>2355216.63</v>
      </c>
      <c r="E466" s="2">
        <v>17000</v>
      </c>
      <c r="F466" s="2">
        <f t="shared" si="7"/>
        <v>2372216.63</v>
      </c>
    </row>
    <row r="467" spans="1:6" x14ac:dyDescent="0.25">
      <c r="A467">
        <v>49379</v>
      </c>
      <c r="B467" t="s">
        <v>515</v>
      </c>
      <c r="C467" t="s">
        <v>509</v>
      </c>
      <c r="D467" s="2">
        <v>4798549.9000000004</v>
      </c>
      <c r="E467" s="2">
        <v>592000</v>
      </c>
      <c r="F467" s="2">
        <f t="shared" si="7"/>
        <v>5390549.9000000004</v>
      </c>
    </row>
    <row r="468" spans="1:6" x14ac:dyDescent="0.25">
      <c r="A468">
        <v>49387</v>
      </c>
      <c r="B468" t="s">
        <v>516</v>
      </c>
      <c r="C468" t="s">
        <v>509</v>
      </c>
      <c r="D468" s="2">
        <v>2559200.83</v>
      </c>
      <c r="E468" s="2">
        <v>0</v>
      </c>
      <c r="F468" s="2">
        <f t="shared" si="7"/>
        <v>2559200.83</v>
      </c>
    </row>
    <row r="469" spans="1:6" x14ac:dyDescent="0.25">
      <c r="A469">
        <v>49395</v>
      </c>
      <c r="B469" t="s">
        <v>517</v>
      </c>
      <c r="C469" t="s">
        <v>509</v>
      </c>
      <c r="D469" s="2">
        <v>2261595.27</v>
      </c>
      <c r="E469" s="2">
        <v>214000</v>
      </c>
      <c r="F469" s="2">
        <f t="shared" si="7"/>
        <v>2475595.27</v>
      </c>
    </row>
    <row r="470" spans="1:6" x14ac:dyDescent="0.25">
      <c r="A470">
        <v>44297</v>
      </c>
      <c r="B470" t="s">
        <v>518</v>
      </c>
      <c r="C470" t="s">
        <v>519</v>
      </c>
      <c r="D470" s="2">
        <v>19363388.760000002</v>
      </c>
      <c r="E470" s="2">
        <v>0</v>
      </c>
      <c r="F470" s="2">
        <f t="shared" si="7"/>
        <v>19363388.760000002</v>
      </c>
    </row>
    <row r="471" spans="1:6" x14ac:dyDescent="0.25">
      <c r="A471">
        <v>44776</v>
      </c>
      <c r="B471" t="s">
        <v>520</v>
      </c>
      <c r="C471" t="s">
        <v>519</v>
      </c>
      <c r="D471" s="2">
        <v>7639455.46</v>
      </c>
      <c r="E471" s="2">
        <v>239867</v>
      </c>
      <c r="F471" s="2">
        <f t="shared" si="7"/>
        <v>7879322.46</v>
      </c>
    </row>
    <row r="472" spans="1:6" x14ac:dyDescent="0.25">
      <c r="A472">
        <v>49411</v>
      </c>
      <c r="B472" t="s">
        <v>521</v>
      </c>
      <c r="C472" t="s">
        <v>519</v>
      </c>
      <c r="D472" s="2">
        <v>8464441.2699999996</v>
      </c>
      <c r="E472" s="2">
        <v>10460</v>
      </c>
      <c r="F472" s="2">
        <f t="shared" si="7"/>
        <v>8474901.2699999996</v>
      </c>
    </row>
    <row r="473" spans="1:6" x14ac:dyDescent="0.25">
      <c r="A473">
        <v>49429</v>
      </c>
      <c r="B473" t="s">
        <v>111</v>
      </c>
      <c r="C473" t="s">
        <v>519</v>
      </c>
      <c r="D473" s="2">
        <v>6770392.2599999998</v>
      </c>
      <c r="E473" s="2">
        <v>87702</v>
      </c>
      <c r="F473" s="2">
        <f t="shared" si="7"/>
        <v>6858094.2599999998</v>
      </c>
    </row>
    <row r="474" spans="1:6" x14ac:dyDescent="0.25">
      <c r="A474">
        <v>49437</v>
      </c>
      <c r="B474" t="s">
        <v>522</v>
      </c>
      <c r="C474" t="s">
        <v>519</v>
      </c>
      <c r="D474" s="2">
        <v>7884382.96</v>
      </c>
      <c r="E474" s="2">
        <v>149544</v>
      </c>
      <c r="F474" s="2">
        <f t="shared" si="7"/>
        <v>8033926.96</v>
      </c>
    </row>
    <row r="475" spans="1:6" x14ac:dyDescent="0.25">
      <c r="A475">
        <v>49445</v>
      </c>
      <c r="B475" t="s">
        <v>523</v>
      </c>
      <c r="C475" t="s">
        <v>519</v>
      </c>
      <c r="D475" s="2">
        <v>1751134.79</v>
      </c>
      <c r="E475" s="2">
        <v>52888</v>
      </c>
      <c r="F475" s="2">
        <f t="shared" si="7"/>
        <v>1804022.79</v>
      </c>
    </row>
    <row r="476" spans="1:6" x14ac:dyDescent="0.25">
      <c r="A476">
        <v>49452</v>
      </c>
      <c r="B476" t="s">
        <v>67</v>
      </c>
      <c r="C476" t="s">
        <v>519</v>
      </c>
      <c r="D476" s="2">
        <v>11555955.810000001</v>
      </c>
      <c r="E476" s="2">
        <v>460577</v>
      </c>
      <c r="F476" s="2">
        <f t="shared" si="7"/>
        <v>12016532.810000001</v>
      </c>
    </row>
    <row r="477" spans="1:6" x14ac:dyDescent="0.25">
      <c r="A477">
        <v>49478</v>
      </c>
      <c r="B477" t="s">
        <v>524</v>
      </c>
      <c r="C477" t="s">
        <v>519</v>
      </c>
      <c r="D477" s="2">
        <v>1793617.47</v>
      </c>
      <c r="E477" s="2">
        <v>178111</v>
      </c>
      <c r="F477" s="2">
        <f t="shared" si="7"/>
        <v>1971728.47</v>
      </c>
    </row>
    <row r="478" spans="1:6" x14ac:dyDescent="0.25">
      <c r="A478">
        <v>49460</v>
      </c>
      <c r="B478" t="s">
        <v>525</v>
      </c>
      <c r="C478" t="s">
        <v>519</v>
      </c>
      <c r="D478" s="2">
        <v>4734043.46</v>
      </c>
      <c r="E478" s="2">
        <v>241199</v>
      </c>
      <c r="F478" s="2">
        <f t="shared" si="7"/>
        <v>4975242.46</v>
      </c>
    </row>
    <row r="479" spans="1:6" x14ac:dyDescent="0.25">
      <c r="A479">
        <v>43745</v>
      </c>
      <c r="B479" t="s">
        <v>526</v>
      </c>
      <c r="C479" t="s">
        <v>527</v>
      </c>
      <c r="D479" s="2">
        <v>7993587.29</v>
      </c>
      <c r="E479" s="2">
        <v>399189</v>
      </c>
      <c r="F479" s="2">
        <f t="shared" si="7"/>
        <v>8392776.2899999991</v>
      </c>
    </row>
    <row r="480" spans="1:6" x14ac:dyDescent="0.25">
      <c r="A480">
        <v>49494</v>
      </c>
      <c r="B480" t="s">
        <v>528</v>
      </c>
      <c r="C480" t="s">
        <v>527</v>
      </c>
      <c r="D480" s="2">
        <v>6462563.4299999997</v>
      </c>
      <c r="E480" s="2">
        <v>291168</v>
      </c>
      <c r="F480" s="2">
        <f t="shared" si="7"/>
        <v>6753731.4299999997</v>
      </c>
    </row>
    <row r="481" spans="1:6" x14ac:dyDescent="0.25">
      <c r="A481">
        <v>49502</v>
      </c>
      <c r="B481" t="s">
        <v>529</v>
      </c>
      <c r="C481" t="s">
        <v>527</v>
      </c>
      <c r="D481" s="2">
        <v>8761298.6199999992</v>
      </c>
      <c r="E481" s="2">
        <v>316708</v>
      </c>
      <c r="F481" s="2">
        <f t="shared" si="7"/>
        <v>9078006.6199999992</v>
      </c>
    </row>
    <row r="482" spans="1:6" x14ac:dyDescent="0.25">
      <c r="A482">
        <v>49510</v>
      </c>
      <c r="B482" t="s">
        <v>530</v>
      </c>
      <c r="C482" t="s">
        <v>527</v>
      </c>
      <c r="D482" s="2">
        <v>6188159.0700000003</v>
      </c>
      <c r="E482" s="2">
        <v>261098</v>
      </c>
      <c r="F482" s="2">
        <f t="shared" si="7"/>
        <v>6449257.0700000003</v>
      </c>
    </row>
    <row r="483" spans="1:6" x14ac:dyDescent="0.25">
      <c r="A483">
        <v>49528</v>
      </c>
      <c r="B483" t="s">
        <v>86</v>
      </c>
      <c r="C483" t="s">
        <v>527</v>
      </c>
      <c r="D483" s="2">
        <v>7438716.5800000001</v>
      </c>
      <c r="E483" s="2">
        <v>293316</v>
      </c>
      <c r="F483" s="2">
        <f t="shared" si="7"/>
        <v>7732032.5800000001</v>
      </c>
    </row>
    <row r="484" spans="1:6" x14ac:dyDescent="0.25">
      <c r="A484">
        <v>49536</v>
      </c>
      <c r="B484" t="s">
        <v>531</v>
      </c>
      <c r="C484" t="s">
        <v>527</v>
      </c>
      <c r="D484" s="2">
        <v>10796431.48</v>
      </c>
      <c r="E484" s="2">
        <v>384001</v>
      </c>
      <c r="F484" s="2">
        <f t="shared" si="7"/>
        <v>11180432.48</v>
      </c>
    </row>
    <row r="485" spans="1:6" x14ac:dyDescent="0.25">
      <c r="A485">
        <v>49544</v>
      </c>
      <c r="B485" t="s">
        <v>532</v>
      </c>
      <c r="C485" t="s">
        <v>527</v>
      </c>
      <c r="D485" s="2">
        <v>5735655.4000000004</v>
      </c>
      <c r="E485" s="2">
        <v>397176</v>
      </c>
      <c r="F485" s="2">
        <f t="shared" si="7"/>
        <v>6132831.4000000004</v>
      </c>
    </row>
    <row r="486" spans="1:6" x14ac:dyDescent="0.25">
      <c r="A486">
        <v>44016</v>
      </c>
      <c r="B486" t="s">
        <v>533</v>
      </c>
      <c r="C486" t="s">
        <v>534</v>
      </c>
      <c r="D486" s="2">
        <v>8614032.25</v>
      </c>
      <c r="E486" s="2">
        <v>2158837.9900000002</v>
      </c>
      <c r="F486" s="2">
        <f t="shared" si="7"/>
        <v>10772870.24</v>
      </c>
    </row>
    <row r="487" spans="1:6" x14ac:dyDescent="0.25">
      <c r="A487">
        <v>45302</v>
      </c>
      <c r="B487" t="s">
        <v>535</v>
      </c>
      <c r="C487" t="s">
        <v>534</v>
      </c>
      <c r="D487" s="2">
        <v>9212872.3399999999</v>
      </c>
      <c r="E487" s="2">
        <v>487000</v>
      </c>
      <c r="F487" s="2">
        <f t="shared" si="7"/>
        <v>9699872.3399999999</v>
      </c>
    </row>
    <row r="488" spans="1:6" x14ac:dyDescent="0.25">
      <c r="A488">
        <v>45385</v>
      </c>
      <c r="B488" t="s">
        <v>536</v>
      </c>
      <c r="C488" t="s">
        <v>534</v>
      </c>
      <c r="D488" s="2">
        <v>5672122.96</v>
      </c>
      <c r="E488" s="2">
        <v>0</v>
      </c>
      <c r="F488" s="2">
        <f t="shared" si="7"/>
        <v>5672122.96</v>
      </c>
    </row>
    <row r="489" spans="1:6" x14ac:dyDescent="0.25">
      <c r="A489">
        <v>49569</v>
      </c>
      <c r="B489" t="s">
        <v>66</v>
      </c>
      <c r="C489" t="s">
        <v>534</v>
      </c>
      <c r="D489" s="2">
        <v>4685006.93</v>
      </c>
      <c r="E489" s="2">
        <v>0</v>
      </c>
      <c r="F489" s="2">
        <f t="shared" si="7"/>
        <v>4685006.93</v>
      </c>
    </row>
    <row r="490" spans="1:6" x14ac:dyDescent="0.25">
      <c r="A490">
        <v>49577</v>
      </c>
      <c r="B490" t="s">
        <v>537</v>
      </c>
      <c r="C490" t="s">
        <v>534</v>
      </c>
      <c r="D490" s="2">
        <v>3071185.91</v>
      </c>
      <c r="E490" s="2">
        <v>0</v>
      </c>
      <c r="F490" s="2">
        <f t="shared" si="7"/>
        <v>3071185.91</v>
      </c>
    </row>
    <row r="491" spans="1:6" x14ac:dyDescent="0.25">
      <c r="A491">
        <v>44669</v>
      </c>
      <c r="B491" t="s">
        <v>538</v>
      </c>
      <c r="C491" t="s">
        <v>539</v>
      </c>
      <c r="D491" s="2">
        <v>12157664.68</v>
      </c>
      <c r="E491" s="2">
        <v>0</v>
      </c>
      <c r="F491" s="2">
        <f t="shared" si="7"/>
        <v>12157664.68</v>
      </c>
    </row>
    <row r="492" spans="1:6" x14ac:dyDescent="0.25">
      <c r="A492">
        <v>49593</v>
      </c>
      <c r="B492" t="s">
        <v>540</v>
      </c>
      <c r="C492" t="s">
        <v>539</v>
      </c>
      <c r="D492" s="2">
        <v>5902173.5599999996</v>
      </c>
      <c r="E492" s="2">
        <v>346189.06</v>
      </c>
      <c r="F492" s="2">
        <f t="shared" si="7"/>
        <v>6248362.6199999992</v>
      </c>
    </row>
    <row r="493" spans="1:6" x14ac:dyDescent="0.25">
      <c r="A493">
        <v>49601</v>
      </c>
      <c r="B493" t="s">
        <v>541</v>
      </c>
      <c r="C493" t="s">
        <v>539</v>
      </c>
      <c r="D493" s="2">
        <v>3075541.89</v>
      </c>
      <c r="E493" s="2">
        <v>116436.13</v>
      </c>
      <c r="F493" s="2">
        <f t="shared" si="7"/>
        <v>3191978.02</v>
      </c>
    </row>
    <row r="494" spans="1:6" x14ac:dyDescent="0.25">
      <c r="A494">
        <v>49619</v>
      </c>
      <c r="B494" t="s">
        <v>542</v>
      </c>
      <c r="C494" t="s">
        <v>539</v>
      </c>
      <c r="D494" s="2">
        <v>3096318.1</v>
      </c>
      <c r="E494" s="2">
        <v>100952.63</v>
      </c>
      <c r="F494" s="2">
        <f t="shared" si="7"/>
        <v>3197270.73</v>
      </c>
    </row>
    <row r="495" spans="1:6" x14ac:dyDescent="0.25">
      <c r="A495">
        <v>49627</v>
      </c>
      <c r="B495" t="s">
        <v>543</v>
      </c>
      <c r="C495" t="s">
        <v>539</v>
      </c>
      <c r="D495" s="2">
        <v>9056132.8900000006</v>
      </c>
      <c r="E495" s="2">
        <v>588461.57999999996</v>
      </c>
      <c r="F495" s="2">
        <f t="shared" si="7"/>
        <v>9644594.4700000007</v>
      </c>
    </row>
    <row r="496" spans="1:6" x14ac:dyDescent="0.25">
      <c r="A496">
        <v>44461</v>
      </c>
      <c r="B496" t="s">
        <v>544</v>
      </c>
      <c r="C496" t="s">
        <v>539</v>
      </c>
      <c r="D496" s="2">
        <v>2058620.55</v>
      </c>
      <c r="E496" s="2">
        <v>152012.82</v>
      </c>
      <c r="F496" s="2">
        <f t="shared" si="7"/>
        <v>2210633.37</v>
      </c>
    </row>
    <row r="497" spans="1:6" x14ac:dyDescent="0.25">
      <c r="A497">
        <v>49635</v>
      </c>
      <c r="B497" t="s">
        <v>263</v>
      </c>
      <c r="C497" t="s">
        <v>539</v>
      </c>
      <c r="D497" s="2">
        <v>11289042.42</v>
      </c>
      <c r="E497" s="2">
        <v>706736.09</v>
      </c>
      <c r="F497" s="2">
        <f t="shared" si="7"/>
        <v>11995778.51</v>
      </c>
    </row>
    <row r="498" spans="1:6" x14ac:dyDescent="0.25">
      <c r="A498">
        <v>49643</v>
      </c>
      <c r="B498" t="s">
        <v>545</v>
      </c>
      <c r="C498" t="s">
        <v>539</v>
      </c>
      <c r="D498" s="2">
        <v>7425730.3300000001</v>
      </c>
      <c r="E498" s="2">
        <v>252523.05</v>
      </c>
      <c r="F498" s="2">
        <f t="shared" si="7"/>
        <v>7678253.3799999999</v>
      </c>
    </row>
    <row r="499" spans="1:6" x14ac:dyDescent="0.25">
      <c r="A499">
        <v>49650</v>
      </c>
      <c r="B499" t="s">
        <v>546</v>
      </c>
      <c r="C499" t="s">
        <v>539</v>
      </c>
      <c r="D499" s="2">
        <v>9866723.9199999999</v>
      </c>
      <c r="E499" s="2">
        <v>459963.56</v>
      </c>
      <c r="F499" s="2">
        <f t="shared" si="7"/>
        <v>10326687.48</v>
      </c>
    </row>
    <row r="500" spans="1:6" x14ac:dyDescent="0.25">
      <c r="A500">
        <v>49668</v>
      </c>
      <c r="B500" t="s">
        <v>547</v>
      </c>
      <c r="C500" t="s">
        <v>539</v>
      </c>
      <c r="D500" s="2">
        <v>7001941.8399999999</v>
      </c>
      <c r="E500" s="2">
        <v>322556.43</v>
      </c>
      <c r="F500" s="2">
        <f t="shared" si="7"/>
        <v>7324498.2699999996</v>
      </c>
    </row>
    <row r="501" spans="1:6" x14ac:dyDescent="0.25">
      <c r="A501">
        <v>43992</v>
      </c>
      <c r="B501" t="s">
        <v>548</v>
      </c>
      <c r="C501" t="s">
        <v>549</v>
      </c>
      <c r="D501" s="2">
        <v>8099011.5700000003</v>
      </c>
      <c r="E501" s="2">
        <v>180339.76</v>
      </c>
      <c r="F501" s="2">
        <f t="shared" si="7"/>
        <v>8279351.3300000001</v>
      </c>
    </row>
    <row r="502" spans="1:6" x14ac:dyDescent="0.25">
      <c r="A502">
        <v>44891</v>
      </c>
      <c r="B502" t="s">
        <v>550</v>
      </c>
      <c r="C502" t="s">
        <v>549</v>
      </c>
      <c r="D502" s="2">
        <v>8281921.8700000001</v>
      </c>
      <c r="E502" s="2">
        <v>635767.14</v>
      </c>
      <c r="F502" s="2">
        <f t="shared" si="7"/>
        <v>8917689.0099999998</v>
      </c>
    </row>
    <row r="503" spans="1:6" x14ac:dyDescent="0.25">
      <c r="A503">
        <v>49692</v>
      </c>
      <c r="B503" t="s">
        <v>551</v>
      </c>
      <c r="C503" t="s">
        <v>549</v>
      </c>
      <c r="D503" s="2">
        <v>722620.71</v>
      </c>
      <c r="E503" s="2">
        <v>257545.59</v>
      </c>
      <c r="F503" s="2">
        <f t="shared" si="7"/>
        <v>980166.29999999993</v>
      </c>
    </row>
    <row r="504" spans="1:6" x14ac:dyDescent="0.25">
      <c r="A504">
        <v>49700</v>
      </c>
      <c r="B504" t="s">
        <v>552</v>
      </c>
      <c r="C504" t="s">
        <v>549</v>
      </c>
      <c r="D504" s="2">
        <v>2702527.73</v>
      </c>
      <c r="E504" s="2">
        <v>338485.93</v>
      </c>
      <c r="F504" s="2">
        <f t="shared" si="7"/>
        <v>3041013.66</v>
      </c>
    </row>
    <row r="505" spans="1:6" x14ac:dyDescent="0.25">
      <c r="A505">
        <v>49718</v>
      </c>
      <c r="B505" t="s">
        <v>553</v>
      </c>
      <c r="C505" t="s">
        <v>549</v>
      </c>
      <c r="D505" s="2">
        <v>1923907.3</v>
      </c>
      <c r="E505" s="2">
        <v>55100.56</v>
      </c>
      <c r="F505" s="2">
        <f t="shared" si="7"/>
        <v>1979007.86</v>
      </c>
    </row>
    <row r="506" spans="1:6" x14ac:dyDescent="0.25">
      <c r="A506">
        <v>49726</v>
      </c>
      <c r="B506" t="s">
        <v>554</v>
      </c>
      <c r="C506" t="s">
        <v>549</v>
      </c>
      <c r="D506" s="2">
        <v>1792650.28</v>
      </c>
      <c r="E506" s="2">
        <v>332911.86</v>
      </c>
      <c r="F506" s="2">
        <f t="shared" si="7"/>
        <v>2125562.14</v>
      </c>
    </row>
    <row r="507" spans="1:6" x14ac:dyDescent="0.25">
      <c r="A507">
        <v>49684</v>
      </c>
      <c r="B507" t="s">
        <v>555</v>
      </c>
      <c r="C507" t="s">
        <v>549</v>
      </c>
      <c r="D507" s="2">
        <v>3748821.45</v>
      </c>
      <c r="E507" s="2">
        <v>798691.35</v>
      </c>
      <c r="F507" s="2">
        <f t="shared" si="7"/>
        <v>4547512.8</v>
      </c>
    </row>
    <row r="508" spans="1:6" x14ac:dyDescent="0.25">
      <c r="A508">
        <v>44784</v>
      </c>
      <c r="B508" t="s">
        <v>556</v>
      </c>
      <c r="C508" t="s">
        <v>557</v>
      </c>
      <c r="D508" s="2">
        <v>13227426.92</v>
      </c>
      <c r="E508" s="2">
        <v>180328.86</v>
      </c>
      <c r="F508" s="2">
        <f t="shared" si="7"/>
        <v>13407755.779999999</v>
      </c>
    </row>
    <row r="509" spans="1:6" x14ac:dyDescent="0.25">
      <c r="A509">
        <v>49759</v>
      </c>
      <c r="B509" t="s">
        <v>558</v>
      </c>
      <c r="C509" t="s">
        <v>557</v>
      </c>
      <c r="D509" s="2">
        <v>4339798.93</v>
      </c>
      <c r="E509" s="2">
        <v>0</v>
      </c>
      <c r="F509" s="2">
        <f t="shared" si="7"/>
        <v>4339798.93</v>
      </c>
    </row>
    <row r="510" spans="1:6" x14ac:dyDescent="0.25">
      <c r="A510">
        <v>49767</v>
      </c>
      <c r="B510" t="s">
        <v>559</v>
      </c>
      <c r="C510" t="s">
        <v>557</v>
      </c>
      <c r="D510" s="2">
        <v>3147379.84</v>
      </c>
      <c r="E510" s="2">
        <v>0</v>
      </c>
      <c r="F510" s="2">
        <f t="shared" si="7"/>
        <v>3147379.84</v>
      </c>
    </row>
    <row r="511" spans="1:6" x14ac:dyDescent="0.25">
      <c r="A511">
        <v>49775</v>
      </c>
      <c r="B511" t="s">
        <v>560</v>
      </c>
      <c r="C511" t="s">
        <v>557</v>
      </c>
      <c r="D511" s="2">
        <v>3332788.67</v>
      </c>
      <c r="E511" s="2">
        <v>0</v>
      </c>
      <c r="F511" s="2">
        <f t="shared" si="7"/>
        <v>3332788.67</v>
      </c>
    </row>
    <row r="512" spans="1:6" x14ac:dyDescent="0.25">
      <c r="A512">
        <v>49783</v>
      </c>
      <c r="B512" t="s">
        <v>561</v>
      </c>
      <c r="C512" t="s">
        <v>557</v>
      </c>
      <c r="D512" s="2">
        <v>3258268.07</v>
      </c>
      <c r="E512" s="2">
        <v>0</v>
      </c>
      <c r="F512" s="2">
        <f t="shared" si="7"/>
        <v>3258268.07</v>
      </c>
    </row>
    <row r="513" spans="1:6" x14ac:dyDescent="0.25">
      <c r="A513">
        <v>49791</v>
      </c>
      <c r="B513" t="s">
        <v>562</v>
      </c>
      <c r="C513" t="s">
        <v>557</v>
      </c>
      <c r="D513" s="2">
        <v>3929263.1</v>
      </c>
      <c r="E513" s="2">
        <v>0</v>
      </c>
      <c r="F513" s="2">
        <f t="shared" si="7"/>
        <v>3929263.1</v>
      </c>
    </row>
    <row r="514" spans="1:6" x14ac:dyDescent="0.25">
      <c r="A514">
        <v>49809</v>
      </c>
      <c r="B514" t="s">
        <v>563</v>
      </c>
      <c r="C514" t="s">
        <v>557</v>
      </c>
      <c r="D514" s="2">
        <v>1932678.41</v>
      </c>
      <c r="E514" s="2">
        <v>0</v>
      </c>
      <c r="F514" s="2">
        <f t="shared" si="7"/>
        <v>1932678.41</v>
      </c>
    </row>
    <row r="515" spans="1:6" x14ac:dyDescent="0.25">
      <c r="A515">
        <v>49817</v>
      </c>
      <c r="B515" t="s">
        <v>564</v>
      </c>
      <c r="C515" t="s">
        <v>557</v>
      </c>
      <c r="D515" s="2">
        <v>2358183.25</v>
      </c>
      <c r="E515" s="2">
        <v>0</v>
      </c>
      <c r="F515" s="2">
        <f t="shared" si="7"/>
        <v>2358183.25</v>
      </c>
    </row>
    <row r="516" spans="1:6" x14ac:dyDescent="0.25">
      <c r="A516">
        <v>43497</v>
      </c>
      <c r="B516" t="s">
        <v>565</v>
      </c>
      <c r="C516" t="s">
        <v>566</v>
      </c>
      <c r="D516" s="2">
        <v>16492353.84</v>
      </c>
      <c r="E516" s="2">
        <v>0</v>
      </c>
      <c r="F516" s="2">
        <f t="shared" si="7"/>
        <v>16492353.84</v>
      </c>
    </row>
    <row r="517" spans="1:6" x14ac:dyDescent="0.25">
      <c r="A517">
        <v>43711</v>
      </c>
      <c r="B517" t="s">
        <v>567</v>
      </c>
      <c r="C517" t="s">
        <v>566</v>
      </c>
      <c r="D517" s="2">
        <v>61731961.18</v>
      </c>
      <c r="E517" s="2">
        <v>0</v>
      </c>
      <c r="F517" s="2">
        <f t="shared" si="7"/>
        <v>61731961.18</v>
      </c>
    </row>
    <row r="518" spans="1:6" x14ac:dyDescent="0.25">
      <c r="A518">
        <v>49874</v>
      </c>
      <c r="B518" t="s">
        <v>568</v>
      </c>
      <c r="C518" t="s">
        <v>566</v>
      </c>
      <c r="D518" s="2">
        <v>14302028.119999999</v>
      </c>
      <c r="E518" s="2">
        <v>0</v>
      </c>
      <c r="F518" s="2">
        <f t="shared" si="7"/>
        <v>14302028.119999999</v>
      </c>
    </row>
    <row r="519" spans="1:6" x14ac:dyDescent="0.25">
      <c r="A519">
        <v>44354</v>
      </c>
      <c r="B519" t="s">
        <v>569</v>
      </c>
      <c r="C519" t="s">
        <v>566</v>
      </c>
      <c r="D519" s="2">
        <v>19490060.699999999</v>
      </c>
      <c r="E519" s="2">
        <v>0</v>
      </c>
      <c r="F519" s="2">
        <f t="shared" si="7"/>
        <v>19490060.699999999</v>
      </c>
    </row>
    <row r="520" spans="1:6" x14ac:dyDescent="0.25">
      <c r="A520">
        <v>44503</v>
      </c>
      <c r="B520" t="s">
        <v>570</v>
      </c>
      <c r="C520" t="s">
        <v>566</v>
      </c>
      <c r="D520" s="2">
        <v>13004446.09</v>
      </c>
      <c r="E520" s="2">
        <v>0</v>
      </c>
      <c r="F520" s="2">
        <f t="shared" si="7"/>
        <v>13004446.09</v>
      </c>
    </row>
    <row r="521" spans="1:6" x14ac:dyDescent="0.25">
      <c r="A521">
        <v>49833</v>
      </c>
      <c r="B521" t="s">
        <v>571</v>
      </c>
      <c r="C521" t="s">
        <v>566</v>
      </c>
      <c r="D521" s="2">
        <v>8761840.5399999991</v>
      </c>
      <c r="E521" s="2">
        <v>0</v>
      </c>
      <c r="F521" s="2">
        <f t="shared" si="7"/>
        <v>8761840.5399999991</v>
      </c>
    </row>
    <row r="522" spans="1:6" x14ac:dyDescent="0.25">
      <c r="A522">
        <v>49841</v>
      </c>
      <c r="B522" t="s">
        <v>572</v>
      </c>
      <c r="C522" t="s">
        <v>566</v>
      </c>
      <c r="D522" s="2">
        <v>7699236.6699999999</v>
      </c>
      <c r="E522" s="2">
        <v>0</v>
      </c>
      <c r="F522" s="2">
        <f t="shared" si="7"/>
        <v>7699236.6699999999</v>
      </c>
    </row>
    <row r="523" spans="1:6" x14ac:dyDescent="0.25">
      <c r="A523">
        <v>49858</v>
      </c>
      <c r="B523" t="s">
        <v>573</v>
      </c>
      <c r="C523" t="s">
        <v>566</v>
      </c>
      <c r="D523" s="2">
        <v>4353974.34</v>
      </c>
      <c r="E523" s="2">
        <v>0</v>
      </c>
      <c r="F523" s="2">
        <f t="shared" si="7"/>
        <v>4353974.34</v>
      </c>
    </row>
    <row r="524" spans="1:6" x14ac:dyDescent="0.25">
      <c r="A524">
        <v>49866</v>
      </c>
      <c r="B524" t="s">
        <v>574</v>
      </c>
      <c r="C524" t="s">
        <v>566</v>
      </c>
      <c r="D524" s="2">
        <v>13083354.91</v>
      </c>
      <c r="E524" s="2">
        <v>0</v>
      </c>
      <c r="F524" s="2">
        <f t="shared" si="7"/>
        <v>13083354.91</v>
      </c>
    </row>
    <row r="525" spans="1:6" x14ac:dyDescent="0.25">
      <c r="A525">
        <v>49882</v>
      </c>
      <c r="B525" t="s">
        <v>575</v>
      </c>
      <c r="C525" t="s">
        <v>566</v>
      </c>
      <c r="D525" s="2">
        <v>9585610.0999999996</v>
      </c>
      <c r="E525" s="2">
        <v>0</v>
      </c>
      <c r="F525" s="2">
        <f t="shared" si="7"/>
        <v>9585610.0999999996</v>
      </c>
    </row>
    <row r="526" spans="1:6" x14ac:dyDescent="0.25">
      <c r="A526">
        <v>49890</v>
      </c>
      <c r="B526" t="s">
        <v>576</v>
      </c>
      <c r="C526" t="s">
        <v>566</v>
      </c>
      <c r="D526" s="2">
        <v>9289219.9800000004</v>
      </c>
      <c r="E526" s="2">
        <v>0</v>
      </c>
      <c r="F526" s="2">
        <f t="shared" si="7"/>
        <v>9289219.9800000004</v>
      </c>
    </row>
    <row r="527" spans="1:6" x14ac:dyDescent="0.25">
      <c r="A527">
        <v>49908</v>
      </c>
      <c r="B527" t="s">
        <v>263</v>
      </c>
      <c r="C527" t="s">
        <v>566</v>
      </c>
      <c r="D527" s="2">
        <v>8726413.9499999993</v>
      </c>
      <c r="E527" s="2">
        <v>0</v>
      </c>
      <c r="F527" s="2">
        <f t="shared" ref="F527:F590" si="8">D527+E527</f>
        <v>8726413.9499999993</v>
      </c>
    </row>
    <row r="528" spans="1:6" x14ac:dyDescent="0.25">
      <c r="A528">
        <v>49916</v>
      </c>
      <c r="B528" t="s">
        <v>577</v>
      </c>
      <c r="C528" t="s">
        <v>566</v>
      </c>
      <c r="D528" s="2">
        <v>3555354.56</v>
      </c>
      <c r="E528" s="2">
        <v>0</v>
      </c>
      <c r="F528" s="2">
        <f t="shared" si="8"/>
        <v>3555354.56</v>
      </c>
    </row>
    <row r="529" spans="1:6" x14ac:dyDescent="0.25">
      <c r="A529">
        <v>49924</v>
      </c>
      <c r="B529" t="s">
        <v>17</v>
      </c>
      <c r="C529" t="s">
        <v>566</v>
      </c>
      <c r="D529" s="2">
        <v>15513429.92</v>
      </c>
      <c r="E529" s="2">
        <v>0</v>
      </c>
      <c r="F529" s="2">
        <f t="shared" si="8"/>
        <v>15513429.92</v>
      </c>
    </row>
    <row r="530" spans="1:6" x14ac:dyDescent="0.25">
      <c r="A530">
        <v>49932</v>
      </c>
      <c r="B530" t="s">
        <v>578</v>
      </c>
      <c r="C530" t="s">
        <v>566</v>
      </c>
      <c r="D530" s="2">
        <v>14939361.800000001</v>
      </c>
      <c r="E530" s="2">
        <v>0</v>
      </c>
      <c r="F530" s="2">
        <f t="shared" si="8"/>
        <v>14939361.800000001</v>
      </c>
    </row>
    <row r="531" spans="1:6" x14ac:dyDescent="0.25">
      <c r="A531">
        <v>49940</v>
      </c>
      <c r="B531" t="s">
        <v>579</v>
      </c>
      <c r="C531" t="s">
        <v>566</v>
      </c>
      <c r="D531" s="2">
        <v>7648130.5099999998</v>
      </c>
      <c r="E531" s="2">
        <v>0</v>
      </c>
      <c r="F531" s="2">
        <f t="shared" si="8"/>
        <v>7648130.5099999998</v>
      </c>
    </row>
    <row r="532" spans="1:6" x14ac:dyDescent="0.25">
      <c r="A532">
        <v>49957</v>
      </c>
      <c r="B532" t="s">
        <v>580</v>
      </c>
      <c r="C532" t="s">
        <v>566</v>
      </c>
      <c r="D532" s="2">
        <v>5769092.7599999998</v>
      </c>
      <c r="E532" s="2">
        <v>0</v>
      </c>
      <c r="F532" s="2">
        <f t="shared" si="8"/>
        <v>5769092.7599999998</v>
      </c>
    </row>
    <row r="533" spans="1:6" x14ac:dyDescent="0.25">
      <c r="A533">
        <v>43489</v>
      </c>
      <c r="B533" t="s">
        <v>581</v>
      </c>
      <c r="C533" t="s">
        <v>582</v>
      </c>
      <c r="D533" s="2">
        <v>120627700.67</v>
      </c>
      <c r="E533" s="2">
        <v>0</v>
      </c>
      <c r="F533" s="2">
        <f t="shared" si="8"/>
        <v>120627700.67</v>
      </c>
    </row>
    <row r="534" spans="1:6" x14ac:dyDescent="0.25">
      <c r="A534">
        <v>43539</v>
      </c>
      <c r="B534" t="s">
        <v>583</v>
      </c>
      <c r="C534" t="s">
        <v>582</v>
      </c>
      <c r="D534" s="2">
        <v>18583809.48</v>
      </c>
      <c r="E534" s="2">
        <v>0</v>
      </c>
      <c r="F534" s="2">
        <f t="shared" si="8"/>
        <v>18583809.48</v>
      </c>
    </row>
    <row r="535" spans="1:6" x14ac:dyDescent="0.25">
      <c r="A535">
        <v>49981</v>
      </c>
      <c r="B535" t="s">
        <v>584</v>
      </c>
      <c r="C535" t="s">
        <v>582</v>
      </c>
      <c r="D535" s="2">
        <v>1070472.6200000001</v>
      </c>
      <c r="E535" s="2">
        <v>0</v>
      </c>
      <c r="F535" s="2">
        <f t="shared" si="8"/>
        <v>1070472.6200000001</v>
      </c>
    </row>
    <row r="536" spans="1:6" x14ac:dyDescent="0.25">
      <c r="A536">
        <v>43836</v>
      </c>
      <c r="B536" t="s">
        <v>585</v>
      </c>
      <c r="C536" t="s">
        <v>582</v>
      </c>
      <c r="D536" s="2">
        <v>10872340.74</v>
      </c>
      <c r="E536" s="2">
        <v>0</v>
      </c>
      <c r="F536" s="2">
        <f t="shared" si="8"/>
        <v>10872340.74</v>
      </c>
    </row>
    <row r="537" spans="1:6" x14ac:dyDescent="0.25">
      <c r="A537">
        <v>50047</v>
      </c>
      <c r="B537" t="s">
        <v>586</v>
      </c>
      <c r="C537" t="s">
        <v>582</v>
      </c>
      <c r="D537" s="2">
        <v>4544966.04</v>
      </c>
      <c r="E537" s="2">
        <v>0</v>
      </c>
      <c r="F537" s="2">
        <f t="shared" si="8"/>
        <v>4544966.04</v>
      </c>
    </row>
    <row r="538" spans="1:6" x14ac:dyDescent="0.25">
      <c r="A538">
        <v>44552</v>
      </c>
      <c r="B538" t="s">
        <v>587</v>
      </c>
      <c r="C538" t="s">
        <v>582</v>
      </c>
      <c r="D538" s="2">
        <v>8925999.4499999993</v>
      </c>
      <c r="E538" s="2">
        <v>0</v>
      </c>
      <c r="F538" s="2">
        <f t="shared" si="8"/>
        <v>8925999.4499999993</v>
      </c>
    </row>
    <row r="539" spans="1:6" x14ac:dyDescent="0.25">
      <c r="A539">
        <v>44834</v>
      </c>
      <c r="B539" t="s">
        <v>588</v>
      </c>
      <c r="C539" t="s">
        <v>582</v>
      </c>
      <c r="D539" s="2">
        <v>14441830.34</v>
      </c>
      <c r="E539" s="2">
        <v>0</v>
      </c>
      <c r="F539" s="2">
        <f t="shared" si="8"/>
        <v>14441830.34</v>
      </c>
    </row>
    <row r="540" spans="1:6" x14ac:dyDescent="0.25">
      <c r="A540">
        <v>44883</v>
      </c>
      <c r="B540" t="s">
        <v>589</v>
      </c>
      <c r="C540" t="s">
        <v>582</v>
      </c>
      <c r="D540" s="2">
        <v>6165267.6500000004</v>
      </c>
      <c r="E540" s="2">
        <v>0</v>
      </c>
      <c r="F540" s="2">
        <f t="shared" si="8"/>
        <v>6165267.6500000004</v>
      </c>
    </row>
    <row r="541" spans="1:6" x14ac:dyDescent="0.25">
      <c r="A541">
        <v>50070</v>
      </c>
      <c r="B541" t="s">
        <v>590</v>
      </c>
      <c r="C541" t="s">
        <v>582</v>
      </c>
      <c r="D541" s="2">
        <v>3744278.97</v>
      </c>
      <c r="E541" s="2">
        <v>0</v>
      </c>
      <c r="F541" s="2">
        <f t="shared" si="8"/>
        <v>3744278.97</v>
      </c>
    </row>
    <row r="542" spans="1:6" x14ac:dyDescent="0.25">
      <c r="A542">
        <v>49999</v>
      </c>
      <c r="B542" t="s">
        <v>591</v>
      </c>
      <c r="C542" t="s">
        <v>582</v>
      </c>
      <c r="D542" s="2">
        <v>7302422.6799999997</v>
      </c>
      <c r="E542" s="2">
        <v>0</v>
      </c>
      <c r="F542" s="2">
        <f t="shared" si="8"/>
        <v>7302422.6799999997</v>
      </c>
    </row>
    <row r="543" spans="1:6" x14ac:dyDescent="0.25">
      <c r="A543">
        <v>50013</v>
      </c>
      <c r="B543" t="s">
        <v>542</v>
      </c>
      <c r="C543" t="s">
        <v>582</v>
      </c>
      <c r="D543" s="2">
        <v>9946375.6400000006</v>
      </c>
      <c r="E543" s="2">
        <v>0</v>
      </c>
      <c r="F543" s="2">
        <f t="shared" si="8"/>
        <v>9946375.6400000006</v>
      </c>
    </row>
    <row r="544" spans="1:6" x14ac:dyDescent="0.25">
      <c r="A544">
        <v>50021</v>
      </c>
      <c r="B544" t="s">
        <v>592</v>
      </c>
      <c r="C544" t="s">
        <v>582</v>
      </c>
      <c r="D544" s="2">
        <v>11020867.869999999</v>
      </c>
      <c r="E544" s="2">
        <v>0</v>
      </c>
      <c r="F544" s="2">
        <f t="shared" si="8"/>
        <v>11020867.869999999</v>
      </c>
    </row>
    <row r="545" spans="1:6" x14ac:dyDescent="0.25">
      <c r="A545">
        <v>50005</v>
      </c>
      <c r="B545" t="s">
        <v>7</v>
      </c>
      <c r="C545" t="s">
        <v>582</v>
      </c>
      <c r="D545" s="2">
        <v>4931144.97</v>
      </c>
      <c r="E545" s="2">
        <v>0</v>
      </c>
      <c r="F545" s="2">
        <f t="shared" si="8"/>
        <v>4931144.97</v>
      </c>
    </row>
    <row r="546" spans="1:6" x14ac:dyDescent="0.25">
      <c r="A546">
        <v>50039</v>
      </c>
      <c r="B546" t="s">
        <v>593</v>
      </c>
      <c r="C546" t="s">
        <v>582</v>
      </c>
      <c r="D546" s="2">
        <v>3329474.96</v>
      </c>
      <c r="E546" s="2">
        <v>0</v>
      </c>
      <c r="F546" s="2">
        <f t="shared" si="8"/>
        <v>3329474.96</v>
      </c>
    </row>
    <row r="547" spans="1:6" x14ac:dyDescent="0.25">
      <c r="A547">
        <v>50054</v>
      </c>
      <c r="B547" t="s">
        <v>594</v>
      </c>
      <c r="C547" t="s">
        <v>582</v>
      </c>
      <c r="D547" s="2">
        <v>1760350.1</v>
      </c>
      <c r="E547" s="2">
        <v>0</v>
      </c>
      <c r="F547" s="2">
        <f t="shared" si="8"/>
        <v>1760350.1</v>
      </c>
    </row>
    <row r="548" spans="1:6" x14ac:dyDescent="0.25">
      <c r="A548">
        <v>50062</v>
      </c>
      <c r="B548" t="s">
        <v>378</v>
      </c>
      <c r="C548" t="s">
        <v>582</v>
      </c>
      <c r="D548" s="2">
        <v>7825538.1200000001</v>
      </c>
      <c r="E548" s="2">
        <v>0</v>
      </c>
      <c r="F548" s="2">
        <f t="shared" si="8"/>
        <v>7825538.1200000001</v>
      </c>
    </row>
    <row r="549" spans="1:6" x14ac:dyDescent="0.25">
      <c r="A549">
        <v>49973</v>
      </c>
      <c r="B549" t="s">
        <v>595</v>
      </c>
      <c r="C549" t="s">
        <v>582</v>
      </c>
      <c r="D549" s="2">
        <v>915626</v>
      </c>
      <c r="E549" s="2">
        <v>0</v>
      </c>
      <c r="F549" s="2">
        <f t="shared" si="8"/>
        <v>915626</v>
      </c>
    </row>
    <row r="550" spans="1:6" x14ac:dyDescent="0.25">
      <c r="A550">
        <v>44065</v>
      </c>
      <c r="B550" t="s">
        <v>596</v>
      </c>
      <c r="C550" t="s">
        <v>597</v>
      </c>
      <c r="D550" s="2">
        <v>7346962.2000000002</v>
      </c>
      <c r="E550" s="2">
        <v>450000</v>
      </c>
      <c r="F550" s="2">
        <f t="shared" si="8"/>
        <v>7796962.2000000002</v>
      </c>
    </row>
    <row r="551" spans="1:6" x14ac:dyDescent="0.25">
      <c r="A551">
        <v>44495</v>
      </c>
      <c r="B551" t="s">
        <v>598</v>
      </c>
      <c r="C551" t="s">
        <v>597</v>
      </c>
      <c r="D551" s="2">
        <v>11546956.109999999</v>
      </c>
      <c r="E551" s="2">
        <v>864200</v>
      </c>
      <c r="F551" s="2">
        <f t="shared" si="8"/>
        <v>12411156.109999999</v>
      </c>
    </row>
    <row r="552" spans="1:6" x14ac:dyDescent="0.25">
      <c r="A552">
        <v>44990</v>
      </c>
      <c r="B552" t="s">
        <v>599</v>
      </c>
      <c r="C552" t="s">
        <v>597</v>
      </c>
      <c r="D552" s="2">
        <v>34031029.210000001</v>
      </c>
      <c r="E552" s="2">
        <v>837000</v>
      </c>
      <c r="F552" s="2">
        <f t="shared" si="8"/>
        <v>34868029.210000001</v>
      </c>
    </row>
    <row r="553" spans="1:6" x14ac:dyDescent="0.25">
      <c r="A553">
        <v>45427</v>
      </c>
      <c r="B553" t="s">
        <v>600</v>
      </c>
      <c r="C553" t="s">
        <v>597</v>
      </c>
      <c r="D553" s="2">
        <v>8707675.8800000008</v>
      </c>
      <c r="E553" s="2">
        <v>736300</v>
      </c>
      <c r="F553" s="2">
        <f t="shared" si="8"/>
        <v>9443975.8800000008</v>
      </c>
    </row>
    <row r="554" spans="1:6" x14ac:dyDescent="0.25">
      <c r="A554">
        <v>45567</v>
      </c>
      <c r="B554" t="s">
        <v>601</v>
      </c>
      <c r="C554" t="s">
        <v>597</v>
      </c>
      <c r="D554" s="2">
        <v>6682651.4400000004</v>
      </c>
      <c r="E554" s="2">
        <v>450000</v>
      </c>
      <c r="F554" s="2">
        <f t="shared" si="8"/>
        <v>7132651.4400000004</v>
      </c>
    </row>
    <row r="555" spans="1:6" x14ac:dyDescent="0.25">
      <c r="A555">
        <v>50096</v>
      </c>
      <c r="B555" t="s">
        <v>602</v>
      </c>
      <c r="C555" t="s">
        <v>597</v>
      </c>
      <c r="D555" s="2">
        <v>1099734.5900000001</v>
      </c>
      <c r="E555" s="2">
        <v>175000</v>
      </c>
      <c r="F555" s="2">
        <f t="shared" si="8"/>
        <v>1274734.5900000001</v>
      </c>
    </row>
    <row r="556" spans="1:6" x14ac:dyDescent="0.25">
      <c r="A556">
        <v>50112</v>
      </c>
      <c r="B556" t="s">
        <v>603</v>
      </c>
      <c r="C556" t="s">
        <v>597</v>
      </c>
      <c r="D556" s="2">
        <v>2747996.76</v>
      </c>
      <c r="E556" s="2">
        <v>291000</v>
      </c>
      <c r="F556" s="2">
        <f t="shared" si="8"/>
        <v>3038996.76</v>
      </c>
    </row>
    <row r="557" spans="1:6" x14ac:dyDescent="0.25">
      <c r="A557">
        <v>50120</v>
      </c>
      <c r="B557" t="s">
        <v>604</v>
      </c>
      <c r="C557" t="s">
        <v>597</v>
      </c>
      <c r="D557" s="2">
        <v>4397371.7699999996</v>
      </c>
      <c r="E557" s="2">
        <v>676000</v>
      </c>
      <c r="F557" s="2">
        <f t="shared" si="8"/>
        <v>5073371.7699999996</v>
      </c>
    </row>
    <row r="558" spans="1:6" x14ac:dyDescent="0.25">
      <c r="A558">
        <v>50138</v>
      </c>
      <c r="B558" t="s">
        <v>605</v>
      </c>
      <c r="C558" t="s">
        <v>597</v>
      </c>
      <c r="D558" s="2">
        <v>5856768.1100000003</v>
      </c>
      <c r="E558" s="2">
        <v>587500</v>
      </c>
      <c r="F558" s="2">
        <f t="shared" si="8"/>
        <v>6444268.1100000003</v>
      </c>
    </row>
    <row r="559" spans="1:6" x14ac:dyDescent="0.25">
      <c r="A559">
        <v>50161</v>
      </c>
      <c r="B559" t="s">
        <v>606</v>
      </c>
      <c r="C559" t="s">
        <v>597</v>
      </c>
      <c r="D559" s="2">
        <v>2329443.5699999998</v>
      </c>
      <c r="E559" s="2">
        <v>1500000</v>
      </c>
      <c r="F559" s="2">
        <f t="shared" si="8"/>
        <v>3829443.57</v>
      </c>
    </row>
    <row r="560" spans="1:6" x14ac:dyDescent="0.25">
      <c r="A560">
        <v>50179</v>
      </c>
      <c r="B560" t="s">
        <v>607</v>
      </c>
      <c r="C560" t="s">
        <v>597</v>
      </c>
      <c r="D560" s="2">
        <v>3592523.88</v>
      </c>
      <c r="E560" s="2">
        <v>385100</v>
      </c>
      <c r="F560" s="2">
        <f t="shared" si="8"/>
        <v>3977623.88</v>
      </c>
    </row>
    <row r="561" spans="1:6" x14ac:dyDescent="0.25">
      <c r="A561">
        <v>50245</v>
      </c>
      <c r="B561" t="s">
        <v>608</v>
      </c>
      <c r="C561" t="s">
        <v>597</v>
      </c>
      <c r="D561" s="2">
        <v>7435043.2000000002</v>
      </c>
      <c r="E561" s="2">
        <v>641300</v>
      </c>
      <c r="F561" s="2">
        <f t="shared" si="8"/>
        <v>8076343.2000000002</v>
      </c>
    </row>
    <row r="562" spans="1:6" x14ac:dyDescent="0.25">
      <c r="A562">
        <v>50187</v>
      </c>
      <c r="B562" t="s">
        <v>609</v>
      </c>
      <c r="C562" t="s">
        <v>597</v>
      </c>
      <c r="D562" s="2">
        <v>5988990.9400000004</v>
      </c>
      <c r="E562" s="2">
        <v>350000</v>
      </c>
      <c r="F562" s="2">
        <f t="shared" si="8"/>
        <v>6338990.9400000004</v>
      </c>
    </row>
    <row r="563" spans="1:6" x14ac:dyDescent="0.25">
      <c r="A563">
        <v>50195</v>
      </c>
      <c r="B563" t="s">
        <v>610</v>
      </c>
      <c r="C563" t="s">
        <v>597</v>
      </c>
      <c r="D563" s="2">
        <v>2032623.47</v>
      </c>
      <c r="E563" s="2">
        <v>818000</v>
      </c>
      <c r="F563" s="2">
        <f t="shared" si="8"/>
        <v>2850623.4699999997</v>
      </c>
    </row>
    <row r="564" spans="1:6" x14ac:dyDescent="0.25">
      <c r="A564">
        <v>50203</v>
      </c>
      <c r="B564" t="s">
        <v>611</v>
      </c>
      <c r="C564" t="s">
        <v>597</v>
      </c>
      <c r="D564" s="2">
        <v>192106.89</v>
      </c>
      <c r="E564" s="2">
        <v>338700</v>
      </c>
      <c r="F564" s="2">
        <f t="shared" si="8"/>
        <v>530806.89</v>
      </c>
    </row>
    <row r="565" spans="1:6" x14ac:dyDescent="0.25">
      <c r="A565">
        <v>50211</v>
      </c>
      <c r="B565" t="s">
        <v>612</v>
      </c>
      <c r="C565" t="s">
        <v>597</v>
      </c>
      <c r="D565" s="2">
        <v>4779572.59</v>
      </c>
      <c r="E565" s="2">
        <v>477600</v>
      </c>
      <c r="F565" s="2">
        <f t="shared" si="8"/>
        <v>5257172.59</v>
      </c>
    </row>
    <row r="566" spans="1:6" x14ac:dyDescent="0.25">
      <c r="A566">
        <v>50153</v>
      </c>
      <c r="B566" t="s">
        <v>613</v>
      </c>
      <c r="C566" t="s">
        <v>597</v>
      </c>
      <c r="D566" s="2">
        <v>2029186.5</v>
      </c>
      <c r="E566" s="2">
        <v>425800</v>
      </c>
      <c r="F566" s="2">
        <f t="shared" si="8"/>
        <v>2454986.5</v>
      </c>
    </row>
    <row r="567" spans="1:6" x14ac:dyDescent="0.25">
      <c r="A567">
        <v>50229</v>
      </c>
      <c r="B567" t="s">
        <v>614</v>
      </c>
      <c r="C567" t="s">
        <v>597</v>
      </c>
      <c r="D567" s="2">
        <v>4376393.0199999996</v>
      </c>
      <c r="E567" s="2">
        <v>170900</v>
      </c>
      <c r="F567" s="2">
        <f t="shared" si="8"/>
        <v>4547293.0199999996</v>
      </c>
    </row>
    <row r="568" spans="1:6" x14ac:dyDescent="0.25">
      <c r="A568">
        <v>50237</v>
      </c>
      <c r="B568" t="s">
        <v>615</v>
      </c>
      <c r="C568" t="s">
        <v>597</v>
      </c>
      <c r="D568" s="2">
        <v>2379946.46</v>
      </c>
      <c r="E568" s="2">
        <v>252800</v>
      </c>
      <c r="F568" s="2">
        <f t="shared" si="8"/>
        <v>2632746.46</v>
      </c>
    </row>
    <row r="569" spans="1:6" x14ac:dyDescent="0.25">
      <c r="A569">
        <v>50252</v>
      </c>
      <c r="B569" t="s">
        <v>616</v>
      </c>
      <c r="C569" t="s">
        <v>597</v>
      </c>
      <c r="D569" s="2">
        <v>3794283.72</v>
      </c>
      <c r="E569" s="2">
        <v>245100</v>
      </c>
      <c r="F569" s="2">
        <f t="shared" si="8"/>
        <v>4039383.72</v>
      </c>
    </row>
    <row r="570" spans="1:6" x14ac:dyDescent="0.25">
      <c r="A570">
        <v>43778</v>
      </c>
      <c r="B570" t="s">
        <v>617</v>
      </c>
      <c r="C570" t="s">
        <v>618</v>
      </c>
      <c r="D570" s="2">
        <v>12535838.279999999</v>
      </c>
      <c r="E570" s="2">
        <v>78402.240000000005</v>
      </c>
      <c r="F570" s="2">
        <f t="shared" si="8"/>
        <v>12614240.52</v>
      </c>
    </row>
    <row r="571" spans="1:6" x14ac:dyDescent="0.25">
      <c r="A571">
        <v>43893</v>
      </c>
      <c r="B571" t="s">
        <v>619</v>
      </c>
      <c r="C571" t="s">
        <v>618</v>
      </c>
      <c r="D571" s="2">
        <v>5988508.2599999998</v>
      </c>
      <c r="E571" s="2">
        <v>211130.77</v>
      </c>
      <c r="F571" s="2">
        <f t="shared" si="8"/>
        <v>6199639.0299999993</v>
      </c>
    </row>
    <row r="572" spans="1:6" x14ac:dyDescent="0.25">
      <c r="A572">
        <v>44487</v>
      </c>
      <c r="B572" t="s">
        <v>620</v>
      </c>
      <c r="C572" t="s">
        <v>618</v>
      </c>
      <c r="D572" s="2">
        <v>8266856.3200000003</v>
      </c>
      <c r="E572" s="2">
        <v>0</v>
      </c>
      <c r="F572" s="2">
        <f t="shared" si="8"/>
        <v>8266856.3200000003</v>
      </c>
    </row>
    <row r="573" spans="1:6" x14ac:dyDescent="0.25">
      <c r="A573">
        <v>45542</v>
      </c>
      <c r="B573" t="s">
        <v>621</v>
      </c>
      <c r="C573" t="s">
        <v>618</v>
      </c>
      <c r="D573" s="2">
        <v>5737213.1500000004</v>
      </c>
      <c r="E573" s="2">
        <v>144074</v>
      </c>
      <c r="F573" s="2">
        <f t="shared" si="8"/>
        <v>5881287.1500000004</v>
      </c>
    </row>
    <row r="574" spans="1:6" x14ac:dyDescent="0.25">
      <c r="A574">
        <v>50278</v>
      </c>
      <c r="B574" t="s">
        <v>622</v>
      </c>
      <c r="C574" t="s">
        <v>618</v>
      </c>
      <c r="D574" s="2">
        <v>2861896.45</v>
      </c>
      <c r="E574" s="2">
        <v>56004.83</v>
      </c>
      <c r="F574" s="2">
        <f t="shared" si="8"/>
        <v>2917901.2800000003</v>
      </c>
    </row>
    <row r="575" spans="1:6" x14ac:dyDescent="0.25">
      <c r="A575">
        <v>50286</v>
      </c>
      <c r="B575" t="s">
        <v>623</v>
      </c>
      <c r="C575" t="s">
        <v>618</v>
      </c>
      <c r="D575" s="2">
        <v>8694606.7699999996</v>
      </c>
      <c r="E575" s="2">
        <v>217377.72</v>
      </c>
      <c r="F575" s="2">
        <f t="shared" si="8"/>
        <v>8911984.4900000002</v>
      </c>
    </row>
    <row r="576" spans="1:6" x14ac:dyDescent="0.25">
      <c r="A576">
        <v>50294</v>
      </c>
      <c r="B576" t="s">
        <v>624</v>
      </c>
      <c r="C576" t="s">
        <v>618</v>
      </c>
      <c r="D576" s="2">
        <v>2258139.0299999998</v>
      </c>
      <c r="E576" s="2">
        <v>159611.9</v>
      </c>
      <c r="F576" s="2">
        <f t="shared" si="8"/>
        <v>2417750.9299999997</v>
      </c>
    </row>
    <row r="577" spans="1:6" x14ac:dyDescent="0.25">
      <c r="A577">
        <v>50302</v>
      </c>
      <c r="B577" t="s">
        <v>625</v>
      </c>
      <c r="C577" t="s">
        <v>618</v>
      </c>
      <c r="D577" s="2">
        <v>4646815.1399999997</v>
      </c>
      <c r="E577" s="2">
        <v>371334.21</v>
      </c>
      <c r="F577" s="2">
        <f t="shared" si="8"/>
        <v>5018149.3499999996</v>
      </c>
    </row>
    <row r="578" spans="1:6" x14ac:dyDescent="0.25">
      <c r="A578">
        <v>45476</v>
      </c>
      <c r="B578" t="s">
        <v>626</v>
      </c>
      <c r="C578" t="s">
        <v>627</v>
      </c>
      <c r="D578" s="2">
        <v>14368948.48</v>
      </c>
      <c r="E578" s="2">
        <v>0</v>
      </c>
      <c r="F578" s="2">
        <f t="shared" si="8"/>
        <v>14368948.48</v>
      </c>
    </row>
    <row r="579" spans="1:6" x14ac:dyDescent="0.25">
      <c r="A579">
        <v>50328</v>
      </c>
      <c r="B579" t="s">
        <v>628</v>
      </c>
      <c r="C579" t="s">
        <v>627</v>
      </c>
      <c r="D579" s="2">
        <v>1555092.93</v>
      </c>
      <c r="E579" s="2">
        <v>96245.77</v>
      </c>
      <c r="F579" s="2">
        <f t="shared" si="8"/>
        <v>1651338.7</v>
      </c>
    </row>
    <row r="580" spans="1:6" x14ac:dyDescent="0.25">
      <c r="A580">
        <v>50336</v>
      </c>
      <c r="B580" t="s">
        <v>629</v>
      </c>
      <c r="C580" t="s">
        <v>627</v>
      </c>
      <c r="D580" s="2">
        <v>6964534.0599999996</v>
      </c>
      <c r="E580" s="2">
        <v>80141.97</v>
      </c>
      <c r="F580" s="2">
        <f t="shared" si="8"/>
        <v>7044676.0299999993</v>
      </c>
    </row>
    <row r="581" spans="1:6" x14ac:dyDescent="0.25">
      <c r="A581">
        <v>44966</v>
      </c>
      <c r="B581" t="s">
        <v>630</v>
      </c>
      <c r="C581" t="s">
        <v>631</v>
      </c>
      <c r="D581" s="2">
        <v>7803599.0800000001</v>
      </c>
      <c r="E581" s="2">
        <v>0</v>
      </c>
      <c r="F581" s="2">
        <f t="shared" si="8"/>
        <v>7803599.0800000001</v>
      </c>
    </row>
    <row r="582" spans="1:6" x14ac:dyDescent="0.25">
      <c r="A582">
        <v>50351</v>
      </c>
      <c r="B582" t="s">
        <v>111</v>
      </c>
      <c r="C582" t="s">
        <v>631</v>
      </c>
      <c r="D582" s="2">
        <v>4443903.8</v>
      </c>
      <c r="E582" s="2">
        <v>218111</v>
      </c>
      <c r="F582" s="2">
        <f t="shared" si="8"/>
        <v>4662014.8</v>
      </c>
    </row>
    <row r="583" spans="1:6" x14ac:dyDescent="0.25">
      <c r="A583">
        <v>50369</v>
      </c>
      <c r="B583" t="s">
        <v>632</v>
      </c>
      <c r="C583" t="s">
        <v>631</v>
      </c>
      <c r="D583" s="2">
        <v>4133408.41</v>
      </c>
      <c r="E583" s="2">
        <v>363236</v>
      </c>
      <c r="F583" s="2">
        <f t="shared" si="8"/>
        <v>4496644.41</v>
      </c>
    </row>
    <row r="584" spans="1:6" x14ac:dyDescent="0.25">
      <c r="A584">
        <v>50393</v>
      </c>
      <c r="B584" t="s">
        <v>633</v>
      </c>
      <c r="C584" t="s">
        <v>634</v>
      </c>
      <c r="D584" s="2">
        <v>16642122.210000001</v>
      </c>
      <c r="E584" s="2">
        <v>40000</v>
      </c>
      <c r="F584" s="2">
        <f t="shared" si="8"/>
        <v>16682122.210000001</v>
      </c>
    </row>
    <row r="585" spans="1:6" x14ac:dyDescent="0.25">
      <c r="A585">
        <v>44008</v>
      </c>
      <c r="B585" t="s">
        <v>635</v>
      </c>
      <c r="C585" t="s">
        <v>636</v>
      </c>
      <c r="D585" s="2">
        <v>8127561.46</v>
      </c>
      <c r="E585" s="2">
        <v>0</v>
      </c>
      <c r="F585" s="2">
        <f t="shared" si="8"/>
        <v>8127561.46</v>
      </c>
    </row>
    <row r="586" spans="1:6" x14ac:dyDescent="0.25">
      <c r="A586">
        <v>44214</v>
      </c>
      <c r="B586" t="s">
        <v>637</v>
      </c>
      <c r="C586" t="s">
        <v>636</v>
      </c>
      <c r="D586" s="2">
        <v>15201524.310000001</v>
      </c>
      <c r="E586" s="2">
        <v>0</v>
      </c>
      <c r="F586" s="2">
        <f t="shared" si="8"/>
        <v>15201524.310000001</v>
      </c>
    </row>
    <row r="587" spans="1:6" x14ac:dyDescent="0.25">
      <c r="A587">
        <v>50450</v>
      </c>
      <c r="B587" t="s">
        <v>638</v>
      </c>
      <c r="C587" t="s">
        <v>636</v>
      </c>
      <c r="D587" s="2">
        <v>28310916.07</v>
      </c>
      <c r="E587" s="2">
        <v>0</v>
      </c>
      <c r="F587" s="2">
        <f t="shared" si="8"/>
        <v>28310916.07</v>
      </c>
    </row>
    <row r="588" spans="1:6" x14ac:dyDescent="0.25">
      <c r="A588">
        <v>50427</v>
      </c>
      <c r="B588" t="s">
        <v>639</v>
      </c>
      <c r="C588" t="s">
        <v>636</v>
      </c>
      <c r="D588" s="2">
        <v>10293787.779999999</v>
      </c>
      <c r="E588" s="2">
        <v>0</v>
      </c>
      <c r="F588" s="2">
        <f t="shared" si="8"/>
        <v>10293787.779999999</v>
      </c>
    </row>
    <row r="589" spans="1:6" x14ac:dyDescent="0.25">
      <c r="A589">
        <v>50419</v>
      </c>
      <c r="B589" t="s">
        <v>640</v>
      </c>
      <c r="C589" t="s">
        <v>636</v>
      </c>
      <c r="D589" s="2">
        <v>7346994.3899999997</v>
      </c>
      <c r="E589" s="2">
        <v>0</v>
      </c>
      <c r="F589" s="2">
        <f t="shared" si="8"/>
        <v>7346994.3899999997</v>
      </c>
    </row>
    <row r="590" spans="1:6" x14ac:dyDescent="0.25">
      <c r="A590">
        <v>50435</v>
      </c>
      <c r="B590" t="s">
        <v>641</v>
      </c>
      <c r="C590" t="s">
        <v>636</v>
      </c>
      <c r="D590" s="2">
        <v>5735314.4000000004</v>
      </c>
      <c r="E590" s="2">
        <v>509215.67</v>
      </c>
      <c r="F590" s="2">
        <f t="shared" si="8"/>
        <v>6244530.0700000003</v>
      </c>
    </row>
    <row r="591" spans="1:6" x14ac:dyDescent="0.25">
      <c r="A591">
        <v>50443</v>
      </c>
      <c r="B591" t="s">
        <v>642</v>
      </c>
      <c r="C591" t="s">
        <v>636</v>
      </c>
      <c r="D591" s="2">
        <v>7847996.2000000002</v>
      </c>
      <c r="E591" s="2">
        <v>0</v>
      </c>
      <c r="F591" s="2">
        <f t="shared" ref="F591:F627" si="9">D591+E591</f>
        <v>7847996.2000000002</v>
      </c>
    </row>
    <row r="592" spans="1:6" x14ac:dyDescent="0.25">
      <c r="A592">
        <v>50468</v>
      </c>
      <c r="B592" t="s">
        <v>643</v>
      </c>
      <c r="C592" t="s">
        <v>636</v>
      </c>
      <c r="D592" s="2">
        <v>4229197.5999999996</v>
      </c>
      <c r="E592" s="2">
        <v>0</v>
      </c>
      <c r="F592" s="2">
        <f t="shared" si="9"/>
        <v>4229197.5999999996</v>
      </c>
    </row>
    <row r="593" spans="1:6" x14ac:dyDescent="0.25">
      <c r="A593">
        <v>43604</v>
      </c>
      <c r="B593" t="s">
        <v>644</v>
      </c>
      <c r="C593" t="s">
        <v>645</v>
      </c>
      <c r="D593" s="2">
        <v>1991190.36</v>
      </c>
      <c r="E593" s="2">
        <v>159316.29</v>
      </c>
      <c r="F593" s="2">
        <f t="shared" si="9"/>
        <v>2150506.65</v>
      </c>
    </row>
    <row r="594" spans="1:6" x14ac:dyDescent="0.25">
      <c r="A594">
        <v>44321</v>
      </c>
      <c r="B594" t="s">
        <v>646</v>
      </c>
      <c r="C594" t="s">
        <v>645</v>
      </c>
      <c r="D594" s="2">
        <v>7179131.9299999997</v>
      </c>
      <c r="E594" s="2">
        <v>291441.01</v>
      </c>
      <c r="F594" s="2">
        <f t="shared" si="9"/>
        <v>7470572.9399999995</v>
      </c>
    </row>
    <row r="595" spans="1:6" x14ac:dyDescent="0.25">
      <c r="A595">
        <v>50484</v>
      </c>
      <c r="B595" t="s">
        <v>647</v>
      </c>
      <c r="C595" t="s">
        <v>645</v>
      </c>
      <c r="D595" s="2">
        <v>4158896.98</v>
      </c>
      <c r="E595" s="2">
        <v>301875.73</v>
      </c>
      <c r="F595" s="2">
        <f t="shared" si="9"/>
        <v>4460772.71</v>
      </c>
    </row>
    <row r="596" spans="1:6" x14ac:dyDescent="0.25">
      <c r="A596">
        <v>50492</v>
      </c>
      <c r="B596" t="s">
        <v>648</v>
      </c>
      <c r="C596" t="s">
        <v>645</v>
      </c>
      <c r="D596" s="2">
        <v>4836722.43</v>
      </c>
      <c r="E596" s="2">
        <v>467876.59</v>
      </c>
      <c r="F596" s="2">
        <f t="shared" si="9"/>
        <v>5304599.0199999996</v>
      </c>
    </row>
    <row r="597" spans="1:6" x14ac:dyDescent="0.25">
      <c r="A597">
        <v>50500</v>
      </c>
      <c r="B597" t="s">
        <v>649</v>
      </c>
      <c r="C597" t="s">
        <v>645</v>
      </c>
      <c r="D597" s="2">
        <v>11482283.300000001</v>
      </c>
      <c r="E597" s="2">
        <v>174968.83</v>
      </c>
      <c r="F597" s="2">
        <f t="shared" si="9"/>
        <v>11657252.130000001</v>
      </c>
    </row>
    <row r="598" spans="1:6" x14ac:dyDescent="0.25">
      <c r="A598">
        <v>50518</v>
      </c>
      <c r="B598" t="s">
        <v>650</v>
      </c>
      <c r="C598" t="s">
        <v>645</v>
      </c>
      <c r="D598" s="2">
        <v>1542940.87</v>
      </c>
      <c r="E598" s="2">
        <v>239184.9</v>
      </c>
      <c r="F598" s="2">
        <f t="shared" si="9"/>
        <v>1782125.77</v>
      </c>
    </row>
    <row r="599" spans="1:6" x14ac:dyDescent="0.25">
      <c r="A599">
        <v>44610</v>
      </c>
      <c r="B599" t="s">
        <v>651</v>
      </c>
      <c r="C599" t="s">
        <v>652</v>
      </c>
      <c r="D599" s="2">
        <v>5251241.0599999996</v>
      </c>
      <c r="E599" s="2">
        <v>0</v>
      </c>
      <c r="F599" s="2">
        <f t="shared" si="9"/>
        <v>5251241.0599999996</v>
      </c>
    </row>
    <row r="600" spans="1:6" x14ac:dyDescent="0.25">
      <c r="A600">
        <v>45120</v>
      </c>
      <c r="B600" t="s">
        <v>653</v>
      </c>
      <c r="C600" t="s">
        <v>652</v>
      </c>
      <c r="D600" s="2">
        <v>6651499.6399999997</v>
      </c>
      <c r="E600" s="2">
        <v>0</v>
      </c>
      <c r="F600" s="2">
        <f t="shared" si="9"/>
        <v>6651499.6399999997</v>
      </c>
    </row>
    <row r="601" spans="1:6" x14ac:dyDescent="0.25">
      <c r="A601">
        <v>45591</v>
      </c>
      <c r="B601" t="s">
        <v>654</v>
      </c>
      <c r="C601" t="s">
        <v>652</v>
      </c>
      <c r="D601" s="2">
        <v>4152723.88</v>
      </c>
      <c r="E601" s="2">
        <v>0</v>
      </c>
      <c r="F601" s="2">
        <f t="shared" si="9"/>
        <v>4152723.88</v>
      </c>
    </row>
    <row r="602" spans="1:6" x14ac:dyDescent="0.25">
      <c r="A602">
        <v>50534</v>
      </c>
      <c r="B602" t="s">
        <v>655</v>
      </c>
      <c r="C602" t="s">
        <v>652</v>
      </c>
      <c r="D602" s="2">
        <v>4729877.68</v>
      </c>
      <c r="E602" s="2">
        <v>0</v>
      </c>
      <c r="F602" s="2">
        <f t="shared" si="9"/>
        <v>4729877.68</v>
      </c>
    </row>
    <row r="603" spans="1:6" x14ac:dyDescent="0.25">
      <c r="A603">
        <v>50542</v>
      </c>
      <c r="B603" t="s">
        <v>656</v>
      </c>
      <c r="C603" t="s">
        <v>652</v>
      </c>
      <c r="D603" s="2">
        <v>3116766.29</v>
      </c>
      <c r="E603" s="2">
        <v>0</v>
      </c>
      <c r="F603" s="2">
        <f t="shared" si="9"/>
        <v>3116766.29</v>
      </c>
    </row>
    <row r="604" spans="1:6" x14ac:dyDescent="0.25">
      <c r="A604">
        <v>50559</v>
      </c>
      <c r="B604" t="s">
        <v>542</v>
      </c>
      <c r="C604" t="s">
        <v>652</v>
      </c>
      <c r="D604" s="2">
        <v>5376486.0899999999</v>
      </c>
      <c r="E604" s="2">
        <v>0</v>
      </c>
      <c r="F604" s="2">
        <f t="shared" si="9"/>
        <v>5376486.0899999999</v>
      </c>
    </row>
    <row r="605" spans="1:6" x14ac:dyDescent="0.25">
      <c r="A605">
        <v>50567</v>
      </c>
      <c r="B605" t="s">
        <v>657</v>
      </c>
      <c r="C605" t="s">
        <v>652</v>
      </c>
      <c r="D605" s="2">
        <v>5798250.8600000003</v>
      </c>
      <c r="E605" s="2">
        <v>0</v>
      </c>
      <c r="F605" s="2">
        <f t="shared" si="9"/>
        <v>5798250.8600000003</v>
      </c>
    </row>
    <row r="606" spans="1:6" x14ac:dyDescent="0.25">
      <c r="A606">
        <v>50575</v>
      </c>
      <c r="B606" t="s">
        <v>85</v>
      </c>
      <c r="C606" t="s">
        <v>652</v>
      </c>
      <c r="D606" s="2">
        <v>7333755.8099999996</v>
      </c>
      <c r="E606" s="2">
        <v>0</v>
      </c>
      <c r="F606" s="2">
        <f t="shared" si="9"/>
        <v>7333755.8099999996</v>
      </c>
    </row>
    <row r="607" spans="1:6" x14ac:dyDescent="0.25">
      <c r="A607">
        <v>50583</v>
      </c>
      <c r="B607" t="s">
        <v>499</v>
      </c>
      <c r="C607" t="s">
        <v>652</v>
      </c>
      <c r="D607" s="2">
        <v>4574189.38</v>
      </c>
      <c r="E607" s="2">
        <v>0</v>
      </c>
      <c r="F607" s="2">
        <f t="shared" si="9"/>
        <v>4574189.38</v>
      </c>
    </row>
    <row r="608" spans="1:6" x14ac:dyDescent="0.25">
      <c r="A608">
        <v>50591</v>
      </c>
      <c r="B608" t="s">
        <v>658</v>
      </c>
      <c r="C608" t="s">
        <v>652</v>
      </c>
      <c r="D608" s="2">
        <v>7096830.4800000004</v>
      </c>
      <c r="E608" s="2">
        <v>0</v>
      </c>
      <c r="F608" s="2">
        <f t="shared" si="9"/>
        <v>7096830.4800000004</v>
      </c>
    </row>
    <row r="609" spans="1:6" x14ac:dyDescent="0.25">
      <c r="A609">
        <v>43679</v>
      </c>
      <c r="B609" t="s">
        <v>659</v>
      </c>
      <c r="C609" t="s">
        <v>660</v>
      </c>
      <c r="D609" s="2">
        <v>5632328.5700000003</v>
      </c>
      <c r="E609" s="2">
        <v>0</v>
      </c>
      <c r="F609" s="2">
        <f t="shared" si="9"/>
        <v>5632328.5700000003</v>
      </c>
    </row>
    <row r="610" spans="1:6" x14ac:dyDescent="0.25">
      <c r="A610">
        <v>45526</v>
      </c>
      <c r="B610" t="s">
        <v>661</v>
      </c>
      <c r="C610" t="s">
        <v>660</v>
      </c>
      <c r="D610" s="2">
        <v>4766297</v>
      </c>
      <c r="E610" s="2">
        <v>254441</v>
      </c>
      <c r="F610" s="2">
        <f t="shared" si="9"/>
        <v>5020738</v>
      </c>
    </row>
    <row r="611" spans="1:6" x14ac:dyDescent="0.25">
      <c r="A611">
        <v>50617</v>
      </c>
      <c r="B611" t="s">
        <v>662</v>
      </c>
      <c r="C611" t="s">
        <v>660</v>
      </c>
      <c r="D611" s="2">
        <v>2063923.52</v>
      </c>
      <c r="E611" s="2">
        <v>217987</v>
      </c>
      <c r="F611" s="2">
        <f t="shared" si="9"/>
        <v>2281910.52</v>
      </c>
    </row>
    <row r="612" spans="1:6" x14ac:dyDescent="0.25">
      <c r="A612">
        <v>50625</v>
      </c>
      <c r="B612" t="s">
        <v>663</v>
      </c>
      <c r="C612" t="s">
        <v>660</v>
      </c>
      <c r="D612" s="2">
        <v>3031394.34</v>
      </c>
      <c r="E612" s="2">
        <v>294618</v>
      </c>
      <c r="F612" s="2">
        <f t="shared" si="9"/>
        <v>3326012.34</v>
      </c>
    </row>
    <row r="613" spans="1:6" x14ac:dyDescent="0.25">
      <c r="A613">
        <v>50633</v>
      </c>
      <c r="B613" t="s">
        <v>664</v>
      </c>
      <c r="C613" t="s">
        <v>660</v>
      </c>
      <c r="D613" s="2">
        <v>2709838.04</v>
      </c>
      <c r="E613" s="2">
        <v>240222</v>
      </c>
      <c r="F613" s="2">
        <f t="shared" si="9"/>
        <v>2950060.04</v>
      </c>
    </row>
    <row r="614" spans="1:6" x14ac:dyDescent="0.25">
      <c r="A614">
        <v>50641</v>
      </c>
      <c r="B614" t="s">
        <v>657</v>
      </c>
      <c r="C614" t="s">
        <v>660</v>
      </c>
      <c r="D614" s="2">
        <v>2323285.89</v>
      </c>
      <c r="E614" s="2">
        <v>183507</v>
      </c>
      <c r="F614" s="2">
        <f t="shared" si="9"/>
        <v>2506792.89</v>
      </c>
    </row>
    <row r="615" spans="1:6" x14ac:dyDescent="0.25">
      <c r="A615">
        <v>50658</v>
      </c>
      <c r="B615" t="s">
        <v>665</v>
      </c>
      <c r="C615" t="s">
        <v>660</v>
      </c>
      <c r="D615" s="2">
        <v>1718624.18</v>
      </c>
      <c r="E615" s="2">
        <v>127056</v>
      </c>
      <c r="F615" s="2">
        <f t="shared" si="9"/>
        <v>1845680.18</v>
      </c>
    </row>
    <row r="616" spans="1:6" x14ac:dyDescent="0.25">
      <c r="A616">
        <v>43638</v>
      </c>
      <c r="B616" t="s">
        <v>666</v>
      </c>
      <c r="C616" t="s">
        <v>667</v>
      </c>
      <c r="D616" s="2">
        <v>5950715.21</v>
      </c>
      <c r="E616" s="2">
        <v>200000</v>
      </c>
      <c r="F616" s="2">
        <f t="shared" si="9"/>
        <v>6150715.21</v>
      </c>
    </row>
    <row r="617" spans="1:6" x14ac:dyDescent="0.25">
      <c r="A617">
        <v>45583</v>
      </c>
      <c r="B617" t="s">
        <v>668</v>
      </c>
      <c r="C617" t="s">
        <v>667</v>
      </c>
      <c r="D617" s="2">
        <v>6143574.0800000001</v>
      </c>
      <c r="E617" s="2">
        <v>1340000</v>
      </c>
      <c r="F617" s="2">
        <f t="shared" si="9"/>
        <v>7483574.0800000001</v>
      </c>
    </row>
    <row r="618" spans="1:6" x14ac:dyDescent="0.25">
      <c r="A618">
        <v>45609</v>
      </c>
      <c r="B618" t="s">
        <v>669</v>
      </c>
      <c r="C618" t="s">
        <v>667</v>
      </c>
      <c r="D618" s="2">
        <v>1629671.23</v>
      </c>
      <c r="E618" s="2">
        <v>0</v>
      </c>
      <c r="F618" s="2">
        <f t="shared" si="9"/>
        <v>1629671.23</v>
      </c>
    </row>
    <row r="619" spans="1:6" x14ac:dyDescent="0.25">
      <c r="A619">
        <v>50674</v>
      </c>
      <c r="B619" t="s">
        <v>670</v>
      </c>
      <c r="C619" t="s">
        <v>667</v>
      </c>
      <c r="D619" s="2">
        <v>5798712.0800000001</v>
      </c>
      <c r="E619" s="2">
        <v>750000</v>
      </c>
      <c r="F619" s="2">
        <f t="shared" si="9"/>
        <v>6548712.0800000001</v>
      </c>
    </row>
    <row r="620" spans="1:6" x14ac:dyDescent="0.25">
      <c r="A620">
        <v>50682</v>
      </c>
      <c r="B620" t="s">
        <v>671</v>
      </c>
      <c r="C620" t="s">
        <v>667</v>
      </c>
      <c r="D620" s="2">
        <v>6488329.4500000002</v>
      </c>
      <c r="E620" s="2">
        <v>210000</v>
      </c>
      <c r="F620" s="2">
        <f t="shared" si="9"/>
        <v>6698329.4500000002</v>
      </c>
    </row>
    <row r="621" spans="1:6" x14ac:dyDescent="0.25">
      <c r="A621">
        <v>50690</v>
      </c>
      <c r="B621" t="s">
        <v>574</v>
      </c>
      <c r="C621" t="s">
        <v>667</v>
      </c>
      <c r="D621" s="2">
        <v>2395020.89</v>
      </c>
      <c r="E621" s="2">
        <v>1225000</v>
      </c>
      <c r="F621" s="2">
        <f t="shared" si="9"/>
        <v>3620020.89</v>
      </c>
    </row>
    <row r="622" spans="1:6" x14ac:dyDescent="0.25">
      <c r="A622">
        <v>50708</v>
      </c>
      <c r="B622" t="s">
        <v>672</v>
      </c>
      <c r="C622" t="s">
        <v>667</v>
      </c>
      <c r="D622" s="2">
        <v>2539235.62</v>
      </c>
      <c r="E622" s="2">
        <v>940000</v>
      </c>
      <c r="F622" s="2">
        <f t="shared" si="9"/>
        <v>3479235.62</v>
      </c>
    </row>
    <row r="623" spans="1:6" x14ac:dyDescent="0.25">
      <c r="A623">
        <v>50716</v>
      </c>
      <c r="B623" t="s">
        <v>673</v>
      </c>
      <c r="C623" t="s">
        <v>667</v>
      </c>
      <c r="D623" s="2">
        <v>1624661.21</v>
      </c>
      <c r="E623" s="2">
        <v>1380000</v>
      </c>
      <c r="F623" s="2">
        <f t="shared" si="9"/>
        <v>3004661.21</v>
      </c>
    </row>
    <row r="624" spans="1:6" x14ac:dyDescent="0.25">
      <c r="A624">
        <v>50724</v>
      </c>
      <c r="B624" t="s">
        <v>674</v>
      </c>
      <c r="C624" t="s">
        <v>667</v>
      </c>
      <c r="D624" s="2">
        <v>4390548.53</v>
      </c>
      <c r="E624" s="2">
        <v>690000</v>
      </c>
      <c r="F624" s="2">
        <f t="shared" si="9"/>
        <v>5080548.53</v>
      </c>
    </row>
    <row r="625" spans="1:6" x14ac:dyDescent="0.25">
      <c r="A625">
        <v>45260</v>
      </c>
      <c r="B625" t="s">
        <v>675</v>
      </c>
      <c r="C625" t="s">
        <v>676</v>
      </c>
      <c r="D625" s="2">
        <v>3471710.99</v>
      </c>
      <c r="E625" s="2">
        <v>279134.65999999997</v>
      </c>
      <c r="F625" s="2">
        <f t="shared" si="9"/>
        <v>3750845.6500000004</v>
      </c>
    </row>
    <row r="626" spans="1:6" x14ac:dyDescent="0.25">
      <c r="A626">
        <v>45625</v>
      </c>
      <c r="B626" t="s">
        <v>677</v>
      </c>
      <c r="C626" t="s">
        <v>676</v>
      </c>
      <c r="D626" s="2">
        <v>5441568.0899999999</v>
      </c>
      <c r="E626" s="2">
        <v>270255</v>
      </c>
      <c r="F626" s="2">
        <f t="shared" si="9"/>
        <v>5711823.0899999999</v>
      </c>
    </row>
    <row r="627" spans="1:6" x14ac:dyDescent="0.25">
      <c r="A627">
        <v>50740</v>
      </c>
      <c r="B627" t="s">
        <v>678</v>
      </c>
      <c r="C627" t="s">
        <v>676</v>
      </c>
      <c r="D627" s="2">
        <v>3691774.32</v>
      </c>
      <c r="E627" s="2">
        <v>373706.37</v>
      </c>
      <c r="F627" s="2">
        <f t="shared" si="9"/>
        <v>4065480.69</v>
      </c>
    </row>
  </sheetData>
  <mergeCells count="4">
    <mergeCell ref="A1:E1"/>
    <mergeCell ref="A3:F3"/>
    <mergeCell ref="A4:F4"/>
    <mergeCell ref="A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sqref="A1:E1"/>
    </sheetView>
  </sheetViews>
  <sheetFormatPr defaultRowHeight="15" x14ac:dyDescent="0.25"/>
  <cols>
    <col min="1" max="1" width="6" bestFit="1" customWidth="1"/>
    <col min="2" max="2" width="34.5703125" bestFit="1" customWidth="1"/>
    <col min="3" max="3" width="12.42578125" bestFit="1" customWidth="1"/>
    <col min="4" max="4" width="13.5703125" bestFit="1" customWidth="1"/>
    <col min="5" max="5" width="15.7109375" bestFit="1" customWidth="1"/>
  </cols>
  <sheetData>
    <row r="1" spans="1:6" x14ac:dyDescent="0.25">
      <c r="A1" s="7" t="s">
        <v>679</v>
      </c>
      <c r="B1" s="7"/>
      <c r="C1" s="7"/>
      <c r="D1" s="7"/>
      <c r="E1" s="7"/>
    </row>
    <row r="3" spans="1:6" x14ac:dyDescent="0.25">
      <c r="A3" s="8" t="s">
        <v>754</v>
      </c>
      <c r="B3" s="8"/>
      <c r="C3" s="8"/>
      <c r="D3" s="8"/>
      <c r="E3" s="8"/>
    </row>
    <row r="4" spans="1:6" x14ac:dyDescent="0.25">
      <c r="A4" s="8" t="s">
        <v>752</v>
      </c>
      <c r="B4" s="8"/>
      <c r="C4" s="8"/>
      <c r="D4" s="8"/>
      <c r="E4" s="8"/>
    </row>
    <row r="6" spans="1:6" x14ac:dyDescent="0.25">
      <c r="A6" s="8" t="s">
        <v>753</v>
      </c>
      <c r="B6" s="8"/>
      <c r="C6" s="8"/>
      <c r="D6" s="8"/>
      <c r="E6" s="8"/>
    </row>
    <row r="8" spans="1:6" x14ac:dyDescent="0.25">
      <c r="D8" s="3" t="s">
        <v>697</v>
      </c>
    </row>
    <row r="9" spans="1:6" x14ac:dyDescent="0.25">
      <c r="D9" s="3" t="s">
        <v>698</v>
      </c>
    </row>
    <row r="10" spans="1:6" x14ac:dyDescent="0.25">
      <c r="D10" s="3" t="s">
        <v>699</v>
      </c>
      <c r="E10" s="4" t="s">
        <v>0</v>
      </c>
    </row>
    <row r="11" spans="1:6" x14ac:dyDescent="0.25">
      <c r="D11" s="3" t="s">
        <v>1</v>
      </c>
      <c r="E11" s="4" t="s">
        <v>1</v>
      </c>
    </row>
    <row r="12" spans="1:6" x14ac:dyDescent="0.25">
      <c r="A12" s="5" t="s">
        <v>2</v>
      </c>
      <c r="B12" s="5" t="s">
        <v>701</v>
      </c>
      <c r="C12" s="5" t="s">
        <v>702</v>
      </c>
      <c r="D12" s="3" t="s">
        <v>5</v>
      </c>
      <c r="E12" s="4" t="s">
        <v>6</v>
      </c>
    </row>
    <row r="14" spans="1:6" x14ac:dyDescent="0.25">
      <c r="A14">
        <v>50773</v>
      </c>
      <c r="B14" t="s">
        <v>703</v>
      </c>
      <c r="C14" t="s">
        <v>11</v>
      </c>
      <c r="D14">
        <v>797.97</v>
      </c>
      <c r="E14" s="1">
        <f>D14*5732*0.03</f>
        <v>137218.92119999998</v>
      </c>
      <c r="F14" t="s">
        <v>700</v>
      </c>
    </row>
    <row r="15" spans="1:6" x14ac:dyDescent="0.25">
      <c r="A15">
        <v>62042</v>
      </c>
      <c r="B15" t="s">
        <v>704</v>
      </c>
      <c r="C15" t="s">
        <v>21</v>
      </c>
      <c r="D15">
        <v>303.02</v>
      </c>
      <c r="E15" s="1">
        <f t="shared" ref="E15:E62" si="0">D15*5732*0.03</f>
        <v>52107.319199999998</v>
      </c>
      <c r="F15" t="s">
        <v>700</v>
      </c>
    </row>
    <row r="16" spans="1:6" x14ac:dyDescent="0.25">
      <c r="A16">
        <v>50815</v>
      </c>
      <c r="B16" t="s">
        <v>705</v>
      </c>
      <c r="C16" t="s">
        <v>26</v>
      </c>
      <c r="D16">
        <v>736.18</v>
      </c>
      <c r="E16" s="1">
        <f t="shared" si="0"/>
        <v>126593.51279999998</v>
      </c>
      <c r="F16" t="s">
        <v>700</v>
      </c>
    </row>
    <row r="17" spans="1:6" x14ac:dyDescent="0.25">
      <c r="A17">
        <v>51169</v>
      </c>
      <c r="B17" t="s">
        <v>706</v>
      </c>
      <c r="C17" t="s">
        <v>326</v>
      </c>
      <c r="D17">
        <v>344.42</v>
      </c>
      <c r="E17" s="1">
        <f t="shared" si="0"/>
        <v>59226.463200000006</v>
      </c>
      <c r="F17" t="s">
        <v>700</v>
      </c>
    </row>
    <row r="18" spans="1:6" x14ac:dyDescent="0.25">
      <c r="A18">
        <v>50856</v>
      </c>
      <c r="B18" t="s">
        <v>707</v>
      </c>
      <c r="C18" t="s">
        <v>47</v>
      </c>
      <c r="D18">
        <v>472.69</v>
      </c>
      <c r="E18" s="1">
        <f t="shared" si="0"/>
        <v>81283.772400000002</v>
      </c>
      <c r="F18" t="s">
        <v>700</v>
      </c>
    </row>
    <row r="19" spans="1:6" x14ac:dyDescent="0.25">
      <c r="A19">
        <v>51656</v>
      </c>
      <c r="B19" t="s">
        <v>708</v>
      </c>
      <c r="C19" t="s">
        <v>618</v>
      </c>
      <c r="D19">
        <v>869.03</v>
      </c>
      <c r="E19" s="1">
        <f t="shared" si="0"/>
        <v>149438.3988</v>
      </c>
      <c r="F19" t="s">
        <v>700</v>
      </c>
    </row>
    <row r="20" spans="1:6" x14ac:dyDescent="0.25">
      <c r="A20">
        <v>50880</v>
      </c>
      <c r="B20" t="s">
        <v>709</v>
      </c>
      <c r="C20" t="s">
        <v>61</v>
      </c>
      <c r="D20" s="1">
        <v>3117.75</v>
      </c>
      <c r="E20" s="1">
        <f t="shared" si="0"/>
        <v>536128.29</v>
      </c>
      <c r="F20" t="s">
        <v>700</v>
      </c>
    </row>
    <row r="21" spans="1:6" x14ac:dyDescent="0.25">
      <c r="A21">
        <v>51201</v>
      </c>
      <c r="B21" t="s">
        <v>710</v>
      </c>
      <c r="C21" t="s">
        <v>342</v>
      </c>
      <c r="D21">
        <v>700.27</v>
      </c>
      <c r="E21" s="1">
        <f t="shared" si="0"/>
        <v>120418.42919999998</v>
      </c>
    </row>
    <row r="22" spans="1:6" x14ac:dyDescent="0.25">
      <c r="A22">
        <v>50906</v>
      </c>
      <c r="B22" t="s">
        <v>711</v>
      </c>
      <c r="C22" t="s">
        <v>104</v>
      </c>
      <c r="D22">
        <v>328.36</v>
      </c>
      <c r="E22" s="1">
        <f t="shared" si="0"/>
        <v>56464.785599999996</v>
      </c>
    </row>
    <row r="23" spans="1:6" x14ac:dyDescent="0.25">
      <c r="A23">
        <v>65227</v>
      </c>
      <c r="B23" t="s">
        <v>712</v>
      </c>
      <c r="C23" t="s">
        <v>116</v>
      </c>
      <c r="D23">
        <v>220.72</v>
      </c>
      <c r="E23" s="1">
        <f t="shared" si="0"/>
        <v>37955.011200000001</v>
      </c>
    </row>
    <row r="24" spans="1:6" x14ac:dyDescent="0.25">
      <c r="A24">
        <v>50922</v>
      </c>
      <c r="B24" t="s">
        <v>713</v>
      </c>
      <c r="C24" t="s">
        <v>127</v>
      </c>
      <c r="D24">
        <v>469.73</v>
      </c>
      <c r="E24" s="1">
        <f t="shared" si="0"/>
        <v>80774.770800000013</v>
      </c>
    </row>
    <row r="25" spans="1:6" x14ac:dyDescent="0.25">
      <c r="A25">
        <v>50989</v>
      </c>
      <c r="B25" t="s">
        <v>714</v>
      </c>
      <c r="C25" t="s">
        <v>172</v>
      </c>
      <c r="D25">
        <v>536.66</v>
      </c>
      <c r="E25" s="1">
        <f t="shared" si="0"/>
        <v>92284.053599999985</v>
      </c>
    </row>
    <row r="26" spans="1:6" x14ac:dyDescent="0.25">
      <c r="A26">
        <v>51003</v>
      </c>
      <c r="B26" t="s">
        <v>715</v>
      </c>
      <c r="C26" t="s">
        <v>197</v>
      </c>
      <c r="D26" s="1">
        <v>1259.1500000000001</v>
      </c>
      <c r="E26" s="1">
        <f t="shared" si="0"/>
        <v>216523.43400000001</v>
      </c>
    </row>
    <row r="27" spans="1:6" x14ac:dyDescent="0.25">
      <c r="A27">
        <v>51029</v>
      </c>
      <c r="B27" t="s">
        <v>716</v>
      </c>
      <c r="C27" t="s">
        <v>177</v>
      </c>
      <c r="D27">
        <v>741.11</v>
      </c>
      <c r="E27" s="1">
        <f t="shared" si="0"/>
        <v>127441.27560000001</v>
      </c>
    </row>
    <row r="28" spans="1:6" x14ac:dyDescent="0.25">
      <c r="A28">
        <v>50963</v>
      </c>
      <c r="B28" t="s">
        <v>717</v>
      </c>
      <c r="C28" t="s">
        <v>287</v>
      </c>
      <c r="D28">
        <v>986.41</v>
      </c>
      <c r="E28" s="1">
        <f t="shared" si="0"/>
        <v>169623.06359999999</v>
      </c>
    </row>
    <row r="29" spans="1:6" x14ac:dyDescent="0.25">
      <c r="A29">
        <v>62067</v>
      </c>
      <c r="B29" t="s">
        <v>718</v>
      </c>
      <c r="C29" t="s">
        <v>222</v>
      </c>
      <c r="D29">
        <v>531.1</v>
      </c>
      <c r="E29" s="1">
        <f t="shared" si="0"/>
        <v>91327.956000000006</v>
      </c>
    </row>
    <row r="30" spans="1:6" x14ac:dyDescent="0.25">
      <c r="A30">
        <v>51060</v>
      </c>
      <c r="B30" t="s">
        <v>719</v>
      </c>
      <c r="C30" t="s">
        <v>245</v>
      </c>
      <c r="D30" s="1">
        <v>3474.19</v>
      </c>
      <c r="E30" s="1">
        <f t="shared" si="0"/>
        <v>597421.71240000008</v>
      </c>
    </row>
    <row r="31" spans="1:6" x14ac:dyDescent="0.25">
      <c r="A31">
        <v>51045</v>
      </c>
      <c r="B31" t="s">
        <v>720</v>
      </c>
      <c r="C31" t="s">
        <v>233</v>
      </c>
      <c r="D31">
        <v>718.81</v>
      </c>
      <c r="E31" s="1">
        <f t="shared" si="0"/>
        <v>123606.56759999998</v>
      </c>
    </row>
    <row r="32" spans="1:6" x14ac:dyDescent="0.25">
      <c r="A32">
        <v>51128</v>
      </c>
      <c r="B32" t="s">
        <v>721</v>
      </c>
      <c r="C32" t="s">
        <v>315</v>
      </c>
      <c r="D32">
        <v>375.43</v>
      </c>
      <c r="E32" s="1">
        <f t="shared" si="0"/>
        <v>64558.942800000004</v>
      </c>
    </row>
    <row r="33" spans="1:5" x14ac:dyDescent="0.25">
      <c r="A33">
        <v>51144</v>
      </c>
      <c r="B33" t="s">
        <v>722</v>
      </c>
      <c r="C33" t="s">
        <v>320</v>
      </c>
      <c r="D33">
        <v>581.53</v>
      </c>
      <c r="E33" s="1">
        <f t="shared" si="0"/>
        <v>99999.898799999995</v>
      </c>
    </row>
    <row r="34" spans="1:5" x14ac:dyDescent="0.25">
      <c r="A34">
        <v>51185</v>
      </c>
      <c r="B34" t="s">
        <v>723</v>
      </c>
      <c r="C34" t="s">
        <v>334</v>
      </c>
      <c r="D34">
        <v>651.66</v>
      </c>
      <c r="E34" s="1">
        <f t="shared" si="0"/>
        <v>112059.45359999998</v>
      </c>
    </row>
    <row r="35" spans="1:5" x14ac:dyDescent="0.25">
      <c r="A35">
        <v>51227</v>
      </c>
      <c r="B35" t="s">
        <v>724</v>
      </c>
      <c r="C35" t="s">
        <v>357</v>
      </c>
      <c r="D35" s="1">
        <v>1180.7</v>
      </c>
      <c r="E35" s="1">
        <f t="shared" si="0"/>
        <v>203033.17199999999</v>
      </c>
    </row>
    <row r="36" spans="1:5" x14ac:dyDescent="0.25">
      <c r="A36">
        <v>51243</v>
      </c>
      <c r="B36" t="s">
        <v>725</v>
      </c>
      <c r="C36" t="s">
        <v>386</v>
      </c>
      <c r="D36">
        <v>635.16999999999996</v>
      </c>
      <c r="E36" s="1">
        <f t="shared" si="0"/>
        <v>109223.83319999999</v>
      </c>
    </row>
    <row r="37" spans="1:5" x14ac:dyDescent="0.25">
      <c r="A37">
        <v>51391</v>
      </c>
      <c r="B37" t="s">
        <v>726</v>
      </c>
      <c r="C37" t="s">
        <v>490</v>
      </c>
      <c r="D37">
        <v>689.78</v>
      </c>
      <c r="E37" s="1">
        <f t="shared" si="0"/>
        <v>118614.56879999999</v>
      </c>
    </row>
    <row r="38" spans="1:5" x14ac:dyDescent="0.25">
      <c r="A38">
        <v>62109</v>
      </c>
      <c r="B38" t="s">
        <v>727</v>
      </c>
      <c r="C38" t="s">
        <v>405</v>
      </c>
      <c r="D38" s="1">
        <v>1049.4100000000001</v>
      </c>
      <c r="E38" s="1">
        <f t="shared" si="0"/>
        <v>180456.5436</v>
      </c>
    </row>
    <row r="39" spans="1:5" x14ac:dyDescent="0.25">
      <c r="A39">
        <v>51284</v>
      </c>
      <c r="B39" t="s">
        <v>728</v>
      </c>
      <c r="C39" t="s">
        <v>433</v>
      </c>
      <c r="D39" s="1">
        <v>2008.78</v>
      </c>
      <c r="E39" s="1">
        <f t="shared" si="0"/>
        <v>345429.80879999994</v>
      </c>
    </row>
    <row r="40" spans="1:5" x14ac:dyDescent="0.25">
      <c r="A40">
        <v>51300</v>
      </c>
      <c r="B40" t="s">
        <v>729</v>
      </c>
      <c r="C40" t="s">
        <v>455</v>
      </c>
      <c r="D40" s="1">
        <v>1070.3</v>
      </c>
      <c r="E40" s="1">
        <f t="shared" si="0"/>
        <v>184048.78799999997</v>
      </c>
    </row>
    <row r="41" spans="1:5" x14ac:dyDescent="0.25">
      <c r="A41">
        <v>51334</v>
      </c>
      <c r="B41" t="s">
        <v>730</v>
      </c>
      <c r="C41" t="s">
        <v>353</v>
      </c>
      <c r="D41">
        <v>801.18</v>
      </c>
      <c r="E41" s="1">
        <f t="shared" si="0"/>
        <v>137770.91279999999</v>
      </c>
    </row>
    <row r="42" spans="1:5" x14ac:dyDescent="0.25">
      <c r="A42">
        <v>51359</v>
      </c>
      <c r="B42" t="s">
        <v>731</v>
      </c>
      <c r="C42" t="s">
        <v>667</v>
      </c>
      <c r="D42" s="1">
        <v>1949.97</v>
      </c>
      <c r="E42" s="1">
        <f t="shared" si="0"/>
        <v>335316.84120000002</v>
      </c>
    </row>
    <row r="43" spans="1:5" x14ac:dyDescent="0.25">
      <c r="A43">
        <v>51433</v>
      </c>
      <c r="B43" t="s">
        <v>732</v>
      </c>
      <c r="C43" t="s">
        <v>527</v>
      </c>
      <c r="D43" s="1">
        <v>1044.3399999999999</v>
      </c>
      <c r="E43" s="1">
        <f t="shared" si="0"/>
        <v>179584.7064</v>
      </c>
    </row>
    <row r="44" spans="1:5" x14ac:dyDescent="0.25">
      <c r="A44">
        <v>51375</v>
      </c>
      <c r="B44" t="s">
        <v>733</v>
      </c>
      <c r="C44" t="s">
        <v>486</v>
      </c>
      <c r="D44">
        <v>439.92</v>
      </c>
      <c r="E44" s="1">
        <f t="shared" si="0"/>
        <v>75648.643199999991</v>
      </c>
    </row>
    <row r="45" spans="1:5" x14ac:dyDescent="0.25">
      <c r="A45">
        <v>51417</v>
      </c>
      <c r="B45" t="s">
        <v>734</v>
      </c>
      <c r="C45" t="s">
        <v>519</v>
      </c>
      <c r="D45" s="1">
        <v>1270.42</v>
      </c>
      <c r="E45" s="1">
        <f t="shared" si="0"/>
        <v>218461.42319999999</v>
      </c>
    </row>
    <row r="46" spans="1:5" x14ac:dyDescent="0.25">
      <c r="A46">
        <v>50948</v>
      </c>
      <c r="B46" t="s">
        <v>735</v>
      </c>
      <c r="C46" t="s">
        <v>127</v>
      </c>
      <c r="D46">
        <v>630.47</v>
      </c>
      <c r="E46" s="1">
        <f t="shared" si="0"/>
        <v>108415.62119999999</v>
      </c>
    </row>
    <row r="47" spans="1:5" x14ac:dyDescent="0.25">
      <c r="A47">
        <v>63495</v>
      </c>
      <c r="B47" t="s">
        <v>736</v>
      </c>
      <c r="C47" t="s">
        <v>582</v>
      </c>
      <c r="D47">
        <v>386.77</v>
      </c>
      <c r="E47" s="1">
        <f t="shared" si="0"/>
        <v>66508.969199999992</v>
      </c>
    </row>
    <row r="48" spans="1:5" x14ac:dyDescent="0.25">
      <c r="A48">
        <v>51490</v>
      </c>
      <c r="B48" t="s">
        <v>737</v>
      </c>
      <c r="C48" t="s">
        <v>539</v>
      </c>
      <c r="D48">
        <v>456.84</v>
      </c>
      <c r="E48" s="1">
        <f t="shared" si="0"/>
        <v>78558.206399999995</v>
      </c>
    </row>
    <row r="49" spans="1:5" x14ac:dyDescent="0.25">
      <c r="A49">
        <v>50799</v>
      </c>
      <c r="B49" t="s">
        <v>738</v>
      </c>
      <c r="C49" t="s">
        <v>55</v>
      </c>
      <c r="D49">
        <v>367.26</v>
      </c>
      <c r="E49" s="1">
        <f t="shared" si="0"/>
        <v>63154.029599999994</v>
      </c>
    </row>
    <row r="50" spans="1:5" x14ac:dyDescent="0.25">
      <c r="A50">
        <v>51532</v>
      </c>
      <c r="B50" t="s">
        <v>739</v>
      </c>
      <c r="C50" t="s">
        <v>81</v>
      </c>
      <c r="D50">
        <v>727.14</v>
      </c>
      <c r="E50" s="1">
        <f t="shared" si="0"/>
        <v>125038.9944</v>
      </c>
    </row>
    <row r="51" spans="1:5" x14ac:dyDescent="0.25">
      <c r="A51">
        <v>62026</v>
      </c>
      <c r="B51" t="s">
        <v>740</v>
      </c>
      <c r="C51" t="s">
        <v>566</v>
      </c>
      <c r="D51">
        <v>700.95</v>
      </c>
      <c r="E51" s="1">
        <f t="shared" si="0"/>
        <v>120535.36200000001</v>
      </c>
    </row>
    <row r="52" spans="1:5" x14ac:dyDescent="0.25">
      <c r="A52">
        <v>63511</v>
      </c>
      <c r="B52" t="s">
        <v>741</v>
      </c>
      <c r="C52" t="s">
        <v>381</v>
      </c>
      <c r="D52">
        <v>591.14</v>
      </c>
      <c r="E52" s="1">
        <f t="shared" si="0"/>
        <v>101652.4344</v>
      </c>
    </row>
    <row r="53" spans="1:5" x14ac:dyDescent="0.25">
      <c r="A53">
        <v>51607</v>
      </c>
      <c r="B53" t="s">
        <v>742</v>
      </c>
      <c r="C53" t="s">
        <v>34</v>
      </c>
      <c r="D53">
        <v>486.45</v>
      </c>
      <c r="E53" s="1">
        <f t="shared" si="0"/>
        <v>83649.941999999995</v>
      </c>
    </row>
    <row r="54" spans="1:5" x14ac:dyDescent="0.25">
      <c r="A54">
        <v>65268</v>
      </c>
      <c r="B54" t="s">
        <v>743</v>
      </c>
      <c r="C54" t="s">
        <v>399</v>
      </c>
      <c r="D54">
        <v>643.71</v>
      </c>
      <c r="E54" s="1">
        <f t="shared" si="0"/>
        <v>110692.3716</v>
      </c>
    </row>
    <row r="55" spans="1:5" x14ac:dyDescent="0.25">
      <c r="A55">
        <v>51631</v>
      </c>
      <c r="B55" t="s">
        <v>744</v>
      </c>
      <c r="C55" t="s">
        <v>597</v>
      </c>
      <c r="D55">
        <v>978.99</v>
      </c>
      <c r="E55" s="1">
        <f t="shared" si="0"/>
        <v>168347.12039999999</v>
      </c>
    </row>
    <row r="56" spans="1:5" x14ac:dyDescent="0.25">
      <c r="A56">
        <v>62802</v>
      </c>
      <c r="B56" t="s">
        <v>745</v>
      </c>
      <c r="C56" t="s">
        <v>89</v>
      </c>
      <c r="D56">
        <v>301.01</v>
      </c>
      <c r="E56" s="1">
        <f t="shared" si="0"/>
        <v>51761.679599999996</v>
      </c>
    </row>
    <row r="57" spans="1:5" x14ac:dyDescent="0.25">
      <c r="A57">
        <v>62125</v>
      </c>
      <c r="B57" t="s">
        <v>746</v>
      </c>
      <c r="C57" t="s">
        <v>421</v>
      </c>
      <c r="D57" s="1">
        <v>1054.45</v>
      </c>
      <c r="E57" s="1">
        <f t="shared" si="0"/>
        <v>181323.22200000001</v>
      </c>
    </row>
    <row r="58" spans="1:5" x14ac:dyDescent="0.25">
      <c r="A58">
        <v>51458</v>
      </c>
      <c r="B58" t="s">
        <v>747</v>
      </c>
      <c r="C58" t="s">
        <v>534</v>
      </c>
      <c r="D58" s="1">
        <v>1083.22</v>
      </c>
      <c r="E58" s="1">
        <f t="shared" si="0"/>
        <v>186270.51120000001</v>
      </c>
    </row>
    <row r="59" spans="1:5" x14ac:dyDescent="0.25">
      <c r="A59">
        <v>51672</v>
      </c>
      <c r="B59" t="s">
        <v>748</v>
      </c>
      <c r="C59" t="s">
        <v>631</v>
      </c>
      <c r="D59">
        <v>552.28</v>
      </c>
      <c r="E59" s="1">
        <f t="shared" si="0"/>
        <v>94970.068799999994</v>
      </c>
    </row>
    <row r="60" spans="1:5" x14ac:dyDescent="0.25">
      <c r="A60">
        <v>51474</v>
      </c>
      <c r="B60" t="s">
        <v>749</v>
      </c>
      <c r="C60" t="s">
        <v>636</v>
      </c>
      <c r="D60">
        <v>921</v>
      </c>
      <c r="E60" s="1">
        <f t="shared" si="0"/>
        <v>158375.16</v>
      </c>
    </row>
    <row r="61" spans="1:5" x14ac:dyDescent="0.25">
      <c r="A61">
        <v>51698</v>
      </c>
      <c r="B61" t="s">
        <v>750</v>
      </c>
      <c r="C61" t="s">
        <v>645</v>
      </c>
      <c r="D61">
        <v>463.69</v>
      </c>
      <c r="E61" s="1">
        <f t="shared" si="0"/>
        <v>79736.132400000002</v>
      </c>
    </row>
    <row r="62" spans="1:5" x14ac:dyDescent="0.25">
      <c r="A62">
        <v>51714</v>
      </c>
      <c r="B62" t="s">
        <v>751</v>
      </c>
      <c r="C62" t="s">
        <v>652</v>
      </c>
      <c r="D62">
        <v>781.8</v>
      </c>
      <c r="E62" s="1">
        <f t="shared" si="0"/>
        <v>134438.32799999998</v>
      </c>
    </row>
  </sheetData>
  <mergeCells count="4">
    <mergeCell ref="A1:E1"/>
    <mergeCell ref="A3:E3"/>
    <mergeCell ref="A4:E4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sqref="A1:D1"/>
    </sheetView>
  </sheetViews>
  <sheetFormatPr defaultRowHeight="15" x14ac:dyDescent="0.25"/>
  <cols>
    <col min="1" max="1" width="6" bestFit="1" customWidth="1"/>
    <col min="2" max="2" width="34.5703125" bestFit="1" customWidth="1"/>
    <col min="3" max="3" width="12.42578125" bestFit="1" customWidth="1"/>
    <col min="4" max="4" width="15.7109375" bestFit="1" customWidth="1"/>
  </cols>
  <sheetData>
    <row r="1" spans="1:4" x14ac:dyDescent="0.25">
      <c r="A1" s="7" t="s">
        <v>679</v>
      </c>
      <c r="B1" s="7"/>
      <c r="C1" s="7"/>
      <c r="D1" s="7"/>
    </row>
    <row r="3" spans="1:4" x14ac:dyDescent="0.25">
      <c r="A3" s="8" t="s">
        <v>755</v>
      </c>
      <c r="B3" s="8"/>
      <c r="C3" s="8"/>
      <c r="D3" s="8"/>
    </row>
    <row r="4" spans="1:4" x14ac:dyDescent="0.25">
      <c r="A4" s="8" t="s">
        <v>756</v>
      </c>
      <c r="B4" s="8"/>
      <c r="C4" s="8"/>
      <c r="D4" s="8"/>
    </row>
    <row r="6" spans="1:4" x14ac:dyDescent="0.25">
      <c r="A6" s="8" t="s">
        <v>753</v>
      </c>
      <c r="B6" s="8"/>
      <c r="C6" s="8"/>
      <c r="D6" s="8"/>
    </row>
    <row r="8" spans="1:4" x14ac:dyDescent="0.25">
      <c r="D8" s="4" t="s">
        <v>684</v>
      </c>
    </row>
    <row r="9" spans="1:4" x14ac:dyDescent="0.25">
      <c r="D9" s="4" t="s">
        <v>685</v>
      </c>
    </row>
    <row r="10" spans="1:4" x14ac:dyDescent="0.25">
      <c r="D10" s="4" t="s">
        <v>688</v>
      </c>
    </row>
    <row r="11" spans="1:4" x14ac:dyDescent="0.25">
      <c r="D11" s="4" t="s">
        <v>691</v>
      </c>
    </row>
    <row r="12" spans="1:4" x14ac:dyDescent="0.25">
      <c r="A12" s="5" t="s">
        <v>2</v>
      </c>
      <c r="B12" s="5" t="s">
        <v>701</v>
      </c>
      <c r="C12" s="5" t="s">
        <v>702</v>
      </c>
      <c r="D12" s="4" t="s">
        <v>694</v>
      </c>
    </row>
    <row r="14" spans="1:4" x14ac:dyDescent="0.25">
      <c r="A14">
        <v>50773</v>
      </c>
      <c r="B14" t="s">
        <v>703</v>
      </c>
      <c r="C14" t="s">
        <v>11</v>
      </c>
      <c r="D14" s="1">
        <v>6357693.4800000004</v>
      </c>
    </row>
    <row r="15" spans="1:4" x14ac:dyDescent="0.25">
      <c r="A15">
        <v>62042</v>
      </c>
      <c r="B15" t="s">
        <v>704</v>
      </c>
      <c r="C15" t="s">
        <v>21</v>
      </c>
      <c r="D15" s="1">
        <v>2363911</v>
      </c>
    </row>
    <row r="16" spans="1:4" x14ac:dyDescent="0.25">
      <c r="A16">
        <v>50815</v>
      </c>
      <c r="B16" t="s">
        <v>705</v>
      </c>
      <c r="C16" t="s">
        <v>26</v>
      </c>
      <c r="D16" s="1">
        <v>4841674.09</v>
      </c>
    </row>
    <row r="17" spans="1:4" x14ac:dyDescent="0.25">
      <c r="A17">
        <v>51169</v>
      </c>
      <c r="B17" t="s">
        <v>706</v>
      </c>
      <c r="C17" t="s">
        <v>326</v>
      </c>
      <c r="D17" s="1">
        <v>1818031.77</v>
      </c>
    </row>
    <row r="18" spans="1:4" x14ac:dyDescent="0.25">
      <c r="A18">
        <v>50856</v>
      </c>
      <c r="B18" t="s">
        <v>707</v>
      </c>
      <c r="C18" t="s">
        <v>47</v>
      </c>
      <c r="D18" s="1">
        <v>4354155.83</v>
      </c>
    </row>
    <row r="19" spans="1:4" x14ac:dyDescent="0.25">
      <c r="A19">
        <v>51656</v>
      </c>
      <c r="B19" t="s">
        <v>708</v>
      </c>
      <c r="C19" t="s">
        <v>618</v>
      </c>
      <c r="D19" s="1">
        <v>6507885.8099999996</v>
      </c>
    </row>
    <row r="20" spans="1:4" x14ac:dyDescent="0.25">
      <c r="A20">
        <v>50880</v>
      </c>
      <c r="B20" t="s">
        <v>709</v>
      </c>
      <c r="C20" t="s">
        <v>61</v>
      </c>
      <c r="D20" s="1">
        <v>23293884.190000001</v>
      </c>
    </row>
    <row r="21" spans="1:4" x14ac:dyDescent="0.25">
      <c r="A21">
        <v>51201</v>
      </c>
      <c r="B21" t="s">
        <v>710</v>
      </c>
      <c r="C21" t="s">
        <v>342</v>
      </c>
      <c r="D21" s="1">
        <v>4520750.1900000004</v>
      </c>
    </row>
    <row r="22" spans="1:4" x14ac:dyDescent="0.25">
      <c r="A22">
        <v>50906</v>
      </c>
      <c r="B22" t="s">
        <v>711</v>
      </c>
      <c r="C22" t="s">
        <v>104</v>
      </c>
      <c r="D22" s="1">
        <v>3703959.71</v>
      </c>
    </row>
    <row r="23" spans="1:4" x14ac:dyDescent="0.25">
      <c r="A23">
        <v>65227</v>
      </c>
      <c r="B23" t="s">
        <v>712</v>
      </c>
      <c r="C23" t="s">
        <v>116</v>
      </c>
      <c r="D23" s="1">
        <v>1941406.21</v>
      </c>
    </row>
    <row r="24" spans="1:4" x14ac:dyDescent="0.25">
      <c r="A24">
        <v>50922</v>
      </c>
      <c r="B24" t="s">
        <v>713</v>
      </c>
      <c r="C24" t="s">
        <v>127</v>
      </c>
      <c r="D24" s="1">
        <v>1666099.35</v>
      </c>
    </row>
    <row r="25" spans="1:4" x14ac:dyDescent="0.25">
      <c r="A25">
        <v>50989</v>
      </c>
      <c r="B25" t="s">
        <v>714</v>
      </c>
      <c r="C25" t="s">
        <v>172</v>
      </c>
      <c r="D25" s="1">
        <v>3650593.9</v>
      </c>
    </row>
    <row r="26" spans="1:4" x14ac:dyDescent="0.25">
      <c r="A26">
        <v>51003</v>
      </c>
      <c r="B26" t="s">
        <v>715</v>
      </c>
      <c r="C26" t="s">
        <v>197</v>
      </c>
      <c r="D26" s="1">
        <v>4529174.59</v>
      </c>
    </row>
    <row r="27" spans="1:4" x14ac:dyDescent="0.25">
      <c r="A27">
        <v>51029</v>
      </c>
      <c r="B27" t="s">
        <v>716</v>
      </c>
      <c r="C27" t="s">
        <v>177</v>
      </c>
      <c r="D27" s="1">
        <v>4343189.88</v>
      </c>
    </row>
    <row r="28" spans="1:4" x14ac:dyDescent="0.25">
      <c r="A28">
        <v>50963</v>
      </c>
      <c r="B28" t="s">
        <v>717</v>
      </c>
      <c r="C28" t="s">
        <v>287</v>
      </c>
      <c r="D28" s="1">
        <v>7229200.6200000001</v>
      </c>
    </row>
    <row r="29" spans="1:4" x14ac:dyDescent="0.25">
      <c r="A29">
        <v>62067</v>
      </c>
      <c r="B29" t="s">
        <v>718</v>
      </c>
      <c r="C29" t="s">
        <v>222</v>
      </c>
      <c r="D29" s="1">
        <v>5238665.6100000003</v>
      </c>
    </row>
    <row r="30" spans="1:4" x14ac:dyDescent="0.25">
      <c r="A30">
        <v>51060</v>
      </c>
      <c r="B30" t="s">
        <v>719</v>
      </c>
      <c r="C30" t="s">
        <v>245</v>
      </c>
      <c r="D30" s="1">
        <v>13414765.130000001</v>
      </c>
    </row>
    <row r="31" spans="1:4" x14ac:dyDescent="0.25">
      <c r="A31">
        <v>51045</v>
      </c>
      <c r="B31" t="s">
        <v>720</v>
      </c>
      <c r="C31" t="s">
        <v>233</v>
      </c>
      <c r="D31" s="1">
        <v>4261004.43</v>
      </c>
    </row>
    <row r="32" spans="1:4" x14ac:dyDescent="0.25">
      <c r="A32">
        <v>51128</v>
      </c>
      <c r="B32" t="s">
        <v>721</v>
      </c>
      <c r="C32" t="s">
        <v>315</v>
      </c>
      <c r="D32" s="1">
        <v>2677893.29</v>
      </c>
    </row>
    <row r="33" spans="1:4" x14ac:dyDescent="0.25">
      <c r="A33">
        <v>51144</v>
      </c>
      <c r="B33" t="s">
        <v>722</v>
      </c>
      <c r="C33" t="s">
        <v>320</v>
      </c>
      <c r="D33" s="1">
        <v>4887674.8799999999</v>
      </c>
    </row>
    <row r="34" spans="1:4" x14ac:dyDescent="0.25">
      <c r="A34">
        <v>51185</v>
      </c>
      <c r="B34" t="s">
        <v>723</v>
      </c>
      <c r="C34" t="s">
        <v>334</v>
      </c>
      <c r="D34" s="1">
        <v>4867789.7</v>
      </c>
    </row>
    <row r="35" spans="1:4" x14ac:dyDescent="0.25">
      <c r="A35">
        <v>51227</v>
      </c>
      <c r="B35" t="s">
        <v>724</v>
      </c>
      <c r="C35" t="s">
        <v>357</v>
      </c>
      <c r="D35" s="1">
        <v>7126194.2300000004</v>
      </c>
    </row>
    <row r="36" spans="1:4" x14ac:dyDescent="0.25">
      <c r="A36">
        <v>51243</v>
      </c>
      <c r="B36" t="s">
        <v>725</v>
      </c>
      <c r="C36" t="s">
        <v>386</v>
      </c>
      <c r="D36" s="1">
        <v>3315911.4</v>
      </c>
    </row>
    <row r="37" spans="1:4" x14ac:dyDescent="0.25">
      <c r="A37">
        <v>51391</v>
      </c>
      <c r="B37" t="s">
        <v>726</v>
      </c>
      <c r="C37" t="s">
        <v>490</v>
      </c>
      <c r="D37" s="1">
        <v>4305465.6900000004</v>
      </c>
    </row>
    <row r="38" spans="1:4" x14ac:dyDescent="0.25">
      <c r="A38">
        <v>62109</v>
      </c>
      <c r="B38" t="s">
        <v>727</v>
      </c>
      <c r="C38" t="s">
        <v>405</v>
      </c>
      <c r="D38" s="1">
        <v>6560759.0999999996</v>
      </c>
    </row>
    <row r="39" spans="1:4" x14ac:dyDescent="0.25">
      <c r="A39">
        <v>51284</v>
      </c>
      <c r="B39" t="s">
        <v>728</v>
      </c>
      <c r="C39" t="s">
        <v>433</v>
      </c>
      <c r="D39" s="1">
        <v>12801717.619999999</v>
      </c>
    </row>
    <row r="40" spans="1:4" x14ac:dyDescent="0.25">
      <c r="A40">
        <v>51300</v>
      </c>
      <c r="B40" t="s">
        <v>729</v>
      </c>
      <c r="C40" t="s">
        <v>455</v>
      </c>
      <c r="D40" s="1">
        <v>7488351.25</v>
      </c>
    </row>
    <row r="41" spans="1:4" x14ac:dyDescent="0.25">
      <c r="A41">
        <v>51334</v>
      </c>
      <c r="B41" t="s">
        <v>730</v>
      </c>
      <c r="C41" t="s">
        <v>353</v>
      </c>
      <c r="D41" s="1">
        <v>5256671.93</v>
      </c>
    </row>
    <row r="42" spans="1:4" x14ac:dyDescent="0.25">
      <c r="A42">
        <v>51359</v>
      </c>
      <c r="B42" t="s">
        <v>731</v>
      </c>
      <c r="C42" t="s">
        <v>667</v>
      </c>
      <c r="D42" s="1">
        <v>13648588.9</v>
      </c>
    </row>
    <row r="43" spans="1:4" x14ac:dyDescent="0.25">
      <c r="A43">
        <v>51433</v>
      </c>
      <c r="B43" t="s">
        <v>732</v>
      </c>
      <c r="C43" t="s">
        <v>527</v>
      </c>
      <c r="D43" s="1">
        <v>9578933.6400000006</v>
      </c>
    </row>
    <row r="44" spans="1:4" x14ac:dyDescent="0.25">
      <c r="A44">
        <v>51375</v>
      </c>
      <c r="B44" t="s">
        <v>733</v>
      </c>
      <c r="C44" t="s">
        <v>486</v>
      </c>
      <c r="D44" s="1">
        <v>4019081.43</v>
      </c>
    </row>
    <row r="45" spans="1:4" x14ac:dyDescent="0.25">
      <c r="A45">
        <v>51417</v>
      </c>
      <c r="B45" t="s">
        <v>734</v>
      </c>
      <c r="C45" t="s">
        <v>519</v>
      </c>
      <c r="D45" s="1">
        <v>9624830.7200000007</v>
      </c>
    </row>
    <row r="46" spans="1:4" x14ac:dyDescent="0.25">
      <c r="A46">
        <v>50948</v>
      </c>
      <c r="B46" t="s">
        <v>735</v>
      </c>
      <c r="C46" t="s">
        <v>127</v>
      </c>
      <c r="D46" s="1">
        <v>2296894.2799999998</v>
      </c>
    </row>
    <row r="47" spans="1:4" x14ac:dyDescent="0.25">
      <c r="A47">
        <v>63495</v>
      </c>
      <c r="B47" t="s">
        <v>736</v>
      </c>
      <c r="C47" t="s">
        <v>582</v>
      </c>
      <c r="D47" s="1">
        <v>2746791.39</v>
      </c>
    </row>
    <row r="48" spans="1:4" x14ac:dyDescent="0.25">
      <c r="A48">
        <v>51490</v>
      </c>
      <c r="B48" t="s">
        <v>737</v>
      </c>
      <c r="C48" t="s">
        <v>539</v>
      </c>
      <c r="D48" s="1">
        <v>4013141.18</v>
      </c>
    </row>
    <row r="49" spans="1:4" x14ac:dyDescent="0.25">
      <c r="A49">
        <v>50799</v>
      </c>
      <c r="B49" t="s">
        <v>738</v>
      </c>
      <c r="C49" t="s">
        <v>55</v>
      </c>
      <c r="D49" s="1">
        <v>3253199.25</v>
      </c>
    </row>
    <row r="50" spans="1:4" x14ac:dyDescent="0.25">
      <c r="A50">
        <v>51532</v>
      </c>
      <c r="B50" t="s">
        <v>739</v>
      </c>
      <c r="C50" t="s">
        <v>81</v>
      </c>
      <c r="D50" s="1">
        <v>5486637.4000000004</v>
      </c>
    </row>
    <row r="51" spans="1:4" x14ac:dyDescent="0.25">
      <c r="A51">
        <v>62026</v>
      </c>
      <c r="B51" t="s">
        <v>740</v>
      </c>
      <c r="C51" t="s">
        <v>566</v>
      </c>
      <c r="D51" s="1">
        <v>4441188.51</v>
      </c>
    </row>
    <row r="52" spans="1:4" x14ac:dyDescent="0.25">
      <c r="A52">
        <v>63511</v>
      </c>
      <c r="B52" t="s">
        <v>741</v>
      </c>
      <c r="C52" t="s">
        <v>381</v>
      </c>
      <c r="D52" s="1">
        <v>2151664.7000000002</v>
      </c>
    </row>
    <row r="53" spans="1:4" x14ac:dyDescent="0.25">
      <c r="A53">
        <v>51607</v>
      </c>
      <c r="B53" t="s">
        <v>742</v>
      </c>
      <c r="C53" t="s">
        <v>34</v>
      </c>
      <c r="D53" s="1">
        <v>3417211.47</v>
      </c>
    </row>
    <row r="54" spans="1:4" x14ac:dyDescent="0.25">
      <c r="A54">
        <v>65268</v>
      </c>
      <c r="B54" t="s">
        <v>743</v>
      </c>
      <c r="C54" t="s">
        <v>399</v>
      </c>
      <c r="D54" s="1">
        <v>5696723.6299999999</v>
      </c>
    </row>
    <row r="55" spans="1:4" x14ac:dyDescent="0.25">
      <c r="A55">
        <v>51631</v>
      </c>
      <c r="B55" t="s">
        <v>744</v>
      </c>
      <c r="C55" t="s">
        <v>597</v>
      </c>
      <c r="D55" s="1">
        <v>6274478.6900000004</v>
      </c>
    </row>
    <row r="56" spans="1:4" x14ac:dyDescent="0.25">
      <c r="A56">
        <v>62802</v>
      </c>
      <c r="B56" t="s">
        <v>745</v>
      </c>
      <c r="C56" t="s">
        <v>89</v>
      </c>
      <c r="D56" s="1">
        <v>2497421.34</v>
      </c>
    </row>
    <row r="57" spans="1:4" x14ac:dyDescent="0.25">
      <c r="A57">
        <v>62125</v>
      </c>
      <c r="B57" t="s">
        <v>746</v>
      </c>
      <c r="C57" t="s">
        <v>421</v>
      </c>
      <c r="D57" s="1">
        <v>8662496.5999999996</v>
      </c>
    </row>
    <row r="58" spans="1:4" x14ac:dyDescent="0.25">
      <c r="A58">
        <v>51458</v>
      </c>
      <c r="B58" t="s">
        <v>747</v>
      </c>
      <c r="C58" t="s">
        <v>534</v>
      </c>
      <c r="D58" s="1">
        <v>8395282.5800000001</v>
      </c>
    </row>
    <row r="59" spans="1:4" x14ac:dyDescent="0.25">
      <c r="A59">
        <v>51672</v>
      </c>
      <c r="B59" t="s">
        <v>748</v>
      </c>
      <c r="C59" t="s">
        <v>631</v>
      </c>
      <c r="D59" s="1">
        <v>4401715.45</v>
      </c>
    </row>
    <row r="60" spans="1:4" x14ac:dyDescent="0.25">
      <c r="A60">
        <v>51474</v>
      </c>
      <c r="B60" t="s">
        <v>749</v>
      </c>
      <c r="C60" t="s">
        <v>636</v>
      </c>
      <c r="D60" s="1">
        <v>4527280.74</v>
      </c>
    </row>
    <row r="61" spans="1:4" x14ac:dyDescent="0.25">
      <c r="A61">
        <v>51698</v>
      </c>
      <c r="B61" t="s">
        <v>750</v>
      </c>
      <c r="C61" t="s">
        <v>645</v>
      </c>
      <c r="D61" s="1">
        <v>3047236.03</v>
      </c>
    </row>
    <row r="62" spans="1:4" x14ac:dyDescent="0.25">
      <c r="A62">
        <v>51714</v>
      </c>
      <c r="B62" t="s">
        <v>751</v>
      </c>
      <c r="C62" t="s">
        <v>652</v>
      </c>
      <c r="D62" s="1">
        <v>5819223.5300000003</v>
      </c>
    </row>
  </sheetData>
  <mergeCells count="4">
    <mergeCell ref="A1:D1"/>
    <mergeCell ref="A3:D3"/>
    <mergeCell ref="A4:D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Section 3315.18</vt:lpstr>
      <vt:lpstr>District Section 3315.19</vt:lpstr>
      <vt:lpstr>JVS Section 3315.18</vt:lpstr>
      <vt:lpstr>JVS Section 3315.19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2011-09-13T18:16:06Z</dcterms:created>
  <dcterms:modified xsi:type="dcterms:W3CDTF">2011-09-15T13:12:49Z</dcterms:modified>
</cp:coreProperties>
</file>