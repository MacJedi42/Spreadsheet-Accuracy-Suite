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1715" windowHeight="5895"/>
  </bookViews>
  <sheets>
    <sheet name="Filled out" sheetId="1" r:id="rId1"/>
    <sheet name="Blank" sheetId="2" r:id="rId2"/>
    <sheet name="Sheet3" sheetId="3" r:id="rId3"/>
  </sheets>
  <definedNames>
    <definedName name="_xlnm.Print_Area" localSheetId="1">Blank!$A$1:$G$63</definedName>
    <definedName name="_xlnm.Print_Area" localSheetId="0">'Filled out'!$A$1:$F$43</definedName>
  </definedNames>
  <calcPr calcId="145621" iterate="1" iterateCount="1"/>
</workbook>
</file>

<file path=xl/calcChain.xml><?xml version="1.0" encoding="utf-8"?>
<calcChain xmlns="http://schemas.openxmlformats.org/spreadsheetml/2006/main">
  <c r="C43" i="2"/>
  <c r="C35"/>
  <c r="C25"/>
  <c r="C16"/>
  <c r="C48"/>
  <c r="C67"/>
  <c r="C58"/>
  <c r="C71"/>
  <c r="C74"/>
</calcChain>
</file>

<file path=xl/sharedStrings.xml><?xml version="1.0" encoding="utf-8"?>
<sst xmlns="http://schemas.openxmlformats.org/spreadsheetml/2006/main" count="65" uniqueCount="57">
  <si>
    <t>FINANCIAL STATEMENT</t>
  </si>
  <si>
    <t>CASH</t>
  </si>
  <si>
    <t>Bank Account #1</t>
  </si>
  <si>
    <t>Bank Account #2</t>
  </si>
  <si>
    <t>Checking Account</t>
  </si>
  <si>
    <t>Credit Union Savings</t>
  </si>
  <si>
    <t>Other</t>
  </si>
  <si>
    <t>CD</t>
  </si>
  <si>
    <t>RETIREMENT</t>
  </si>
  <si>
    <t>401(k) Plan</t>
  </si>
  <si>
    <t>IRA #1</t>
  </si>
  <si>
    <t>IRA #2</t>
  </si>
  <si>
    <t>HOUSE</t>
  </si>
  <si>
    <t>Purchase Price</t>
  </si>
  <si>
    <t xml:space="preserve"> minus Mortgage Balance</t>
  </si>
  <si>
    <t>Net House Value</t>
  </si>
  <si>
    <t>CONSUMER DEBTS</t>
  </si>
  <si>
    <t>Car Loan</t>
  </si>
  <si>
    <t>Credit Card #1</t>
  </si>
  <si>
    <t>Credit Card #2</t>
  </si>
  <si>
    <t>Checking account</t>
  </si>
  <si>
    <t>Savings account</t>
  </si>
  <si>
    <t>Bank of America # 1234567-89</t>
  </si>
  <si>
    <t>Hughes pension</t>
  </si>
  <si>
    <t>Rollover IRA</t>
  </si>
  <si>
    <t>College funds</t>
  </si>
  <si>
    <t>American Funds 529 plan # 8888888</t>
  </si>
  <si>
    <t>OTHER REAL ESTATE</t>
  </si>
  <si>
    <t xml:space="preserve">American Express #1234567 </t>
  </si>
  <si>
    <t>Credit Card @ 12.9%</t>
  </si>
  <si>
    <t xml:space="preserve"> less Mortgage Balance</t>
  </si>
  <si>
    <t xml:space="preserve"> less 2nd Mortgage</t>
  </si>
  <si>
    <t xml:space="preserve"> less Equity Line of Credit</t>
  </si>
  <si>
    <t>OTHER DEBT</t>
  </si>
  <si>
    <t>Loan from father @6%</t>
  </si>
  <si>
    <t>TOTAL CASH</t>
  </si>
  <si>
    <t>TOTAL RETIREMENT</t>
  </si>
  <si>
    <t>NET HOUSE VALUE</t>
  </si>
  <si>
    <t>TOTAL OTHER REAL ESTATE</t>
  </si>
  <si>
    <t>TOTAL CREDIT CARD DEBT</t>
  </si>
  <si>
    <t>Student loan</t>
  </si>
  <si>
    <t>TOTAL OTHER DEBT</t>
  </si>
  <si>
    <t>GRAND TOTAL ASSETS</t>
  </si>
  <si>
    <t>GRAND TOTAL LIABILITIES</t>
  </si>
  <si>
    <t>Car loan</t>
  </si>
  <si>
    <t>GRAND TOTAL NET WORTH</t>
  </si>
  <si>
    <t xml:space="preserve"> less car insurance reserve</t>
  </si>
  <si>
    <t>Employer 401(k)</t>
  </si>
  <si>
    <t>Employer ESOP</t>
  </si>
  <si>
    <t xml:space="preserve"> less property tax reserve*</t>
  </si>
  <si>
    <t xml:space="preserve">* a reserve fund is money set aside on a regular basis to pay for a known future bill.  I put 1/12th of </t>
  </si>
  <si>
    <t xml:space="preserve">my annual property taxes into savings each month so I will have the money to pay the bill each </t>
  </si>
  <si>
    <t>December.  The "reserve fund" concept tells me that the money is not available for other needs.</t>
  </si>
  <si>
    <t>Bank of America # 987654321</t>
  </si>
  <si>
    <t>Wells Fargo #7654987</t>
  </si>
  <si>
    <t>1-800-555-5555</t>
  </si>
  <si>
    <t>Wells Fargo # 9876543 - matures 3/18/13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</si>
</sst>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mm/dd/yy;@"/>
  </numFmts>
  <fonts count="2">
    <font>
      <sz val="12"/>
      <name val="Arial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selection sqref="A1:F43"/>
    </sheetView>
  </sheetViews>
  <sheetFormatPr defaultRowHeight="15"/>
  <cols>
    <col min="1" max="1" width="26.6640625" customWidth="1"/>
    <col min="5" max="5" width="9.88671875" bestFit="1" customWidth="1"/>
  </cols>
  <sheetData>
    <row r="1" spans="1:6">
      <c r="A1" t="s">
        <v>0</v>
      </c>
    </row>
    <row r="4" spans="1:6">
      <c r="B4" s="1">
        <v>38442</v>
      </c>
      <c r="C4" s="2">
        <v>38533</v>
      </c>
      <c r="D4" s="2">
        <v>38625</v>
      </c>
      <c r="E4" s="2">
        <v>38717</v>
      </c>
      <c r="F4" s="2">
        <v>38807</v>
      </c>
    </row>
    <row r="6" spans="1:6">
      <c r="A6" s="3" t="s">
        <v>1</v>
      </c>
    </row>
    <row r="8" spans="1:6">
      <c r="A8" t="s">
        <v>2</v>
      </c>
    </row>
    <row r="9" spans="1:6">
      <c r="A9" t="s">
        <v>3</v>
      </c>
    </row>
    <row r="10" spans="1:6">
      <c r="A10" t="s">
        <v>4</v>
      </c>
    </row>
    <row r="11" spans="1:6">
      <c r="A11" t="s">
        <v>5</v>
      </c>
    </row>
    <row r="12" spans="1:6">
      <c r="A12" t="s">
        <v>7</v>
      </c>
    </row>
    <row r="13" spans="1:6">
      <c r="A13" t="s">
        <v>6</v>
      </c>
    </row>
    <row r="16" spans="1:6">
      <c r="A16" s="3" t="s">
        <v>8</v>
      </c>
    </row>
    <row r="18" spans="1:1">
      <c r="A18" t="s">
        <v>9</v>
      </c>
    </row>
    <row r="19" spans="1:1">
      <c r="A19" t="s">
        <v>10</v>
      </c>
    </row>
    <row r="20" spans="1:1">
      <c r="A20" t="s">
        <v>11</v>
      </c>
    </row>
    <row r="24" spans="1:1">
      <c r="A24" s="3" t="s">
        <v>12</v>
      </c>
    </row>
    <row r="26" spans="1:1">
      <c r="A26" t="s">
        <v>13</v>
      </c>
    </row>
    <row r="27" spans="1:1">
      <c r="A27" t="s">
        <v>14</v>
      </c>
    </row>
    <row r="28" spans="1:1">
      <c r="A28" t="s">
        <v>15</v>
      </c>
    </row>
    <row r="32" spans="1:1">
      <c r="A32" s="3" t="s">
        <v>16</v>
      </c>
    </row>
    <row r="34" spans="1:1">
      <c r="A34" t="s">
        <v>17</v>
      </c>
    </row>
    <row r="35" spans="1:1">
      <c r="A35" t="s">
        <v>18</v>
      </c>
    </row>
    <row r="36" spans="1:1">
      <c r="A36" t="s">
        <v>19</v>
      </c>
    </row>
  </sheetData>
  <phoneticPr fontId="0" type="noConversion"/>
  <printOptions horizontalCentered="1" verticalCentered="1" gridLines="1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topLeftCell="A76" workbookViewId="0"/>
  </sheetViews>
  <sheetFormatPr defaultRowHeight="15"/>
  <cols>
    <col min="1" max="1" width="26.6640625" customWidth="1"/>
    <col min="2" max="2" width="38.88671875" customWidth="1"/>
    <col min="3" max="3" width="8.88671875" style="4"/>
    <col min="6" max="6" width="9.6640625" customWidth="1"/>
  </cols>
  <sheetData>
    <row r="1" spans="1:4">
      <c r="A1" t="s">
        <v>0</v>
      </c>
    </row>
    <row r="4" spans="1:4" s="5" customFormat="1">
      <c r="C4" s="5">
        <v>40999</v>
      </c>
      <c r="D4" s="5">
        <v>40908</v>
      </c>
    </row>
    <row r="6" spans="1:4">
      <c r="A6" s="3" t="s">
        <v>1</v>
      </c>
    </row>
    <row r="8" spans="1:4">
      <c r="A8" t="s">
        <v>20</v>
      </c>
      <c r="B8" t="s">
        <v>22</v>
      </c>
      <c r="C8" s="4">
        <v>2600</v>
      </c>
      <c r="D8">
        <v>2418</v>
      </c>
    </row>
    <row r="9" spans="1:4">
      <c r="A9" t="s">
        <v>20</v>
      </c>
      <c r="B9" t="s">
        <v>53</v>
      </c>
      <c r="C9" s="4">
        <v>3892</v>
      </c>
      <c r="D9">
        <v>4000</v>
      </c>
    </row>
    <row r="10" spans="1:4">
      <c r="A10" t="s">
        <v>21</v>
      </c>
      <c r="B10" t="s">
        <v>54</v>
      </c>
      <c r="C10" s="4">
        <v>12404</v>
      </c>
      <c r="D10">
        <v>12312</v>
      </c>
    </row>
    <row r="11" spans="1:4">
      <c r="A11" t="s">
        <v>49</v>
      </c>
      <c r="C11" s="4">
        <v>-3100</v>
      </c>
      <c r="D11">
        <v>-3600</v>
      </c>
    </row>
    <row r="12" spans="1:4">
      <c r="A12" t="s">
        <v>46</v>
      </c>
      <c r="C12" s="4">
        <v>-678</v>
      </c>
    </row>
    <row r="13" spans="1:4">
      <c r="A13" t="s">
        <v>7</v>
      </c>
      <c r="B13" t="s">
        <v>56</v>
      </c>
      <c r="C13" s="4">
        <v>25000</v>
      </c>
    </row>
    <row r="14" spans="1:4">
      <c r="A14" t="s">
        <v>25</v>
      </c>
      <c r="B14" t="s">
        <v>26</v>
      </c>
      <c r="C14" s="4">
        <v>31290</v>
      </c>
    </row>
    <row r="16" spans="1:4">
      <c r="A16" t="s">
        <v>35</v>
      </c>
      <c r="C16" s="4">
        <f>SUM(C8:C14)</f>
        <v>71408</v>
      </c>
    </row>
    <row r="18" spans="1:3">
      <c r="A18" s="3" t="s">
        <v>8</v>
      </c>
    </row>
    <row r="20" spans="1:3">
      <c r="A20" t="s">
        <v>47</v>
      </c>
      <c r="B20" t="s">
        <v>55</v>
      </c>
      <c r="C20" s="4">
        <v>150000</v>
      </c>
    </row>
    <row r="21" spans="1:3">
      <c r="A21" t="s">
        <v>48</v>
      </c>
      <c r="C21" s="4">
        <v>22000</v>
      </c>
    </row>
    <row r="22" spans="1:3">
      <c r="A22" t="s">
        <v>23</v>
      </c>
      <c r="C22" s="4">
        <v>136000</v>
      </c>
    </row>
    <row r="23" spans="1:3">
      <c r="A23" t="s">
        <v>24</v>
      </c>
      <c r="C23" s="4">
        <v>38000</v>
      </c>
    </row>
    <row r="25" spans="1:3">
      <c r="A25" t="s">
        <v>36</v>
      </c>
      <c r="C25" s="4">
        <f>SUM(C20:C23)</f>
        <v>346000</v>
      </c>
    </row>
    <row r="28" spans="1:3">
      <c r="A28" s="3" t="s">
        <v>12</v>
      </c>
    </row>
    <row r="30" spans="1:3">
      <c r="A30" t="s">
        <v>13</v>
      </c>
      <c r="C30" s="4">
        <v>455000</v>
      </c>
    </row>
    <row r="31" spans="1:3">
      <c r="A31" t="s">
        <v>30</v>
      </c>
      <c r="C31" s="4">
        <v>-209000</v>
      </c>
    </row>
    <row r="32" spans="1:3">
      <c r="A32" t="s">
        <v>31</v>
      </c>
      <c r="C32" s="4">
        <v>-23000</v>
      </c>
    </row>
    <row r="33" spans="1:3">
      <c r="A33" t="s">
        <v>32</v>
      </c>
      <c r="C33" s="4">
        <v>0</v>
      </c>
    </row>
    <row r="35" spans="1:3">
      <c r="A35" t="s">
        <v>37</v>
      </c>
      <c r="C35" s="4">
        <f>SUM(C30:C33)</f>
        <v>223000</v>
      </c>
    </row>
    <row r="38" spans="1:3">
      <c r="A38" t="s">
        <v>27</v>
      </c>
      <c r="C38" s="4">
        <v>0</v>
      </c>
    </row>
    <row r="43" spans="1:3">
      <c r="A43" t="s">
        <v>38</v>
      </c>
      <c r="C43" s="4">
        <f>SUM(C38:C41)</f>
        <v>0</v>
      </c>
    </row>
    <row r="48" spans="1:3">
      <c r="A48" t="s">
        <v>42</v>
      </c>
      <c r="C48" s="4">
        <f>+C43+C35+C25+C16</f>
        <v>640408</v>
      </c>
    </row>
    <row r="52" spans="1:3">
      <c r="A52" s="3" t="s">
        <v>16</v>
      </c>
    </row>
    <row r="54" spans="1:3">
      <c r="A54" t="s">
        <v>29</v>
      </c>
      <c r="B54" t="s">
        <v>28</v>
      </c>
      <c r="C54" s="4">
        <v>21000</v>
      </c>
    </row>
    <row r="58" spans="1:3">
      <c r="A58" t="s">
        <v>39</v>
      </c>
      <c r="C58" s="4">
        <f>SUM(C54:C56)</f>
        <v>21000</v>
      </c>
    </row>
    <row r="60" spans="1:3">
      <c r="A60" t="s">
        <v>33</v>
      </c>
    </row>
    <row r="62" spans="1:3">
      <c r="A62" t="s">
        <v>34</v>
      </c>
      <c r="C62" s="4">
        <v>12500</v>
      </c>
    </row>
    <row r="63" spans="1:3">
      <c r="A63" t="s">
        <v>40</v>
      </c>
      <c r="C63" s="4">
        <v>35000</v>
      </c>
    </row>
    <row r="64" spans="1:3">
      <c r="A64" t="s">
        <v>44</v>
      </c>
      <c r="C64" s="4">
        <v>13980</v>
      </c>
    </row>
    <row r="67" spans="1:3">
      <c r="A67" t="s">
        <v>41</v>
      </c>
      <c r="C67" s="4">
        <f>SUM(C62:C65)</f>
        <v>61480</v>
      </c>
    </row>
    <row r="71" spans="1:3">
      <c r="A71" t="s">
        <v>43</v>
      </c>
      <c r="C71" s="4">
        <f>+C67+C58</f>
        <v>82480</v>
      </c>
    </row>
    <row r="74" spans="1:3">
      <c r="A74" t="s">
        <v>45</v>
      </c>
      <c r="C74" s="4">
        <f>+C48-C71</f>
        <v>557928</v>
      </c>
    </row>
    <row r="78" spans="1:3">
      <c r="A78" t="s">
        <v>50</v>
      </c>
    </row>
    <row r="79" spans="1:3">
      <c r="A79" t="s">
        <v>51</v>
      </c>
    </row>
    <row r="80" spans="1:3">
      <c r="A80" t="s">
        <v>52</v>
      </c>
    </row>
  </sheetData>
  <phoneticPr fontId="0" type="noConversion"/>
  <printOptions gridLines="1"/>
  <pageMargins left="0.31" right="0.38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Filled out</vt:lpstr>
      <vt:lpstr>Blank</vt:lpstr>
      <vt:lpstr>Sheet3</vt:lpstr>
      <vt:lpstr>Blank!Print_Area</vt:lpstr>
      <vt:lpstr>'Filled out'!Print_Area</vt:lpstr>
    </vt:vector>
  </TitlesOfParts>
  <Company>Bell Financial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Bell</dc:creator>
  <cp:lastModifiedBy>robyn hirsch</cp:lastModifiedBy>
  <cp:lastPrinted>2012-04-11T14:26:10Z</cp:lastPrinted>
  <dcterms:created xsi:type="dcterms:W3CDTF">2005-05-26T18:18:41Z</dcterms:created>
  <dcterms:modified xsi:type="dcterms:W3CDTF">2012-04-11T14:26:17Z</dcterms:modified>
</cp:coreProperties>
</file>