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55" windowWidth="12120" windowHeight="9120" tabRatio="770" activeTab="1"/>
  </bookViews>
  <sheets>
    <sheet name="Cash Transmittal Terms" sheetId="12" r:id="rId1"/>
    <sheet name="Cash Transmittal Form" sheetId="9" r:id="rId2"/>
  </sheets>
  <definedNames>
    <definedName name="List">#REF!</definedName>
    <definedName name="_xlnm.Print_Area" localSheetId="1">'Cash Transmittal Form'!$A$3:$I$54</definedName>
    <definedName name="TransmittalCode">#REF!</definedName>
    <definedName name="TransmittalCodes">#REF!</definedName>
  </definedNames>
  <calcPr calcId="125725"/>
</workbook>
</file>

<file path=xl/calcChain.xml><?xml version="1.0" encoding="utf-8"?>
<calcChain xmlns="http://schemas.openxmlformats.org/spreadsheetml/2006/main">
  <c r="I15" i="9"/>
  <c r="C24"/>
  <c r="I53"/>
  <c r="E54"/>
  <c r="C31"/>
  <c r="G30"/>
  <c r="G35"/>
  <c r="G34"/>
  <c r="G33"/>
  <c r="G32"/>
  <c r="G31"/>
  <c r="C36"/>
  <c r="C35"/>
  <c r="C34"/>
  <c r="C33"/>
  <c r="C32"/>
  <c r="C30"/>
  <c r="C37" l="1"/>
  <c r="C22" s="1"/>
  <c r="G36"/>
  <c r="C23" s="1"/>
  <c r="I54"/>
  <c r="C25" s="1"/>
  <c r="C26" s="1"/>
</calcChain>
</file>

<file path=xl/comments1.xml><?xml version="1.0" encoding="utf-8"?>
<comments xmlns="http://schemas.openxmlformats.org/spreadsheetml/2006/main">
  <authors>
    <author>Laura Tabler-Allison</author>
  </authors>
  <commentList>
    <comment ref="E7" authorId="0">
      <text>
        <r>
          <rPr>
            <b/>
            <sz val="8"/>
            <color indexed="81"/>
            <rFont val="Tahoma"/>
            <family val="2"/>
          </rPr>
          <t>Laura Tabler-Allison:</t>
        </r>
        <r>
          <rPr>
            <sz val="8"/>
            <color indexed="81"/>
            <rFont val="Tahoma"/>
            <family val="2"/>
          </rPr>
          <t xml:space="preserve">
These comment boxes are meant to guide you when completing the Cash Transmittal Form</t>
        </r>
      </text>
    </comment>
    <comment ref="B8" authorId="0">
      <text>
        <r>
          <rPr>
            <b/>
            <sz val="8"/>
            <color indexed="81"/>
            <rFont val="Tahoma"/>
            <family val="2"/>
          </rPr>
          <t>Laura Tabler-Allison:</t>
        </r>
        <r>
          <rPr>
            <sz val="8"/>
            <color indexed="81"/>
            <rFont val="Tahoma"/>
            <family val="2"/>
          </rPr>
          <t xml:space="preserve">
Select the two letter Transmittal Code based upon department. See the Transmittal Instructions tab for more information</t>
        </r>
      </text>
    </comment>
    <comment ref="E8" authorId="0">
      <text>
        <r>
          <rPr>
            <b/>
            <sz val="8"/>
            <color indexed="81"/>
            <rFont val="Tahoma"/>
            <family val="2"/>
          </rPr>
          <t>Laura Tabler-Allison:</t>
        </r>
        <r>
          <rPr>
            <sz val="8"/>
            <color indexed="81"/>
            <rFont val="Tahoma"/>
            <family val="2"/>
          </rPr>
          <t xml:space="preserve">
Insert the respective FOAPAL(S) here</t>
        </r>
      </text>
    </comment>
    <comment ref="F9" authorId="0">
      <text>
        <r>
          <rPr>
            <b/>
            <sz val="8"/>
            <color indexed="81"/>
            <rFont val="Tahoma"/>
            <family val="2"/>
          </rPr>
          <t>Laura Tabler-Allison:</t>
        </r>
        <r>
          <rPr>
            <sz val="8"/>
            <color indexed="81"/>
            <rFont val="Tahoma"/>
            <family val="2"/>
          </rPr>
          <t xml:space="preserve">
Insert the applicable Org here</t>
        </r>
      </text>
    </comment>
    <comment ref="G9" authorId="0">
      <text>
        <r>
          <rPr>
            <b/>
            <sz val="8"/>
            <color indexed="81"/>
            <rFont val="Tahoma"/>
            <charset val="1"/>
          </rPr>
          <t>Laura Tabler-Allison:</t>
        </r>
        <r>
          <rPr>
            <sz val="8"/>
            <color indexed="81"/>
            <rFont val="Tahoma"/>
            <charset val="1"/>
          </rPr>
          <t xml:space="preserve">
Please use the drop down menu to select the applicable Account Code.
56402 - The Bullet use only
56403 - Dues &amp; Membership Fees
56404 - Fundraising
56406 - Miscellaneous</t>
        </r>
      </text>
    </comment>
    <comment ref="I9" authorId="0">
      <text>
        <r>
          <rPr>
            <b/>
            <sz val="8"/>
            <color indexed="81"/>
            <rFont val="Tahoma"/>
            <family val="2"/>
          </rPr>
          <t>Laura Tabler-Allison:</t>
        </r>
        <r>
          <rPr>
            <sz val="8"/>
            <color indexed="81"/>
            <rFont val="Tahoma"/>
            <family val="2"/>
          </rPr>
          <t xml:space="preserve">
If multiple FOAPALS, please indicate the amount per FOAPAL here.</t>
        </r>
      </text>
    </comment>
    <comment ref="A12" authorId="0">
      <text>
        <r>
          <rPr>
            <b/>
            <sz val="8"/>
            <color indexed="81"/>
            <rFont val="Tahoma"/>
            <family val="2"/>
          </rPr>
          <t>Laura Tabler-Allison:</t>
        </r>
        <r>
          <rPr>
            <sz val="8"/>
            <color indexed="81"/>
            <rFont val="Tahoma"/>
            <family val="2"/>
          </rPr>
          <t xml:space="preserve">
The date the transmittal is being taken to the Cashier's Office</t>
        </r>
      </text>
    </comment>
    <comment ref="A14" authorId="0">
      <text>
        <r>
          <rPr>
            <b/>
            <sz val="8"/>
            <color indexed="81"/>
            <rFont val="Tahoma"/>
            <family val="2"/>
          </rPr>
          <t>Laura Tabler-Allison:</t>
        </r>
        <r>
          <rPr>
            <sz val="8"/>
            <color indexed="81"/>
            <rFont val="Tahoma"/>
            <family val="2"/>
          </rPr>
          <t xml:space="preserve">
The name of the person completing the Cash Transmittal Form</t>
        </r>
      </text>
    </comment>
    <comment ref="E14" authorId="0">
      <text>
        <r>
          <rPr>
            <b/>
            <sz val="8"/>
            <color indexed="81"/>
            <rFont val="Tahoma"/>
            <family val="2"/>
          </rPr>
          <t>Laura Tabler-Allison:</t>
        </r>
        <r>
          <rPr>
            <sz val="8"/>
            <color indexed="81"/>
            <rFont val="Tahoma"/>
            <family val="2"/>
          </rPr>
          <t xml:space="preserve">
This FOAP line does not have drop down menus or prefilled cells. It is available if you need to deposit funds into a different FOAP.</t>
        </r>
      </text>
    </comment>
    <comment ref="I15" authorId="0">
      <text>
        <r>
          <rPr>
            <b/>
            <sz val="8"/>
            <color indexed="81"/>
            <rFont val="Tahoma"/>
            <family val="2"/>
          </rPr>
          <t>Laura Tabler-Allison:</t>
        </r>
        <r>
          <rPr>
            <sz val="8"/>
            <color indexed="81"/>
            <rFont val="Tahoma"/>
            <family val="2"/>
          </rPr>
          <t xml:space="preserve">
This amount should equal the Total Transmittal Amount below.</t>
        </r>
      </text>
    </comment>
    <comment ref="A16" authorId="0">
      <text>
        <r>
          <rPr>
            <b/>
            <sz val="8"/>
            <color indexed="81"/>
            <rFont val="Tahoma"/>
            <family val="2"/>
          </rPr>
          <t>Laura Tabler-Allison:</t>
        </r>
        <r>
          <rPr>
            <sz val="8"/>
            <color indexed="81"/>
            <rFont val="Tahoma"/>
            <family val="2"/>
          </rPr>
          <t xml:space="preserve">
Your club name, and  a description of why the funds were collected (i.e. Halloween Fund Raiser), If you are depositing multiple amounts into different accounts, please itemize here. (i.e. account 56402 Halloween Fund Raiser, 56403 Club Dues)</t>
        </r>
      </text>
    </comment>
    <comment ref="E18" authorId="0">
      <text>
        <r>
          <rPr>
            <b/>
            <sz val="8"/>
            <color indexed="81"/>
            <rFont val="Tahoma"/>
            <family val="2"/>
          </rPr>
          <t>Laura Tabler-Allison:</t>
        </r>
        <r>
          <rPr>
            <sz val="8"/>
            <color indexed="81"/>
            <rFont val="Tahoma"/>
            <family val="2"/>
          </rPr>
          <t xml:space="preserve">
The department that is sending the transmittal </t>
        </r>
      </text>
    </comment>
    <comment ref="C26" authorId="0">
      <text>
        <r>
          <rPr>
            <b/>
            <sz val="8"/>
            <color indexed="81"/>
            <rFont val="Tahoma"/>
            <family val="2"/>
          </rPr>
          <t>Laura Tabler-Allison:</t>
        </r>
        <r>
          <rPr>
            <sz val="8"/>
            <color indexed="81"/>
            <rFont val="Tahoma"/>
            <family val="2"/>
          </rPr>
          <t xml:space="preserve">
The total amount of Currency, Coin, and Checks. This amount should equal the Total FOAP Amount above.</t>
        </r>
      </text>
    </comment>
    <comment ref="B29" authorId="0">
      <text>
        <r>
          <rPr>
            <b/>
            <sz val="8"/>
            <color indexed="81"/>
            <rFont val="Tahoma"/>
            <family val="2"/>
          </rPr>
          <t>Laura Tabler-Allison:</t>
        </r>
        <r>
          <rPr>
            <sz val="8"/>
            <color indexed="81"/>
            <rFont val="Tahoma"/>
            <family val="2"/>
          </rPr>
          <t xml:space="preserve">
Enter the number of bills here. The amounts will automatically be calculated for you in the "Amount" column</t>
        </r>
      </text>
    </comment>
    <comment ref="F29" authorId="0">
      <text>
        <r>
          <rPr>
            <b/>
            <sz val="8"/>
            <color indexed="81"/>
            <rFont val="Tahoma"/>
            <family val="2"/>
          </rPr>
          <t>Laura Tabler-Allison:</t>
        </r>
        <r>
          <rPr>
            <sz val="8"/>
            <color indexed="81"/>
            <rFont val="Tahoma"/>
            <family val="2"/>
          </rPr>
          <t xml:space="preserve">
Enter the number of coins here. The amounts will automatically be calculated for you in the "Amount" column</t>
        </r>
      </text>
    </comment>
    <comment ref="G36" authorId="0">
      <text>
        <r>
          <rPr>
            <b/>
            <sz val="8"/>
            <color indexed="81"/>
            <rFont val="Tahoma"/>
            <family val="2"/>
          </rPr>
          <t>Laura Tabler-Allison:</t>
        </r>
        <r>
          <rPr>
            <sz val="8"/>
            <color indexed="81"/>
            <rFont val="Tahoma"/>
            <family val="2"/>
          </rPr>
          <t xml:space="preserve">
The total amount of Coin</t>
        </r>
      </text>
    </comment>
    <comment ref="C37" authorId="0">
      <text>
        <r>
          <rPr>
            <b/>
            <sz val="8"/>
            <color indexed="81"/>
            <rFont val="Tahoma"/>
            <family val="2"/>
          </rPr>
          <t>Laura Tabler-Allison:</t>
        </r>
        <r>
          <rPr>
            <sz val="8"/>
            <color indexed="81"/>
            <rFont val="Tahoma"/>
            <family val="2"/>
          </rPr>
          <t xml:space="preserve">
The total amount of Currency</t>
        </r>
      </text>
    </comment>
    <comment ref="A39" authorId="0">
      <text>
        <r>
          <rPr>
            <b/>
            <sz val="8"/>
            <color indexed="81"/>
            <rFont val="Tahoma"/>
            <family val="2"/>
          </rPr>
          <t>Laura Tabler-Allison:</t>
        </r>
        <r>
          <rPr>
            <sz val="8"/>
            <color indexed="81"/>
            <rFont val="Tahoma"/>
            <family val="2"/>
          </rPr>
          <t xml:space="preserve">
Insert the check number in the "Check #" column
Insert the name or ID on the check in the "Name/ID" column
Insert the amount of the check in the "Amount" column</t>
        </r>
      </text>
    </comment>
    <comment ref="I54" authorId="0">
      <text>
        <r>
          <rPr>
            <b/>
            <sz val="8"/>
            <color indexed="81"/>
            <rFont val="Tahoma"/>
            <family val="2"/>
          </rPr>
          <t>Laura Tabler-Allison:</t>
        </r>
        <r>
          <rPr>
            <sz val="8"/>
            <color indexed="81"/>
            <rFont val="Tahoma"/>
            <family val="2"/>
          </rPr>
          <t xml:space="preserve">
The total amount of checks</t>
        </r>
      </text>
    </comment>
  </commentList>
</comments>
</file>

<file path=xl/sharedStrings.xml><?xml version="1.0" encoding="utf-8"?>
<sst xmlns="http://schemas.openxmlformats.org/spreadsheetml/2006/main" count="65" uniqueCount="57">
  <si>
    <t>FROM:</t>
  </si>
  <si>
    <t>DATE:</t>
  </si>
  <si>
    <t>FOR:</t>
  </si>
  <si>
    <t>BY:</t>
  </si>
  <si>
    <t>Currency</t>
  </si>
  <si>
    <t>DOLLARS</t>
  </si>
  <si>
    <t>HALVES</t>
  </si>
  <si>
    <t>QUARTERS</t>
  </si>
  <si>
    <t>DIMES</t>
  </si>
  <si>
    <t>NICKELS</t>
  </si>
  <si>
    <t>PENNIES</t>
  </si>
  <si>
    <t>TRANSMITTAL NUMBER:</t>
  </si>
  <si>
    <t>TOTAL:</t>
  </si>
  <si>
    <t>COIN</t>
  </si>
  <si>
    <t>CURRENCY</t>
  </si>
  <si>
    <t>Coin</t>
  </si>
  <si>
    <t>Subtotal Cash</t>
  </si>
  <si>
    <t>Checks</t>
  </si>
  <si>
    <t>CHECKS</t>
  </si>
  <si>
    <t>Check #</t>
  </si>
  <si>
    <t>Name/ID</t>
  </si>
  <si>
    <t>Amount</t>
  </si>
  <si>
    <t>Transmittal Total</t>
  </si>
  <si>
    <t>Bill</t>
  </si>
  <si>
    <t>Number of Bills</t>
  </si>
  <si>
    <t>Number of Coins</t>
  </si>
  <si>
    <t>Transmittal Amounts</t>
  </si>
  <si>
    <t>Total Transmittal:</t>
  </si>
  <si>
    <t>FOAPAL(S):</t>
  </si>
  <si>
    <t>Input Cells - Put your data in these cells</t>
  </si>
  <si>
    <t>Formula Driven Cells - Formula will automatically calculate</t>
  </si>
  <si>
    <t>TRANSMITTAL CODE:</t>
  </si>
  <si>
    <t>See comment boxes for form instructions</t>
  </si>
  <si>
    <t>Column Subtotal</t>
  </si>
  <si>
    <t>Amount:</t>
  </si>
  <si>
    <t>CL</t>
  </si>
  <si>
    <t>Cash Transmittal Form</t>
  </si>
  <si>
    <t>Office of Student Activities and Community Service</t>
  </si>
  <si>
    <r>
      <rPr>
        <u/>
        <sz val="10"/>
        <rFont val="Calibri"/>
        <family val="2"/>
        <scheme val="minor"/>
      </rPr>
      <t>Transmittal Code:</t>
    </r>
    <r>
      <rPr>
        <sz val="10"/>
        <rFont val="Calibri"/>
        <family val="2"/>
        <scheme val="minor"/>
      </rPr>
      <t xml:space="preserve"> A two letter identifier which is based upon department</t>
    </r>
  </si>
  <si>
    <r>
      <rPr>
        <u/>
        <sz val="10"/>
        <rFont val="Calibri"/>
        <family val="2"/>
        <scheme val="minor"/>
      </rPr>
      <t>Transmittal Number:</t>
    </r>
    <r>
      <rPr>
        <sz val="10"/>
        <rFont val="Calibri"/>
        <family val="2"/>
        <scheme val="minor"/>
      </rPr>
      <t xml:space="preserve"> A 6 digit sequential number. The first two digits should be the last two digits of the fiscal year (ex, FY2011 will give you the first two digits of 11). The last four digits should be in sequential order. If this is the first transmittal submitted, it should be 0001, and so on. This number will be specific to the department submitting the transmittal; tweak the transmittal number for departmental tracking purposes if needed. For example, the first transmittal submitted in FY2011 would give you a Transmittal Number of 110001.
Alternativly, a transmittal number may not be appropriate for some events. In this case, the "For" section will be used in identifying the transmittal.
Example, Movie Night.</t>
    </r>
  </si>
  <si>
    <r>
      <rPr>
        <u/>
        <sz val="10"/>
        <rFont val="Calibri"/>
        <family val="2"/>
        <scheme val="minor"/>
      </rPr>
      <t>FOPAL(S):</t>
    </r>
    <r>
      <rPr>
        <sz val="10"/>
        <rFont val="Calibri"/>
        <family val="2"/>
        <scheme val="minor"/>
      </rPr>
      <t xml:space="preserve"> The chart code structure is classified by elements, defined by Fund, Organization, Account, Program, Activity, and Location;commonly abbreviated by the term 'FOAPAL' or 'FOAP'. </t>
    </r>
  </si>
  <si>
    <r>
      <rPr>
        <u/>
        <sz val="10"/>
        <rFont val="Calibri"/>
        <family val="2"/>
        <scheme val="minor"/>
      </rPr>
      <t>Fund:</t>
    </r>
    <r>
      <rPr>
        <sz val="10"/>
        <rFont val="Calibri"/>
        <family val="2"/>
        <scheme val="minor"/>
      </rPr>
      <t xml:space="preserve">  A four or five character code that identifies the funding source. Funding sources describe where the money to run the program or department originated.</t>
    </r>
  </si>
  <si>
    <r>
      <rPr>
        <u/>
        <sz val="10"/>
        <rFont val="Calibri"/>
        <family val="2"/>
        <scheme val="minor"/>
      </rPr>
      <t>Organization:</t>
    </r>
    <r>
      <rPr>
        <sz val="10"/>
        <rFont val="Calibri"/>
        <family val="2"/>
        <scheme val="minor"/>
      </rPr>
      <t xml:space="preserve"> Also referred to as an Org, A six character code that identifies a unit of budgetary responsibility and/or department within the University. All faculty have an Org code to track specific grant assignments.</t>
    </r>
  </si>
  <si>
    <r>
      <rPr>
        <u/>
        <sz val="10"/>
        <rFont val="Calibri"/>
        <family val="2"/>
        <scheme val="minor"/>
      </rPr>
      <t>Account:</t>
    </r>
    <r>
      <rPr>
        <sz val="10"/>
        <rFont val="Calibri"/>
        <family val="2"/>
        <scheme val="minor"/>
      </rPr>
      <t xml:space="preserve"> A five character code that identifies the purpose of the expenditure or revenue transaction. Transactions are postings shown on budget reports. </t>
    </r>
  </si>
  <si>
    <r>
      <rPr>
        <u/>
        <sz val="10"/>
        <rFont val="Calibri"/>
        <family val="2"/>
        <scheme val="minor"/>
      </rPr>
      <t>Program:</t>
    </r>
    <r>
      <rPr>
        <sz val="10"/>
        <rFont val="Calibri"/>
        <family val="2"/>
        <scheme val="minor"/>
      </rPr>
      <t xml:space="preserve"> A five character code that identifies the function or purpose of the Organization or function on campus.</t>
    </r>
  </si>
  <si>
    <r>
      <rPr>
        <u/>
        <sz val="10"/>
        <rFont val="Calibri"/>
        <family val="2"/>
        <scheme val="minor"/>
      </rPr>
      <t>Activity:</t>
    </r>
    <r>
      <rPr>
        <sz val="10"/>
        <rFont val="Calibri"/>
        <family val="2"/>
        <scheme val="minor"/>
      </rPr>
      <t xml:space="preserve"> An optional six character code that can be used to capture the total costs of an activity across the entire University or further define Org. code expenditures.</t>
    </r>
  </si>
  <si>
    <r>
      <rPr>
        <u/>
        <sz val="10"/>
        <rFont val="Calibri"/>
        <family val="2"/>
        <scheme val="minor"/>
      </rPr>
      <t>Location:</t>
    </r>
    <r>
      <rPr>
        <sz val="10"/>
        <rFont val="Calibri"/>
        <family val="2"/>
        <scheme val="minor"/>
      </rPr>
      <t xml:space="preserve"> A six character code that identifies physical locations. University internal offices use Location codes for Fixed Asset and specific expenditure tracking.</t>
    </r>
  </si>
  <si>
    <r>
      <rPr>
        <u/>
        <sz val="10"/>
        <rFont val="Calibri"/>
        <family val="2"/>
        <scheme val="minor"/>
      </rPr>
      <t xml:space="preserve">Date: </t>
    </r>
    <r>
      <rPr>
        <sz val="10"/>
        <rFont val="Calibri"/>
        <family val="2"/>
        <scheme val="minor"/>
      </rPr>
      <t>The date the transmittal is being taken to the Cashier's Office</t>
    </r>
  </si>
  <si>
    <r>
      <rPr>
        <u/>
        <sz val="10"/>
        <rFont val="Calibri"/>
        <family val="2"/>
        <scheme val="minor"/>
      </rPr>
      <t xml:space="preserve">By: </t>
    </r>
    <r>
      <rPr>
        <sz val="10"/>
        <rFont val="Calibri"/>
        <family val="2"/>
        <scheme val="minor"/>
      </rPr>
      <t>The name of the person completing the Cash Transmittal Form</t>
    </r>
  </si>
  <si>
    <r>
      <rPr>
        <u/>
        <sz val="10"/>
        <rFont val="Calibri"/>
        <family val="2"/>
        <scheme val="minor"/>
      </rPr>
      <t>For:</t>
    </r>
    <r>
      <rPr>
        <sz val="10"/>
        <rFont val="Calibri"/>
        <family val="2"/>
        <scheme val="minor"/>
      </rPr>
      <t xml:space="preserve"> A description of why the funds were collected (i.e. Halloween Fund Raiser)</t>
    </r>
  </si>
  <si>
    <r>
      <rPr>
        <u/>
        <sz val="10"/>
        <rFont val="Calibri"/>
        <family val="2"/>
        <scheme val="minor"/>
      </rPr>
      <t xml:space="preserve">From: </t>
    </r>
    <r>
      <rPr>
        <sz val="10"/>
        <rFont val="Calibri"/>
        <family val="2"/>
        <scheme val="minor"/>
      </rPr>
      <t xml:space="preserve">The department that is sending the transmittal </t>
    </r>
  </si>
  <si>
    <t>Fund</t>
  </si>
  <si>
    <t>Org</t>
  </si>
  <si>
    <t>Account</t>
  </si>
  <si>
    <t>Program</t>
  </si>
  <si>
    <t>N/A</t>
  </si>
  <si>
    <t>Total FOAP Amount:</t>
  </si>
</sst>
</file>

<file path=xl/styles.xml><?xml version="1.0" encoding="utf-8"?>
<styleSheet xmlns="http://schemas.openxmlformats.org/spreadsheetml/2006/main">
  <numFmts count="4">
    <numFmt numFmtId="6" formatCode="&quot;$&quot;#,##0_);[Red]\(&quot;$&quot;#,##0\)"/>
    <numFmt numFmtId="44" formatCode="_(&quot;$&quot;* #,##0.00_);_(&quot;$&quot;* \(#,##0.00\);_(&quot;$&quot;* &quot;-&quot;??_);_(@_)"/>
    <numFmt numFmtId="43" formatCode="_(* #,##0.00_);_(* \(#,##0.00\);_(* &quot;-&quot;??_);_(@_)"/>
    <numFmt numFmtId="164" formatCode="&quot;$&quot;#,##0.00"/>
  </numFmts>
  <fonts count="12">
    <font>
      <sz val="10"/>
      <name val="Arial"/>
    </font>
    <font>
      <sz val="8"/>
      <color indexed="81"/>
      <name val="Tahoma"/>
      <family val="2"/>
    </font>
    <font>
      <b/>
      <sz val="8"/>
      <color indexed="81"/>
      <name val="Tahoma"/>
      <family val="2"/>
    </font>
    <font>
      <sz val="9"/>
      <name val="Calibri"/>
      <family val="2"/>
    </font>
    <font>
      <b/>
      <sz val="9"/>
      <name val="Calibri"/>
      <family val="2"/>
    </font>
    <font>
      <u/>
      <sz val="14"/>
      <name val="Calibri"/>
      <family val="2"/>
    </font>
    <font>
      <sz val="10"/>
      <name val="Calibri"/>
      <family val="2"/>
      <scheme val="minor"/>
    </font>
    <font>
      <u/>
      <sz val="10"/>
      <name val="Calibri"/>
      <family val="2"/>
      <scheme val="minor"/>
    </font>
    <font>
      <sz val="8"/>
      <color indexed="81"/>
      <name val="Tahoma"/>
      <charset val="1"/>
    </font>
    <font>
      <b/>
      <sz val="8"/>
      <color indexed="81"/>
      <name val="Tahoma"/>
      <charset val="1"/>
    </font>
    <font>
      <sz val="9"/>
      <color theme="0"/>
      <name val="Calibri"/>
      <family val="2"/>
    </font>
    <font>
      <sz val="9"/>
      <color theme="1"/>
      <name val="Calibri"/>
      <family val="2"/>
    </font>
  </fonts>
  <fills count="7">
    <fill>
      <patternFill patternType="none"/>
    </fill>
    <fill>
      <patternFill patternType="gray125"/>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rgb="FFFFFFCC"/>
        <bgColor indexed="64"/>
      </patternFill>
    </fill>
    <fill>
      <patternFill patternType="solid">
        <fgColor rgb="FF99CCFF"/>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thin">
        <color indexed="64"/>
      </top>
      <bottom style="double">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medium">
        <color indexed="64"/>
      </right>
      <top/>
      <bottom style="double">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double">
        <color indexed="64"/>
      </bottom>
      <diagonal/>
    </border>
  </borders>
  <cellStyleXfs count="1">
    <xf numFmtId="0" fontId="0" fillId="0" borderId="0"/>
  </cellStyleXfs>
  <cellXfs count="136">
    <xf numFmtId="0" fontId="0" fillId="0" borderId="0" xfId="0"/>
    <xf numFmtId="0" fontId="3" fillId="0" borderId="0" xfId="0" applyFont="1" applyFill="1" applyProtection="1"/>
    <xf numFmtId="164" fontId="3" fillId="0" borderId="0" xfId="0" applyNumberFormat="1" applyFont="1" applyFill="1" applyBorder="1" applyProtection="1"/>
    <xf numFmtId="0" fontId="3" fillId="0" borderId="0" xfId="0" applyFont="1" applyAlignment="1" applyProtection="1">
      <alignment horizontal="center"/>
    </xf>
    <xf numFmtId="0" fontId="3" fillId="0" borderId="0" xfId="0" applyFont="1" applyProtection="1"/>
    <xf numFmtId="0" fontId="3" fillId="0" borderId="11" xfId="0" applyFont="1" applyFill="1" applyBorder="1" applyProtection="1"/>
    <xf numFmtId="0" fontId="3" fillId="2" borderId="6" xfId="0" applyFont="1" applyFill="1" applyBorder="1" applyProtection="1">
      <protection locked="0"/>
    </xf>
    <xf numFmtId="0" fontId="3" fillId="0" borderId="0" xfId="0" applyFont="1" applyFill="1" applyBorder="1" applyAlignment="1" applyProtection="1"/>
    <xf numFmtId="0" fontId="3" fillId="2" borderId="6" xfId="0" applyFont="1" applyFill="1" applyBorder="1" applyAlignment="1" applyProtection="1">
      <protection locked="0"/>
    </xf>
    <xf numFmtId="14" fontId="3" fillId="0" borderId="0" xfId="0" applyNumberFormat="1" applyFont="1" applyFill="1" applyBorder="1" applyAlignment="1" applyProtection="1">
      <alignment horizontal="right"/>
    </xf>
    <xf numFmtId="14" fontId="3" fillId="2" borderId="6" xfId="0" applyNumberFormat="1" applyFont="1" applyFill="1" applyBorder="1" applyAlignment="1" applyProtection="1">
      <protection locked="0"/>
    </xf>
    <xf numFmtId="0" fontId="3" fillId="0" borderId="0" xfId="0" applyFont="1" applyFill="1" applyBorder="1" applyAlignment="1" applyProtection="1">
      <alignment horizontal="right" wrapText="1"/>
    </xf>
    <xf numFmtId="0" fontId="3" fillId="0" borderId="0" xfId="0" applyFont="1" applyFill="1" applyAlignment="1" applyProtection="1">
      <alignment horizontal="right"/>
    </xf>
    <xf numFmtId="0" fontId="3" fillId="0" borderId="0" xfId="0" applyFont="1" applyBorder="1" applyProtection="1"/>
    <xf numFmtId="0" fontId="3" fillId="0" borderId="2" xfId="0" applyFont="1" applyBorder="1" applyAlignment="1" applyProtection="1">
      <alignment horizontal="center"/>
    </xf>
    <xf numFmtId="0" fontId="3" fillId="0" borderId="15" xfId="0" applyFont="1" applyBorder="1" applyAlignment="1" applyProtection="1">
      <alignment horizontal="center" wrapText="1"/>
    </xf>
    <xf numFmtId="0" fontId="3" fillId="0" borderId="3" xfId="0" applyFont="1" applyBorder="1" applyAlignment="1" applyProtection="1">
      <alignment horizontal="center"/>
    </xf>
    <xf numFmtId="6" fontId="3" fillId="0" borderId="4" xfId="0" applyNumberFormat="1" applyFont="1" applyBorder="1" applyAlignment="1" applyProtection="1">
      <alignment horizontal="right"/>
    </xf>
    <xf numFmtId="3" fontId="3" fillId="2" borderId="6" xfId="0" applyNumberFormat="1" applyFont="1" applyFill="1" applyBorder="1" applyProtection="1">
      <protection locked="0"/>
    </xf>
    <xf numFmtId="43" fontId="3" fillId="3" borderId="5" xfId="0" applyNumberFormat="1" applyFont="1" applyFill="1" applyBorder="1" applyProtection="1"/>
    <xf numFmtId="0" fontId="3" fillId="0" borderId="4" xfId="0" applyFont="1" applyBorder="1" applyAlignment="1" applyProtection="1">
      <alignment horizontal="right"/>
    </xf>
    <xf numFmtId="0" fontId="3" fillId="0" borderId="14" xfId="0" applyFont="1" applyBorder="1" applyAlignment="1" applyProtection="1">
      <alignment horizontal="right"/>
    </xf>
    <xf numFmtId="0" fontId="3" fillId="2" borderId="7" xfId="0" applyFont="1" applyFill="1" applyBorder="1" applyProtection="1">
      <protection locked="0"/>
    </xf>
    <xf numFmtId="43" fontId="3" fillId="3" borderId="12" xfId="0" applyNumberFormat="1" applyFont="1" applyFill="1" applyBorder="1" applyProtection="1"/>
    <xf numFmtId="6" fontId="3" fillId="0" borderId="14" xfId="0" applyNumberFormat="1" applyFont="1" applyBorder="1" applyAlignment="1" applyProtection="1">
      <alignment horizontal="right"/>
    </xf>
    <xf numFmtId="3" fontId="3" fillId="2" borderId="7" xfId="0" applyNumberFormat="1" applyFont="1" applyFill="1" applyBorder="1" applyProtection="1">
      <protection locked="0"/>
    </xf>
    <xf numFmtId="43" fontId="3" fillId="3" borderId="1" xfId="0" applyNumberFormat="1" applyFont="1" applyFill="1" applyBorder="1" applyAlignment="1" applyProtection="1"/>
    <xf numFmtId="43" fontId="3" fillId="3" borderId="6" xfId="0" applyNumberFormat="1" applyFont="1" applyFill="1" applyBorder="1" applyProtection="1"/>
    <xf numFmtId="43" fontId="3" fillId="3" borderId="7" xfId="0" applyNumberFormat="1" applyFont="1" applyFill="1" applyBorder="1" applyAlignment="1" applyProtection="1">
      <alignment horizontal="right"/>
    </xf>
    <xf numFmtId="43" fontId="3" fillId="3" borderId="1" xfId="0" applyNumberFormat="1" applyFont="1" applyFill="1" applyBorder="1" applyProtection="1"/>
    <xf numFmtId="0" fontId="3" fillId="4" borderId="16" xfId="0" applyFont="1" applyFill="1" applyBorder="1" applyAlignment="1" applyProtection="1">
      <alignment horizontal="center"/>
    </xf>
    <xf numFmtId="0" fontId="3" fillId="4" borderId="18" xfId="0" applyFont="1" applyFill="1" applyBorder="1" applyAlignment="1" applyProtection="1">
      <alignment horizontal="center"/>
    </xf>
    <xf numFmtId="43" fontId="3" fillId="2" borderId="6" xfId="0" applyNumberFormat="1"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xf>
    <xf numFmtId="43" fontId="3" fillId="3" borderId="41" xfId="0" applyNumberFormat="1" applyFont="1" applyFill="1" applyBorder="1" applyProtection="1"/>
    <xf numFmtId="0" fontId="3" fillId="0" borderId="0" xfId="0" applyFont="1" applyAlignment="1" applyProtection="1">
      <alignment horizontal="right"/>
    </xf>
    <xf numFmtId="0" fontId="3" fillId="0" borderId="0" xfId="0" applyFont="1" applyFill="1" applyBorder="1" applyAlignment="1" applyProtection="1">
      <alignment horizontal="center"/>
    </xf>
    <xf numFmtId="43" fontId="3" fillId="0" borderId="0" xfId="0" applyNumberFormat="1" applyFont="1" applyFill="1" applyBorder="1" applyProtection="1"/>
    <xf numFmtId="0" fontId="3" fillId="0" borderId="0" xfId="0" applyFont="1" applyFill="1" applyBorder="1" applyProtection="1"/>
    <xf numFmtId="43" fontId="3" fillId="3" borderId="9" xfId="0" applyNumberFormat="1" applyFont="1" applyFill="1" applyBorder="1" applyProtection="1"/>
    <xf numFmtId="0" fontId="4" fillId="0" borderId="27" xfId="0" applyFont="1" applyFill="1" applyBorder="1" applyAlignment="1" applyProtection="1">
      <alignment horizontal="center"/>
    </xf>
    <xf numFmtId="0" fontId="4" fillId="0" borderId="28" xfId="0" applyFont="1" applyFill="1" applyBorder="1" applyAlignment="1" applyProtection="1">
      <alignment horizontal="center"/>
    </xf>
    <xf numFmtId="43" fontId="3" fillId="0" borderId="28" xfId="0" applyNumberFormat="1" applyFont="1" applyFill="1" applyBorder="1" applyAlignment="1" applyProtection="1"/>
    <xf numFmtId="0" fontId="3" fillId="0" borderId="6" xfId="0" applyFont="1" applyFill="1" applyBorder="1" applyAlignment="1" applyProtection="1">
      <alignment horizontal="center"/>
    </xf>
    <xf numFmtId="0" fontId="6" fillId="0" borderId="0" xfId="0" applyFont="1"/>
    <xf numFmtId="0" fontId="6" fillId="0" borderId="0" xfId="0" applyFont="1" applyAlignment="1">
      <alignment wrapText="1"/>
    </xf>
    <xf numFmtId="0" fontId="6" fillId="0" borderId="0" xfId="0" applyFont="1" applyAlignment="1"/>
    <xf numFmtId="0" fontId="6" fillId="0" borderId="0" xfId="0" applyFont="1" applyAlignment="1">
      <alignment horizontal="left" wrapText="1"/>
    </xf>
    <xf numFmtId="0" fontId="6" fillId="0" borderId="0" xfId="0" applyFont="1" applyAlignment="1">
      <alignment horizontal="left"/>
    </xf>
    <xf numFmtId="0" fontId="6" fillId="0" borderId="0" xfId="0" applyFont="1" applyAlignment="1">
      <alignment horizontal="left" wrapText="1" indent="2"/>
    </xf>
    <xf numFmtId="49" fontId="3" fillId="2" borderId="6" xfId="0" applyNumberFormat="1" applyFont="1" applyFill="1" applyBorder="1" applyAlignment="1" applyProtection="1">
      <alignment horizontal="left" vertical="center" wrapText="1"/>
      <protection locked="0"/>
    </xf>
    <xf numFmtId="0" fontId="3" fillId="6" borderId="6" xfId="0" applyFont="1" applyFill="1" applyBorder="1" applyAlignment="1" applyProtection="1">
      <alignment horizontal="center"/>
      <protection locked="0"/>
    </xf>
    <xf numFmtId="164" fontId="3" fillId="0" borderId="0" xfId="0" applyNumberFormat="1" applyFont="1" applyFill="1" applyBorder="1" applyAlignment="1" applyProtection="1"/>
    <xf numFmtId="164" fontId="3" fillId="0" borderId="20" xfId="0" applyNumberFormat="1" applyFont="1" applyFill="1" applyBorder="1" applyProtection="1"/>
    <xf numFmtId="164" fontId="3" fillId="0" borderId="11" xfId="0" applyNumberFormat="1" applyFont="1" applyFill="1" applyBorder="1" applyProtection="1"/>
    <xf numFmtId="164" fontId="3" fillId="0" borderId="52" xfId="0" applyNumberFormat="1" applyFont="1" applyFill="1" applyBorder="1" applyAlignment="1" applyProtection="1"/>
    <xf numFmtId="0" fontId="3" fillId="0" borderId="6" xfId="0" applyFont="1" applyBorder="1" applyAlignment="1" applyProtection="1">
      <alignment horizontal="center"/>
    </xf>
    <xf numFmtId="0" fontId="10" fillId="0" borderId="0" xfId="0" applyFont="1" applyProtection="1"/>
    <xf numFmtId="44" fontId="3" fillId="0" borderId="41" xfId="0" applyNumberFormat="1" applyFont="1" applyFill="1" applyBorder="1" applyProtection="1"/>
    <xf numFmtId="43" fontId="3" fillId="6" borderId="6" xfId="0" applyNumberFormat="1" applyFont="1" applyFill="1" applyBorder="1" applyAlignment="1" applyProtection="1">
      <alignment horizontal="center"/>
      <protection locked="0"/>
    </xf>
    <xf numFmtId="43" fontId="3" fillId="3" borderId="54" xfId="0" applyNumberFormat="1" applyFont="1" applyFill="1" applyBorder="1" applyProtection="1"/>
    <xf numFmtId="43" fontId="3" fillId="3" borderId="55" xfId="0" applyNumberFormat="1" applyFont="1" applyFill="1" applyBorder="1" applyProtection="1"/>
    <xf numFmtId="0" fontId="11" fillId="0" borderId="0" xfId="0" applyFont="1" applyProtection="1"/>
    <xf numFmtId="0" fontId="10" fillId="0" borderId="0" xfId="0" applyFont="1" applyFill="1" applyProtection="1"/>
    <xf numFmtId="43" fontId="3" fillId="2" borderId="6" xfId="0" applyNumberFormat="1" applyFont="1" applyFill="1" applyBorder="1" applyAlignment="1" applyProtection="1">
      <alignment horizontal="center"/>
      <protection locked="0"/>
    </xf>
    <xf numFmtId="0" fontId="3" fillId="0" borderId="6" xfId="0" applyFont="1" applyFill="1" applyBorder="1" applyAlignment="1" applyProtection="1">
      <alignment horizontal="center"/>
      <protection locked="0"/>
    </xf>
    <xf numFmtId="0" fontId="6" fillId="0" borderId="10" xfId="0" applyFont="1" applyBorder="1" applyAlignment="1">
      <alignment horizontal="left"/>
    </xf>
    <xf numFmtId="0" fontId="6" fillId="0" borderId="37" xfId="0" applyFont="1" applyBorder="1" applyAlignment="1">
      <alignment horizontal="left"/>
    </xf>
    <xf numFmtId="0" fontId="6" fillId="0" borderId="21" xfId="0" applyFont="1" applyBorder="1" applyAlignment="1">
      <alignment horizontal="left"/>
    </xf>
    <xf numFmtId="0" fontId="6" fillId="0" borderId="4" xfId="0" applyFont="1" applyBorder="1" applyAlignment="1">
      <alignment horizontal="left" wrapText="1" indent="2"/>
    </xf>
    <xf numFmtId="0" fontId="6" fillId="0" borderId="6" xfId="0" applyFont="1" applyBorder="1" applyAlignment="1">
      <alignment horizontal="left" wrapText="1" indent="2"/>
    </xf>
    <xf numFmtId="0" fontId="6" fillId="0" borderId="5" xfId="0" applyFont="1" applyBorder="1" applyAlignment="1">
      <alignment horizontal="left" wrapText="1" indent="2"/>
    </xf>
    <xf numFmtId="0" fontId="6" fillId="0" borderId="22" xfId="0" applyFont="1" applyBorder="1" applyAlignment="1">
      <alignment horizontal="left" wrapText="1" indent="2"/>
    </xf>
    <xf numFmtId="0" fontId="6" fillId="0" borderId="23" xfId="0" applyFont="1" applyBorder="1" applyAlignment="1">
      <alignment horizontal="left" wrapText="1" indent="2"/>
    </xf>
    <xf numFmtId="0" fontId="6" fillId="0" borderId="13" xfId="0" applyFont="1" applyBorder="1" applyAlignment="1">
      <alignment horizontal="left" wrapText="1" indent="2"/>
    </xf>
    <xf numFmtId="0" fontId="6" fillId="0" borderId="27" xfId="0" applyFont="1" applyBorder="1" applyAlignment="1">
      <alignment horizontal="left" wrapText="1"/>
    </xf>
    <xf numFmtId="0" fontId="6" fillId="0" borderId="28" xfId="0" applyFont="1" applyBorder="1" applyAlignment="1">
      <alignment horizontal="left" wrapText="1"/>
    </xf>
    <xf numFmtId="0" fontId="6" fillId="0" borderId="29" xfId="0" applyFont="1" applyBorder="1" applyAlignment="1">
      <alignment horizontal="left" wrapText="1"/>
    </xf>
    <xf numFmtId="0" fontId="6" fillId="0" borderId="42" xfId="0" applyFont="1" applyBorder="1" applyAlignment="1">
      <alignment horizontal="left" wrapText="1"/>
    </xf>
    <xf numFmtId="0" fontId="6" fillId="0" borderId="0" xfId="0" applyFont="1" applyBorder="1" applyAlignment="1">
      <alignment horizontal="left" wrapText="1"/>
    </xf>
    <xf numFmtId="0" fontId="6" fillId="0" borderId="20" xfId="0" applyFont="1" applyBorder="1" applyAlignment="1">
      <alignment horizontal="left" wrapText="1"/>
    </xf>
    <xf numFmtId="0" fontId="6" fillId="0" borderId="43" xfId="0" applyFont="1" applyBorder="1" applyAlignment="1">
      <alignment horizontal="left" wrapText="1"/>
    </xf>
    <xf numFmtId="0" fontId="6" fillId="0" borderId="44" xfId="0" applyFont="1" applyBorder="1" applyAlignment="1">
      <alignment horizontal="left" wrapText="1"/>
    </xf>
    <xf numFmtId="0" fontId="6" fillId="0" borderId="45" xfId="0" applyFont="1" applyBorder="1" applyAlignment="1">
      <alignment horizontal="left" wrapText="1"/>
    </xf>
    <xf numFmtId="0" fontId="6" fillId="0" borderId="2" xfId="0" applyFont="1" applyBorder="1" applyAlignment="1">
      <alignment horizontal="left" wrapText="1"/>
    </xf>
    <xf numFmtId="0" fontId="6" fillId="0" borderId="15" xfId="0" applyFont="1" applyBorder="1" applyAlignment="1">
      <alignment horizontal="left" wrapText="1"/>
    </xf>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6" xfId="0" applyFont="1" applyBorder="1" applyAlignment="1">
      <alignment horizontal="left" wrapText="1"/>
    </xf>
    <xf numFmtId="0" fontId="6" fillId="0" borderId="5" xfId="0" applyFont="1" applyBorder="1" applyAlignment="1">
      <alignment horizontal="left" wrapText="1"/>
    </xf>
    <xf numFmtId="0" fontId="3" fillId="2" borderId="6" xfId="0" applyFont="1" applyFill="1" applyBorder="1" applyAlignment="1" applyProtection="1">
      <alignment horizontal="left" vertical="center" wrapText="1"/>
      <protection locked="0"/>
    </xf>
    <xf numFmtId="0" fontId="4" fillId="0" borderId="10" xfId="0" applyFont="1" applyBorder="1" applyAlignment="1" applyProtection="1">
      <alignment horizontal="center"/>
    </xf>
    <xf numFmtId="0" fontId="4" fillId="0" borderId="37" xfId="0" applyFont="1" applyBorder="1" applyAlignment="1" applyProtection="1">
      <alignment horizontal="center"/>
    </xf>
    <xf numFmtId="0" fontId="4" fillId="0" borderId="21" xfId="0" applyFont="1" applyBorder="1" applyAlignment="1" applyProtection="1">
      <alignment horizontal="center"/>
    </xf>
    <xf numFmtId="0" fontId="4" fillId="0" borderId="38" xfId="0" applyFont="1" applyBorder="1" applyAlignment="1" applyProtection="1">
      <alignment horizontal="center"/>
    </xf>
    <xf numFmtId="0" fontId="4" fillId="0" borderId="39" xfId="0" applyFont="1" applyBorder="1" applyAlignment="1" applyProtection="1">
      <alignment horizontal="center"/>
    </xf>
    <xf numFmtId="0" fontId="4" fillId="0" borderId="40" xfId="0" applyFont="1" applyBorder="1" applyAlignment="1" applyProtection="1">
      <alignment horizontal="center"/>
    </xf>
    <xf numFmtId="0" fontId="3" fillId="4" borderId="17" xfId="0" applyFont="1" applyFill="1" applyBorder="1" applyAlignment="1" applyProtection="1">
      <alignment horizontal="center"/>
    </xf>
    <xf numFmtId="0" fontId="3" fillId="5" borderId="34" xfId="0" applyFont="1" applyFill="1" applyBorder="1" applyAlignment="1" applyProtection="1">
      <alignment horizontal="right"/>
    </xf>
    <xf numFmtId="0" fontId="3" fillId="5" borderId="25" xfId="0" applyFont="1" applyFill="1" applyBorder="1" applyAlignment="1" applyProtection="1">
      <alignment horizontal="right"/>
    </xf>
    <xf numFmtId="0" fontId="3" fillId="5" borderId="51" xfId="0" applyFont="1" applyFill="1" applyBorder="1" applyAlignment="1" applyProtection="1">
      <alignment horizontal="right"/>
    </xf>
    <xf numFmtId="0" fontId="3" fillId="5" borderId="19" xfId="0" applyFont="1" applyFill="1" applyBorder="1" applyAlignment="1" applyProtection="1">
      <alignment horizontal="right"/>
    </xf>
    <xf numFmtId="0" fontId="3" fillId="5" borderId="8" xfId="0" applyFont="1" applyFill="1" applyBorder="1" applyAlignment="1" applyProtection="1">
      <alignment horizontal="right"/>
    </xf>
    <xf numFmtId="0" fontId="5" fillId="0" borderId="0" xfId="0" applyFont="1" applyAlignment="1" applyProtection="1">
      <alignment horizontal="center" vertical="center"/>
    </xf>
    <xf numFmtId="0" fontId="4" fillId="3" borderId="24" xfId="0" applyFont="1" applyFill="1" applyBorder="1" applyAlignment="1" applyProtection="1">
      <alignment horizontal="left"/>
    </xf>
    <xf numFmtId="0" fontId="4" fillId="3" borderId="25" xfId="0" applyFont="1" applyFill="1" applyBorder="1" applyAlignment="1" applyProtection="1">
      <alignment horizontal="left"/>
    </xf>
    <xf numFmtId="0" fontId="4" fillId="3" borderId="30" xfId="0" applyFont="1" applyFill="1" applyBorder="1" applyAlignment="1" applyProtection="1">
      <alignment horizontal="left"/>
    </xf>
    <xf numFmtId="0" fontId="4" fillId="2" borderId="31" xfId="0" applyFont="1" applyFill="1" applyBorder="1" applyAlignment="1" applyProtection="1">
      <alignment horizontal="left"/>
    </xf>
    <xf numFmtId="0" fontId="4" fillId="2" borderId="32" xfId="0" applyFont="1" applyFill="1" applyBorder="1" applyAlignment="1" applyProtection="1">
      <alignment horizontal="left"/>
    </xf>
    <xf numFmtId="0" fontId="4" fillId="2" borderId="33" xfId="0" applyFont="1" applyFill="1" applyBorder="1" applyAlignment="1" applyProtection="1">
      <alignment horizontal="left"/>
    </xf>
    <xf numFmtId="0" fontId="3" fillId="0" borderId="34" xfId="0" applyFont="1" applyFill="1" applyBorder="1" applyAlignment="1" applyProtection="1">
      <alignment horizontal="left" vertical="center" wrapText="1"/>
    </xf>
    <xf numFmtId="0" fontId="3" fillId="0" borderId="25" xfId="0" applyFont="1" applyFill="1" applyBorder="1" applyAlignment="1" applyProtection="1">
      <alignment horizontal="left" vertical="center" wrapText="1"/>
    </xf>
    <xf numFmtId="0" fontId="3" fillId="0" borderId="26" xfId="0" applyFont="1" applyFill="1" applyBorder="1" applyAlignment="1" applyProtection="1">
      <alignment horizontal="left" vertical="center" wrapText="1"/>
    </xf>
    <xf numFmtId="0" fontId="3" fillId="0" borderId="48" xfId="0" applyFont="1" applyBorder="1" applyAlignment="1" applyProtection="1">
      <alignment horizontal="left"/>
    </xf>
    <xf numFmtId="0" fontId="3" fillId="0" borderId="8" xfId="0" applyFont="1" applyBorder="1" applyAlignment="1" applyProtection="1">
      <alignment horizontal="left"/>
    </xf>
    <xf numFmtId="0" fontId="3" fillId="0" borderId="49" xfId="0" applyFont="1" applyBorder="1" applyAlignment="1" applyProtection="1">
      <alignment horizontal="left"/>
    </xf>
    <xf numFmtId="0" fontId="3" fillId="0" borderId="10" xfId="0" applyFont="1" applyBorder="1" applyAlignment="1" applyProtection="1">
      <alignment horizontal="center"/>
    </xf>
    <xf numFmtId="0" fontId="3" fillId="0" borderId="21" xfId="0" applyFont="1" applyBorder="1" applyAlignment="1" applyProtection="1">
      <alignment horizontal="center"/>
    </xf>
    <xf numFmtId="0" fontId="3" fillId="0" borderId="35" xfId="0" applyFont="1" applyBorder="1" applyAlignment="1" applyProtection="1">
      <alignment horizontal="left"/>
    </xf>
    <xf numFmtId="0" fontId="3" fillId="0" borderId="36" xfId="0" applyFont="1" applyBorder="1" applyAlignment="1" applyProtection="1">
      <alignment horizontal="left"/>
    </xf>
    <xf numFmtId="0" fontId="3" fillId="0" borderId="34" xfId="0" applyFont="1" applyBorder="1" applyAlignment="1" applyProtection="1">
      <alignment horizontal="left"/>
    </xf>
    <xf numFmtId="0" fontId="3" fillId="0" borderId="26" xfId="0" applyFont="1" applyBorder="1" applyAlignment="1" applyProtection="1">
      <alignment horizontal="left"/>
    </xf>
    <xf numFmtId="0" fontId="3" fillId="0" borderId="46" xfId="0" applyFont="1" applyBorder="1" applyAlignment="1" applyProtection="1">
      <alignment horizontal="left"/>
    </xf>
    <xf numFmtId="0" fontId="3" fillId="0" borderId="47" xfId="0" applyFont="1" applyBorder="1" applyAlignment="1" applyProtection="1">
      <alignment horizontal="left"/>
    </xf>
    <xf numFmtId="0" fontId="3" fillId="0" borderId="9" xfId="0" applyFont="1" applyBorder="1" applyAlignment="1" applyProtection="1">
      <alignment horizontal="center" wrapText="1"/>
    </xf>
    <xf numFmtId="0" fontId="3" fillId="0" borderId="6" xfId="0" applyFont="1" applyBorder="1" applyAlignment="1" applyProtection="1">
      <alignment horizontal="center" wrapText="1"/>
    </xf>
    <xf numFmtId="0" fontId="3" fillId="0" borderId="6" xfId="0" applyFont="1" applyBorder="1" applyAlignment="1" applyProtection="1">
      <alignment horizontal="center"/>
    </xf>
    <xf numFmtId="0" fontId="3" fillId="6" borderId="19" xfId="0" applyFont="1" applyFill="1" applyBorder="1" applyAlignment="1" applyProtection="1">
      <alignment horizontal="left" wrapText="1"/>
      <protection locked="0"/>
    </xf>
    <xf numFmtId="0" fontId="3" fillId="6" borderId="8" xfId="0" applyFont="1" applyFill="1" applyBorder="1" applyAlignment="1" applyProtection="1">
      <alignment horizontal="left" wrapText="1"/>
      <protection locked="0"/>
    </xf>
    <xf numFmtId="0" fontId="3" fillId="6" borderId="50" xfId="0" applyFont="1" applyFill="1" applyBorder="1" applyAlignment="1" applyProtection="1">
      <alignment horizontal="left" wrapText="1"/>
      <protection locked="0"/>
    </xf>
    <xf numFmtId="0" fontId="3" fillId="6" borderId="53" xfId="0" applyFont="1" applyFill="1" applyBorder="1" applyAlignment="1" applyProtection="1">
      <alignment horizontal="left" wrapText="1"/>
      <protection locked="0"/>
    </xf>
    <xf numFmtId="0" fontId="3" fillId="6" borderId="0" xfId="0" applyFont="1" applyFill="1" applyBorder="1" applyAlignment="1" applyProtection="1">
      <alignment horizontal="left" wrapText="1"/>
      <protection locked="0"/>
    </xf>
    <xf numFmtId="0" fontId="3" fillId="6" borderId="54" xfId="0" applyFont="1" applyFill="1" applyBorder="1" applyAlignment="1" applyProtection="1">
      <alignment horizontal="left" wrapText="1"/>
      <protection locked="0"/>
    </xf>
    <xf numFmtId="0" fontId="3" fillId="6" borderId="46" xfId="0" applyFont="1" applyFill="1" applyBorder="1" applyAlignment="1" applyProtection="1">
      <alignment horizontal="left" wrapText="1"/>
      <protection locked="0"/>
    </xf>
    <xf numFmtId="0" fontId="3" fillId="6" borderId="51" xfId="0" applyFont="1" applyFill="1" applyBorder="1" applyAlignment="1" applyProtection="1">
      <alignment horizontal="left" wrapText="1"/>
      <protection locked="0"/>
    </xf>
    <xf numFmtId="0" fontId="3" fillId="6" borderId="47" xfId="0" applyFont="1" applyFill="1" applyBorder="1" applyAlignment="1" applyProtection="1">
      <alignment horizontal="left" wrapText="1"/>
      <protection locked="0"/>
    </xf>
  </cellXfs>
  <cellStyles count="1">
    <cellStyle name="Normal" xfId="0" builtinId="0"/>
  </cellStyles>
  <dxfs count="0"/>
  <tableStyles count="0" defaultTableStyle="TableStyleMedium9" defaultPivotStyle="PivotStyleLight16"/>
  <colors>
    <mruColors>
      <color rgb="FF99CCFF"/>
      <color rgb="FFFFFFCC"/>
    </mru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265582</xdr:colOff>
      <xdr:row>2</xdr:row>
      <xdr:rowOff>52668</xdr:rowOff>
    </xdr:from>
    <xdr:to>
      <xdr:col>3</xdr:col>
      <xdr:colOff>209553</xdr:colOff>
      <xdr:row>6</xdr:row>
      <xdr:rowOff>128868</xdr:rowOff>
    </xdr:to>
    <xdr:pic>
      <xdr:nvPicPr>
        <xdr:cNvPr id="1055" name="MSOImageWebPart_WebPartWPQ4" descr="https://eaglenet.umw.edu/sites/departments/accounting/PublishingImages/Finance_ACC.jpg"/>
        <xdr:cNvPicPr>
          <a:picLocks noChangeAspect="1" noChangeArrowheads="1"/>
        </xdr:cNvPicPr>
      </xdr:nvPicPr>
      <xdr:blipFill>
        <a:blip xmlns:r="http://schemas.openxmlformats.org/officeDocument/2006/relationships" r:embed="rId1" cstate="print"/>
        <a:srcRect/>
        <a:stretch>
          <a:fillRect/>
        </a:stretch>
      </xdr:blipFill>
      <xdr:spPr bwMode="auto">
        <a:xfrm>
          <a:off x="265582" y="366433"/>
          <a:ext cx="2229971" cy="838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B1:L38"/>
  <sheetViews>
    <sheetView showGridLines="0" zoomScaleNormal="100" workbookViewId="0">
      <selection activeCell="F45" sqref="F45"/>
    </sheetView>
  </sheetViews>
  <sheetFormatPr defaultRowHeight="12.75"/>
  <cols>
    <col min="1" max="1" width="1.7109375" style="44" customWidth="1"/>
    <col min="2" max="16384" width="9.140625" style="44"/>
  </cols>
  <sheetData>
    <row r="1" spans="2:12" ht="13.5" thickBot="1"/>
    <row r="2" spans="2:12" ht="13.5" thickBot="1">
      <c r="B2" s="66" t="s">
        <v>38</v>
      </c>
      <c r="C2" s="67"/>
      <c r="D2" s="67"/>
      <c r="E2" s="67"/>
      <c r="F2" s="67"/>
      <c r="G2" s="67"/>
      <c r="H2" s="67"/>
      <c r="I2" s="67"/>
      <c r="J2" s="68"/>
      <c r="K2" s="46"/>
      <c r="L2" s="46"/>
    </row>
    <row r="3" spans="2:12" ht="13.5" thickBot="1">
      <c r="B3" s="48"/>
      <c r="C3" s="48"/>
      <c r="D3" s="48"/>
      <c r="E3" s="48"/>
      <c r="F3" s="48"/>
      <c r="G3" s="48"/>
      <c r="H3" s="48"/>
      <c r="I3" s="48"/>
      <c r="J3" s="48"/>
      <c r="K3" s="46"/>
      <c r="L3" s="46"/>
    </row>
    <row r="4" spans="2:12" ht="12.75" customHeight="1">
      <c r="B4" s="75" t="s">
        <v>39</v>
      </c>
      <c r="C4" s="76"/>
      <c r="D4" s="76"/>
      <c r="E4" s="76"/>
      <c r="F4" s="76"/>
      <c r="G4" s="76"/>
      <c r="H4" s="76"/>
      <c r="I4" s="76"/>
      <c r="J4" s="77"/>
      <c r="K4" s="45"/>
      <c r="L4" s="45"/>
    </row>
    <row r="5" spans="2:12">
      <c r="B5" s="78"/>
      <c r="C5" s="79"/>
      <c r="D5" s="79"/>
      <c r="E5" s="79"/>
      <c r="F5" s="79"/>
      <c r="G5" s="79"/>
      <c r="H5" s="79"/>
      <c r="I5" s="79"/>
      <c r="J5" s="80"/>
      <c r="K5" s="45"/>
      <c r="L5" s="45"/>
    </row>
    <row r="6" spans="2:12">
      <c r="B6" s="78"/>
      <c r="C6" s="79"/>
      <c r="D6" s="79"/>
      <c r="E6" s="79"/>
      <c r="F6" s="79"/>
      <c r="G6" s="79"/>
      <c r="H6" s="79"/>
      <c r="I6" s="79"/>
      <c r="J6" s="80"/>
      <c r="K6" s="45"/>
      <c r="L6" s="45"/>
    </row>
    <row r="7" spans="2:12">
      <c r="B7" s="78"/>
      <c r="C7" s="79"/>
      <c r="D7" s="79"/>
      <c r="E7" s="79"/>
      <c r="F7" s="79"/>
      <c r="G7" s="79"/>
      <c r="H7" s="79"/>
      <c r="I7" s="79"/>
      <c r="J7" s="80"/>
      <c r="K7" s="45"/>
      <c r="L7" s="45"/>
    </row>
    <row r="8" spans="2:12">
      <c r="B8" s="78"/>
      <c r="C8" s="79"/>
      <c r="D8" s="79"/>
      <c r="E8" s="79"/>
      <c r="F8" s="79"/>
      <c r="G8" s="79"/>
      <c r="H8" s="79"/>
      <c r="I8" s="79"/>
      <c r="J8" s="80"/>
      <c r="K8" s="45"/>
      <c r="L8" s="45"/>
    </row>
    <row r="9" spans="2:12">
      <c r="B9" s="78"/>
      <c r="C9" s="79"/>
      <c r="D9" s="79"/>
      <c r="E9" s="79"/>
      <c r="F9" s="79"/>
      <c r="G9" s="79"/>
      <c r="H9" s="79"/>
      <c r="I9" s="79"/>
      <c r="J9" s="80"/>
      <c r="K9" s="45"/>
      <c r="L9" s="45"/>
    </row>
    <row r="10" spans="2:12">
      <c r="B10" s="78"/>
      <c r="C10" s="79"/>
      <c r="D10" s="79"/>
      <c r="E10" s="79"/>
      <c r="F10" s="79"/>
      <c r="G10" s="79"/>
      <c r="H10" s="79"/>
      <c r="I10" s="79"/>
      <c r="J10" s="80"/>
      <c r="K10" s="45"/>
      <c r="L10" s="45"/>
    </row>
    <row r="11" spans="2:12">
      <c r="B11" s="78"/>
      <c r="C11" s="79"/>
      <c r="D11" s="79"/>
      <c r="E11" s="79"/>
      <c r="F11" s="79"/>
      <c r="G11" s="79"/>
      <c r="H11" s="79"/>
      <c r="I11" s="79"/>
      <c r="J11" s="80"/>
      <c r="K11" s="45"/>
      <c r="L11" s="45"/>
    </row>
    <row r="12" spans="2:12">
      <c r="B12" s="78"/>
      <c r="C12" s="79"/>
      <c r="D12" s="79"/>
      <c r="E12" s="79"/>
      <c r="F12" s="79"/>
      <c r="G12" s="79"/>
      <c r="H12" s="79"/>
      <c r="I12" s="79"/>
      <c r="J12" s="80"/>
      <c r="K12" s="45"/>
      <c r="L12" s="45"/>
    </row>
    <row r="13" spans="2:12">
      <c r="B13" s="78"/>
      <c r="C13" s="79"/>
      <c r="D13" s="79"/>
      <c r="E13" s="79"/>
      <c r="F13" s="79"/>
      <c r="G13" s="79"/>
      <c r="H13" s="79"/>
      <c r="I13" s="79"/>
      <c r="J13" s="80"/>
      <c r="K13" s="45"/>
      <c r="L13" s="45"/>
    </row>
    <row r="14" spans="2:12" ht="13.5" thickBot="1">
      <c r="B14" s="81"/>
      <c r="C14" s="82"/>
      <c r="D14" s="82"/>
      <c r="E14" s="82"/>
      <c r="F14" s="82"/>
      <c r="G14" s="82"/>
      <c r="H14" s="82"/>
      <c r="I14" s="82"/>
      <c r="J14" s="83"/>
      <c r="K14" s="45"/>
      <c r="L14" s="45"/>
    </row>
    <row r="15" spans="2:12" ht="13.5" thickBot="1"/>
    <row r="16" spans="2:12" ht="12.75" customHeight="1">
      <c r="B16" s="84" t="s">
        <v>40</v>
      </c>
      <c r="C16" s="85"/>
      <c r="D16" s="85"/>
      <c r="E16" s="85"/>
      <c r="F16" s="85"/>
      <c r="G16" s="85"/>
      <c r="H16" s="85"/>
      <c r="I16" s="85"/>
      <c r="J16" s="86"/>
      <c r="K16" s="45"/>
      <c r="L16" s="45"/>
    </row>
    <row r="17" spans="2:12">
      <c r="B17" s="87"/>
      <c r="C17" s="88"/>
      <c r="D17" s="88"/>
      <c r="E17" s="88"/>
      <c r="F17" s="88"/>
      <c r="G17" s="88"/>
      <c r="H17" s="88"/>
      <c r="I17" s="88"/>
      <c r="J17" s="89"/>
      <c r="K17" s="45"/>
      <c r="L17" s="45"/>
    </row>
    <row r="18" spans="2:12" ht="12.75" customHeight="1">
      <c r="B18" s="69" t="s">
        <v>41</v>
      </c>
      <c r="C18" s="70"/>
      <c r="D18" s="70"/>
      <c r="E18" s="70"/>
      <c r="F18" s="70"/>
      <c r="G18" s="70"/>
      <c r="H18" s="70"/>
      <c r="I18" s="70"/>
      <c r="J18" s="71"/>
      <c r="K18" s="45"/>
      <c r="L18" s="45"/>
    </row>
    <row r="19" spans="2:12">
      <c r="B19" s="69"/>
      <c r="C19" s="70"/>
      <c r="D19" s="70"/>
      <c r="E19" s="70"/>
      <c r="F19" s="70"/>
      <c r="G19" s="70"/>
      <c r="H19" s="70"/>
      <c r="I19" s="70"/>
      <c r="J19" s="71"/>
      <c r="K19" s="45"/>
      <c r="L19" s="45"/>
    </row>
    <row r="20" spans="2:12" ht="12.75" customHeight="1">
      <c r="B20" s="69" t="s">
        <v>42</v>
      </c>
      <c r="C20" s="70"/>
      <c r="D20" s="70"/>
      <c r="E20" s="70"/>
      <c r="F20" s="70"/>
      <c r="G20" s="70"/>
      <c r="H20" s="70"/>
      <c r="I20" s="70"/>
      <c r="J20" s="71"/>
      <c r="K20" s="45"/>
      <c r="L20" s="45"/>
    </row>
    <row r="21" spans="2:12" ht="12.75" customHeight="1">
      <c r="B21" s="69"/>
      <c r="C21" s="70"/>
      <c r="D21" s="70"/>
      <c r="E21" s="70"/>
      <c r="F21" s="70"/>
      <c r="G21" s="70"/>
      <c r="H21" s="70"/>
      <c r="I21" s="70"/>
      <c r="J21" s="71"/>
      <c r="K21" s="45"/>
      <c r="L21" s="45"/>
    </row>
    <row r="22" spans="2:12">
      <c r="B22" s="69"/>
      <c r="C22" s="70"/>
      <c r="D22" s="70"/>
      <c r="E22" s="70"/>
      <c r="F22" s="70"/>
      <c r="G22" s="70"/>
      <c r="H22" s="70"/>
      <c r="I22" s="70"/>
      <c r="J22" s="71"/>
      <c r="K22" s="45"/>
      <c r="L22" s="45"/>
    </row>
    <row r="23" spans="2:12" ht="12.75" customHeight="1">
      <c r="B23" s="69" t="s">
        <v>43</v>
      </c>
      <c r="C23" s="70"/>
      <c r="D23" s="70"/>
      <c r="E23" s="70"/>
      <c r="F23" s="70"/>
      <c r="G23" s="70"/>
      <c r="H23" s="70"/>
      <c r="I23" s="70"/>
      <c r="J23" s="71"/>
      <c r="K23" s="45"/>
      <c r="L23" s="45"/>
    </row>
    <row r="24" spans="2:12">
      <c r="B24" s="69"/>
      <c r="C24" s="70"/>
      <c r="D24" s="70"/>
      <c r="E24" s="70"/>
      <c r="F24" s="70"/>
      <c r="G24" s="70"/>
      <c r="H24" s="70"/>
      <c r="I24" s="70"/>
      <c r="J24" s="71"/>
      <c r="K24" s="45"/>
      <c r="L24" s="45"/>
    </row>
    <row r="25" spans="2:12" ht="12.75" customHeight="1">
      <c r="B25" s="69" t="s">
        <v>44</v>
      </c>
      <c r="C25" s="70"/>
      <c r="D25" s="70"/>
      <c r="E25" s="70"/>
      <c r="F25" s="70"/>
      <c r="G25" s="70"/>
      <c r="H25" s="70"/>
      <c r="I25" s="70"/>
      <c r="J25" s="71"/>
      <c r="K25" s="47"/>
      <c r="L25" s="47"/>
    </row>
    <row r="26" spans="2:12" ht="12.75" customHeight="1">
      <c r="B26" s="69"/>
      <c r="C26" s="70"/>
      <c r="D26" s="70"/>
      <c r="E26" s="70"/>
      <c r="F26" s="70"/>
      <c r="G26" s="70"/>
      <c r="H26" s="70"/>
      <c r="I26" s="70"/>
      <c r="J26" s="71"/>
      <c r="K26" s="47"/>
      <c r="L26" s="47"/>
    </row>
    <row r="27" spans="2:12" ht="12.75" customHeight="1">
      <c r="B27" s="69" t="s">
        <v>45</v>
      </c>
      <c r="C27" s="70"/>
      <c r="D27" s="70"/>
      <c r="E27" s="70"/>
      <c r="F27" s="70"/>
      <c r="G27" s="70"/>
      <c r="H27" s="70"/>
      <c r="I27" s="70"/>
      <c r="J27" s="71"/>
      <c r="K27" s="45"/>
      <c r="L27" s="45"/>
    </row>
    <row r="28" spans="2:12">
      <c r="B28" s="69"/>
      <c r="C28" s="70"/>
      <c r="D28" s="70"/>
      <c r="E28" s="70"/>
      <c r="F28" s="70"/>
      <c r="G28" s="70"/>
      <c r="H28" s="70"/>
      <c r="I28" s="70"/>
      <c r="J28" s="71"/>
      <c r="K28" s="45"/>
      <c r="L28" s="45"/>
    </row>
    <row r="29" spans="2:12" ht="12.75" customHeight="1">
      <c r="B29" s="69" t="s">
        <v>46</v>
      </c>
      <c r="C29" s="70"/>
      <c r="D29" s="70"/>
      <c r="E29" s="70"/>
      <c r="F29" s="70"/>
      <c r="G29" s="70"/>
      <c r="H29" s="70"/>
      <c r="I29" s="70"/>
      <c r="J29" s="71"/>
      <c r="K29" s="47"/>
      <c r="L29" s="47"/>
    </row>
    <row r="30" spans="2:12" ht="13.5" thickBot="1">
      <c r="B30" s="72"/>
      <c r="C30" s="73"/>
      <c r="D30" s="73"/>
      <c r="E30" s="73"/>
      <c r="F30" s="73"/>
      <c r="G30" s="73"/>
      <c r="H30" s="73"/>
      <c r="I30" s="73"/>
      <c r="J30" s="74"/>
      <c r="K30" s="47"/>
      <c r="L30" s="47"/>
    </row>
    <row r="31" spans="2:12" ht="13.5" thickBot="1">
      <c r="B31" s="49"/>
      <c r="C31" s="49"/>
      <c r="D31" s="49"/>
      <c r="E31" s="49"/>
      <c r="F31" s="49"/>
      <c r="G31" s="49"/>
      <c r="H31" s="49"/>
      <c r="I31" s="49"/>
      <c r="J31" s="49"/>
      <c r="K31" s="47"/>
      <c r="L31" s="47"/>
    </row>
    <row r="32" spans="2:12" ht="13.5" thickBot="1">
      <c r="B32" s="66" t="s">
        <v>47</v>
      </c>
      <c r="C32" s="67"/>
      <c r="D32" s="67"/>
      <c r="E32" s="67"/>
      <c r="F32" s="67"/>
      <c r="G32" s="67"/>
      <c r="H32" s="67"/>
      <c r="I32" s="67"/>
      <c r="J32" s="68"/>
    </row>
    <row r="33" spans="2:10" ht="13.5" thickBot="1">
      <c r="B33" s="48"/>
      <c r="C33" s="48"/>
      <c r="D33" s="48"/>
      <c r="E33" s="48"/>
      <c r="F33" s="48"/>
      <c r="G33" s="48"/>
      <c r="H33" s="48"/>
      <c r="I33" s="48"/>
      <c r="J33" s="48"/>
    </row>
    <row r="34" spans="2:10" ht="13.5" thickBot="1">
      <c r="B34" s="66" t="s">
        <v>48</v>
      </c>
      <c r="C34" s="67"/>
      <c r="D34" s="67"/>
      <c r="E34" s="67"/>
      <c r="F34" s="67"/>
      <c r="G34" s="67"/>
      <c r="H34" s="67"/>
      <c r="I34" s="67"/>
      <c r="J34" s="68"/>
    </row>
    <row r="35" spans="2:10" ht="13.5" thickBot="1"/>
    <row r="36" spans="2:10" ht="13.5" thickBot="1">
      <c r="B36" s="66" t="s">
        <v>49</v>
      </c>
      <c r="C36" s="67"/>
      <c r="D36" s="67"/>
      <c r="E36" s="67"/>
      <c r="F36" s="67"/>
      <c r="G36" s="67"/>
      <c r="H36" s="67"/>
      <c r="I36" s="67"/>
      <c r="J36" s="68"/>
    </row>
    <row r="37" spans="2:10" ht="13.5" thickBot="1"/>
    <row r="38" spans="2:10" ht="13.5" thickBot="1">
      <c r="B38" s="66" t="s">
        <v>50</v>
      </c>
      <c r="C38" s="67"/>
      <c r="D38" s="67"/>
      <c r="E38" s="67"/>
      <c r="F38" s="67"/>
      <c r="G38" s="67"/>
      <c r="H38" s="67"/>
      <c r="I38" s="67"/>
      <c r="J38" s="68"/>
    </row>
  </sheetData>
  <mergeCells count="13">
    <mergeCell ref="B2:J2"/>
    <mergeCell ref="B4:J14"/>
    <mergeCell ref="B16:J17"/>
    <mergeCell ref="B18:J19"/>
    <mergeCell ref="B20:J22"/>
    <mergeCell ref="B38:J38"/>
    <mergeCell ref="B36:J36"/>
    <mergeCell ref="B34:J34"/>
    <mergeCell ref="B23:J24"/>
    <mergeCell ref="B25:J26"/>
    <mergeCell ref="B27:J28"/>
    <mergeCell ref="B29:J30"/>
    <mergeCell ref="B32:J3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3:K66"/>
  <sheetViews>
    <sheetView showGridLines="0" tabSelected="1" topLeftCell="A4" zoomScale="85" zoomScaleNormal="85" workbookViewId="0">
      <selection activeCell="G25" sqref="G25"/>
    </sheetView>
  </sheetViews>
  <sheetFormatPr defaultRowHeight="12"/>
  <cols>
    <col min="1" max="1" width="9" style="4" customWidth="1"/>
    <col min="2" max="2" width="12.42578125" style="4" customWidth="1"/>
    <col min="3" max="3" width="12.7109375" style="4" customWidth="1"/>
    <col min="4" max="4" width="7.42578125" style="4" customWidth="1"/>
    <col min="5" max="5" width="11.5703125" style="4" customWidth="1"/>
    <col min="6" max="6" width="11.85546875" style="4" customWidth="1"/>
    <col min="7" max="7" width="10.42578125" style="4" customWidth="1"/>
    <col min="8" max="8" width="17.85546875" style="4" customWidth="1"/>
    <col min="9" max="9" width="14.140625" style="4" customWidth="1"/>
    <col min="10" max="10" width="9.140625" style="4"/>
    <col min="11" max="11" width="26" style="4" customWidth="1"/>
    <col min="12" max="16384" width="9.140625" style="4"/>
  </cols>
  <sheetData>
    <row r="3" spans="1:11" ht="18" customHeight="1">
      <c r="A3" s="1"/>
      <c r="B3" s="2"/>
      <c r="C3" s="1"/>
      <c r="D3" s="2"/>
      <c r="E3" s="103" t="s">
        <v>36</v>
      </c>
      <c r="F3" s="103"/>
      <c r="G3" s="103"/>
      <c r="H3" s="103"/>
    </row>
    <row r="4" spans="1:11" ht="14.25" customHeight="1" thickBot="1">
      <c r="A4" s="1"/>
      <c r="B4" s="2"/>
      <c r="C4" s="1"/>
      <c r="D4" s="2"/>
      <c r="E4" s="3"/>
      <c r="K4" s="62"/>
    </row>
    <row r="5" spans="1:11" ht="14.25" customHeight="1">
      <c r="A5" s="1"/>
      <c r="B5" s="2"/>
      <c r="C5" s="1"/>
      <c r="D5" s="2"/>
      <c r="E5" s="107" t="s">
        <v>29</v>
      </c>
      <c r="F5" s="108"/>
      <c r="G5" s="108"/>
      <c r="H5" s="109"/>
      <c r="K5" s="57"/>
    </row>
    <row r="6" spans="1:11" ht="14.25" customHeight="1">
      <c r="A6" s="38"/>
      <c r="B6" s="2"/>
      <c r="C6" s="38"/>
      <c r="D6" s="53"/>
      <c r="E6" s="104" t="s">
        <v>30</v>
      </c>
      <c r="F6" s="105"/>
      <c r="G6" s="105"/>
      <c r="H6" s="106"/>
      <c r="K6" s="57"/>
    </row>
    <row r="7" spans="1:11" ht="13.5" customHeight="1" thickBot="1">
      <c r="A7" s="5"/>
      <c r="B7" s="54"/>
      <c r="C7" s="5"/>
      <c r="D7" s="55"/>
      <c r="E7" s="113" t="s">
        <v>32</v>
      </c>
      <c r="F7" s="114"/>
      <c r="G7" s="114"/>
      <c r="H7" s="115"/>
      <c r="I7" s="52"/>
      <c r="K7" s="57"/>
    </row>
    <row r="8" spans="1:11" ht="14.25" customHeight="1" thickTop="1">
      <c r="B8" s="124" t="s">
        <v>31</v>
      </c>
      <c r="C8" s="124" t="s">
        <v>11</v>
      </c>
      <c r="E8" s="126" t="s">
        <v>28</v>
      </c>
      <c r="F8" s="126"/>
      <c r="G8" s="126"/>
      <c r="H8" s="126"/>
      <c r="I8" s="126"/>
      <c r="K8" s="57"/>
    </row>
    <row r="9" spans="1:11">
      <c r="B9" s="125"/>
      <c r="C9" s="125"/>
      <c r="E9" s="56" t="s">
        <v>51</v>
      </c>
      <c r="F9" s="56" t="s">
        <v>52</v>
      </c>
      <c r="G9" s="56" t="s">
        <v>53</v>
      </c>
      <c r="H9" s="56" t="s">
        <v>54</v>
      </c>
      <c r="I9" s="56" t="s">
        <v>34</v>
      </c>
      <c r="K9" s="57">
        <v>56402</v>
      </c>
    </row>
    <row r="10" spans="1:11" ht="14.25" customHeight="1">
      <c r="B10" s="43" t="s">
        <v>35</v>
      </c>
      <c r="C10" s="43" t="s">
        <v>55</v>
      </c>
      <c r="D10" s="35"/>
      <c r="E10" s="43">
        <v>1556</v>
      </c>
      <c r="F10" s="51"/>
      <c r="G10" s="65">
        <v>56404</v>
      </c>
      <c r="H10" s="43">
        <v>10520</v>
      </c>
      <c r="I10" s="64"/>
      <c r="K10" s="57">
        <v>56403</v>
      </c>
    </row>
    <row r="11" spans="1:11" ht="14.25" customHeight="1">
      <c r="B11" s="35"/>
      <c r="C11" s="7"/>
      <c r="E11" s="43">
        <v>1556</v>
      </c>
      <c r="F11" s="51"/>
      <c r="G11" s="65"/>
      <c r="H11" s="43">
        <v>10520</v>
      </c>
      <c r="I11" s="64"/>
      <c r="K11" s="57">
        <v>56404</v>
      </c>
    </row>
    <row r="12" spans="1:11" ht="14.25" customHeight="1">
      <c r="A12" s="9" t="s">
        <v>1</v>
      </c>
      <c r="B12" s="10"/>
      <c r="E12" s="43">
        <v>1556</v>
      </c>
      <c r="F12" s="51"/>
      <c r="G12" s="65"/>
      <c r="H12" s="43">
        <v>10520</v>
      </c>
      <c r="I12" s="64"/>
      <c r="K12" s="57">
        <v>56406</v>
      </c>
    </row>
    <row r="13" spans="1:11" ht="14.25" customHeight="1">
      <c r="B13" s="35"/>
      <c r="C13" s="7"/>
      <c r="E13" s="43">
        <v>1556</v>
      </c>
      <c r="F13" s="51"/>
      <c r="G13" s="65"/>
      <c r="H13" s="43">
        <v>10520</v>
      </c>
      <c r="I13" s="64"/>
      <c r="K13" s="57"/>
    </row>
    <row r="14" spans="1:11" ht="14.25" customHeight="1">
      <c r="A14" s="11" t="s">
        <v>3</v>
      </c>
      <c r="B14" s="8"/>
      <c r="E14" s="43">
        <v>1556</v>
      </c>
      <c r="F14" s="51"/>
      <c r="G14" s="51"/>
      <c r="H14" s="51"/>
      <c r="I14" s="59"/>
      <c r="K14" s="57"/>
    </row>
    <row r="15" spans="1:11" s="1" customFormat="1" ht="14.25" customHeight="1" thickBot="1">
      <c r="B15" s="12"/>
      <c r="C15" s="11"/>
      <c r="D15" s="7"/>
      <c r="H15" s="12" t="s">
        <v>56</v>
      </c>
      <c r="I15" s="58">
        <f>SUM(I10:I14)</f>
        <v>0</v>
      </c>
      <c r="K15" s="63"/>
    </row>
    <row r="16" spans="1:11" ht="14.25" customHeight="1" thickTop="1">
      <c r="A16" s="35" t="s">
        <v>2</v>
      </c>
      <c r="B16" s="127"/>
      <c r="C16" s="128"/>
      <c r="D16" s="129"/>
      <c r="E16" s="12"/>
      <c r="K16" s="57"/>
    </row>
    <row r="17" spans="1:11" ht="20.25" customHeight="1">
      <c r="B17" s="130"/>
      <c r="C17" s="131"/>
      <c r="D17" s="132"/>
      <c r="J17" s="7"/>
      <c r="K17" s="57"/>
    </row>
    <row r="18" spans="1:11" ht="25.5" customHeight="1">
      <c r="B18" s="133"/>
      <c r="C18" s="134"/>
      <c r="D18" s="135"/>
      <c r="E18" s="35" t="s">
        <v>0</v>
      </c>
      <c r="F18" s="110" t="s">
        <v>37</v>
      </c>
      <c r="G18" s="111"/>
      <c r="H18" s="111"/>
      <c r="I18" s="112"/>
      <c r="J18" s="7"/>
      <c r="K18" s="57"/>
    </row>
    <row r="19" spans="1:11" ht="14.25" customHeight="1"/>
    <row r="20" spans="1:11" ht="14.25" customHeight="1" thickBot="1"/>
    <row r="21" spans="1:11" ht="12.75" thickBot="1">
      <c r="A21" s="91" t="s">
        <v>26</v>
      </c>
      <c r="B21" s="92"/>
      <c r="C21" s="93"/>
    </row>
    <row r="22" spans="1:11" ht="14.25" customHeight="1">
      <c r="A22" s="122" t="s">
        <v>4</v>
      </c>
      <c r="B22" s="123"/>
      <c r="C22" s="39">
        <f>C37</f>
        <v>0</v>
      </c>
    </row>
    <row r="23" spans="1:11" ht="14.25" customHeight="1">
      <c r="A23" s="120" t="s">
        <v>15</v>
      </c>
      <c r="B23" s="121"/>
      <c r="C23" s="27">
        <f>G36</f>
        <v>0</v>
      </c>
    </row>
    <row r="24" spans="1:11" ht="14.25" customHeight="1">
      <c r="A24" s="120" t="s">
        <v>16</v>
      </c>
      <c r="B24" s="121"/>
      <c r="C24" s="27">
        <f>SUM(C22:C23)</f>
        <v>0</v>
      </c>
    </row>
    <row r="25" spans="1:11" ht="14.25" customHeight="1" thickBot="1">
      <c r="A25" s="118" t="s">
        <v>17</v>
      </c>
      <c r="B25" s="119"/>
      <c r="C25" s="28">
        <f>I54</f>
        <v>0</v>
      </c>
    </row>
    <row r="26" spans="1:11" ht="14.25" customHeight="1" thickBot="1">
      <c r="A26" s="116" t="s">
        <v>27</v>
      </c>
      <c r="B26" s="117"/>
      <c r="C26" s="29">
        <f>SUM(C24:C25)</f>
        <v>0</v>
      </c>
    </row>
    <row r="27" spans="1:11" s="38" customFormat="1" ht="14.25" customHeight="1" thickBot="1">
      <c r="A27" s="36"/>
      <c r="B27" s="36"/>
      <c r="C27" s="37"/>
    </row>
    <row r="28" spans="1:11" ht="14.25" customHeight="1" thickBot="1">
      <c r="A28" s="91" t="s">
        <v>14</v>
      </c>
      <c r="B28" s="92"/>
      <c r="C28" s="93"/>
      <c r="E28" s="91" t="s">
        <v>13</v>
      </c>
      <c r="F28" s="92"/>
      <c r="G28" s="93"/>
    </row>
    <row r="29" spans="1:11" ht="14.25" customHeight="1">
      <c r="A29" s="14" t="s">
        <v>23</v>
      </c>
      <c r="B29" s="15" t="s">
        <v>24</v>
      </c>
      <c r="C29" s="16" t="s">
        <v>21</v>
      </c>
      <c r="E29" s="14" t="s">
        <v>15</v>
      </c>
      <c r="F29" s="15" t="s">
        <v>25</v>
      </c>
      <c r="G29" s="16" t="s">
        <v>21</v>
      </c>
    </row>
    <row r="30" spans="1:11" ht="14.25" customHeight="1">
      <c r="A30" s="17">
        <v>100</v>
      </c>
      <c r="B30" s="18"/>
      <c r="C30" s="19">
        <f>B30*100</f>
        <v>0</v>
      </c>
      <c r="E30" s="20" t="s">
        <v>5</v>
      </c>
      <c r="F30" s="6"/>
      <c r="G30" s="19">
        <f>F30*1</f>
        <v>0</v>
      </c>
    </row>
    <row r="31" spans="1:11" ht="14.25" customHeight="1">
      <c r="A31" s="17">
        <v>50</v>
      </c>
      <c r="B31" s="18"/>
      <c r="C31" s="19">
        <f>B31*50</f>
        <v>0</v>
      </c>
      <c r="E31" s="20" t="s">
        <v>6</v>
      </c>
      <c r="F31" s="6"/>
      <c r="G31" s="19">
        <f>F31*0.5</f>
        <v>0</v>
      </c>
    </row>
    <row r="32" spans="1:11" ht="14.25" customHeight="1">
      <c r="A32" s="17">
        <v>20</v>
      </c>
      <c r="B32" s="18"/>
      <c r="C32" s="19">
        <f>B32*20</f>
        <v>0</v>
      </c>
      <c r="E32" s="20" t="s">
        <v>7</v>
      </c>
      <c r="F32" s="6"/>
      <c r="G32" s="19">
        <f>F32*0.25</f>
        <v>0</v>
      </c>
    </row>
    <row r="33" spans="1:9" ht="14.25" customHeight="1">
      <c r="A33" s="17">
        <v>10</v>
      </c>
      <c r="B33" s="18"/>
      <c r="C33" s="19">
        <f>B33*10</f>
        <v>0</v>
      </c>
      <c r="E33" s="20" t="s">
        <v>8</v>
      </c>
      <c r="F33" s="6"/>
      <c r="G33" s="19">
        <f>F33*0.1</f>
        <v>0</v>
      </c>
    </row>
    <row r="34" spans="1:9" ht="14.25" customHeight="1">
      <c r="A34" s="17">
        <v>5</v>
      </c>
      <c r="B34" s="18"/>
      <c r="C34" s="19">
        <f>B34*5</f>
        <v>0</v>
      </c>
      <c r="E34" s="20" t="s">
        <v>9</v>
      </c>
      <c r="F34" s="6"/>
      <c r="G34" s="19">
        <f>F34*0.05</f>
        <v>0</v>
      </c>
    </row>
    <row r="35" spans="1:9" ht="14.25" customHeight="1" thickBot="1">
      <c r="A35" s="17">
        <v>2</v>
      </c>
      <c r="B35" s="18"/>
      <c r="C35" s="19">
        <f>B35*2</f>
        <v>0</v>
      </c>
      <c r="E35" s="21" t="s">
        <v>10</v>
      </c>
      <c r="F35" s="22"/>
      <c r="G35" s="23">
        <f>F35*0.01</f>
        <v>0</v>
      </c>
    </row>
    <row r="36" spans="1:9" ht="14.25" customHeight="1" thickBot="1">
      <c r="A36" s="24">
        <v>1</v>
      </c>
      <c r="B36" s="25"/>
      <c r="C36" s="23">
        <f>B36*1</f>
        <v>0</v>
      </c>
      <c r="E36" s="91" t="s">
        <v>12</v>
      </c>
      <c r="F36" s="93"/>
      <c r="G36" s="26">
        <f>SUM(G30:G35)</f>
        <v>0</v>
      </c>
    </row>
    <row r="37" spans="1:9" ht="14.25" customHeight="1" thickBot="1">
      <c r="A37" s="91" t="s">
        <v>12</v>
      </c>
      <c r="B37" s="93"/>
      <c r="C37" s="26">
        <f>SUM(C30:C36)</f>
        <v>0</v>
      </c>
    </row>
    <row r="38" spans="1:9" s="1" customFormat="1" ht="14.25" customHeight="1" thickBot="1">
      <c r="A38" s="40"/>
      <c r="B38" s="41"/>
      <c r="C38" s="42"/>
    </row>
    <row r="39" spans="1:9" ht="12.75" thickBot="1">
      <c r="A39" s="94" t="s">
        <v>18</v>
      </c>
      <c r="B39" s="95"/>
      <c r="C39" s="95"/>
      <c r="D39" s="95"/>
      <c r="E39" s="95"/>
      <c r="F39" s="95"/>
      <c r="G39" s="95"/>
      <c r="H39" s="95"/>
      <c r="I39" s="96"/>
    </row>
    <row r="40" spans="1:9" ht="12.75" thickTop="1">
      <c r="A40" s="30" t="s">
        <v>19</v>
      </c>
      <c r="B40" s="97" t="s">
        <v>20</v>
      </c>
      <c r="C40" s="97"/>
      <c r="D40" s="97"/>
      <c r="E40" s="31" t="s">
        <v>21</v>
      </c>
      <c r="F40" s="30" t="s">
        <v>19</v>
      </c>
      <c r="G40" s="97" t="s">
        <v>20</v>
      </c>
      <c r="H40" s="97"/>
      <c r="I40" s="31" t="s">
        <v>21</v>
      </c>
    </row>
    <row r="41" spans="1:9" s="33" customFormat="1">
      <c r="A41" s="50"/>
      <c r="B41" s="90"/>
      <c r="C41" s="90"/>
      <c r="D41" s="90"/>
      <c r="E41" s="32"/>
      <c r="F41" s="50"/>
      <c r="G41" s="90"/>
      <c r="H41" s="90"/>
      <c r="I41" s="32"/>
    </row>
    <row r="42" spans="1:9" s="33" customFormat="1">
      <c r="A42" s="50"/>
      <c r="B42" s="90"/>
      <c r="C42" s="90"/>
      <c r="D42" s="90"/>
      <c r="E42" s="32"/>
      <c r="F42" s="50"/>
      <c r="G42" s="90"/>
      <c r="H42" s="90"/>
      <c r="I42" s="32"/>
    </row>
    <row r="43" spans="1:9" s="33" customFormat="1">
      <c r="A43" s="50"/>
      <c r="B43" s="90"/>
      <c r="C43" s="90"/>
      <c r="D43" s="90"/>
      <c r="E43" s="32"/>
      <c r="F43" s="50"/>
      <c r="G43" s="90"/>
      <c r="H43" s="90"/>
      <c r="I43" s="32"/>
    </row>
    <row r="44" spans="1:9" s="33" customFormat="1">
      <c r="A44" s="50"/>
      <c r="B44" s="90"/>
      <c r="C44" s="90"/>
      <c r="D44" s="90"/>
      <c r="E44" s="32"/>
      <c r="F44" s="50"/>
      <c r="G44" s="90"/>
      <c r="H44" s="90"/>
      <c r="I44" s="32"/>
    </row>
    <row r="45" spans="1:9" s="33" customFormat="1">
      <c r="A45" s="50"/>
      <c r="B45" s="90"/>
      <c r="C45" s="90"/>
      <c r="D45" s="90"/>
      <c r="E45" s="32"/>
      <c r="F45" s="50"/>
      <c r="G45" s="90"/>
      <c r="H45" s="90"/>
      <c r="I45" s="32"/>
    </row>
    <row r="46" spans="1:9" s="33" customFormat="1">
      <c r="A46" s="50"/>
      <c r="B46" s="90"/>
      <c r="C46" s="90"/>
      <c r="D46" s="90"/>
      <c r="E46" s="32"/>
      <c r="F46" s="50"/>
      <c r="G46" s="90"/>
      <c r="H46" s="90"/>
      <c r="I46" s="32"/>
    </row>
    <row r="47" spans="1:9" s="33" customFormat="1">
      <c r="A47" s="50"/>
      <c r="B47" s="90"/>
      <c r="C47" s="90"/>
      <c r="D47" s="90"/>
      <c r="E47" s="32"/>
      <c r="F47" s="50"/>
      <c r="G47" s="90"/>
      <c r="H47" s="90"/>
      <c r="I47" s="32"/>
    </row>
    <row r="48" spans="1:9" s="33" customFormat="1">
      <c r="A48" s="50"/>
      <c r="B48" s="90"/>
      <c r="C48" s="90"/>
      <c r="D48" s="90"/>
      <c r="E48" s="32"/>
      <c r="F48" s="50"/>
      <c r="G48" s="90"/>
      <c r="H48" s="90"/>
      <c r="I48" s="32"/>
    </row>
    <row r="49" spans="1:9" s="33" customFormat="1">
      <c r="A49" s="50"/>
      <c r="B49" s="90"/>
      <c r="C49" s="90"/>
      <c r="D49" s="90"/>
      <c r="E49" s="32"/>
      <c r="F49" s="50"/>
      <c r="G49" s="90"/>
      <c r="H49" s="90"/>
      <c r="I49" s="32"/>
    </row>
    <row r="50" spans="1:9" s="33" customFormat="1">
      <c r="A50" s="50"/>
      <c r="B50" s="90"/>
      <c r="C50" s="90"/>
      <c r="D50" s="90"/>
      <c r="E50" s="32"/>
      <c r="F50" s="50"/>
      <c r="G50" s="90"/>
      <c r="H50" s="90"/>
      <c r="I50" s="32"/>
    </row>
    <row r="51" spans="1:9" s="33" customFormat="1">
      <c r="A51" s="50"/>
      <c r="B51" s="90"/>
      <c r="C51" s="90"/>
      <c r="D51" s="90"/>
      <c r="E51" s="32"/>
      <c r="F51" s="50"/>
      <c r="G51" s="90"/>
      <c r="H51" s="90"/>
      <c r="I51" s="32"/>
    </row>
    <row r="52" spans="1:9" s="33" customFormat="1">
      <c r="A52" s="50"/>
      <c r="B52" s="90"/>
      <c r="C52" s="90"/>
      <c r="D52" s="90"/>
      <c r="E52" s="32"/>
      <c r="F52" s="50"/>
      <c r="G52" s="90"/>
      <c r="H52" s="90"/>
      <c r="I52" s="32"/>
    </row>
    <row r="53" spans="1:9" ht="12.75" customHeight="1">
      <c r="A53" s="50"/>
      <c r="B53" s="90"/>
      <c r="C53" s="90"/>
      <c r="D53" s="90"/>
      <c r="E53" s="32"/>
      <c r="F53" s="101" t="s">
        <v>33</v>
      </c>
      <c r="G53" s="102"/>
      <c r="H53" s="102"/>
      <c r="I53" s="60">
        <f>SUM(I41:I52)</f>
        <v>0</v>
      </c>
    </row>
    <row r="54" spans="1:9" ht="13.5" customHeight="1" thickBot="1">
      <c r="A54" s="98" t="s">
        <v>33</v>
      </c>
      <c r="B54" s="99"/>
      <c r="C54" s="99"/>
      <c r="D54" s="99"/>
      <c r="E54" s="34">
        <f>SUM(E41:E53)</f>
        <v>0</v>
      </c>
      <c r="F54" s="100" t="s">
        <v>22</v>
      </c>
      <c r="G54" s="100"/>
      <c r="H54" s="100"/>
      <c r="I54" s="61">
        <f>E54+I53</f>
        <v>0</v>
      </c>
    </row>
    <row r="55" spans="1:9" s="13" customFormat="1" ht="12.75" thickTop="1"/>
    <row r="56" spans="1:9" s="13" customFormat="1"/>
    <row r="57" spans="1:9" s="13" customFormat="1"/>
    <row r="58" spans="1:9" s="13" customFormat="1"/>
    <row r="59" spans="1:9" s="13" customFormat="1"/>
    <row r="60" spans="1:9" s="13" customFormat="1"/>
    <row r="61" spans="1:9" s="13" customFormat="1"/>
    <row r="62" spans="1:9" s="13" customFormat="1"/>
    <row r="63" spans="1:9" s="13" customFormat="1"/>
    <row r="64" spans="1:9" s="13" customFormat="1"/>
    <row r="65" spans="1:5" s="13" customFormat="1"/>
    <row r="66" spans="1:5">
      <c r="A66" s="13"/>
      <c r="B66" s="13"/>
      <c r="C66" s="13"/>
      <c r="D66" s="13"/>
      <c r="E66" s="13"/>
    </row>
  </sheetData>
  <sheetProtection sheet="1" objects="1" scenarios="1"/>
  <mergeCells count="50">
    <mergeCell ref="A21:C21"/>
    <mergeCell ref="C8:C9"/>
    <mergeCell ref="B8:B9"/>
    <mergeCell ref="E8:I8"/>
    <mergeCell ref="B16:D18"/>
    <mergeCell ref="A26:B26"/>
    <mergeCell ref="A25:B25"/>
    <mergeCell ref="A24:B24"/>
    <mergeCell ref="A23:B23"/>
    <mergeCell ref="A22:B22"/>
    <mergeCell ref="G44:H44"/>
    <mergeCell ref="E3:H3"/>
    <mergeCell ref="E6:H6"/>
    <mergeCell ref="E5:H5"/>
    <mergeCell ref="G42:H42"/>
    <mergeCell ref="G41:H41"/>
    <mergeCell ref="F18:I18"/>
    <mergeCell ref="E7:H7"/>
    <mergeCell ref="A54:D54"/>
    <mergeCell ref="F54:H54"/>
    <mergeCell ref="F53:H53"/>
    <mergeCell ref="B45:D45"/>
    <mergeCell ref="G45:H45"/>
    <mergeCell ref="G49:H49"/>
    <mergeCell ref="G48:H48"/>
    <mergeCell ref="G47:H47"/>
    <mergeCell ref="G46:H46"/>
    <mergeCell ref="B53:D53"/>
    <mergeCell ref="B52:D52"/>
    <mergeCell ref="B51:D51"/>
    <mergeCell ref="G52:H52"/>
    <mergeCell ref="B50:D50"/>
    <mergeCell ref="B49:D49"/>
    <mergeCell ref="B47:D47"/>
    <mergeCell ref="G51:H51"/>
    <mergeCell ref="G50:H50"/>
    <mergeCell ref="A28:C28"/>
    <mergeCell ref="E28:G28"/>
    <mergeCell ref="E36:F36"/>
    <mergeCell ref="A37:B37"/>
    <mergeCell ref="B48:D48"/>
    <mergeCell ref="B46:D46"/>
    <mergeCell ref="B43:D43"/>
    <mergeCell ref="B44:D44"/>
    <mergeCell ref="A39:I39"/>
    <mergeCell ref="B40:D40"/>
    <mergeCell ref="G40:H40"/>
    <mergeCell ref="B42:D42"/>
    <mergeCell ref="B41:D41"/>
    <mergeCell ref="G43:H43"/>
  </mergeCells>
  <phoneticPr fontId="0" type="noConversion"/>
  <dataValidations count="2">
    <dataValidation type="list" allowBlank="1" showInputMessage="1" showErrorMessage="1" sqref="B10">
      <formula1>List</formula1>
    </dataValidation>
    <dataValidation type="list" allowBlank="1" showInputMessage="1" showErrorMessage="1" sqref="G10:G13">
      <formula1>$K$9:$K$12</formula1>
    </dataValidation>
  </dataValidations>
  <printOptions horizontalCentered="1" verticalCentered="1"/>
  <pageMargins left="0.25" right="0.25" top="0.5" bottom="0.5" header="0" footer="0.25"/>
  <pageSetup scale="94" orientation="portrait" r:id="rId1"/>
  <headerFooter alignWithMargins="0">
    <oddFooter>&amp;C&amp;"-,Regular"&amp;11Created and Maintained by the University of Mary Washington's Finance Department
Revised June 29, 2010</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1D19110D87EB4C9BAFE1E03DEF69EB" ma:contentTypeVersion="4" ma:contentTypeDescription="Create a new document." ma:contentTypeScope="" ma:versionID="bffede0ecf4c9ded0c9c0ac6a5091f40">
  <xsd:schema xmlns:xsd="http://www.w3.org/2001/XMLSchema" xmlns:p="http://schemas.microsoft.com/office/2006/metadata/properties" xmlns:ns2="584d896c-6db1-4fec-a98c-847a9e811c83" targetNamespace="http://schemas.microsoft.com/office/2006/metadata/properties" ma:root="true" ma:fieldsID="0feda476e73bfe0d4665cda9dd3090d7" ns2:_="">
    <xsd:import namespace="584d896c-6db1-4fec-a98c-847a9e811c83"/>
    <xsd:element name="properties">
      <xsd:complexType>
        <xsd:sequence>
          <xsd:element name="documentManagement">
            <xsd:complexType>
              <xsd:all>
                <xsd:element ref="ns2:FY" minOccurs="0"/>
                <xsd:element ref="ns2:Folder_x0020_Name"/>
              </xsd:all>
            </xsd:complexType>
          </xsd:element>
        </xsd:sequence>
      </xsd:complexType>
    </xsd:element>
  </xsd:schema>
  <xsd:schema xmlns:xsd="http://www.w3.org/2001/XMLSchema" xmlns:dms="http://schemas.microsoft.com/office/2006/documentManagement/types" targetNamespace="584d896c-6db1-4fec-a98c-847a9e811c83" elementFormDefault="qualified">
    <xsd:import namespace="http://schemas.microsoft.com/office/2006/documentManagement/types"/>
    <xsd:element name="FY" ma:index="8" nillable="true" ma:displayName="FY" ma:default="2010" ma:description="Enter Fiscal Year" ma:format="Dropdown" ma:internalName="FY">
      <xsd:simpleType>
        <xsd:union memberTypes="dms:Text">
          <xsd:simpleType>
            <xsd:restriction base="dms:Choice">
              <xsd:enumeration value="2013"/>
              <xsd:enumeration value="2012"/>
              <xsd:enumeration value="2011"/>
              <xsd:enumeration value="2010"/>
              <xsd:enumeration value="2009"/>
              <xsd:enumeration value="2008"/>
              <xsd:enumeration value="2007"/>
            </xsd:restriction>
          </xsd:simpleType>
        </xsd:union>
      </xsd:simpleType>
    </xsd:element>
    <xsd:element name="Folder_x0020_Name" ma:index="9" ma:displayName="Folder Name" ma:default="TBD" ma:description="Chose a folder" ma:format="Dropdown" ma:internalName="Folder_x0020_Name">
      <xsd:simpleType>
        <xsd:restriction base="dms:Choice">
          <xsd:enumeration value="Audit backup"/>
          <xsd:enumeration value="Commerce Manager"/>
          <xsd:enumeration value="Calendar"/>
          <xsd:enumeration value="Policy"/>
          <xsd:enumeration value="Procedure"/>
          <xsd:enumeration value="Forms"/>
          <xsd:enumeration value="General"/>
          <xsd:enumeration value="TB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Folder_x0020_Name xmlns="584d896c-6db1-4fec-a98c-847a9e811c83">TBD</Folder_x0020_Name>
    <FY xmlns="584d896c-6db1-4fec-a98c-847a9e811c83">2010</F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41B124-8B07-4065-BBE6-909E5E252F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d896c-6db1-4fec-a98c-847a9e811c8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48F8882C-71B0-4ECC-A836-2F4557747380}">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584d896c-6db1-4fec-a98c-847a9e811c83"/>
    <ds:schemaRef ds:uri="http://schemas.openxmlformats.org/package/2006/metadata/core-properties"/>
  </ds:schemaRefs>
</ds:datastoreItem>
</file>

<file path=customXml/itemProps3.xml><?xml version="1.0" encoding="utf-8"?>
<ds:datastoreItem xmlns:ds="http://schemas.openxmlformats.org/officeDocument/2006/customXml" ds:itemID="{8434C034-C12A-4B4F-9A7A-0B28937F2A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Cash Transmittal Terms</vt:lpstr>
      <vt:lpstr>Cash Transmittal Form</vt:lpstr>
      <vt:lpstr>'Cash Transmittal Form'!Print_Area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finance</dc:creator>
  <cp:lastModifiedBy>University of Mary Washington</cp:lastModifiedBy>
  <cp:lastPrinted>2011-04-22T20:14:33Z</cp:lastPrinted>
  <dcterms:created xsi:type="dcterms:W3CDTF">2004-05-20T15:48:12Z</dcterms:created>
  <dcterms:modified xsi:type="dcterms:W3CDTF">2011-04-22T20:15:58Z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0x010100DF1D19110D87EB4C9BAFE1E03DEF69EB</vt:lpwstr>
  </property>
  <property fmtid="{D5CDD505-2E9C-101B-9397-08002B2CF9AE}" pid="3" name="Commerce Manager">
    <vt:lpwstr>Enter Choice #1</vt:lpwstr>
  </property>
  <property fmtid="{D5CDD505-2E9C-101B-9397-08002B2CF9AE}" pid="4" name="Calenders">
    <vt:lpwstr>Enter Choice #1</vt:lpwstr>
  </property>
  <property fmtid="{D5CDD505-2E9C-101B-9397-08002B2CF9AE}" pid="5" name="Folder Name">
    <vt:lpwstr>TBD</vt:lpwstr>
  </property>
  <property fmtid="{D5CDD505-2E9C-101B-9397-08002B2CF9AE}" pid="6" name="FY">
    <vt:lpwstr>2010</vt:lpwstr>
  </property>
</Properties>
</file>