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" yWindow="-12" windowWidth="20184" windowHeight="4656"/>
  </bookViews>
  <sheets>
    <sheet name="MonthlyTruckindex2006-12" sheetId="4" r:id="rId1"/>
    <sheet name="Sheet2" sheetId="2" r:id="rId2"/>
    <sheet name="Sheet3" sheetId="3" r:id="rId3"/>
  </sheets>
  <externalReferences>
    <externalReference r:id="rId4"/>
  </externalReferences>
  <definedNames>
    <definedName name="PRECO_MEDIO">#REF!</definedName>
    <definedName name="QUANTIDADE">#REF!</definedName>
    <definedName name="soja8695">[1]Graphdata!#REF!</definedName>
    <definedName name="VALOR">#REF!</definedName>
  </definedNames>
  <calcPr calcId="145621"/>
</workbook>
</file>

<file path=xl/calcChain.xml><?xml version="1.0" encoding="utf-8"?>
<calcChain xmlns="http://schemas.openxmlformats.org/spreadsheetml/2006/main">
  <c r="D69" i="4" l="1"/>
  <c r="D68" i="4"/>
  <c r="D67" i="4"/>
  <c r="D66" i="4"/>
  <c r="D65" i="4"/>
  <c r="D64" i="4"/>
  <c r="E64" i="4" s="1"/>
  <c r="D60" i="4"/>
  <c r="D59" i="4"/>
  <c r="D58" i="4"/>
  <c r="E58" i="4" s="1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E5" i="4" s="1"/>
  <c r="E6" i="4" s="1"/>
  <c r="E7" i="4" l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59" i="4"/>
  <c r="E60" i="4" s="1"/>
  <c r="E69" i="4"/>
  <c r="E65" i="4"/>
  <c r="E66" i="4" s="1"/>
  <c r="E67" i="4" s="1"/>
  <c r="E68" i="4" s="1"/>
</calcChain>
</file>

<file path=xl/sharedStrings.xml><?xml version="1.0" encoding="utf-8"?>
<sst xmlns="http://schemas.openxmlformats.org/spreadsheetml/2006/main" count="6" uniqueCount="6">
  <si>
    <t xml:space="preserve">*Weighted average and quoted in US$ per metric ton          
Source: ESALQ/USP (University of São Paulo, Brazil) and USDA/AMS  </t>
  </si>
  <si>
    <t>MONTH</t>
  </si>
  <si>
    <t>FREIGHT AVERAGE PRICE                  (US$/MT/100 miles)</t>
  </si>
  <si>
    <t>INDEX VARIATION (%)                           (Base: prior month)</t>
  </si>
  <si>
    <t>INDEX VALUE                          (Base: Jan/05 = 100)</t>
  </si>
  <si>
    <t>Monthly Brazilian soybean export truck transportation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</si>
</sst>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color rgb="FF000000"/>
      <name val="Calibri"/>
      <family val="2"/>
    </font>
    <font>
      <b/>
      <sz val="12"/>
      <name val="Arial"/>
      <family val="2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465926084170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32">
    <xf numFmtId="0" fontId="0" fillId="0" borderId="0" xfId="0"/>
    <xf numFmtId="2" fontId="2" fillId="2" borderId="1" xfId="1" applyNumberFormat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1" fillId="0" borderId="0" xfId="1" applyAlignment="1">
      <alignment horizontal="right"/>
    </xf>
    <xf numFmtId="0" fontId="1" fillId="0" borderId="0" xfId="1"/>
    <xf numFmtId="17" fontId="2" fillId="2" borderId="1" xfId="1" applyNumberFormat="1" applyFont="1" applyFill="1" applyBorder="1" applyAlignment="1">
      <alignment horizontal="center" vertical="center"/>
    </xf>
    <xf numFmtId="43" fontId="2" fillId="3" borderId="1" xfId="2" applyFont="1" applyFill="1" applyBorder="1" applyAlignment="1">
      <alignment horizontal="right" vertical="center"/>
    </xf>
    <xf numFmtId="164" fontId="2" fillId="3" borderId="1" xfId="1" applyNumberFormat="1" applyFont="1" applyFill="1" applyBorder="1" applyAlignment="1">
      <alignment horizontal="right" vertical="center"/>
    </xf>
    <xf numFmtId="2" fontId="2" fillId="3" borderId="1" xfId="1" applyNumberFormat="1" applyFont="1" applyFill="1" applyBorder="1" applyAlignment="1">
      <alignment horizontal="right" vertical="center"/>
    </xf>
    <xf numFmtId="39" fontId="2" fillId="3" borderId="1" xfId="2" applyNumberFormat="1" applyFont="1" applyFill="1" applyBorder="1" applyAlignment="1">
      <alignment horizontal="right" vertical="center"/>
    </xf>
    <xf numFmtId="2" fontId="2" fillId="3" borderId="1" xfId="2" applyNumberFormat="1" applyFont="1" applyFill="1" applyBorder="1" applyAlignment="1">
      <alignment horizontal="right" vertical="center"/>
    </xf>
    <xf numFmtId="2" fontId="1" fillId="0" borderId="0" xfId="1" applyNumberFormat="1"/>
    <xf numFmtId="43" fontId="1" fillId="0" borderId="0" xfId="1" applyNumberFormat="1"/>
    <xf numFmtId="0" fontId="2" fillId="0" borderId="0" xfId="1" applyFont="1"/>
    <xf numFmtId="17" fontId="2" fillId="2" borderId="2" xfId="1" applyNumberFormat="1" applyFont="1" applyFill="1" applyBorder="1" applyAlignment="1">
      <alignment horizontal="center" vertical="center"/>
    </xf>
    <xf numFmtId="2" fontId="2" fillId="3" borderId="4" xfId="1" applyNumberFormat="1" applyFont="1" applyFill="1" applyBorder="1" applyAlignment="1">
      <alignment horizontal="right" vertical="center"/>
    </xf>
    <xf numFmtId="39" fontId="2" fillId="3" borderId="5" xfId="2" applyNumberFormat="1" applyFont="1" applyFill="1" applyBorder="1" applyAlignment="1">
      <alignment horizontal="right" vertical="center"/>
    </xf>
    <xf numFmtId="164" fontId="2" fillId="3" borderId="5" xfId="1" applyNumberFormat="1" applyFont="1" applyFill="1" applyBorder="1" applyAlignment="1">
      <alignment horizontal="right" vertical="center"/>
    </xf>
    <xf numFmtId="39" fontId="2" fillId="0" borderId="0" xfId="1" applyNumberFormat="1" applyFont="1"/>
    <xf numFmtId="2" fontId="2" fillId="0" borderId="0" xfId="1" applyNumberFormat="1" applyFont="1"/>
    <xf numFmtId="39" fontId="2" fillId="0" borderId="0" xfId="1" applyNumberFormat="1" applyFont="1" applyFill="1"/>
    <xf numFmtId="0" fontId="2" fillId="0" borderId="0" xfId="1" applyFont="1" applyFill="1"/>
    <xf numFmtId="0" fontId="1" fillId="0" borderId="0" xfId="1" applyFill="1"/>
    <xf numFmtId="39" fontId="1" fillId="0" borderId="0" xfId="1" applyNumberFormat="1" applyFill="1"/>
    <xf numFmtId="0" fontId="1" fillId="0" borderId="0" xfId="1" applyNumberFormat="1" applyFill="1"/>
    <xf numFmtId="0" fontId="5" fillId="0" borderId="2" xfId="3" applyFont="1" applyFill="1" applyBorder="1" applyAlignment="1">
      <alignment horizontal="left" vertical="center" wrapText="1"/>
    </xf>
    <xf numFmtId="0" fontId="5" fillId="0" borderId="3" xfId="3" applyFont="1" applyFill="1" applyBorder="1" applyAlignment="1">
      <alignment horizontal="left" vertical="center" wrapText="1"/>
    </xf>
    <xf numFmtId="0" fontId="5" fillId="0" borderId="4" xfId="3" applyFont="1" applyFill="1" applyBorder="1" applyAlignment="1">
      <alignment horizontal="left" vertical="center" wrapText="1"/>
    </xf>
    <xf numFmtId="0" fontId="7" fillId="4" borderId="6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horizontal="center" vertical="center"/>
    </xf>
  </cellXfs>
  <cellStyles count="6">
    <cellStyle name="Comma 2" xfId="2"/>
    <cellStyle name="Normal" xfId="0" builtinId="0"/>
    <cellStyle name="Normal 2" xfId="3"/>
    <cellStyle name="Normal 2 2" xfId="4"/>
    <cellStyle name="Normal 3" xfId="1"/>
    <cellStyle name="Percent 2" xfId="5"/>
  </cellStyles>
  <dxfs count="0"/>
  <tableStyles count="0" defaultTableStyle="TableStyleMedium9" defaultPivotStyle="PivotStyleLight16"/>
  <colors>
    <mruColors>
      <color rgb="FFF1ECA9"/>
      <color rgb="FFE8E071"/>
      <color rgb="FFE8C34D"/>
      <color rgb="FFF4D9C8"/>
      <color rgb="FFCE6617"/>
      <color rgb="FFE09262"/>
      <color rgb="FFCE6728"/>
      <color rgb="FFEFDFCD"/>
      <color rgb="FFDFBE99"/>
      <color rgb="FFD09F6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reative%20Services%20Group\Design\Brazil%20Soybean%20Transportation%20Indicators%20Reports\October%202008\montlyexports10-20-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jgrmensal -06-07"/>
      <sheetName val="NewGraph10-20-08"/>
      <sheetName val="Graph"/>
      <sheetName val="2007Feb08"/>
      <sheetName val="Graphdata"/>
    </sheetNames>
    <sheetDataSet>
      <sheetData sheetId="0"/>
      <sheetData sheetId="1" refreshError="1"/>
      <sheetData sheetId="2" refreshError="1"/>
      <sheetData sheetId="3"/>
      <sheetData sheetId="4">
        <row r="20">
          <cell r="AC20" t="str">
            <v>2005-2007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2:H100"/>
  <sheetViews>
    <sheetView tabSelected="1" topLeftCell="A76" workbookViewId="0">
      <selection activeCell="C18" sqref="C18"/>
    </sheetView>
  </sheetViews>
  <sheetFormatPr defaultColWidth="9.109375" defaultRowHeight="13.2" x14ac:dyDescent="0.25"/>
  <cols>
    <col min="1" max="1" width="9.109375" style="5"/>
    <col min="2" max="2" width="9.109375" style="5" bestFit="1" customWidth="1"/>
    <col min="3" max="3" width="28.88671875" style="5" bestFit="1" customWidth="1"/>
    <col min="4" max="4" width="23.6640625" style="5" bestFit="1" customWidth="1"/>
    <col min="5" max="5" width="21.44140625" style="5" bestFit="1" customWidth="1"/>
    <col min="6" max="6" width="7.5546875" style="5" customWidth="1"/>
    <col min="7" max="7" width="7.109375" style="5" customWidth="1"/>
    <col min="8" max="16384" width="9.109375" style="5"/>
  </cols>
  <sheetData>
    <row r="2" spans="2:6" ht="45.75" customHeight="1" x14ac:dyDescent="0.2">
      <c r="B2" s="29" t="s">
        <v>5</v>
      </c>
      <c r="C2" s="30"/>
      <c r="D2" s="30"/>
      <c r="E2" s="31"/>
    </row>
    <row r="3" spans="2:6" s="3" customFormat="1" ht="39.75" customHeight="1" x14ac:dyDescent="0.2">
      <c r="B3" s="1" t="s">
        <v>1</v>
      </c>
      <c r="C3" s="2" t="s">
        <v>2</v>
      </c>
      <c r="D3" s="2" t="s">
        <v>3</v>
      </c>
      <c r="E3" s="2" t="s">
        <v>4</v>
      </c>
    </row>
    <row r="4" spans="2:6" ht="15" customHeight="1" x14ac:dyDescent="0.25">
      <c r="B4" s="6">
        <v>38353</v>
      </c>
      <c r="C4" s="7">
        <v>5.8012122260336803</v>
      </c>
      <c r="D4" s="8">
        <v>40.806121991108739</v>
      </c>
      <c r="E4" s="9">
        <v>100</v>
      </c>
      <c r="F4" s="4"/>
    </row>
    <row r="5" spans="2:6" ht="15" customHeight="1" x14ac:dyDescent="0.25">
      <c r="B5" s="6">
        <v>38384</v>
      </c>
      <c r="C5" s="7">
        <v>5.8535777448564144</v>
      </c>
      <c r="D5" s="8">
        <f t="shared" ref="D5:D44" si="0">((C5-C4)/C4)*100</f>
        <v>0.90266511174573405</v>
      </c>
      <c r="E5" s="9">
        <f t="shared" ref="E5:E45" si="1">E4+(D5/100)*E4</f>
        <v>100.90266511174573</v>
      </c>
    </row>
    <row r="6" spans="2:6" ht="15" customHeight="1" x14ac:dyDescent="0.25">
      <c r="B6" s="6">
        <v>38412</v>
      </c>
      <c r="C6" s="7">
        <v>5.9707407753115147</v>
      </c>
      <c r="D6" s="8">
        <f t="shared" si="0"/>
        <v>2.0015627290173508</v>
      </c>
      <c r="E6" s="9">
        <f t="shared" si="1"/>
        <v>102.92229524920764</v>
      </c>
    </row>
    <row r="7" spans="2:6" ht="15" customHeight="1" x14ac:dyDescent="0.25">
      <c r="B7" s="6">
        <v>38443</v>
      </c>
      <c r="C7" s="7">
        <v>6.5055080367373499</v>
      </c>
      <c r="D7" s="8">
        <f t="shared" si="0"/>
        <v>8.9564642236194629</v>
      </c>
      <c r="E7" s="9">
        <f t="shared" si="1"/>
        <v>112.1404938013309</v>
      </c>
    </row>
    <row r="8" spans="2:6" ht="15" customHeight="1" x14ac:dyDescent="0.25">
      <c r="B8" s="6">
        <v>38473</v>
      </c>
      <c r="C8" s="7">
        <v>6.8003992790373227</v>
      </c>
      <c r="D8" s="8">
        <f t="shared" si="0"/>
        <v>4.5329471677644246</v>
      </c>
      <c r="E8" s="9">
        <f t="shared" si="1"/>
        <v>117.22376313901538</v>
      </c>
    </row>
    <row r="9" spans="2:6" ht="15" customHeight="1" x14ac:dyDescent="0.25">
      <c r="B9" s="6">
        <v>38504</v>
      </c>
      <c r="C9" s="7">
        <v>6.74230011355953</v>
      </c>
      <c r="D9" s="8">
        <f t="shared" si="0"/>
        <v>-0.85434932705918021</v>
      </c>
      <c r="E9" s="9">
        <f t="shared" si="1"/>
        <v>116.22226270748375</v>
      </c>
    </row>
    <row r="10" spans="2:6" ht="15" customHeight="1" x14ac:dyDescent="0.25">
      <c r="B10" s="6">
        <v>38534</v>
      </c>
      <c r="C10" s="7">
        <v>6.7737814758472483</v>
      </c>
      <c r="D10" s="8">
        <f t="shared" si="0"/>
        <v>0.46692318285277412</v>
      </c>
      <c r="E10" s="9">
        <f t="shared" si="1"/>
        <v>116.76493139570104</v>
      </c>
    </row>
    <row r="11" spans="2:6" ht="15" customHeight="1" x14ac:dyDescent="0.25">
      <c r="B11" s="6">
        <v>38565</v>
      </c>
      <c r="C11" s="7">
        <v>6.7530419989843873</v>
      </c>
      <c r="D11" s="8">
        <f t="shared" si="0"/>
        <v>-0.30617280667837005</v>
      </c>
      <c r="E11" s="9">
        <f t="shared" si="1"/>
        <v>116.40742892803075</v>
      </c>
    </row>
    <row r="12" spans="2:6" ht="15" customHeight="1" x14ac:dyDescent="0.25">
      <c r="B12" s="6">
        <v>38596</v>
      </c>
      <c r="C12" s="7">
        <v>6.9188929192636808</v>
      </c>
      <c r="D12" s="8">
        <f t="shared" si="0"/>
        <v>2.4559438591413527</v>
      </c>
      <c r="E12" s="9">
        <f t="shared" si="1"/>
        <v>119.26633003037306</v>
      </c>
    </row>
    <row r="13" spans="2:6" ht="15" customHeight="1" x14ac:dyDescent="0.25">
      <c r="B13" s="6">
        <v>38626</v>
      </c>
      <c r="C13" s="7">
        <v>6.9777364341428907</v>
      </c>
      <c r="D13" s="8">
        <f t="shared" si="0"/>
        <v>0.8504758718750649</v>
      </c>
      <c r="E13" s="9">
        <f t="shared" si="1"/>
        <v>120.28066139055227</v>
      </c>
    </row>
    <row r="14" spans="2:6" ht="15" customHeight="1" x14ac:dyDescent="0.25">
      <c r="B14" s="6">
        <v>38657</v>
      </c>
      <c r="C14" s="7">
        <v>7.0860220184848108</v>
      </c>
      <c r="D14" s="8">
        <f t="shared" si="0"/>
        <v>1.5518726647808874</v>
      </c>
      <c r="E14" s="9">
        <f t="shared" si="1"/>
        <v>122.14726409568991</v>
      </c>
    </row>
    <row r="15" spans="2:6" ht="15" customHeight="1" x14ac:dyDescent="0.25">
      <c r="B15" s="6">
        <v>38687</v>
      </c>
      <c r="C15" s="7">
        <v>6.7843716302575707</v>
      </c>
      <c r="D15" s="8">
        <f t="shared" si="0"/>
        <v>-4.2569778564100682</v>
      </c>
      <c r="E15" s="9">
        <f t="shared" si="1"/>
        <v>116.94748211092566</v>
      </c>
    </row>
    <row r="16" spans="2:6" ht="15" customHeight="1" x14ac:dyDescent="0.25">
      <c r="B16" s="6">
        <v>38718</v>
      </c>
      <c r="C16" s="7">
        <v>6.9137800486646359</v>
      </c>
      <c r="D16" s="8">
        <f t="shared" si="0"/>
        <v>1.9074488465507622</v>
      </c>
      <c r="E16" s="9">
        <f t="shared" si="1"/>
        <v>119.17819550952068</v>
      </c>
    </row>
    <row r="17" spans="2:5" ht="15" customHeight="1" x14ac:dyDescent="0.25">
      <c r="B17" s="6">
        <v>38749</v>
      </c>
      <c r="C17" s="7">
        <v>7.3305354082701379</v>
      </c>
      <c r="D17" s="8">
        <f t="shared" si="0"/>
        <v>6.027894388772121</v>
      </c>
      <c r="E17" s="9">
        <f t="shared" si="1"/>
        <v>126.36213126927895</v>
      </c>
    </row>
    <row r="18" spans="2:5" ht="15" customHeight="1" x14ac:dyDescent="0.25">
      <c r="B18" s="6">
        <v>38777</v>
      </c>
      <c r="C18" s="7">
        <v>7.4849558128887237</v>
      </c>
      <c r="D18" s="8">
        <f t="shared" si="0"/>
        <v>2.1065365081569931</v>
      </c>
      <c r="E18" s="9">
        <f t="shared" si="1"/>
        <v>129.02399569695157</v>
      </c>
    </row>
    <row r="19" spans="2:5" ht="15" customHeight="1" x14ac:dyDescent="0.25">
      <c r="B19" s="6">
        <v>38808</v>
      </c>
      <c r="C19" s="7">
        <v>6.9946745311835148</v>
      </c>
      <c r="D19" s="8">
        <f t="shared" si="0"/>
        <v>-6.5502227930453349</v>
      </c>
      <c r="E19" s="9">
        <f t="shared" si="1"/>
        <v>120.57263652231202</v>
      </c>
    </row>
    <row r="20" spans="2:5" ht="15" customHeight="1" x14ac:dyDescent="0.25">
      <c r="B20" s="6">
        <v>38838</v>
      </c>
      <c r="C20" s="7">
        <v>6.8779008558031567</v>
      </c>
      <c r="D20" s="8">
        <f t="shared" si="0"/>
        <v>-1.6694654606123571</v>
      </c>
      <c r="E20" s="9">
        <f t="shared" si="1"/>
        <v>118.55971800062234</v>
      </c>
    </row>
    <row r="21" spans="2:5" ht="15" customHeight="1" x14ac:dyDescent="0.25">
      <c r="B21" s="6">
        <v>38869</v>
      </c>
      <c r="C21" s="7">
        <v>6.6165454878615098</v>
      </c>
      <c r="D21" s="8">
        <f t="shared" si="0"/>
        <v>-3.7999292723321401</v>
      </c>
      <c r="E21" s="9">
        <f t="shared" si="1"/>
        <v>114.05453257112225</v>
      </c>
    </row>
    <row r="22" spans="2:5" ht="15" customHeight="1" x14ac:dyDescent="0.25">
      <c r="B22" s="6">
        <v>38899</v>
      </c>
      <c r="C22" s="7">
        <v>7.1013022676135309</v>
      </c>
      <c r="D22" s="8">
        <f t="shared" si="0"/>
        <v>7.3264331159113087</v>
      </c>
      <c r="E22" s="9">
        <f t="shared" si="1"/>
        <v>122.41066161561081</v>
      </c>
    </row>
    <row r="23" spans="2:5" ht="15" customHeight="1" x14ac:dyDescent="0.25">
      <c r="B23" s="6">
        <v>38930</v>
      </c>
      <c r="C23" s="7">
        <v>7.4132980524661427</v>
      </c>
      <c r="D23" s="8">
        <f t="shared" si="0"/>
        <v>4.3935009818623225</v>
      </c>
      <c r="E23" s="9">
        <f t="shared" si="1"/>
        <v>127.78877523559683</v>
      </c>
    </row>
    <row r="24" spans="2:5" ht="15" customHeight="1" x14ac:dyDescent="0.25">
      <c r="B24" s="6">
        <v>38961</v>
      </c>
      <c r="C24" s="7">
        <v>7.368792649463547</v>
      </c>
      <c r="D24" s="8">
        <f t="shared" si="0"/>
        <v>-0.60034552351217518</v>
      </c>
      <c r="E24" s="9">
        <f t="shared" si="1"/>
        <v>127.02160104391889</v>
      </c>
    </row>
    <row r="25" spans="2:5" ht="15" customHeight="1" x14ac:dyDescent="0.25">
      <c r="B25" s="6">
        <v>38991</v>
      </c>
      <c r="C25" s="7">
        <v>7.4763670307365313</v>
      </c>
      <c r="D25" s="8">
        <f t="shared" si="0"/>
        <v>1.4598644091419215</v>
      </c>
      <c r="E25" s="9">
        <f t="shared" si="1"/>
        <v>128.87594418948132</v>
      </c>
    </row>
    <row r="26" spans="2:5" ht="15" customHeight="1" x14ac:dyDescent="0.25">
      <c r="B26" s="6">
        <v>39022</v>
      </c>
      <c r="C26" s="7">
        <v>7.1887250963539442</v>
      </c>
      <c r="D26" s="8">
        <f t="shared" si="0"/>
        <v>-3.8473490292818089</v>
      </c>
      <c r="E26" s="9">
        <f t="shared" si="1"/>
        <v>123.91763680172954</v>
      </c>
    </row>
    <row r="27" spans="2:5" ht="15" customHeight="1" x14ac:dyDescent="0.25">
      <c r="B27" s="6">
        <v>39052</v>
      </c>
      <c r="C27" s="7">
        <v>6.8057386369050379</v>
      </c>
      <c r="D27" s="8">
        <f t="shared" si="0"/>
        <v>-5.3275991822688216</v>
      </c>
      <c r="E27" s="9">
        <f t="shared" si="1"/>
        <v>117.31580179679375</v>
      </c>
    </row>
    <row r="28" spans="2:5" ht="15" customHeight="1" x14ac:dyDescent="0.25">
      <c r="B28" s="6">
        <v>39083</v>
      </c>
      <c r="C28" s="7">
        <v>6.88</v>
      </c>
      <c r="D28" s="8">
        <f t="shared" si="0"/>
        <v>1.0911580220296697</v>
      </c>
      <c r="E28" s="9">
        <f t="shared" si="1"/>
        <v>118.59590257920789</v>
      </c>
    </row>
    <row r="29" spans="2:5" ht="15" customHeight="1" x14ac:dyDescent="0.25">
      <c r="B29" s="6">
        <v>39114</v>
      </c>
      <c r="C29" s="7">
        <v>7.55</v>
      </c>
      <c r="D29" s="8">
        <f t="shared" si="0"/>
        <v>9.7383720930232549</v>
      </c>
      <c r="E29" s="9">
        <f t="shared" si="1"/>
        <v>130.14521285945051</v>
      </c>
    </row>
    <row r="30" spans="2:5" ht="15" customHeight="1" x14ac:dyDescent="0.25">
      <c r="B30" s="6">
        <v>39142</v>
      </c>
      <c r="C30" s="7">
        <v>8.4700000000000006</v>
      </c>
      <c r="D30" s="8">
        <f t="shared" si="0"/>
        <v>12.18543046357617</v>
      </c>
      <c r="E30" s="9">
        <f t="shared" si="1"/>
        <v>146.00396727411203</v>
      </c>
    </row>
    <row r="31" spans="2:5" ht="15" customHeight="1" x14ac:dyDescent="0.25">
      <c r="B31" s="6">
        <v>39173</v>
      </c>
      <c r="C31" s="7">
        <v>8.3978757863359732</v>
      </c>
      <c r="D31" s="8">
        <f t="shared" si="0"/>
        <v>-0.8515255450298399</v>
      </c>
      <c r="E31" s="9">
        <f t="shared" si="1"/>
        <v>144.76070619601595</v>
      </c>
    </row>
    <row r="32" spans="2:5" ht="15" customHeight="1" x14ac:dyDescent="0.25">
      <c r="B32" s="6">
        <v>39203</v>
      </c>
      <c r="C32" s="7">
        <v>8.1247781211545629</v>
      </c>
      <c r="D32" s="8">
        <f t="shared" si="0"/>
        <v>-3.2519850510978316</v>
      </c>
      <c r="E32" s="9">
        <f t="shared" si="1"/>
        <v>140.05310967065785</v>
      </c>
    </row>
    <row r="33" spans="2:8" ht="15" customHeight="1" x14ac:dyDescent="0.25">
      <c r="B33" s="6">
        <v>39234</v>
      </c>
      <c r="C33" s="7">
        <v>8.236989130523396</v>
      </c>
      <c r="D33" s="8">
        <f t="shared" si="0"/>
        <v>1.3810962920534189</v>
      </c>
      <c r="E33" s="9">
        <f t="shared" si="1"/>
        <v>141.9873779752248</v>
      </c>
    </row>
    <row r="34" spans="2:8" ht="15" customHeight="1" x14ac:dyDescent="0.25">
      <c r="B34" s="6">
        <v>39264</v>
      </c>
      <c r="C34" s="7">
        <v>9.0033633225845122</v>
      </c>
      <c r="D34" s="8">
        <f t="shared" si="0"/>
        <v>9.3040573432493918</v>
      </c>
      <c r="E34" s="9">
        <f t="shared" si="1"/>
        <v>155.19796504221597</v>
      </c>
    </row>
    <row r="35" spans="2:8" ht="15" customHeight="1" x14ac:dyDescent="0.25">
      <c r="B35" s="6">
        <v>39295</v>
      </c>
      <c r="C35" s="7">
        <v>8.6290248125607771</v>
      </c>
      <c r="D35" s="8">
        <f t="shared" si="0"/>
        <v>-4.1577630115706272</v>
      </c>
      <c r="E35" s="9">
        <f t="shared" si="1"/>
        <v>148.7452014569804</v>
      </c>
    </row>
    <row r="36" spans="2:8" ht="15" customHeight="1" x14ac:dyDescent="0.25">
      <c r="B36" s="6">
        <v>39326</v>
      </c>
      <c r="C36" s="7">
        <v>9.2266535910155749</v>
      </c>
      <c r="D36" s="8">
        <f t="shared" si="0"/>
        <v>6.925797427130628</v>
      </c>
      <c r="E36" s="9">
        <f t="shared" si="1"/>
        <v>159.04699279246822</v>
      </c>
    </row>
    <row r="37" spans="2:8" ht="15" customHeight="1" x14ac:dyDescent="0.25">
      <c r="B37" s="6">
        <v>39356</v>
      </c>
      <c r="C37" s="7">
        <v>9.7233000000000001</v>
      </c>
      <c r="D37" s="8">
        <f t="shared" si="0"/>
        <v>5.3827360492652829</v>
      </c>
      <c r="E37" s="9">
        <f t="shared" si="1"/>
        <v>167.60807260878076</v>
      </c>
    </row>
    <row r="38" spans="2:8" ht="15" customHeight="1" x14ac:dyDescent="0.25">
      <c r="B38" s="6">
        <v>39387</v>
      </c>
      <c r="C38" s="7">
        <v>9.5641419084548112</v>
      </c>
      <c r="D38" s="8">
        <f t="shared" si="0"/>
        <v>-1.6368731968075541</v>
      </c>
      <c r="E38" s="9">
        <f t="shared" si="1"/>
        <v>164.86454099256187</v>
      </c>
    </row>
    <row r="39" spans="2:8" ht="15" customHeight="1" x14ac:dyDescent="0.25">
      <c r="B39" s="6">
        <v>39417</v>
      </c>
      <c r="C39" s="7">
        <v>9.3232743723429934</v>
      </c>
      <c r="D39" s="8">
        <f t="shared" si="0"/>
        <v>-2.5184437706731231</v>
      </c>
      <c r="E39" s="9">
        <f t="shared" si="1"/>
        <v>160.71252022988585</v>
      </c>
    </row>
    <row r="40" spans="2:8" ht="15" customHeight="1" x14ac:dyDescent="0.25">
      <c r="B40" s="6">
        <v>39448</v>
      </c>
      <c r="C40" s="7">
        <v>9.4048999999999996</v>
      </c>
      <c r="D40" s="8">
        <f t="shared" si="0"/>
        <v>0.87550386695841931</v>
      </c>
      <c r="E40" s="9">
        <f t="shared" si="1"/>
        <v>162.11956455918482</v>
      </c>
    </row>
    <row r="41" spans="2:8" ht="15" customHeight="1" x14ac:dyDescent="0.25">
      <c r="B41" s="6">
        <v>39479</v>
      </c>
      <c r="C41" s="7">
        <v>9.6312999999999995</v>
      </c>
      <c r="D41" s="8">
        <f t="shared" si="0"/>
        <v>2.4072557921934306</v>
      </c>
      <c r="E41" s="9">
        <f t="shared" si="1"/>
        <v>166.02219716731457</v>
      </c>
    </row>
    <row r="42" spans="2:8" ht="15" customHeight="1" x14ac:dyDescent="0.25">
      <c r="B42" s="6">
        <v>39508</v>
      </c>
      <c r="C42" s="7">
        <v>10.585100000000001</v>
      </c>
      <c r="D42" s="8">
        <f t="shared" si="0"/>
        <v>9.9031283419683849</v>
      </c>
      <c r="E42" s="9">
        <f t="shared" si="1"/>
        <v>182.46358842894955</v>
      </c>
    </row>
    <row r="43" spans="2:8" ht="15" customHeight="1" x14ac:dyDescent="0.25">
      <c r="B43" s="6">
        <v>39539</v>
      </c>
      <c r="C43" s="7">
        <v>10.810592877738397</v>
      </c>
      <c r="D43" s="8">
        <f t="shared" si="0"/>
        <v>2.1302857577008876</v>
      </c>
      <c r="E43" s="9">
        <f t="shared" si="1"/>
        <v>186.35058426624141</v>
      </c>
    </row>
    <row r="44" spans="2:8" ht="15" customHeight="1" x14ac:dyDescent="0.25">
      <c r="B44" s="6">
        <v>39569</v>
      </c>
      <c r="C44" s="7">
        <v>10.693037045787383</v>
      </c>
      <c r="D44" s="8">
        <f t="shared" si="0"/>
        <v>-1.0874133665054559</v>
      </c>
      <c r="E44" s="9">
        <f t="shared" si="1"/>
        <v>184.3241831043693</v>
      </c>
    </row>
    <row r="45" spans="2:8" ht="15" customHeight="1" x14ac:dyDescent="0.25">
      <c r="B45" s="6">
        <v>39600</v>
      </c>
      <c r="C45" s="7">
        <v>11.002884932318564</v>
      </c>
      <c r="D45" s="8">
        <f t="shared" ref="D45" si="2">((C45-C44)/C44)*100</f>
        <v>2.897660273731566</v>
      </c>
      <c r="E45" s="9">
        <f t="shared" si="1"/>
        <v>189.66527173306483</v>
      </c>
    </row>
    <row r="46" spans="2:8" ht="15" customHeight="1" x14ac:dyDescent="0.25">
      <c r="B46" s="6">
        <v>39637</v>
      </c>
      <c r="C46" s="7">
        <v>12.05</v>
      </c>
      <c r="D46" s="8">
        <v>9.5</v>
      </c>
      <c r="E46" s="9">
        <v>207.73</v>
      </c>
    </row>
    <row r="47" spans="2:8" ht="15" customHeight="1" x14ac:dyDescent="0.25">
      <c r="B47" s="6">
        <v>39668</v>
      </c>
      <c r="C47" s="7">
        <v>11.14</v>
      </c>
      <c r="D47" s="8">
        <v>-7.6</v>
      </c>
      <c r="E47" s="9">
        <v>192</v>
      </c>
      <c r="F47" s="14"/>
      <c r="G47" s="14"/>
      <c r="H47" s="14"/>
    </row>
    <row r="48" spans="2:8" ht="15" customHeight="1" x14ac:dyDescent="0.25">
      <c r="B48" s="6">
        <v>39699</v>
      </c>
      <c r="C48" s="7">
        <v>10.27</v>
      </c>
      <c r="D48" s="8">
        <v>-7.8</v>
      </c>
      <c r="E48" s="9">
        <v>177</v>
      </c>
      <c r="F48" s="13"/>
      <c r="G48" s="13"/>
      <c r="H48" s="13"/>
    </row>
    <row r="49" spans="2:8" ht="15" customHeight="1" x14ac:dyDescent="0.25">
      <c r="B49" s="6">
        <v>39729</v>
      </c>
      <c r="C49" s="7">
        <v>7.44</v>
      </c>
      <c r="D49" s="8">
        <v>-27.6</v>
      </c>
      <c r="E49" s="9">
        <v>128.22</v>
      </c>
    </row>
    <row r="50" spans="2:8" ht="15" customHeight="1" x14ac:dyDescent="0.25">
      <c r="B50" s="6">
        <v>39760</v>
      </c>
      <c r="C50" s="7">
        <v>7.2</v>
      </c>
      <c r="D50" s="8">
        <v>-3.2</v>
      </c>
      <c r="E50" s="9">
        <v>124.11</v>
      </c>
    </row>
    <row r="51" spans="2:8" ht="15" customHeight="1" x14ac:dyDescent="0.25">
      <c r="B51" s="6">
        <v>39790</v>
      </c>
      <c r="C51" s="7">
        <v>6.79</v>
      </c>
      <c r="D51" s="8">
        <v>-5.7</v>
      </c>
      <c r="E51" s="9">
        <v>117.09</v>
      </c>
    </row>
    <row r="52" spans="2:8" ht="15" customHeight="1" x14ac:dyDescent="0.25">
      <c r="B52" s="6">
        <v>39821</v>
      </c>
      <c r="C52" s="7">
        <v>6.909872953549697</v>
      </c>
      <c r="D52" s="8">
        <v>1.7091107727124286</v>
      </c>
      <c r="E52" s="9">
        <v>119.11084587701784</v>
      </c>
    </row>
    <row r="53" spans="2:8" x14ac:dyDescent="0.25">
      <c r="B53" s="6">
        <v>39852</v>
      </c>
      <c r="C53" s="7">
        <v>7.2816550516468155</v>
      </c>
      <c r="D53" s="8">
        <v>5.3804476666409462</v>
      </c>
      <c r="E53" s="9">
        <v>125.51954260472414</v>
      </c>
    </row>
    <row r="54" spans="2:8" x14ac:dyDescent="0.25">
      <c r="B54" s="6">
        <v>39880</v>
      </c>
      <c r="C54" s="7">
        <v>7.6514359767102302</v>
      </c>
      <c r="D54" s="8">
        <v>5.0782538096168848</v>
      </c>
      <c r="E54" s="9">
        <v>131.89374355886224</v>
      </c>
    </row>
    <row r="55" spans="2:8" x14ac:dyDescent="0.25">
      <c r="B55" s="6">
        <v>39904</v>
      </c>
      <c r="C55" s="7">
        <v>8.4360584708805213</v>
      </c>
      <c r="D55" s="8">
        <v>10.25457831129423</v>
      </c>
      <c r="E55" s="9">
        <v>145.41889077980335</v>
      </c>
    </row>
    <row r="56" spans="2:8" x14ac:dyDescent="0.25">
      <c r="B56" s="6">
        <v>39934</v>
      </c>
      <c r="C56" s="7">
        <v>9.5555063095357085</v>
      </c>
      <c r="D56" s="8">
        <v>13.269797056519735</v>
      </c>
      <c r="E56" s="9">
        <v>164.71568246812535</v>
      </c>
    </row>
    <row r="57" spans="2:8" x14ac:dyDescent="0.25">
      <c r="B57" s="6">
        <v>39965</v>
      </c>
      <c r="C57" s="7">
        <v>9.7441486944933686</v>
      </c>
      <c r="D57" s="8">
        <v>1.9741746679546288</v>
      </c>
      <c r="E57" s="9">
        <v>167.96745774555967</v>
      </c>
    </row>
    <row r="58" spans="2:8" x14ac:dyDescent="0.25">
      <c r="B58" s="6">
        <v>39995</v>
      </c>
      <c r="C58" s="7">
        <v>9.278413027466387</v>
      </c>
      <c r="D58" s="8">
        <f>((C58-C57)/C57)*100</f>
        <v>-4.7796444987562543</v>
      </c>
      <c r="E58" s="9">
        <f>E57+(D58/100)*E57</f>
        <v>159.93921039172329</v>
      </c>
    </row>
    <row r="59" spans="2:8" x14ac:dyDescent="0.25">
      <c r="B59" s="6">
        <v>40026</v>
      </c>
      <c r="C59" s="7">
        <v>9.2912294498210493</v>
      </c>
      <c r="D59" s="8">
        <f>((C59-C58)/C58)*100</f>
        <v>0.13813162139605695</v>
      </c>
      <c r="E59" s="9">
        <f>E58+(D59/100)*E58</f>
        <v>160.16013701628543</v>
      </c>
    </row>
    <row r="60" spans="2:8" x14ac:dyDescent="0.25">
      <c r="B60" s="6">
        <v>40057</v>
      </c>
      <c r="C60" s="7">
        <v>9.1439110115101219</v>
      </c>
      <c r="D60" s="8">
        <f>((C60-C59)/C59)*100</f>
        <v>-1.5855645273485823</v>
      </c>
      <c r="E60" s="9">
        <f>E59+(D60/100)*E59</f>
        <v>157.62069469680233</v>
      </c>
      <c r="F60" s="13"/>
      <c r="G60" s="13"/>
      <c r="H60" s="13"/>
    </row>
    <row r="61" spans="2:8" x14ac:dyDescent="0.25">
      <c r="B61" s="6">
        <v>40087</v>
      </c>
      <c r="C61" s="7">
        <v>9.32</v>
      </c>
      <c r="D61" s="8">
        <v>1.9257513362523113</v>
      </c>
      <c r="E61" s="9">
        <v>160.65607733113617</v>
      </c>
    </row>
    <row r="62" spans="2:8" x14ac:dyDescent="0.25">
      <c r="B62" s="6">
        <v>40118</v>
      </c>
      <c r="C62" s="7">
        <v>9.2200000000000006</v>
      </c>
      <c r="D62" s="8">
        <v>-1.0729613733905541</v>
      </c>
      <c r="E62" s="9">
        <v>158.93229967736863</v>
      </c>
    </row>
    <row r="63" spans="2:8" x14ac:dyDescent="0.25">
      <c r="B63" s="6">
        <v>40148</v>
      </c>
      <c r="C63" s="7">
        <v>9.02</v>
      </c>
      <c r="D63" s="8">
        <v>-2.1691973969631348</v>
      </c>
      <c r="E63" s="9">
        <v>155.48474436983349</v>
      </c>
    </row>
    <row r="64" spans="2:8" x14ac:dyDescent="0.25">
      <c r="B64" s="6">
        <v>40179</v>
      </c>
      <c r="C64" s="10">
        <v>9.1719866692358405</v>
      </c>
      <c r="D64" s="8">
        <f>((C64-C63)/C63)*100</f>
        <v>1.6849963329915847</v>
      </c>
      <c r="E64" s="9">
        <f t="shared" ref="E64:E68" si="3">E63+(D64/100)*E63</f>
        <v>158.10465661082654</v>
      </c>
    </row>
    <row r="65" spans="2:7" x14ac:dyDescent="0.25">
      <c r="B65" s="6">
        <v>40210</v>
      </c>
      <c r="C65" s="10">
        <v>9.9876178369370781</v>
      </c>
      <c r="D65" s="8">
        <f>((C65-C64)/C64)*100</f>
        <v>8.8926335930794735</v>
      </c>
      <c r="E65" s="9">
        <f t="shared" si="3"/>
        <v>172.16432441682386</v>
      </c>
    </row>
    <row r="66" spans="2:7" x14ac:dyDescent="0.25">
      <c r="B66" s="6">
        <v>40238</v>
      </c>
      <c r="C66" s="10">
        <v>10.771196877550196</v>
      </c>
      <c r="D66" s="8">
        <f>((C66-C65)/C65)*100</f>
        <v>7.8455048381528725</v>
      </c>
      <c r="E66" s="9">
        <f t="shared" si="3"/>
        <v>185.67148481851899</v>
      </c>
      <c r="F66" s="19"/>
    </row>
    <row r="67" spans="2:7" x14ac:dyDescent="0.25">
      <c r="B67" s="6">
        <v>40269</v>
      </c>
      <c r="C67" s="10">
        <v>10.912232902333356</v>
      </c>
      <c r="D67" s="8">
        <f t="shared" ref="D67:D68" si="4">((C67-C66)/C66)*100</f>
        <v>1.3093811800721389</v>
      </c>
      <c r="E67" s="9">
        <f t="shared" si="3"/>
        <v>188.10263229749319</v>
      </c>
    </row>
    <row r="68" spans="2:7" x14ac:dyDescent="0.25">
      <c r="B68" s="6">
        <v>40299</v>
      </c>
      <c r="C68" s="10">
        <v>10.795915293498592</v>
      </c>
      <c r="D68" s="8">
        <f t="shared" si="4"/>
        <v>-1.0659377404774073</v>
      </c>
      <c r="E68" s="9">
        <f t="shared" si="3"/>
        <v>186.09757534900277</v>
      </c>
    </row>
    <row r="69" spans="2:7" x14ac:dyDescent="0.25">
      <c r="B69" s="6">
        <v>40330</v>
      </c>
      <c r="C69" s="10">
        <v>10.613246523993277</v>
      </c>
      <c r="D69" s="8">
        <f>((C69-C64)/C64)*100</f>
        <v>15.713715105928241</v>
      </c>
      <c r="E69" s="9">
        <f>E64+(D69/100)*E64</f>
        <v>182.94877191985796</v>
      </c>
    </row>
    <row r="70" spans="2:7" x14ac:dyDescent="0.25">
      <c r="B70" s="6">
        <v>40360</v>
      </c>
      <c r="C70" s="11">
        <v>10.85628778262325</v>
      </c>
      <c r="D70" s="8">
        <v>2.2899803380665005</v>
      </c>
      <c r="E70" s="9">
        <v>187.13826282555686</v>
      </c>
    </row>
    <row r="71" spans="2:7" x14ac:dyDescent="0.25">
      <c r="B71" s="6">
        <v>40391</v>
      </c>
      <c r="C71" s="11">
        <v>11.209440285211334</v>
      </c>
      <c r="D71" s="8">
        <v>3.2529766128100088</v>
      </c>
      <c r="E71" s="9">
        <v>193.22582674889117</v>
      </c>
    </row>
    <row r="72" spans="2:7" x14ac:dyDescent="0.25">
      <c r="B72" s="6">
        <v>40422</v>
      </c>
      <c r="C72" s="11">
        <v>11.461275660384247</v>
      </c>
      <c r="D72" s="8">
        <v>2.2466364846526776</v>
      </c>
      <c r="E72" s="9">
        <v>197.56690867040354</v>
      </c>
      <c r="F72" s="12"/>
      <c r="G72" s="13"/>
    </row>
    <row r="73" spans="2:7" x14ac:dyDescent="0.25">
      <c r="B73" s="6">
        <v>40452</v>
      </c>
      <c r="C73" s="11">
        <v>11.51</v>
      </c>
      <c r="D73" s="8">
        <v>0.42512143551496151</v>
      </c>
      <c r="E73" s="9">
        <v>198.40680794864568</v>
      </c>
    </row>
    <row r="74" spans="2:7" x14ac:dyDescent="0.25">
      <c r="B74" s="6">
        <v>40483</v>
      </c>
      <c r="C74" s="11">
        <v>10.86</v>
      </c>
      <c r="D74" s="8">
        <v>-5.6472632493483959</v>
      </c>
      <c r="E74" s="9">
        <v>187.20225319915656</v>
      </c>
    </row>
    <row r="75" spans="2:7" x14ac:dyDescent="0.25">
      <c r="B75" s="6">
        <v>40513</v>
      </c>
      <c r="C75" s="11">
        <v>10.72</v>
      </c>
      <c r="D75" s="8">
        <v>-1.289134438305698</v>
      </c>
      <c r="E75" s="9">
        <v>184.78896448388201</v>
      </c>
    </row>
    <row r="76" spans="2:7" x14ac:dyDescent="0.25">
      <c r="B76" s="6">
        <v>40544</v>
      </c>
      <c r="C76" s="10">
        <v>10.841817005796196</v>
      </c>
      <c r="D76" s="8">
        <v>1.1363526660092871</v>
      </c>
      <c r="E76" s="9">
        <v>186.88881880828555</v>
      </c>
    </row>
    <row r="77" spans="2:7" x14ac:dyDescent="0.25">
      <c r="B77" s="6">
        <v>40575</v>
      </c>
      <c r="C77" s="10">
        <v>11.213804627755762</v>
      </c>
      <c r="D77" s="8">
        <v>3.4310450154314109</v>
      </c>
      <c r="E77" s="9">
        <v>193.30105831040586</v>
      </c>
    </row>
    <row r="78" spans="2:7" x14ac:dyDescent="0.25">
      <c r="B78" s="6">
        <v>40603</v>
      </c>
      <c r="C78" s="10">
        <v>12.068656837154411</v>
      </c>
      <c r="D78" s="8">
        <v>7.6232129752177773</v>
      </c>
      <c r="E78" s="9">
        <v>208.036809668758</v>
      </c>
      <c r="F78" s="14"/>
    </row>
    <row r="79" spans="2:7" x14ac:dyDescent="0.25">
      <c r="B79" s="6">
        <v>40634</v>
      </c>
      <c r="C79" s="10">
        <v>13.297811570138359</v>
      </c>
      <c r="D79" s="8">
        <v>10.184685417517953</v>
      </c>
      <c r="E79" s="9">
        <v>229.22470428616157</v>
      </c>
    </row>
    <row r="80" spans="2:7" x14ac:dyDescent="0.25">
      <c r="B80" s="6">
        <v>40664</v>
      </c>
      <c r="C80" s="10">
        <v>12.010585517317041</v>
      </c>
      <c r="D80" s="8">
        <v>-9.6799841540236553</v>
      </c>
      <c r="E80" s="9">
        <v>207.03578923415355</v>
      </c>
    </row>
    <row r="81" spans="2:8" x14ac:dyDescent="0.25">
      <c r="B81" s="6">
        <v>40695</v>
      </c>
      <c r="C81" s="10">
        <v>12.251938678484436</v>
      </c>
      <c r="D81" s="8">
        <v>2.0095037067044541</v>
      </c>
      <c r="E81" s="9">
        <v>211.19618109301868</v>
      </c>
      <c r="F81" s="21"/>
      <c r="G81" s="22"/>
    </row>
    <row r="82" spans="2:8" x14ac:dyDescent="0.25">
      <c r="B82" s="6">
        <v>40725</v>
      </c>
      <c r="C82" s="10">
        <v>12.724207444909792</v>
      </c>
      <c r="D82" s="8">
        <v>3.8546452020259072</v>
      </c>
      <c r="E82" s="9">
        <v>219.33704455438266</v>
      </c>
      <c r="F82" s="23"/>
      <c r="G82" s="23"/>
    </row>
    <row r="83" spans="2:8" x14ac:dyDescent="0.25">
      <c r="B83" s="6">
        <v>40756</v>
      </c>
      <c r="C83" s="10">
        <v>12.637096956565973</v>
      </c>
      <c r="D83" s="8">
        <v>-0.68460443387904224</v>
      </c>
      <c r="E83" s="9">
        <v>217.83545342222411</v>
      </c>
      <c r="F83" s="23"/>
      <c r="G83" s="23"/>
    </row>
    <row r="84" spans="2:8" x14ac:dyDescent="0.25">
      <c r="B84" s="6">
        <v>40787</v>
      </c>
      <c r="C84" s="10">
        <v>11.425696860557396</v>
      </c>
      <c r="D84" s="8">
        <v>-9.5860631612797604</v>
      </c>
      <c r="E84" s="9">
        <v>196.95360926950954</v>
      </c>
      <c r="F84" s="24"/>
      <c r="G84" s="24"/>
    </row>
    <row r="85" spans="2:8" x14ac:dyDescent="0.25">
      <c r="B85" s="15">
        <v>40817</v>
      </c>
      <c r="C85" s="10">
        <v>11.086376948162956</v>
      </c>
      <c r="D85" s="8">
        <v>-2.969796210555923</v>
      </c>
      <c r="E85" s="16">
        <v>191.10448844487053</v>
      </c>
      <c r="F85" s="24"/>
      <c r="G85" s="24"/>
    </row>
    <row r="86" spans="2:8" x14ac:dyDescent="0.25">
      <c r="B86" s="15">
        <v>40848</v>
      </c>
      <c r="C86" s="17">
        <v>10.704405698641507</v>
      </c>
      <c r="D86" s="18">
        <v>-3.4454109878046557</v>
      </c>
      <c r="E86" s="16">
        <v>184.52015340180307</v>
      </c>
      <c r="F86" s="24"/>
      <c r="G86" s="24"/>
    </row>
    <row r="87" spans="2:8" x14ac:dyDescent="0.25">
      <c r="B87" s="15">
        <v>40878</v>
      </c>
      <c r="C87" s="17">
        <v>10.03607356750944</v>
      </c>
      <c r="D87" s="18">
        <v>-6.2435239278803154</v>
      </c>
      <c r="E87" s="16">
        <v>172.99959347240002</v>
      </c>
      <c r="F87" s="24"/>
      <c r="G87" s="25"/>
    </row>
    <row r="88" spans="2:8" x14ac:dyDescent="0.25">
      <c r="B88" s="15">
        <v>40909</v>
      </c>
      <c r="C88" s="17">
        <v>10.204233735527207</v>
      </c>
      <c r="D88" s="18">
        <v>1.6755573470701237</v>
      </c>
      <c r="E88" s="16">
        <v>175.89830087122826</v>
      </c>
      <c r="F88" s="24"/>
      <c r="G88" s="25"/>
    </row>
    <row r="89" spans="2:8" x14ac:dyDescent="0.25">
      <c r="B89" s="15">
        <v>40940</v>
      </c>
      <c r="C89" s="17">
        <v>10.758378280342043</v>
      </c>
      <c r="D89" s="18">
        <v>5.4305355911783773</v>
      </c>
      <c r="E89" s="16">
        <v>185.45052070431834</v>
      </c>
      <c r="F89" s="24"/>
      <c r="G89" s="25"/>
    </row>
    <row r="90" spans="2:8" x14ac:dyDescent="0.25">
      <c r="B90" s="15">
        <v>40969</v>
      </c>
      <c r="C90" s="17">
        <v>10.547707536868586</v>
      </c>
      <c r="D90" s="18">
        <v>-1.9582016730012162</v>
      </c>
      <c r="E90" s="16">
        <v>181.81902550529691</v>
      </c>
      <c r="F90" s="21"/>
      <c r="G90" s="25"/>
    </row>
    <row r="91" spans="2:8" x14ac:dyDescent="0.25">
      <c r="B91" s="15">
        <v>41000</v>
      </c>
      <c r="C91" s="17">
        <v>10.445612385752668</v>
      </c>
      <c r="D91" s="18">
        <v>-0.96793687878672807</v>
      </c>
      <c r="E91" s="16">
        <v>180.0591321047805</v>
      </c>
      <c r="F91" s="21"/>
      <c r="G91" s="25"/>
    </row>
    <row r="92" spans="2:8" x14ac:dyDescent="0.25">
      <c r="B92" s="15">
        <v>41030</v>
      </c>
      <c r="C92" s="17">
        <v>9.6416100589640799</v>
      </c>
      <c r="D92" s="18">
        <v>-7.6970339037777222</v>
      </c>
      <c r="E92" s="16">
        <v>166.19991965982763</v>
      </c>
      <c r="F92" s="21"/>
      <c r="G92" s="25"/>
    </row>
    <row r="93" spans="2:8" x14ac:dyDescent="0.25">
      <c r="B93" s="15">
        <v>41061</v>
      </c>
      <c r="C93" s="17">
        <v>9.3656616167167215</v>
      </c>
      <c r="D93" s="18">
        <v>-2.862057691192367</v>
      </c>
      <c r="E93" s="16">
        <v>161.44318207644801</v>
      </c>
      <c r="F93" s="21"/>
      <c r="G93" s="25"/>
      <c r="H93" s="20"/>
    </row>
    <row r="94" spans="2:8" x14ac:dyDescent="0.25">
      <c r="B94" s="15">
        <v>41091</v>
      </c>
      <c r="C94" s="17">
        <v>9.7555221053909307</v>
      </c>
      <c r="D94" s="18">
        <v>4.1626582790301665</v>
      </c>
      <c r="E94" s="16">
        <v>168.16351006108303</v>
      </c>
      <c r="F94" s="21"/>
      <c r="G94" s="25"/>
      <c r="H94" s="20"/>
    </row>
    <row r="95" spans="2:8" x14ac:dyDescent="0.25">
      <c r="B95" s="15">
        <v>41122</v>
      </c>
      <c r="C95" s="17">
        <v>10.17145340659266</v>
      </c>
      <c r="D95" s="18">
        <v>4.2635473192345499</v>
      </c>
      <c r="E95" s="16">
        <v>175.33324088622305</v>
      </c>
      <c r="F95" s="21"/>
      <c r="G95" s="25"/>
      <c r="H95" s="20"/>
    </row>
    <row r="96" spans="2:8" x14ac:dyDescent="0.25">
      <c r="B96" s="15">
        <v>41153</v>
      </c>
      <c r="C96" s="17">
        <v>10.299522881408972</v>
      </c>
      <c r="D96" s="18">
        <v>1.2591069309062934</v>
      </c>
      <c r="E96" s="16">
        <v>177.54087387440413</v>
      </c>
      <c r="F96" s="21"/>
      <c r="G96" s="25"/>
      <c r="H96" s="20"/>
    </row>
    <row r="97" spans="2:8" x14ac:dyDescent="0.25">
      <c r="B97" s="15">
        <v>41183</v>
      </c>
      <c r="C97" s="17">
        <v>10.132304100152586</v>
      </c>
      <c r="D97" s="18">
        <v>-1.6235585199603966</v>
      </c>
      <c r="E97" s="16">
        <v>174.65839389020411</v>
      </c>
      <c r="F97" s="21"/>
      <c r="G97" s="25"/>
      <c r="H97" s="20"/>
    </row>
    <row r="98" spans="2:8" x14ac:dyDescent="0.25">
      <c r="B98" s="15">
        <v>41214</v>
      </c>
      <c r="C98" s="17">
        <v>9.8439281130751652</v>
      </c>
      <c r="D98" s="18">
        <v>-2.846104738142218</v>
      </c>
      <c r="E98" s="16">
        <v>169.68743306613192</v>
      </c>
      <c r="F98" s="21"/>
      <c r="G98" s="25"/>
      <c r="H98" s="20"/>
    </row>
    <row r="99" spans="2:8" x14ac:dyDescent="0.25">
      <c r="B99" s="15">
        <v>41244</v>
      </c>
      <c r="C99" s="17">
        <v>9.7308478836746666</v>
      </c>
      <c r="D99" s="18">
        <v>-1.148730751602099</v>
      </c>
      <c r="E99" s="16">
        <v>167.73818134089703</v>
      </c>
      <c r="F99" s="21"/>
      <c r="G99" s="25"/>
      <c r="H99" s="20"/>
    </row>
    <row r="100" spans="2:8" ht="25.2" customHeight="1" x14ac:dyDescent="0.25">
      <c r="B100" s="26" t="s">
        <v>0</v>
      </c>
      <c r="C100" s="27"/>
      <c r="D100" s="27"/>
      <c r="E100" s="28"/>
      <c r="F100" s="23"/>
      <c r="G100" s="23"/>
    </row>
  </sheetData>
  <mergeCells count="2">
    <mergeCell ref="B100:E100"/>
    <mergeCell ref="B2:E2"/>
  </mergeCells>
  <pageMargins left="0.75" right="0.75" top="1" bottom="1" header="0.49212598499999999" footer="0.49212598499999999"/>
  <pageSetup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MonthlyTruckindex2006-12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Ladd, Jessica</dc:creator>
  <cp:lastModifiedBy>Salin, Delmy - AMS</cp:lastModifiedBy>
  <dcterms:created xsi:type="dcterms:W3CDTF">2008-08-25T16:01:01Z</dcterms:created>
  <dcterms:modified xsi:type="dcterms:W3CDTF">2013-07-25T12:24:41Z</dcterms:modified>
</cp:coreProperties>
</file>